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omments6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0" yWindow="315" windowWidth="12285" windowHeight="8310" tabRatio="775" activeTab="4"/>
  </bookViews>
  <sheets>
    <sheet name="mainINPUT" sheetId="1" r:id="rId1"/>
    <sheet name="Geometry" sheetId="2" r:id="rId2"/>
    <sheet name="Leakage" sheetId="3" r:id="rId3"/>
    <sheet name="Flue" sheetId="4" r:id="rId4"/>
    <sheet name="UA" sheetId="5" r:id="rId5"/>
    <sheet name="Fans" sheetId="6" r:id="rId6"/>
    <sheet name="Internal gains" sheetId="7" r:id="rId7"/>
    <sheet name="Attic" sheetId="8" r:id="rId8"/>
    <sheet name="Ducts" sheetId="9" r:id="rId9"/>
    <sheet name="Heat - Cool" sheetId="10" r:id="rId10"/>
    <sheet name="Weather" sheetId="12" r:id="rId11"/>
    <sheet name="Output" sheetId="11" r:id="rId12"/>
  </sheets>
  <definedNames>
    <definedName name="A_atticSI">Geometry!#REF!</definedName>
    <definedName name="A_ceilingSI">Geometry!$D$9</definedName>
    <definedName name="A_houseFT">Geometry!$B$8</definedName>
    <definedName name="A_houseSI">Geometry!$D$8</definedName>
    <definedName name="A_wall">Geometry!$D$18</definedName>
    <definedName name="A_windowSI">Geometry!$D$16</definedName>
    <definedName name="C_flueSI">Flue!$D$8</definedName>
    <definedName name="C_name" localSheetId="7">mainINPUT!$K$5</definedName>
    <definedName name="C_name">mainINPUT!$K$5</definedName>
    <definedName name="C_no">mainINPUT!$K$7</definedName>
    <definedName name="H_attic.ventSI">Geometry!$D$26</definedName>
    <definedName name="H_flueSI">Geometry!$D$28</definedName>
    <definedName name="H_peak">Geometry!$D$25</definedName>
    <definedName name="H_soffitSI">Geometry!$D$15</definedName>
    <definedName name="L_houseSI">Geometry!$D$6</definedName>
    <definedName name="n" comment="Pressure Exponent">Leakage!$D$14</definedName>
    <definedName name="Navent">mainINPUT!$C$80</definedName>
    <definedName name="Nbedrooms">Geometry!$H$9</definedName>
    <definedName name="Nfan">mainINPUT!$C$35</definedName>
    <definedName name="Nflue">mainINPUT!$C$8</definedName>
    <definedName name="Noccupants">Geometry!$H$8</definedName>
    <definedName name="output" localSheetId="11">Output!$K$14:$AM$15</definedName>
    <definedName name="output_11">Output!$A$2:$AE$4</definedName>
    <definedName name="overhang">Geometry!$D$29</definedName>
    <definedName name="planareaSI">Geometry!$D$9</definedName>
    <definedName name="rho_air">Leakage!$D$11</definedName>
    <definedName name="RIVEC_fans">Fans!$M$8:$Q$27</definedName>
    <definedName name="storeys">Geometry!$D$5</definedName>
    <definedName name="stories">Geometry!$D$5</definedName>
    <definedName name="V_atticSI">Geometry!#REF!</definedName>
    <definedName name="V_houseSI">Geometry!$D$19</definedName>
    <definedName name="W_houseSI">Geometry!$D$7</definedName>
    <definedName name="ws">mainINPUT!$K$9</definedName>
  </definedNames>
  <calcPr calcId="125725"/>
</workbook>
</file>

<file path=xl/calcChain.xml><?xml version="1.0" encoding="utf-8"?>
<calcChain xmlns="http://schemas.openxmlformats.org/spreadsheetml/2006/main">
  <c r="D129" i="5"/>
  <c r="T47"/>
  <c r="S47"/>
  <c r="R47"/>
  <c r="Q47"/>
  <c r="P47"/>
  <c r="O47"/>
  <c r="N47"/>
  <c r="M47"/>
  <c r="L47"/>
  <c r="K47"/>
  <c r="J47"/>
  <c r="I47"/>
  <c r="H47"/>
  <c r="G47"/>
  <c r="F47"/>
  <c r="B133"/>
  <c r="D127"/>
  <c r="D126"/>
  <c r="D128"/>
  <c r="D125"/>
  <c r="V1"/>
  <c r="A37"/>
  <c r="B10" i="8"/>
  <c r="G18" i="2"/>
  <c r="D10"/>
  <c r="B10"/>
  <c r="D9"/>
  <c r="B9"/>
  <c r="D19"/>
  <c r="B16"/>
  <c r="D16"/>
  <c r="B11"/>
  <c r="AE4" i="1"/>
  <c r="AE5"/>
  <c r="AE6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8"/>
  <c r="AE30"/>
  <c r="AE31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6"/>
  <c r="AE67"/>
  <c r="AE68"/>
  <c r="AE70"/>
  <c r="AE71"/>
  <c r="AE72"/>
  <c r="AE73"/>
  <c r="AE74"/>
  <c r="AE75"/>
  <c r="AE76"/>
  <c r="AE77"/>
  <c r="AE78"/>
  <c r="AE79"/>
  <c r="AE80"/>
  <c r="AE81"/>
  <c r="AE82"/>
  <c r="AE84"/>
  <c r="AE85"/>
  <c r="AE86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3"/>
  <c r="C113"/>
  <c r="AC14" i="9"/>
  <c r="AD14"/>
  <c r="AE14"/>
  <c r="AF14"/>
  <c r="AG14"/>
  <c r="AH14"/>
  <c r="AI14"/>
  <c r="AJ14"/>
  <c r="AK14"/>
  <c r="AL14"/>
  <c r="AM14"/>
  <c r="AN14"/>
  <c r="AO14"/>
  <c r="AP14"/>
  <c r="AQ14"/>
  <c r="AB14"/>
  <c r="J14"/>
  <c r="K14"/>
  <c r="L14"/>
  <c r="M14"/>
  <c r="N14"/>
  <c r="O14"/>
  <c r="P14"/>
  <c r="Q14"/>
  <c r="R14"/>
  <c r="S14"/>
  <c r="T14"/>
  <c r="U14"/>
  <c r="V14"/>
  <c r="W14"/>
  <c r="X14"/>
  <c r="I14"/>
  <c r="R18" i="7"/>
  <c r="Q18"/>
  <c r="D133" i="5" l="1"/>
  <c r="D134" s="1"/>
  <c r="B134"/>
  <c r="B137" l="1"/>
  <c r="B140" s="1"/>
  <c r="AF6" i="3" l="1"/>
  <c r="AF7" s="1"/>
  <c r="AF8" s="1"/>
  <c r="AB6"/>
  <c r="AB7" s="1"/>
  <c r="AB8" s="1"/>
  <c r="AE6"/>
  <c r="AE7" s="1"/>
  <c r="AE8" s="1"/>
  <c r="AD6"/>
  <c r="AD7" s="1"/>
  <c r="AD8" s="1"/>
  <c r="AC6"/>
  <c r="AC7" s="1"/>
  <c r="AC8" s="1"/>
  <c r="D13"/>
  <c r="D30" i="2"/>
  <c r="D24"/>
  <c r="D15"/>
  <c r="D25" s="1"/>
  <c r="D28" s="1"/>
  <c r="C10" i="1" s="1"/>
  <c r="D11" i="2"/>
  <c r="B8"/>
  <c r="D8"/>
  <c r="D26" l="1"/>
  <c r="K3" i="1"/>
  <c r="C5" i="12" l="1"/>
  <c r="D5"/>
  <c r="E5"/>
  <c r="F5"/>
  <c r="G5"/>
  <c r="H5"/>
  <c r="I5"/>
  <c r="J5"/>
  <c r="K5"/>
  <c r="L5"/>
  <c r="M5"/>
  <c r="N5"/>
  <c r="O5"/>
  <c r="P5"/>
  <c r="Q5"/>
  <c r="B5"/>
  <c r="P16" i="10"/>
  <c r="O16"/>
  <c r="N16"/>
  <c r="M16"/>
  <c r="L16"/>
  <c r="K16"/>
  <c r="J16"/>
  <c r="I16"/>
  <c r="H16"/>
  <c r="G16"/>
  <c r="F16"/>
  <c r="E16"/>
  <c r="D16"/>
  <c r="C16"/>
  <c r="Q15"/>
  <c r="P15"/>
  <c r="O15"/>
  <c r="N15"/>
  <c r="M15"/>
  <c r="L15"/>
  <c r="K15"/>
  <c r="J15"/>
  <c r="I15"/>
  <c r="H15"/>
  <c r="G15"/>
  <c r="F15"/>
  <c r="E15"/>
  <c r="D15"/>
  <c r="J34"/>
  <c r="K34" s="1"/>
  <c r="C15" s="1"/>
  <c r="C34"/>
  <c r="I34" s="1"/>
  <c r="M48"/>
  <c r="Q16" s="1"/>
  <c r="L48"/>
  <c r="F48"/>
  <c r="U7" i="5"/>
  <c r="U13"/>
  <c r="C52" i="1" l="1"/>
  <c r="C51"/>
  <c r="C49"/>
  <c r="C48"/>
  <c r="C45"/>
  <c r="C46"/>
  <c r="C42"/>
  <c r="C43"/>
  <c r="C40"/>
  <c r="C36"/>
  <c r="C37"/>
  <c r="C51" i="6"/>
  <c r="C50"/>
  <c r="C49"/>
  <c r="C48"/>
  <c r="C47"/>
  <c r="C46"/>
  <c r="C30"/>
  <c r="C31"/>
  <c r="C32"/>
  <c r="C33"/>
  <c r="C29"/>
  <c r="C28"/>
  <c r="C22"/>
  <c r="C23"/>
  <c r="C24"/>
  <c r="C25"/>
  <c r="C21"/>
  <c r="C20"/>
  <c r="C16"/>
  <c r="C15"/>
  <c r="C37"/>
  <c r="C38"/>
  <c r="C39"/>
  <c r="C40"/>
  <c r="C41"/>
  <c r="C42"/>
  <c r="C43"/>
  <c r="C36"/>
  <c r="H38"/>
  <c r="H39"/>
  <c r="H40"/>
  <c r="H41"/>
  <c r="H42"/>
  <c r="H43"/>
  <c r="H30"/>
  <c r="H31"/>
  <c r="H32"/>
  <c r="H33"/>
  <c r="H22"/>
  <c r="H23"/>
  <c r="H24"/>
  <c r="H25"/>
  <c r="H16"/>
  <c r="H15"/>
  <c r="H21"/>
  <c r="H20"/>
  <c r="H29"/>
  <c r="H28"/>
  <c r="H37"/>
  <c r="H36"/>
  <c r="H46"/>
  <c r="H47"/>
  <c r="H48"/>
  <c r="C16" i="4" l="1"/>
  <c r="D16"/>
  <c r="E16"/>
  <c r="F16"/>
  <c r="G16"/>
  <c r="H16"/>
  <c r="I16"/>
  <c r="J16"/>
  <c r="K16"/>
  <c r="L16"/>
  <c r="M16"/>
  <c r="N16"/>
  <c r="B16"/>
  <c r="B17"/>
  <c r="D6"/>
  <c r="I8"/>
  <c r="E17" l="1"/>
  <c r="I4" l="1"/>
  <c r="L58" i="1" l="1"/>
  <c r="M58" s="1"/>
  <c r="N58" s="1"/>
  <c r="O58" s="1"/>
  <c r="P58" s="1"/>
  <c r="Q58" s="1"/>
  <c r="R58" s="1"/>
  <c r="S58" s="1"/>
  <c r="T58" s="1"/>
  <c r="U58" s="1"/>
  <c r="V58" s="1"/>
  <c r="W58" s="1"/>
  <c r="X58" s="1"/>
  <c r="Y58" s="1"/>
  <c r="Z58" s="1"/>
  <c r="AA58" s="1"/>
  <c r="L57"/>
  <c r="M57" s="1"/>
  <c r="N57" s="1"/>
  <c r="O57" s="1"/>
  <c r="P57" s="1"/>
  <c r="Q57" s="1"/>
  <c r="R57" s="1"/>
  <c r="S57" s="1"/>
  <c r="T57" s="1"/>
  <c r="U57" s="1"/>
  <c r="V57" s="1"/>
  <c r="W57" s="1"/>
  <c r="X57" s="1"/>
  <c r="Y57" s="1"/>
  <c r="Z57" s="1"/>
  <c r="AA57" s="1"/>
  <c r="L59"/>
  <c r="M59" s="1"/>
  <c r="N59" s="1"/>
  <c r="O59" s="1"/>
  <c r="P59" s="1"/>
  <c r="Q59" s="1"/>
  <c r="R59" s="1"/>
  <c r="S59" s="1"/>
  <c r="T59" s="1"/>
  <c r="U59" s="1"/>
  <c r="V59" s="1"/>
  <c r="W59" s="1"/>
  <c r="X59" s="1"/>
  <c r="Y59" s="1"/>
  <c r="Z59" s="1"/>
  <c r="AA59" s="1"/>
  <c r="B51" i="6" l="1"/>
  <c r="B50"/>
  <c r="B49"/>
  <c r="E9" l="1"/>
  <c r="E11"/>
  <c r="E8"/>
  <c r="C8" s="1"/>
  <c r="C11" l="1"/>
  <c r="C9"/>
  <c r="L56" i="1"/>
  <c r="M56" s="1"/>
  <c r="N56" s="1"/>
  <c r="O56" s="1"/>
  <c r="P56" s="1"/>
  <c r="Q56" s="1"/>
  <c r="R56" s="1"/>
  <c r="S56" s="1"/>
  <c r="T56" s="1"/>
  <c r="U56" s="1"/>
  <c r="V56" s="1"/>
  <c r="W56" s="1"/>
  <c r="X56" s="1"/>
  <c r="Y56" s="1"/>
  <c r="Z56" s="1"/>
  <c r="AA56" s="1"/>
  <c r="M124"/>
  <c r="N124"/>
  <c r="O124"/>
  <c r="P124"/>
  <c r="Q124"/>
  <c r="R124"/>
  <c r="S124"/>
  <c r="T124"/>
  <c r="U124"/>
  <c r="V124"/>
  <c r="W124"/>
  <c r="X124"/>
  <c r="Y124"/>
  <c r="Z124"/>
  <c r="AA124"/>
  <c r="L124"/>
  <c r="C124" s="1"/>
  <c r="L123"/>
  <c r="M123" s="1"/>
  <c r="N123" s="1"/>
  <c r="O123" s="1"/>
  <c r="P123" s="1"/>
  <c r="Q123" s="1"/>
  <c r="R123" s="1"/>
  <c r="S123" s="1"/>
  <c r="T123" s="1"/>
  <c r="U123" s="1"/>
  <c r="V123" s="1"/>
  <c r="W123" s="1"/>
  <c r="X123" s="1"/>
  <c r="Y123" s="1"/>
  <c r="Z123" s="1"/>
  <c r="AA123" s="1"/>
  <c r="M12" i="3" l="1"/>
  <c r="R16" i="10" l="1"/>
  <c r="U57" i="5" l="1"/>
  <c r="U33" l="1"/>
  <c r="T33"/>
  <c r="F33"/>
  <c r="T30" l="1"/>
  <c r="U30"/>
  <c r="F30"/>
  <c r="U34" l="1"/>
  <c r="T34"/>
  <c r="F34"/>
  <c r="F31"/>
  <c r="T31"/>
  <c r="U31"/>
  <c r="B5" i="6" l="1"/>
  <c r="L3" s="1"/>
  <c r="M3" s="1"/>
  <c r="H8" i="2"/>
  <c r="Q27" i="6"/>
  <c r="I3" l="1"/>
  <c r="J3"/>
  <c r="K3"/>
  <c r="N3"/>
  <c r="O3"/>
  <c r="M122" i="1"/>
  <c r="N122"/>
  <c r="O122"/>
  <c r="P122"/>
  <c r="Q122"/>
  <c r="R122"/>
  <c r="S122"/>
  <c r="T122"/>
  <c r="U122"/>
  <c r="V122"/>
  <c r="W122"/>
  <c r="X122"/>
  <c r="Y122"/>
  <c r="Z122"/>
  <c r="AA122"/>
  <c r="L122"/>
  <c r="D94" l="1"/>
  <c r="M121"/>
  <c r="N121"/>
  <c r="O121"/>
  <c r="P121"/>
  <c r="Q121"/>
  <c r="R121"/>
  <c r="S121"/>
  <c r="T121"/>
  <c r="U121"/>
  <c r="V121"/>
  <c r="W121"/>
  <c r="X121"/>
  <c r="Y121"/>
  <c r="Z121"/>
  <c r="AA121"/>
  <c r="L121"/>
  <c r="D121"/>
  <c r="L50" l="1"/>
  <c r="M50" s="1"/>
  <c r="N50" s="1"/>
  <c r="O50" s="1"/>
  <c r="P50" s="1"/>
  <c r="Q50" s="1"/>
  <c r="R50" s="1"/>
  <c r="S50" s="1"/>
  <c r="T50" s="1"/>
  <c r="U50" s="1"/>
  <c r="V50" s="1"/>
  <c r="W50" s="1"/>
  <c r="X50" s="1"/>
  <c r="Y50" s="1"/>
  <c r="Z50" s="1"/>
  <c r="AA50" s="1"/>
  <c r="L53"/>
  <c r="M53" s="1"/>
  <c r="N53" s="1"/>
  <c r="O53" s="1"/>
  <c r="P53" s="1"/>
  <c r="Q53" s="1"/>
  <c r="R53" s="1"/>
  <c r="S53" s="1"/>
  <c r="T53" s="1"/>
  <c r="U53" s="1"/>
  <c r="V53" s="1"/>
  <c r="W53" s="1"/>
  <c r="X53" s="1"/>
  <c r="Y53" s="1"/>
  <c r="Z53" s="1"/>
  <c r="AA53" s="1"/>
  <c r="B9" i="9" l="1"/>
  <c r="B5" i="7"/>
  <c r="C120" i="1"/>
  <c r="D120" s="1"/>
  <c r="Z120" l="1"/>
  <c r="R120"/>
  <c r="L120"/>
  <c r="T120"/>
  <c r="P120"/>
  <c r="V120"/>
  <c r="N120"/>
  <c r="X120"/>
  <c r="AA120"/>
  <c r="W120"/>
  <c r="S120"/>
  <c r="O120"/>
  <c r="Y120"/>
  <c r="U120"/>
  <c r="Q120"/>
  <c r="M120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5"/>
  <c r="AD14"/>
  <c r="AD13"/>
  <c r="AD12"/>
  <c r="AD11"/>
  <c r="AD10"/>
  <c r="AD9"/>
  <c r="AD8"/>
  <c r="AD7"/>
  <c r="AD6"/>
  <c r="AD5"/>
  <c r="AD4"/>
  <c r="AD3"/>
  <c r="B21" i="5" l="1"/>
  <c r="B20"/>
  <c r="F21" s="1"/>
  <c r="B6"/>
  <c r="J6" i="2"/>
  <c r="J5"/>
  <c r="D14" i="9" l="1"/>
  <c r="B14" s="1"/>
  <c r="D10" i="8"/>
  <c r="AA63" i="1"/>
  <c r="Z63"/>
  <c r="Y63"/>
  <c r="X63"/>
  <c r="W63"/>
  <c r="V63"/>
  <c r="U63"/>
  <c r="T63"/>
  <c r="S63"/>
  <c r="R63"/>
  <c r="Q63"/>
  <c r="P63"/>
  <c r="O63"/>
  <c r="M63"/>
  <c r="L63"/>
  <c r="AE63" s="1"/>
  <c r="N63"/>
  <c r="C63"/>
  <c r="C17" i="10"/>
  <c r="C23" s="1"/>
  <c r="L118" i="1" s="1"/>
  <c r="I10" i="6"/>
  <c r="I9"/>
  <c r="I8"/>
  <c r="B13" i="9"/>
  <c r="B12"/>
  <c r="D12" i="7"/>
  <c r="B15" i="4"/>
  <c r="I6"/>
  <c r="Q24" i="3"/>
  <c r="Q22"/>
  <c r="C17"/>
  <c r="D17" s="1"/>
  <c r="E17" s="1"/>
  <c r="AD2" i="1"/>
  <c r="Q17" i="6"/>
  <c r="AC8" i="1"/>
  <c r="AC11" s="1"/>
  <c r="AC9"/>
  <c r="AC12" s="1"/>
  <c r="AB6"/>
  <c r="AB5"/>
  <c r="AB4"/>
  <c r="L51" l="1"/>
  <c r="M51" s="1"/>
  <c r="N51" s="1"/>
  <c r="O51" s="1"/>
  <c r="P51" s="1"/>
  <c r="Q51" s="1"/>
  <c r="R51" s="1"/>
  <c r="S51" s="1"/>
  <c r="T51" s="1"/>
  <c r="U51" s="1"/>
  <c r="V51" s="1"/>
  <c r="W51" s="1"/>
  <c r="X51" s="1"/>
  <c r="Y51" s="1"/>
  <c r="Z51" s="1"/>
  <c r="AA51" s="1"/>
  <c r="L48"/>
  <c r="M48" s="1"/>
  <c r="N48" s="1"/>
  <c r="O48" s="1"/>
  <c r="P48" s="1"/>
  <c r="Q48" s="1"/>
  <c r="R48" s="1"/>
  <c r="S48" s="1"/>
  <c r="T48" s="1"/>
  <c r="U48" s="1"/>
  <c r="V48" s="1"/>
  <c r="W48" s="1"/>
  <c r="X48" s="1"/>
  <c r="Y48" s="1"/>
  <c r="Z48" s="1"/>
  <c r="AA48" s="1"/>
  <c r="AB8"/>
  <c r="AB12"/>
  <c r="AC15"/>
  <c r="AB11"/>
  <c r="AC14"/>
  <c r="C18" i="10"/>
  <c r="C19" s="1"/>
  <c r="AB9" i="1"/>
  <c r="H21" i="3"/>
  <c r="C27" i="8"/>
  <c r="C21" i="10"/>
  <c r="B18" i="4"/>
  <c r="L42" i="1"/>
  <c r="M42" s="1"/>
  <c r="N42" s="1"/>
  <c r="O42" s="1"/>
  <c r="P42" s="1"/>
  <c r="Q42" s="1"/>
  <c r="R42" s="1"/>
  <c r="S42" s="1"/>
  <c r="T42" s="1"/>
  <c r="U42" s="1"/>
  <c r="V42" s="1"/>
  <c r="W42" s="1"/>
  <c r="X42" s="1"/>
  <c r="Y42" s="1"/>
  <c r="Z42" s="1"/>
  <c r="AA42" s="1"/>
  <c r="F28"/>
  <c r="C105"/>
  <c r="L105" s="1"/>
  <c r="M105" s="1"/>
  <c r="N105" s="1"/>
  <c r="O105" s="1"/>
  <c r="P105" s="1"/>
  <c r="Q105" s="1"/>
  <c r="R105" s="1"/>
  <c r="S105" s="1"/>
  <c r="T105" s="1"/>
  <c r="U105" s="1"/>
  <c r="V105" s="1"/>
  <c r="W105" s="1"/>
  <c r="X105" s="1"/>
  <c r="Y105" s="1"/>
  <c r="Z105" s="1"/>
  <c r="AA105" s="1"/>
  <c r="C104"/>
  <c r="L104" s="1"/>
  <c r="M104" s="1"/>
  <c r="N104" s="1"/>
  <c r="O104" s="1"/>
  <c r="P104" s="1"/>
  <c r="Q104" s="1"/>
  <c r="R104" s="1"/>
  <c r="S104" s="1"/>
  <c r="T104" s="1"/>
  <c r="U104" s="1"/>
  <c r="V104" s="1"/>
  <c r="W104" s="1"/>
  <c r="X104" s="1"/>
  <c r="Y104" s="1"/>
  <c r="Z104" s="1"/>
  <c r="AA104" s="1"/>
  <c r="C89"/>
  <c r="L89" s="1"/>
  <c r="M89" s="1"/>
  <c r="N89" s="1"/>
  <c r="O89" s="1"/>
  <c r="P89" s="1"/>
  <c r="Q89" s="1"/>
  <c r="R89" s="1"/>
  <c r="S89" s="1"/>
  <c r="T89" s="1"/>
  <c r="U89" s="1"/>
  <c r="V89" s="1"/>
  <c r="W89" s="1"/>
  <c r="X89" s="1"/>
  <c r="Y89" s="1"/>
  <c r="Z89" s="1"/>
  <c r="AA89" s="1"/>
  <c r="C75"/>
  <c r="L75" s="1"/>
  <c r="M75" s="1"/>
  <c r="N75" s="1"/>
  <c r="O75" s="1"/>
  <c r="P75" s="1"/>
  <c r="Q75" s="1"/>
  <c r="R75" s="1"/>
  <c r="S75" s="1"/>
  <c r="T75" s="1"/>
  <c r="U75" s="1"/>
  <c r="V75" s="1"/>
  <c r="W75" s="1"/>
  <c r="X75" s="1"/>
  <c r="Y75" s="1"/>
  <c r="Z75" s="1"/>
  <c r="AA75" s="1"/>
  <c r="C66"/>
  <c r="L66" s="1"/>
  <c r="M66" s="1"/>
  <c r="N66" s="1"/>
  <c r="O66" s="1"/>
  <c r="P66" s="1"/>
  <c r="Q66" s="1"/>
  <c r="R66" s="1"/>
  <c r="S66" s="1"/>
  <c r="T66" s="1"/>
  <c r="U66" s="1"/>
  <c r="V66" s="1"/>
  <c r="W66" s="1"/>
  <c r="X66" s="1"/>
  <c r="Y66" s="1"/>
  <c r="Z66" s="1"/>
  <c r="AA66" s="1"/>
  <c r="L46"/>
  <c r="M46" s="1"/>
  <c r="N46" s="1"/>
  <c r="O46" s="1"/>
  <c r="P46" s="1"/>
  <c r="Q46" s="1"/>
  <c r="R46" s="1"/>
  <c r="S46" s="1"/>
  <c r="T46" s="1"/>
  <c r="U46" s="1"/>
  <c r="V46" s="1"/>
  <c r="W46" s="1"/>
  <c r="X46" s="1"/>
  <c r="Y46" s="1"/>
  <c r="Z46" s="1"/>
  <c r="AA46" s="1"/>
  <c r="L45"/>
  <c r="M45" s="1"/>
  <c r="N45" s="1"/>
  <c r="O45" s="1"/>
  <c r="P45" s="1"/>
  <c r="Q45" s="1"/>
  <c r="R45" s="1"/>
  <c r="S45" s="1"/>
  <c r="T45" s="1"/>
  <c r="U45" s="1"/>
  <c r="V45" s="1"/>
  <c r="W45" s="1"/>
  <c r="X45" s="1"/>
  <c r="Y45" s="1"/>
  <c r="Z45" s="1"/>
  <c r="AA45" s="1"/>
  <c r="L39"/>
  <c r="M39" s="1"/>
  <c r="N39" s="1"/>
  <c r="O39" s="1"/>
  <c r="P39" s="1"/>
  <c r="Q39" s="1"/>
  <c r="R39" s="1"/>
  <c r="S39" s="1"/>
  <c r="T39" s="1"/>
  <c r="U39" s="1"/>
  <c r="V39" s="1"/>
  <c r="W39" s="1"/>
  <c r="X39" s="1"/>
  <c r="Y39" s="1"/>
  <c r="Z39" s="1"/>
  <c r="AA39" s="1"/>
  <c r="L36"/>
  <c r="M36" s="1"/>
  <c r="N36" s="1"/>
  <c r="O36" s="1"/>
  <c r="P36" s="1"/>
  <c r="Q36" s="1"/>
  <c r="R36" s="1"/>
  <c r="S36" s="1"/>
  <c r="T36" s="1"/>
  <c r="U36" s="1"/>
  <c r="V36" s="1"/>
  <c r="W36" s="1"/>
  <c r="X36" s="1"/>
  <c r="Y36" s="1"/>
  <c r="Z36" s="1"/>
  <c r="AA36" s="1"/>
  <c r="C25"/>
  <c r="L25" s="1"/>
  <c r="M25" s="1"/>
  <c r="N25" s="1"/>
  <c r="O25" s="1"/>
  <c r="P25" s="1"/>
  <c r="Q25" s="1"/>
  <c r="R25" s="1"/>
  <c r="S25" s="1"/>
  <c r="T25" s="1"/>
  <c r="U25" s="1"/>
  <c r="V25" s="1"/>
  <c r="W25" s="1"/>
  <c r="X25" s="1"/>
  <c r="Y25" s="1"/>
  <c r="Z25" s="1"/>
  <c r="AA25" s="1"/>
  <c r="C29" i="4"/>
  <c r="C30"/>
  <c r="C28"/>
  <c r="D5"/>
  <c r="R20" i="10"/>
  <c r="R22" s="1"/>
  <c r="R24" s="1"/>
  <c r="AA117" i="1" s="1"/>
  <c r="Q20" i="10"/>
  <c r="Q22" s="1"/>
  <c r="Q24" s="1"/>
  <c r="Z117" i="1" s="1"/>
  <c r="P20" i="10"/>
  <c r="P22" s="1"/>
  <c r="O20"/>
  <c r="O22" s="1"/>
  <c r="N20"/>
  <c r="N22" s="1"/>
  <c r="M20"/>
  <c r="M22" s="1"/>
  <c r="L20"/>
  <c r="L22" s="1"/>
  <c r="K20"/>
  <c r="K22" s="1"/>
  <c r="J20"/>
  <c r="J22" s="1"/>
  <c r="I20"/>
  <c r="I22" s="1"/>
  <c r="H20"/>
  <c r="H22" s="1"/>
  <c r="G20"/>
  <c r="G22" s="1"/>
  <c r="F20"/>
  <c r="F22" s="1"/>
  <c r="E20"/>
  <c r="E22" s="1"/>
  <c r="D20"/>
  <c r="D22" s="1"/>
  <c r="R17"/>
  <c r="R23" s="1"/>
  <c r="AA118" i="1" s="1"/>
  <c r="Q17" i="10"/>
  <c r="Q23" s="1"/>
  <c r="Z118" i="1" s="1"/>
  <c r="P17" i="10"/>
  <c r="P23" s="1"/>
  <c r="Y118" i="1" s="1"/>
  <c r="O17" i="10"/>
  <c r="O23" s="1"/>
  <c r="X118" i="1" s="1"/>
  <c r="N17" i="10"/>
  <c r="N23" s="1"/>
  <c r="W118" i="1" s="1"/>
  <c r="M17" i="10"/>
  <c r="M23" s="1"/>
  <c r="V118" i="1" s="1"/>
  <c r="L17" i="10"/>
  <c r="L23" s="1"/>
  <c r="U118" i="1" s="1"/>
  <c r="K17" i="10"/>
  <c r="K23" s="1"/>
  <c r="T118" i="1" s="1"/>
  <c r="J17" i="10"/>
  <c r="J23" s="1"/>
  <c r="S118" i="1" s="1"/>
  <c r="I17" i="10"/>
  <c r="I23" s="1"/>
  <c r="R118" i="1" s="1"/>
  <c r="H17" i="10"/>
  <c r="H23" s="1"/>
  <c r="Q118" i="1" s="1"/>
  <c r="G17" i="10"/>
  <c r="G23" s="1"/>
  <c r="P118" i="1" s="1"/>
  <c r="F17" i="10"/>
  <c r="F23" s="1"/>
  <c r="O118" i="1" s="1"/>
  <c r="E17" i="10"/>
  <c r="E23" s="1"/>
  <c r="N118" i="1" s="1"/>
  <c r="D17" i="10"/>
  <c r="C115" i="1"/>
  <c r="L115" s="1"/>
  <c r="M115" s="1"/>
  <c r="N115" s="1"/>
  <c r="O115" s="1"/>
  <c r="P115" s="1"/>
  <c r="Q115" s="1"/>
  <c r="R115" s="1"/>
  <c r="S115" s="1"/>
  <c r="T115" s="1"/>
  <c r="U115" s="1"/>
  <c r="V115" s="1"/>
  <c r="W115" s="1"/>
  <c r="X115" s="1"/>
  <c r="Y115" s="1"/>
  <c r="Z115" s="1"/>
  <c r="AA115" s="1"/>
  <c r="AB16" i="9"/>
  <c r="X16"/>
  <c r="W16"/>
  <c r="V16"/>
  <c r="U16"/>
  <c r="T16"/>
  <c r="S16"/>
  <c r="R16"/>
  <c r="Q16"/>
  <c r="P16"/>
  <c r="O16"/>
  <c r="N16"/>
  <c r="M16"/>
  <c r="L16"/>
  <c r="K16"/>
  <c r="J16"/>
  <c r="I16"/>
  <c r="D15"/>
  <c r="B15" s="1"/>
  <c r="AC13"/>
  <c r="AD13" s="1"/>
  <c r="B10"/>
  <c r="D10" s="1"/>
  <c r="D17" s="1"/>
  <c r="B17" s="1"/>
  <c r="J9"/>
  <c r="D9"/>
  <c r="J8"/>
  <c r="J7"/>
  <c r="D5" i="7"/>
  <c r="D6" s="1"/>
  <c r="C67" i="1" s="1"/>
  <c r="Q18" i="6"/>
  <c r="Q14"/>
  <c r="Q13"/>
  <c r="Q12"/>
  <c r="Q11"/>
  <c r="H11"/>
  <c r="Q10"/>
  <c r="Q9"/>
  <c r="H9"/>
  <c r="Q8"/>
  <c r="H8"/>
  <c r="AL22" i="5"/>
  <c r="AK22"/>
  <c r="AJ22"/>
  <c r="AI22"/>
  <c r="AH22"/>
  <c r="AG22"/>
  <c r="AF22"/>
  <c r="AE22"/>
  <c r="AD22"/>
  <c r="AC22"/>
  <c r="AB22"/>
  <c r="AA22"/>
  <c r="Z22"/>
  <c r="Y22"/>
  <c r="X22"/>
  <c r="W22"/>
  <c r="U22"/>
  <c r="AA65" i="1" s="1"/>
  <c r="T22" i="5"/>
  <c r="Z65" i="1" s="1"/>
  <c r="S22" i="5"/>
  <c r="Y65" i="1" s="1"/>
  <c r="R22" i="5"/>
  <c r="X65" i="1" s="1"/>
  <c r="Q22" i="5"/>
  <c r="W65" i="1" s="1"/>
  <c r="P22" i="5"/>
  <c r="V65" i="1" s="1"/>
  <c r="O22" i="5"/>
  <c r="U65" i="1" s="1"/>
  <c r="N22" i="5"/>
  <c r="T65" i="1" s="1"/>
  <c r="M22" i="5"/>
  <c r="S65" i="1" s="1"/>
  <c r="L22" i="5"/>
  <c r="R65" i="1" s="1"/>
  <c r="K22" i="5"/>
  <c r="Q65" i="1" s="1"/>
  <c r="J22" i="5"/>
  <c r="P65" i="1" s="1"/>
  <c r="I22" i="5"/>
  <c r="O65" i="1" s="1"/>
  <c r="H22" i="5"/>
  <c r="G22"/>
  <c r="M65" i="1" s="1"/>
  <c r="F22" i="5"/>
  <c r="L65" i="1" s="1"/>
  <c r="AL21" i="5"/>
  <c r="AK21"/>
  <c r="AJ21"/>
  <c r="AI21"/>
  <c r="AH21"/>
  <c r="AG21"/>
  <c r="AF21"/>
  <c r="AE21"/>
  <c r="AD21"/>
  <c r="AC21"/>
  <c r="AB21"/>
  <c r="AA21"/>
  <c r="Z21"/>
  <c r="Y21"/>
  <c r="X21"/>
  <c r="W21"/>
  <c r="U21"/>
  <c r="AA64" i="1" s="1"/>
  <c r="T21" i="5"/>
  <c r="Z64" i="1" s="1"/>
  <c r="S21" i="5"/>
  <c r="Y64" i="1" s="1"/>
  <c r="R21" i="5"/>
  <c r="X64" i="1" s="1"/>
  <c r="Q21" i="5"/>
  <c r="W64" i="1" s="1"/>
  <c r="P21" i="5"/>
  <c r="V64" i="1" s="1"/>
  <c r="O21" i="5"/>
  <c r="U64" i="1" s="1"/>
  <c r="N21" i="5"/>
  <c r="T64" i="1" s="1"/>
  <c r="M21" i="5"/>
  <c r="S64" i="1" s="1"/>
  <c r="L21" i="5"/>
  <c r="R64" i="1" s="1"/>
  <c r="K21" i="5"/>
  <c r="Q64" i="1" s="1"/>
  <c r="J21" i="5"/>
  <c r="P64" i="1" s="1"/>
  <c r="I21" i="5"/>
  <c r="O64" i="1" s="1"/>
  <c r="H21" i="5"/>
  <c r="G21"/>
  <c r="M64" i="1" s="1"/>
  <c r="L64"/>
  <c r="AL12" i="5"/>
  <c r="AK12"/>
  <c r="AJ12"/>
  <c r="AI12"/>
  <c r="AH12"/>
  <c r="AG12"/>
  <c r="AF12"/>
  <c r="AE12"/>
  <c r="AD12"/>
  <c r="AC12"/>
  <c r="AB12"/>
  <c r="AA12"/>
  <c r="Z12"/>
  <c r="Y12"/>
  <c r="X12"/>
  <c r="W12"/>
  <c r="T13"/>
  <c r="S13"/>
  <c r="R13"/>
  <c r="Q13"/>
  <c r="P13"/>
  <c r="O13"/>
  <c r="N13"/>
  <c r="M13"/>
  <c r="L13"/>
  <c r="K13"/>
  <c r="J13"/>
  <c r="I13"/>
  <c r="H13"/>
  <c r="G13"/>
  <c r="F13"/>
  <c r="AL8"/>
  <c r="AI8"/>
  <c r="AH8"/>
  <c r="AG8"/>
  <c r="AE8"/>
  <c r="W7"/>
  <c r="AL6"/>
  <c r="AI6"/>
  <c r="AH6"/>
  <c r="AG6"/>
  <c r="AE6"/>
  <c r="N15" i="4"/>
  <c r="N17" s="1"/>
  <c r="M15"/>
  <c r="M17" s="1"/>
  <c r="L15"/>
  <c r="L17" s="1"/>
  <c r="K15"/>
  <c r="K17" s="1"/>
  <c r="J15"/>
  <c r="J17" s="1"/>
  <c r="I15"/>
  <c r="I17" s="1"/>
  <c r="H15"/>
  <c r="H17" s="1"/>
  <c r="G15"/>
  <c r="G17" s="1"/>
  <c r="F15"/>
  <c r="F17" s="1"/>
  <c r="E15"/>
  <c r="D15"/>
  <c r="D17" s="1"/>
  <c r="C15"/>
  <c r="C17" s="1"/>
  <c r="R6"/>
  <c r="B25" i="3"/>
  <c r="B26" s="1"/>
  <c r="C24"/>
  <c r="D24" s="1"/>
  <c r="E24" s="1"/>
  <c r="Q23"/>
  <c r="S23" s="1"/>
  <c r="Q21"/>
  <c r="S22" s="1"/>
  <c r="C20"/>
  <c r="D20" s="1"/>
  <c r="E20" s="1"/>
  <c r="C19"/>
  <c r="D19" s="1"/>
  <c r="E19" s="1"/>
  <c r="Q18"/>
  <c r="C18"/>
  <c r="D18" s="1"/>
  <c r="E18" s="1"/>
  <c r="U16"/>
  <c r="U17" s="1"/>
  <c r="Q15"/>
  <c r="Q16" s="1"/>
  <c r="C7" i="1"/>
  <c r="H15" i="3"/>
  <c r="C78" i="1"/>
  <c r="L119"/>
  <c r="M119" s="1"/>
  <c r="N119" s="1"/>
  <c r="O119" s="1"/>
  <c r="P119" s="1"/>
  <c r="Q119" s="1"/>
  <c r="R119" s="1"/>
  <c r="S119" s="1"/>
  <c r="T119" s="1"/>
  <c r="U119" s="1"/>
  <c r="V119" s="1"/>
  <c r="W119" s="1"/>
  <c r="X119" s="1"/>
  <c r="Y119" s="1"/>
  <c r="Z119" s="1"/>
  <c r="AA119" s="1"/>
  <c r="L112"/>
  <c r="M112" s="1"/>
  <c r="N112" s="1"/>
  <c r="O112" s="1"/>
  <c r="P112" s="1"/>
  <c r="Q112" s="1"/>
  <c r="R112" s="1"/>
  <c r="S112" s="1"/>
  <c r="T112" s="1"/>
  <c r="U112" s="1"/>
  <c r="V112" s="1"/>
  <c r="W112" s="1"/>
  <c r="X112" s="1"/>
  <c r="Y112" s="1"/>
  <c r="Z112" s="1"/>
  <c r="AA112" s="1"/>
  <c r="L109"/>
  <c r="M109" s="1"/>
  <c r="N109" s="1"/>
  <c r="O109" s="1"/>
  <c r="P109" s="1"/>
  <c r="Q109" s="1"/>
  <c r="R109" s="1"/>
  <c r="S109" s="1"/>
  <c r="T109" s="1"/>
  <c r="U109" s="1"/>
  <c r="V109" s="1"/>
  <c r="W109" s="1"/>
  <c r="X109" s="1"/>
  <c r="Y109" s="1"/>
  <c r="Z109" s="1"/>
  <c r="AA109" s="1"/>
  <c r="L108"/>
  <c r="M108" s="1"/>
  <c r="N108" s="1"/>
  <c r="O108" s="1"/>
  <c r="P108" s="1"/>
  <c r="Q108" s="1"/>
  <c r="R108" s="1"/>
  <c r="S108" s="1"/>
  <c r="T108" s="1"/>
  <c r="U108" s="1"/>
  <c r="V108" s="1"/>
  <c r="W108" s="1"/>
  <c r="X108" s="1"/>
  <c r="Y108" s="1"/>
  <c r="Z108" s="1"/>
  <c r="AA108" s="1"/>
  <c r="L101"/>
  <c r="M101" s="1"/>
  <c r="N101" s="1"/>
  <c r="O101" s="1"/>
  <c r="P101" s="1"/>
  <c r="Q101" s="1"/>
  <c r="R101" s="1"/>
  <c r="S101" s="1"/>
  <c r="T101" s="1"/>
  <c r="U101" s="1"/>
  <c r="V101" s="1"/>
  <c r="W101" s="1"/>
  <c r="X101" s="1"/>
  <c r="Y101" s="1"/>
  <c r="Z101" s="1"/>
  <c r="AA101" s="1"/>
  <c r="L100"/>
  <c r="M100" s="1"/>
  <c r="N100" s="1"/>
  <c r="O100" s="1"/>
  <c r="P100" s="1"/>
  <c r="Q100" s="1"/>
  <c r="R100" s="1"/>
  <c r="S100" s="1"/>
  <c r="T100" s="1"/>
  <c r="U100" s="1"/>
  <c r="V100" s="1"/>
  <c r="W100" s="1"/>
  <c r="X100" s="1"/>
  <c r="Y100" s="1"/>
  <c r="Z100" s="1"/>
  <c r="AA100" s="1"/>
  <c r="L95"/>
  <c r="M95" s="1"/>
  <c r="N95" s="1"/>
  <c r="O95" s="1"/>
  <c r="P95" s="1"/>
  <c r="Q95" s="1"/>
  <c r="R95" s="1"/>
  <c r="S95" s="1"/>
  <c r="T95" s="1"/>
  <c r="U95" s="1"/>
  <c r="V95" s="1"/>
  <c r="W95" s="1"/>
  <c r="X95" s="1"/>
  <c r="Y95" s="1"/>
  <c r="Z95" s="1"/>
  <c r="AA95" s="1"/>
  <c r="L94"/>
  <c r="M94" s="1"/>
  <c r="N94" s="1"/>
  <c r="O94" s="1"/>
  <c r="P94" s="1"/>
  <c r="Q94" s="1"/>
  <c r="R94" s="1"/>
  <c r="S94" s="1"/>
  <c r="T94" s="1"/>
  <c r="U94" s="1"/>
  <c r="V94" s="1"/>
  <c r="W94" s="1"/>
  <c r="X94" s="1"/>
  <c r="Y94" s="1"/>
  <c r="Z94" s="1"/>
  <c r="AA94" s="1"/>
  <c r="L93"/>
  <c r="M93" s="1"/>
  <c r="N93" s="1"/>
  <c r="O93" s="1"/>
  <c r="P93" s="1"/>
  <c r="Q93" s="1"/>
  <c r="R93" s="1"/>
  <c r="S93" s="1"/>
  <c r="T93" s="1"/>
  <c r="U93" s="1"/>
  <c r="V93" s="1"/>
  <c r="W93" s="1"/>
  <c r="X93" s="1"/>
  <c r="Y93" s="1"/>
  <c r="Z93" s="1"/>
  <c r="AA93" s="1"/>
  <c r="L92"/>
  <c r="M92" s="1"/>
  <c r="N92" s="1"/>
  <c r="O92" s="1"/>
  <c r="P92" s="1"/>
  <c r="Q92" s="1"/>
  <c r="R92" s="1"/>
  <c r="S92" s="1"/>
  <c r="T92" s="1"/>
  <c r="U92" s="1"/>
  <c r="V92" s="1"/>
  <c r="W92" s="1"/>
  <c r="X92" s="1"/>
  <c r="Y92" s="1"/>
  <c r="Z92" s="1"/>
  <c r="AA92" s="1"/>
  <c r="L90"/>
  <c r="M90" s="1"/>
  <c r="N90" s="1"/>
  <c r="O90" s="1"/>
  <c r="P90" s="1"/>
  <c r="Q90" s="1"/>
  <c r="R90" s="1"/>
  <c r="S90" s="1"/>
  <c r="T90" s="1"/>
  <c r="U90" s="1"/>
  <c r="V90" s="1"/>
  <c r="W90" s="1"/>
  <c r="X90" s="1"/>
  <c r="Y90" s="1"/>
  <c r="Z90" s="1"/>
  <c r="AA90" s="1"/>
  <c r="L88"/>
  <c r="M88" s="1"/>
  <c r="N88" s="1"/>
  <c r="O88" s="1"/>
  <c r="P88" s="1"/>
  <c r="Q88" s="1"/>
  <c r="R88" s="1"/>
  <c r="S88" s="1"/>
  <c r="T88" s="1"/>
  <c r="U88" s="1"/>
  <c r="V88" s="1"/>
  <c r="W88" s="1"/>
  <c r="X88" s="1"/>
  <c r="Y88" s="1"/>
  <c r="Z88" s="1"/>
  <c r="AA88" s="1"/>
  <c r="L85"/>
  <c r="M85" s="1"/>
  <c r="N85" s="1"/>
  <c r="O85" s="1"/>
  <c r="P85" s="1"/>
  <c r="Q85" s="1"/>
  <c r="R85" s="1"/>
  <c r="S85" s="1"/>
  <c r="T85" s="1"/>
  <c r="U85" s="1"/>
  <c r="V85" s="1"/>
  <c r="W85" s="1"/>
  <c r="X85" s="1"/>
  <c r="Y85" s="1"/>
  <c r="Z85" s="1"/>
  <c r="AA85" s="1"/>
  <c r="L84"/>
  <c r="M84" s="1"/>
  <c r="N84" s="1"/>
  <c r="O84" s="1"/>
  <c r="P84" s="1"/>
  <c r="Q84" s="1"/>
  <c r="R84" s="1"/>
  <c r="S84" s="1"/>
  <c r="T84" s="1"/>
  <c r="U84" s="1"/>
  <c r="V84" s="1"/>
  <c r="W84" s="1"/>
  <c r="X84" s="1"/>
  <c r="Y84" s="1"/>
  <c r="Z84" s="1"/>
  <c r="AA84" s="1"/>
  <c r="L81"/>
  <c r="M81" s="1"/>
  <c r="N81" s="1"/>
  <c r="O81" s="1"/>
  <c r="P81" s="1"/>
  <c r="Q81" s="1"/>
  <c r="R81" s="1"/>
  <c r="S81" s="1"/>
  <c r="T81" s="1"/>
  <c r="U81" s="1"/>
  <c r="V81" s="1"/>
  <c r="W81" s="1"/>
  <c r="X81" s="1"/>
  <c r="Y81" s="1"/>
  <c r="Z81" s="1"/>
  <c r="AA81" s="1"/>
  <c r="L80"/>
  <c r="M80" s="1"/>
  <c r="N80" s="1"/>
  <c r="O80" s="1"/>
  <c r="P80" s="1"/>
  <c r="Q80" s="1"/>
  <c r="R80" s="1"/>
  <c r="S80" s="1"/>
  <c r="T80" s="1"/>
  <c r="U80" s="1"/>
  <c r="V80" s="1"/>
  <c r="W80" s="1"/>
  <c r="X80" s="1"/>
  <c r="Y80" s="1"/>
  <c r="Z80" s="1"/>
  <c r="AA80" s="1"/>
  <c r="L70"/>
  <c r="M70" s="1"/>
  <c r="N70" s="1"/>
  <c r="O70" s="1"/>
  <c r="P70" s="1"/>
  <c r="Q70" s="1"/>
  <c r="R70" s="1"/>
  <c r="S70" s="1"/>
  <c r="T70" s="1"/>
  <c r="U70" s="1"/>
  <c r="V70" s="1"/>
  <c r="W70" s="1"/>
  <c r="X70" s="1"/>
  <c r="Y70" s="1"/>
  <c r="Z70" s="1"/>
  <c r="AA70" s="1"/>
  <c r="L47"/>
  <c r="M47" s="1"/>
  <c r="N47" s="1"/>
  <c r="O47" s="1"/>
  <c r="P47" s="1"/>
  <c r="Q47" s="1"/>
  <c r="R47" s="1"/>
  <c r="S47" s="1"/>
  <c r="T47" s="1"/>
  <c r="U47" s="1"/>
  <c r="V47" s="1"/>
  <c r="W47" s="1"/>
  <c r="X47" s="1"/>
  <c r="Y47" s="1"/>
  <c r="Z47" s="1"/>
  <c r="AA47" s="1"/>
  <c r="L44"/>
  <c r="M44" s="1"/>
  <c r="N44" s="1"/>
  <c r="O44" s="1"/>
  <c r="P44" s="1"/>
  <c r="Q44" s="1"/>
  <c r="R44" s="1"/>
  <c r="S44" s="1"/>
  <c r="T44" s="1"/>
  <c r="U44" s="1"/>
  <c r="V44" s="1"/>
  <c r="W44" s="1"/>
  <c r="X44" s="1"/>
  <c r="Y44" s="1"/>
  <c r="Z44" s="1"/>
  <c r="AA44" s="1"/>
  <c r="L41"/>
  <c r="M41" s="1"/>
  <c r="N41" s="1"/>
  <c r="O41" s="1"/>
  <c r="P41" s="1"/>
  <c r="Q41" s="1"/>
  <c r="R41" s="1"/>
  <c r="S41" s="1"/>
  <c r="T41" s="1"/>
  <c r="U41" s="1"/>
  <c r="V41" s="1"/>
  <c r="W41" s="1"/>
  <c r="X41" s="1"/>
  <c r="Y41" s="1"/>
  <c r="Z41" s="1"/>
  <c r="AA41" s="1"/>
  <c r="L40"/>
  <c r="M40" s="1"/>
  <c r="N40" s="1"/>
  <c r="O40" s="1"/>
  <c r="P40" s="1"/>
  <c r="Q40" s="1"/>
  <c r="R40" s="1"/>
  <c r="S40" s="1"/>
  <c r="T40" s="1"/>
  <c r="U40" s="1"/>
  <c r="V40" s="1"/>
  <c r="W40" s="1"/>
  <c r="X40" s="1"/>
  <c r="Y40" s="1"/>
  <c r="Z40" s="1"/>
  <c r="AA40" s="1"/>
  <c r="L38"/>
  <c r="M38" s="1"/>
  <c r="N38" s="1"/>
  <c r="O38" s="1"/>
  <c r="P38" s="1"/>
  <c r="Q38" s="1"/>
  <c r="R38" s="1"/>
  <c r="S38" s="1"/>
  <c r="T38" s="1"/>
  <c r="U38" s="1"/>
  <c r="V38" s="1"/>
  <c r="W38" s="1"/>
  <c r="X38" s="1"/>
  <c r="Y38" s="1"/>
  <c r="Z38" s="1"/>
  <c r="AA38" s="1"/>
  <c r="L35"/>
  <c r="M35" s="1"/>
  <c r="N35" s="1"/>
  <c r="O35" s="1"/>
  <c r="P35" s="1"/>
  <c r="Q35" s="1"/>
  <c r="R35" s="1"/>
  <c r="S35" s="1"/>
  <c r="T35" s="1"/>
  <c r="U35" s="1"/>
  <c r="V35" s="1"/>
  <c r="W35" s="1"/>
  <c r="X35" s="1"/>
  <c r="Y35" s="1"/>
  <c r="Z35" s="1"/>
  <c r="AA35" s="1"/>
  <c r="L34"/>
  <c r="M34" s="1"/>
  <c r="N34" s="1"/>
  <c r="O34" s="1"/>
  <c r="P34" s="1"/>
  <c r="Q34" s="1"/>
  <c r="R34" s="1"/>
  <c r="S34" s="1"/>
  <c r="T34" s="1"/>
  <c r="U34" s="1"/>
  <c r="V34" s="1"/>
  <c r="W34" s="1"/>
  <c r="X34" s="1"/>
  <c r="Y34" s="1"/>
  <c r="Z34" s="1"/>
  <c r="AA34" s="1"/>
  <c r="C30"/>
  <c r="L30" s="1"/>
  <c r="M30" s="1"/>
  <c r="N30" s="1"/>
  <c r="O30" s="1"/>
  <c r="P30" s="1"/>
  <c r="Q30" s="1"/>
  <c r="R30" s="1"/>
  <c r="S30" s="1"/>
  <c r="T30" s="1"/>
  <c r="U30" s="1"/>
  <c r="V30" s="1"/>
  <c r="W30" s="1"/>
  <c r="X30" s="1"/>
  <c r="Y30" s="1"/>
  <c r="Z30" s="1"/>
  <c r="AA30" s="1"/>
  <c r="L26"/>
  <c r="M26" s="1"/>
  <c r="N26" s="1"/>
  <c r="O26" s="1"/>
  <c r="P26" s="1"/>
  <c r="Q26" s="1"/>
  <c r="R26" s="1"/>
  <c r="S26" s="1"/>
  <c r="T26" s="1"/>
  <c r="U26" s="1"/>
  <c r="V26" s="1"/>
  <c r="W26" s="1"/>
  <c r="X26" s="1"/>
  <c r="Y26" s="1"/>
  <c r="Z26" s="1"/>
  <c r="AA26" s="1"/>
  <c r="L24"/>
  <c r="M24" s="1"/>
  <c r="N24" s="1"/>
  <c r="O24" s="1"/>
  <c r="P24" s="1"/>
  <c r="Q24" s="1"/>
  <c r="R24" s="1"/>
  <c r="S24" s="1"/>
  <c r="T24" s="1"/>
  <c r="U24" s="1"/>
  <c r="V24" s="1"/>
  <c r="W24" s="1"/>
  <c r="X24" s="1"/>
  <c r="Y24" s="1"/>
  <c r="Z24" s="1"/>
  <c r="AA24" s="1"/>
  <c r="L23"/>
  <c r="M23" s="1"/>
  <c r="N23" s="1"/>
  <c r="O23" s="1"/>
  <c r="P23" s="1"/>
  <c r="Q23" s="1"/>
  <c r="R23" s="1"/>
  <c r="S23" s="1"/>
  <c r="T23" s="1"/>
  <c r="U23" s="1"/>
  <c r="V23" s="1"/>
  <c r="W23" s="1"/>
  <c r="X23" s="1"/>
  <c r="Y23" s="1"/>
  <c r="Z23" s="1"/>
  <c r="AA23" s="1"/>
  <c r="C14"/>
  <c r="L14" s="1"/>
  <c r="M14" s="1"/>
  <c r="N14" s="1"/>
  <c r="O14" s="1"/>
  <c r="P14" s="1"/>
  <c r="Q14" s="1"/>
  <c r="R14" s="1"/>
  <c r="S14" s="1"/>
  <c r="T14" s="1"/>
  <c r="U14" s="1"/>
  <c r="V14" s="1"/>
  <c r="W14" s="1"/>
  <c r="X14" s="1"/>
  <c r="Y14" s="1"/>
  <c r="Z14" s="1"/>
  <c r="AA14" s="1"/>
  <c r="L12"/>
  <c r="M12" s="1"/>
  <c r="N12" s="1"/>
  <c r="O12" s="1"/>
  <c r="P12" s="1"/>
  <c r="Q12" s="1"/>
  <c r="R12" s="1"/>
  <c r="S12" s="1"/>
  <c r="T12" s="1"/>
  <c r="U12" s="1"/>
  <c r="V12" s="1"/>
  <c r="W12" s="1"/>
  <c r="X12" s="1"/>
  <c r="Y12" s="1"/>
  <c r="Z12" s="1"/>
  <c r="AA12" s="1"/>
  <c r="L11"/>
  <c r="M11" s="1"/>
  <c r="N11" s="1"/>
  <c r="O11" s="1"/>
  <c r="P11" s="1"/>
  <c r="Q11" s="1"/>
  <c r="R11" s="1"/>
  <c r="S11" s="1"/>
  <c r="T11" s="1"/>
  <c r="U11" s="1"/>
  <c r="V11" s="1"/>
  <c r="W11" s="1"/>
  <c r="X11" s="1"/>
  <c r="Y11" s="1"/>
  <c r="Z11" s="1"/>
  <c r="AA11" s="1"/>
  <c r="L8"/>
  <c r="M8" s="1"/>
  <c r="N8" s="1"/>
  <c r="O8" s="1"/>
  <c r="P8" s="1"/>
  <c r="Q8" s="1"/>
  <c r="R8" s="1"/>
  <c r="S8" s="1"/>
  <c r="T8" s="1"/>
  <c r="U8" s="1"/>
  <c r="V8" s="1"/>
  <c r="W8" s="1"/>
  <c r="X8" s="1"/>
  <c r="Y8" s="1"/>
  <c r="Z8" s="1"/>
  <c r="AA8" s="1"/>
  <c r="AC7"/>
  <c r="L4"/>
  <c r="M4" s="1"/>
  <c r="N4" s="1"/>
  <c r="O4" s="1"/>
  <c r="P4" s="1"/>
  <c r="Q4" s="1"/>
  <c r="R4" s="1"/>
  <c r="S4" s="1"/>
  <c r="T4" s="1"/>
  <c r="U4" s="1"/>
  <c r="V4" s="1"/>
  <c r="W4" s="1"/>
  <c r="X4" s="1"/>
  <c r="Y4" s="1"/>
  <c r="Z4" s="1"/>
  <c r="AA4" s="1"/>
  <c r="AB3"/>
  <c r="AA2"/>
  <c r="AB2"/>
  <c r="Z2"/>
  <c r="X2"/>
  <c r="V2"/>
  <c r="T2"/>
  <c r="R2"/>
  <c r="P2"/>
  <c r="N2"/>
  <c r="L2"/>
  <c r="I12" s="1"/>
  <c r="AE64" l="1"/>
  <c r="AE65"/>
  <c r="Z54"/>
  <c r="D24" i="10"/>
  <c r="R35"/>
  <c r="S35" s="1"/>
  <c r="H24"/>
  <c r="R39"/>
  <c r="S39" s="1"/>
  <c r="L24"/>
  <c r="R43"/>
  <c r="S43" s="1"/>
  <c r="P24"/>
  <c r="R47"/>
  <c r="S47" s="1"/>
  <c r="G24"/>
  <c r="R38"/>
  <c r="S38" s="1"/>
  <c r="K24"/>
  <c r="R42"/>
  <c r="S42" s="1"/>
  <c r="O24"/>
  <c r="R46"/>
  <c r="S46" s="1"/>
  <c r="F24"/>
  <c r="R37"/>
  <c r="S37" s="1"/>
  <c r="J24"/>
  <c r="R41"/>
  <c r="S41" s="1"/>
  <c r="N24"/>
  <c r="R45"/>
  <c r="S45" s="1"/>
  <c r="AA54" i="1"/>
  <c r="D18" i="10"/>
  <c r="D23"/>
  <c r="M118" i="1" s="1"/>
  <c r="E24" i="10"/>
  <c r="R36"/>
  <c r="S36" s="1"/>
  <c r="V36" s="1"/>
  <c r="I24"/>
  <c r="R40"/>
  <c r="S40" s="1"/>
  <c r="M24"/>
  <c r="R44"/>
  <c r="S44" s="1"/>
  <c r="R48"/>
  <c r="S48" s="1"/>
  <c r="C25"/>
  <c r="O34"/>
  <c r="L52" i="1"/>
  <c r="M52" s="1"/>
  <c r="N52" s="1"/>
  <c r="O52" s="1"/>
  <c r="P52" s="1"/>
  <c r="Q52" s="1"/>
  <c r="R52" s="1"/>
  <c r="S52" s="1"/>
  <c r="T52" s="1"/>
  <c r="U52" s="1"/>
  <c r="V52" s="1"/>
  <c r="W52" s="1"/>
  <c r="X52" s="1"/>
  <c r="Y52" s="1"/>
  <c r="Z52" s="1"/>
  <c r="AA52" s="1"/>
  <c r="L49"/>
  <c r="M49" s="1"/>
  <c r="N49" s="1"/>
  <c r="O49" s="1"/>
  <c r="P49" s="1"/>
  <c r="Q49" s="1"/>
  <c r="R49" s="1"/>
  <c r="S49" s="1"/>
  <c r="T49" s="1"/>
  <c r="U49" s="1"/>
  <c r="V49" s="1"/>
  <c r="W49" s="1"/>
  <c r="X49" s="1"/>
  <c r="Y49" s="1"/>
  <c r="Z49" s="1"/>
  <c r="AA49" s="1"/>
  <c r="L2" i="6"/>
  <c r="M2" s="1"/>
  <c r="D23" i="2"/>
  <c r="B13" i="5"/>
  <c r="C68" i="1"/>
  <c r="C31"/>
  <c r="L31" s="1"/>
  <c r="M31" s="1"/>
  <c r="N31" s="1"/>
  <c r="O31" s="1"/>
  <c r="P31" s="1"/>
  <c r="Q31" s="1"/>
  <c r="R31" s="1"/>
  <c r="S31" s="1"/>
  <c r="T31" s="1"/>
  <c r="U31" s="1"/>
  <c r="V31" s="1"/>
  <c r="W31" s="1"/>
  <c r="X31" s="1"/>
  <c r="Y31" s="1"/>
  <c r="Z31" s="1"/>
  <c r="AA31" s="1"/>
  <c r="D35" i="2"/>
  <c r="N64" i="1"/>
  <c r="C64"/>
  <c r="F64" s="1"/>
  <c r="C65"/>
  <c r="F65" s="1"/>
  <c r="N65"/>
  <c r="O99"/>
  <c r="O98"/>
  <c r="S99"/>
  <c r="S98"/>
  <c r="W99"/>
  <c r="W98"/>
  <c r="AA99"/>
  <c r="AA98"/>
  <c r="AC17"/>
  <c r="AB14"/>
  <c r="L99"/>
  <c r="L98"/>
  <c r="P98"/>
  <c r="P99"/>
  <c r="T98"/>
  <c r="T99"/>
  <c r="X98"/>
  <c r="X99"/>
  <c r="M98"/>
  <c r="M99"/>
  <c r="Q98"/>
  <c r="Q99"/>
  <c r="U98"/>
  <c r="U99"/>
  <c r="Y98"/>
  <c r="Y99"/>
  <c r="C20" i="10"/>
  <c r="C22" s="1"/>
  <c r="C24" s="1"/>
  <c r="L117" i="1" s="1"/>
  <c r="L54" s="1"/>
  <c r="AC18"/>
  <c r="AB15"/>
  <c r="Q19" i="3"/>
  <c r="N98" i="1"/>
  <c r="C99"/>
  <c r="N99"/>
  <c r="C98"/>
  <c r="R98"/>
  <c r="R99"/>
  <c r="V98"/>
  <c r="V99"/>
  <c r="Z98"/>
  <c r="Z99"/>
  <c r="H20" i="3"/>
  <c r="C26" i="8"/>
  <c r="C29" s="1"/>
  <c r="C116" i="1"/>
  <c r="F116" s="1"/>
  <c r="C74"/>
  <c r="L74" s="1"/>
  <c r="M74" s="1"/>
  <c r="N74" s="1"/>
  <c r="O74" s="1"/>
  <c r="P74" s="1"/>
  <c r="Q74" s="1"/>
  <c r="R74" s="1"/>
  <c r="S74" s="1"/>
  <c r="T74" s="1"/>
  <c r="U74" s="1"/>
  <c r="V74" s="1"/>
  <c r="W74" s="1"/>
  <c r="X74" s="1"/>
  <c r="Y74" s="1"/>
  <c r="Z74" s="1"/>
  <c r="AA74" s="1"/>
  <c r="H13" i="3"/>
  <c r="H14" s="1"/>
  <c r="H16" s="1"/>
  <c r="D16" i="9"/>
  <c r="B16" s="1"/>
  <c r="AC10" i="1"/>
  <c r="AB7"/>
  <c r="M107"/>
  <c r="O107"/>
  <c r="Q107"/>
  <c r="S107"/>
  <c r="U107"/>
  <c r="W107"/>
  <c r="Y107"/>
  <c r="AA107"/>
  <c r="M116"/>
  <c r="O116"/>
  <c r="Q116"/>
  <c r="S116"/>
  <c r="U116"/>
  <c r="W116"/>
  <c r="Y116"/>
  <c r="AA116"/>
  <c r="P107"/>
  <c r="R107"/>
  <c r="T107"/>
  <c r="V107"/>
  <c r="X107"/>
  <c r="Z107"/>
  <c r="N116"/>
  <c r="P116"/>
  <c r="R116"/>
  <c r="T116"/>
  <c r="V116"/>
  <c r="X116"/>
  <c r="Z116"/>
  <c r="C103"/>
  <c r="L103" s="1"/>
  <c r="M103" s="1"/>
  <c r="N103" s="1"/>
  <c r="O103" s="1"/>
  <c r="P103" s="1"/>
  <c r="Q103" s="1"/>
  <c r="R103" s="1"/>
  <c r="S103" s="1"/>
  <c r="T103" s="1"/>
  <c r="U103" s="1"/>
  <c r="V103" s="1"/>
  <c r="W103" s="1"/>
  <c r="X103" s="1"/>
  <c r="Y103" s="1"/>
  <c r="Z103" s="1"/>
  <c r="AA103" s="1"/>
  <c r="C77"/>
  <c r="L77" s="1"/>
  <c r="M77" s="1"/>
  <c r="N77" s="1"/>
  <c r="O77" s="1"/>
  <c r="P77" s="1"/>
  <c r="Q77" s="1"/>
  <c r="R77" s="1"/>
  <c r="S77" s="1"/>
  <c r="T77" s="1"/>
  <c r="U77" s="1"/>
  <c r="V77" s="1"/>
  <c r="W77" s="1"/>
  <c r="X77" s="1"/>
  <c r="Y77" s="1"/>
  <c r="Z77" s="1"/>
  <c r="AA77" s="1"/>
  <c r="C79"/>
  <c r="L79" s="1"/>
  <c r="M79" s="1"/>
  <c r="N79" s="1"/>
  <c r="O79" s="1"/>
  <c r="P79" s="1"/>
  <c r="Q79" s="1"/>
  <c r="R79" s="1"/>
  <c r="S79" s="1"/>
  <c r="T79" s="1"/>
  <c r="U79" s="1"/>
  <c r="V79" s="1"/>
  <c r="W79" s="1"/>
  <c r="X79" s="1"/>
  <c r="Y79" s="1"/>
  <c r="Z79" s="1"/>
  <c r="AA79" s="1"/>
  <c r="C6"/>
  <c r="L6" s="1"/>
  <c r="M6" s="1"/>
  <c r="N6" s="1"/>
  <c r="O6" s="1"/>
  <c r="P6" s="1"/>
  <c r="Q6" s="1"/>
  <c r="R6" s="1"/>
  <c r="S6" s="1"/>
  <c r="T6" s="1"/>
  <c r="U6" s="1"/>
  <c r="V6" s="1"/>
  <c r="W6" s="1"/>
  <c r="X6" s="1"/>
  <c r="Y6" s="1"/>
  <c r="Z6" s="1"/>
  <c r="AA6" s="1"/>
  <c r="C76"/>
  <c r="L7"/>
  <c r="M7" s="1"/>
  <c r="N7" s="1"/>
  <c r="O7" s="1"/>
  <c r="P7" s="1"/>
  <c r="Q7" s="1"/>
  <c r="R7" s="1"/>
  <c r="S7" s="1"/>
  <c r="T7" s="1"/>
  <c r="U7" s="1"/>
  <c r="V7" s="1"/>
  <c r="W7" s="1"/>
  <c r="X7" s="1"/>
  <c r="Y7" s="1"/>
  <c r="Z7" s="1"/>
  <c r="AA7" s="1"/>
  <c r="F66"/>
  <c r="L67"/>
  <c r="M67" s="1"/>
  <c r="N67" s="1"/>
  <c r="O67" s="1"/>
  <c r="P67" s="1"/>
  <c r="Q67" s="1"/>
  <c r="R67" s="1"/>
  <c r="S67" s="1"/>
  <c r="T67" s="1"/>
  <c r="U67" s="1"/>
  <c r="V67" s="1"/>
  <c r="W67" s="1"/>
  <c r="X67" s="1"/>
  <c r="Y67" s="1"/>
  <c r="Z67" s="1"/>
  <c r="AA67" s="1"/>
  <c r="L78"/>
  <c r="M78" s="1"/>
  <c r="N78" s="1"/>
  <c r="O78" s="1"/>
  <c r="P78" s="1"/>
  <c r="Q78" s="1"/>
  <c r="R78" s="1"/>
  <c r="S78" s="1"/>
  <c r="T78" s="1"/>
  <c r="U78" s="1"/>
  <c r="V78" s="1"/>
  <c r="W78" s="1"/>
  <c r="X78" s="1"/>
  <c r="Y78" s="1"/>
  <c r="Z78" s="1"/>
  <c r="AA78" s="1"/>
  <c r="D21" i="10"/>
  <c r="O35" s="1"/>
  <c r="F21"/>
  <c r="O37" s="1"/>
  <c r="F18"/>
  <c r="H21"/>
  <c r="O39" s="1"/>
  <c r="H18"/>
  <c r="J21"/>
  <c r="O41" s="1"/>
  <c r="J18"/>
  <c r="L21"/>
  <c r="O43" s="1"/>
  <c r="L18"/>
  <c r="N21"/>
  <c r="O45" s="1"/>
  <c r="N18"/>
  <c r="P21"/>
  <c r="O47" s="1"/>
  <c r="P18"/>
  <c r="R21"/>
  <c r="R18"/>
  <c r="E21"/>
  <c r="O36" s="1"/>
  <c r="E18"/>
  <c r="G21"/>
  <c r="O38" s="1"/>
  <c r="G18"/>
  <c r="I21"/>
  <c r="O40" s="1"/>
  <c r="I18"/>
  <c r="K21"/>
  <c r="O42" s="1"/>
  <c r="K18"/>
  <c r="M21"/>
  <c r="O44" s="1"/>
  <c r="M18"/>
  <c r="O21"/>
  <c r="O46" s="1"/>
  <c r="O18"/>
  <c r="Q21"/>
  <c r="O48" s="1"/>
  <c r="Q18"/>
  <c r="AD16" i="9"/>
  <c r="AE13"/>
  <c r="AC16"/>
  <c r="X7" i="5"/>
  <c r="R7" i="4"/>
  <c r="R8" s="1"/>
  <c r="B27" i="3"/>
  <c r="C27" s="1"/>
  <c r="D27" s="1"/>
  <c r="E27" s="1"/>
  <c r="C26"/>
  <c r="D26" s="1"/>
  <c r="E26" s="1"/>
  <c r="C25"/>
  <c r="D25" s="1"/>
  <c r="E25" s="1"/>
  <c r="M2" i="1"/>
  <c r="O2"/>
  <c r="Q2"/>
  <c r="S2"/>
  <c r="U2"/>
  <c r="W2"/>
  <c r="Y2"/>
  <c r="R43" i="5" l="1"/>
  <c r="N43"/>
  <c r="J43"/>
  <c r="F43"/>
  <c r="I43"/>
  <c r="S43"/>
  <c r="O43"/>
  <c r="K43"/>
  <c r="G43"/>
  <c r="Q43"/>
  <c r="T43"/>
  <c r="P43"/>
  <c r="L43"/>
  <c r="H43"/>
  <c r="M43"/>
  <c r="V44" i="10"/>
  <c r="S117" i="1"/>
  <c r="S54" s="1"/>
  <c r="T41" i="10"/>
  <c r="X117" i="1"/>
  <c r="X54" s="1"/>
  <c r="T46" i="10"/>
  <c r="U46" s="1"/>
  <c r="P117" i="1"/>
  <c r="P54" s="1"/>
  <c r="T38" i="10"/>
  <c r="U117" i="1"/>
  <c r="U54" s="1"/>
  <c r="T43" i="10"/>
  <c r="U43" s="1"/>
  <c r="M117" i="1"/>
  <c r="M54" s="1"/>
  <c r="T35" i="10"/>
  <c r="P48"/>
  <c r="Q48"/>
  <c r="P44"/>
  <c r="Q44"/>
  <c r="P40"/>
  <c r="Q40"/>
  <c r="P36"/>
  <c r="Q36"/>
  <c r="P47"/>
  <c r="Q47"/>
  <c r="P43"/>
  <c r="Q43"/>
  <c r="P39"/>
  <c r="Q39"/>
  <c r="R117" i="1"/>
  <c r="R54" s="1"/>
  <c r="T40" i="10"/>
  <c r="V41"/>
  <c r="U41"/>
  <c r="U38"/>
  <c r="V38"/>
  <c r="V35"/>
  <c r="U35"/>
  <c r="P35"/>
  <c r="Q35"/>
  <c r="V40"/>
  <c r="U40"/>
  <c r="W117" i="1"/>
  <c r="W54" s="1"/>
  <c r="T45" i="10"/>
  <c r="O117" i="1"/>
  <c r="O54" s="1"/>
  <c r="T37" i="10"/>
  <c r="U37" s="1"/>
  <c r="T117" i="1"/>
  <c r="T54" s="1"/>
  <c r="T42" i="10"/>
  <c r="U42" s="1"/>
  <c r="Y117" i="1"/>
  <c r="Y54" s="1"/>
  <c r="T47" i="10"/>
  <c r="U47" s="1"/>
  <c r="Q117" i="1"/>
  <c r="Q54" s="1"/>
  <c r="T39" i="10"/>
  <c r="Q46"/>
  <c r="P46"/>
  <c r="Q42"/>
  <c r="P42"/>
  <c r="Q38"/>
  <c r="P38"/>
  <c r="Q45"/>
  <c r="P45"/>
  <c r="Q41"/>
  <c r="P41"/>
  <c r="Q37"/>
  <c r="P37"/>
  <c r="P34"/>
  <c r="Q34"/>
  <c r="V117" i="1"/>
  <c r="V54" s="1"/>
  <c r="T44" i="10"/>
  <c r="U44" s="1"/>
  <c r="N117" i="1"/>
  <c r="N54" s="1"/>
  <c r="T36" i="10"/>
  <c r="U36" s="1"/>
  <c r="V37"/>
  <c r="V42"/>
  <c r="V39"/>
  <c r="U39"/>
  <c r="U45"/>
  <c r="R34"/>
  <c r="S34" s="1"/>
  <c r="T48"/>
  <c r="U48" s="1"/>
  <c r="U9" i="5"/>
  <c r="G35"/>
  <c r="H22" i="3"/>
  <c r="M6" s="1"/>
  <c r="N2" i="6"/>
  <c r="J2"/>
  <c r="L37" i="1"/>
  <c r="M37" s="1"/>
  <c r="N37" s="1"/>
  <c r="O37" s="1"/>
  <c r="P37" s="1"/>
  <c r="Q37" s="1"/>
  <c r="R37" s="1"/>
  <c r="S37" s="1"/>
  <c r="T37" s="1"/>
  <c r="U37" s="1"/>
  <c r="V37" s="1"/>
  <c r="W37" s="1"/>
  <c r="X37" s="1"/>
  <c r="Y37" s="1"/>
  <c r="Z37" s="1"/>
  <c r="AA37" s="1"/>
  <c r="O2" i="6"/>
  <c r="I2"/>
  <c r="K2"/>
  <c r="F35" i="5"/>
  <c r="J9"/>
  <c r="N9"/>
  <c r="R9"/>
  <c r="H35"/>
  <c r="N35"/>
  <c r="R35"/>
  <c r="T9"/>
  <c r="G9"/>
  <c r="I9"/>
  <c r="K9"/>
  <c r="M9"/>
  <c r="O9"/>
  <c r="Q9"/>
  <c r="S9"/>
  <c r="I35"/>
  <c r="K35"/>
  <c r="M35"/>
  <c r="O35"/>
  <c r="Q35"/>
  <c r="S35"/>
  <c r="U35"/>
  <c r="H9"/>
  <c r="L9"/>
  <c r="P9"/>
  <c r="F9"/>
  <c r="J35"/>
  <c r="L35"/>
  <c r="P35"/>
  <c r="T35"/>
  <c r="H23" i="3"/>
  <c r="M5" s="1"/>
  <c r="C15" i="1" s="1"/>
  <c r="K9" i="6"/>
  <c r="B19" i="7"/>
  <c r="C19" s="1"/>
  <c r="B20"/>
  <c r="C20" s="1"/>
  <c r="C28" i="1"/>
  <c r="L28" s="1"/>
  <c r="M28" s="1"/>
  <c r="N28" s="1"/>
  <c r="O28" s="1"/>
  <c r="P28" s="1"/>
  <c r="Q28" s="1"/>
  <c r="R28" s="1"/>
  <c r="S28" s="1"/>
  <c r="T28" s="1"/>
  <c r="U28" s="1"/>
  <c r="V28" s="1"/>
  <c r="W28" s="1"/>
  <c r="X28" s="1"/>
  <c r="Y28" s="1"/>
  <c r="Z28" s="1"/>
  <c r="AA28" s="1"/>
  <c r="N107"/>
  <c r="C6" i="5"/>
  <c r="C60" i="1"/>
  <c r="L60" s="1"/>
  <c r="C7" i="5"/>
  <c r="Y6" i="3"/>
  <c r="Y7" s="1"/>
  <c r="Y8" s="1"/>
  <c r="Q6"/>
  <c r="Q7" s="1"/>
  <c r="C102" i="1"/>
  <c r="L102" s="1"/>
  <c r="M102" s="1"/>
  <c r="N102" s="1"/>
  <c r="O102" s="1"/>
  <c r="P102" s="1"/>
  <c r="Q102" s="1"/>
  <c r="R102" s="1"/>
  <c r="S102" s="1"/>
  <c r="T102" s="1"/>
  <c r="U102" s="1"/>
  <c r="V102" s="1"/>
  <c r="W102" s="1"/>
  <c r="X102" s="1"/>
  <c r="Y102" s="1"/>
  <c r="Z102" s="1"/>
  <c r="AA102" s="1"/>
  <c r="V96"/>
  <c r="V97"/>
  <c r="N96"/>
  <c r="C97"/>
  <c r="N97"/>
  <c r="C96"/>
  <c r="AA96"/>
  <c r="AA97"/>
  <c r="Z96"/>
  <c r="Z97"/>
  <c r="R96"/>
  <c r="R97"/>
  <c r="W96"/>
  <c r="W97"/>
  <c r="O96"/>
  <c r="O97"/>
  <c r="C107"/>
  <c r="F107" s="1"/>
  <c r="X96"/>
  <c r="X97"/>
  <c r="P96"/>
  <c r="P97"/>
  <c r="U97"/>
  <c r="U96"/>
  <c r="M97"/>
  <c r="M96"/>
  <c r="K8" i="6"/>
  <c r="AB18" i="1"/>
  <c r="AC21"/>
  <c r="S96"/>
  <c r="S97"/>
  <c r="T96"/>
  <c r="T97"/>
  <c r="L97"/>
  <c r="L96"/>
  <c r="Y97"/>
  <c r="Y96"/>
  <c r="Q97"/>
  <c r="Q96"/>
  <c r="L116"/>
  <c r="L107"/>
  <c r="AB17"/>
  <c r="AC20"/>
  <c r="C61"/>
  <c r="C62" s="1"/>
  <c r="L62" s="1"/>
  <c r="D8" i="4"/>
  <c r="C9" i="1" s="1"/>
  <c r="C28" i="8"/>
  <c r="C118" i="1"/>
  <c r="C72"/>
  <c r="L72" s="1"/>
  <c r="M72" s="1"/>
  <c r="N72" s="1"/>
  <c r="O72" s="1"/>
  <c r="P72" s="1"/>
  <c r="Q72" s="1"/>
  <c r="R72" s="1"/>
  <c r="S72" s="1"/>
  <c r="T72" s="1"/>
  <c r="U72" s="1"/>
  <c r="V72" s="1"/>
  <c r="W72" s="1"/>
  <c r="X72" s="1"/>
  <c r="Y72" s="1"/>
  <c r="Z72" s="1"/>
  <c r="AA72" s="1"/>
  <c r="C73"/>
  <c r="L73" s="1"/>
  <c r="M73" s="1"/>
  <c r="N73" s="1"/>
  <c r="O73" s="1"/>
  <c r="P73" s="1"/>
  <c r="Q73" s="1"/>
  <c r="R73" s="1"/>
  <c r="S73" s="1"/>
  <c r="T73" s="1"/>
  <c r="U73" s="1"/>
  <c r="V73" s="1"/>
  <c r="W73" s="1"/>
  <c r="X73" s="1"/>
  <c r="Y73" s="1"/>
  <c r="Z73" s="1"/>
  <c r="AA73" s="1"/>
  <c r="C117"/>
  <c r="L9" i="6"/>
  <c r="L8"/>
  <c r="AB10" i="1"/>
  <c r="AC13"/>
  <c r="Q26" i="10"/>
  <c r="Z111" i="1" s="1"/>
  <c r="Q25" i="10"/>
  <c r="Z110" i="1" s="1"/>
  <c r="Z106"/>
  <c r="Z55" s="1"/>
  <c r="O19" i="10"/>
  <c r="X114" i="1" s="1"/>
  <c r="X113"/>
  <c r="M26" i="10"/>
  <c r="V111" i="1" s="1"/>
  <c r="M25" i="10"/>
  <c r="V110" i="1" s="1"/>
  <c r="V106"/>
  <c r="V55" s="1"/>
  <c r="K19" i="10"/>
  <c r="T114" i="1" s="1"/>
  <c r="T113"/>
  <c r="I26" i="10"/>
  <c r="R111" i="1" s="1"/>
  <c r="I25" i="10"/>
  <c r="R110" i="1" s="1"/>
  <c r="R106"/>
  <c r="R55" s="1"/>
  <c r="G19" i="10"/>
  <c r="P114" i="1" s="1"/>
  <c r="P113"/>
  <c r="E26" i="10"/>
  <c r="N111" i="1" s="1"/>
  <c r="E25" i="10"/>
  <c r="N110" i="1" s="1"/>
  <c r="N106"/>
  <c r="N55" s="1"/>
  <c r="L113"/>
  <c r="F113"/>
  <c r="R26" i="10"/>
  <c r="AA111" i="1" s="1"/>
  <c r="R25" i="10"/>
  <c r="AA110" i="1" s="1"/>
  <c r="AA106"/>
  <c r="AA55" s="1"/>
  <c r="P19" i="10"/>
  <c r="Y114" i="1" s="1"/>
  <c r="Y113"/>
  <c r="N26" i="10"/>
  <c r="W111" i="1" s="1"/>
  <c r="N25" i="10"/>
  <c r="W110" i="1" s="1"/>
  <c r="W106"/>
  <c r="W55" s="1"/>
  <c r="L19" i="10"/>
  <c r="U114" i="1" s="1"/>
  <c r="U113"/>
  <c r="J26" i="10"/>
  <c r="S111" i="1" s="1"/>
  <c r="J25" i="10"/>
  <c r="S110" i="1" s="1"/>
  <c r="S106"/>
  <c r="S55" s="1"/>
  <c r="H19" i="10"/>
  <c r="Q114" i="1" s="1"/>
  <c r="Q113"/>
  <c r="F26" i="10"/>
  <c r="O111" i="1" s="1"/>
  <c r="F25" i="10"/>
  <c r="O110" i="1" s="1"/>
  <c r="O106"/>
  <c r="O55" s="1"/>
  <c r="D19" i="10"/>
  <c r="M114" i="1" s="1"/>
  <c r="M113"/>
  <c r="Q19" i="10"/>
  <c r="Z114" i="1" s="1"/>
  <c r="Z113"/>
  <c r="O26" i="10"/>
  <c r="X111" i="1" s="1"/>
  <c r="O25" i="10"/>
  <c r="X110" i="1" s="1"/>
  <c r="X106"/>
  <c r="X55" s="1"/>
  <c r="M19" i="10"/>
  <c r="V114" i="1" s="1"/>
  <c r="V113"/>
  <c r="K26" i="10"/>
  <c r="T111" i="1" s="1"/>
  <c r="K25" i="10"/>
  <c r="T110" i="1" s="1"/>
  <c r="T106"/>
  <c r="T55" s="1"/>
  <c r="I19" i="10"/>
  <c r="R114" i="1" s="1"/>
  <c r="R113"/>
  <c r="G26" i="10"/>
  <c r="P111" i="1" s="1"/>
  <c r="G25" i="10"/>
  <c r="P110" i="1" s="1"/>
  <c r="P106"/>
  <c r="P55" s="1"/>
  <c r="E19" i="10"/>
  <c r="N114" i="1" s="1"/>
  <c r="N113"/>
  <c r="C26" i="10"/>
  <c r="L106" i="1"/>
  <c r="C106"/>
  <c r="F106" s="1"/>
  <c r="R19" i="10"/>
  <c r="AA114" i="1" s="1"/>
  <c r="AA113"/>
  <c r="P26" i="10"/>
  <c r="Y111" i="1" s="1"/>
  <c r="P25" i="10"/>
  <c r="Y110" i="1" s="1"/>
  <c r="Y106"/>
  <c r="Y55" s="1"/>
  <c r="N19" i="10"/>
  <c r="W114" i="1" s="1"/>
  <c r="W113"/>
  <c r="L26" i="10"/>
  <c r="U111" i="1" s="1"/>
  <c r="L25" i="10"/>
  <c r="U110" i="1" s="1"/>
  <c r="U106"/>
  <c r="U55" s="1"/>
  <c r="J19" i="10"/>
  <c r="S114" i="1" s="1"/>
  <c r="S113"/>
  <c r="H26" i="10"/>
  <c r="Q111" i="1" s="1"/>
  <c r="H25" i="10"/>
  <c r="Q110" i="1" s="1"/>
  <c r="Q106"/>
  <c r="Q55" s="1"/>
  <c r="F19" i="10"/>
  <c r="O114" i="1" s="1"/>
  <c r="O113"/>
  <c r="D26" i="10"/>
  <c r="M111" i="1" s="1"/>
  <c r="D25" i="10"/>
  <c r="M110" i="1" s="1"/>
  <c r="M106"/>
  <c r="M55" s="1"/>
  <c r="C13"/>
  <c r="L76"/>
  <c r="M76" s="1"/>
  <c r="N76" s="1"/>
  <c r="O76" s="1"/>
  <c r="P76" s="1"/>
  <c r="Q76" s="1"/>
  <c r="R76" s="1"/>
  <c r="S76" s="1"/>
  <c r="T76" s="1"/>
  <c r="U76" s="1"/>
  <c r="V76" s="1"/>
  <c r="W76" s="1"/>
  <c r="X76" s="1"/>
  <c r="Y76" s="1"/>
  <c r="Z76" s="1"/>
  <c r="AA76" s="1"/>
  <c r="C5"/>
  <c r="L5" s="1"/>
  <c r="M5" s="1"/>
  <c r="N5" s="1"/>
  <c r="O5" s="1"/>
  <c r="P5" s="1"/>
  <c r="Q5" s="1"/>
  <c r="R5" s="1"/>
  <c r="S5" s="1"/>
  <c r="T5" s="1"/>
  <c r="U5" s="1"/>
  <c r="V5" s="1"/>
  <c r="W5" s="1"/>
  <c r="X5" s="1"/>
  <c r="Y5" s="1"/>
  <c r="Z5" s="1"/>
  <c r="AA5" s="1"/>
  <c r="AF13" i="9"/>
  <c r="AE16"/>
  <c r="Y7" i="5"/>
  <c r="M18" i="4"/>
  <c r="K18"/>
  <c r="I18"/>
  <c r="G18"/>
  <c r="E18"/>
  <c r="C18"/>
  <c r="N18"/>
  <c r="L18"/>
  <c r="J18"/>
  <c r="H18"/>
  <c r="F18"/>
  <c r="D18"/>
  <c r="I10"/>
  <c r="F10" i="5" l="1"/>
  <c r="S44"/>
  <c r="O44"/>
  <c r="K44"/>
  <c r="G44"/>
  <c r="T44"/>
  <c r="P44"/>
  <c r="L44"/>
  <c r="H44"/>
  <c r="Q44"/>
  <c r="M44"/>
  <c r="I44"/>
  <c r="R44"/>
  <c r="N44"/>
  <c r="J44"/>
  <c r="F44"/>
  <c r="I48"/>
  <c r="T45"/>
  <c r="T48" s="1"/>
  <c r="P45"/>
  <c r="L45"/>
  <c r="L48" s="1"/>
  <c r="H45"/>
  <c r="H48" s="1"/>
  <c r="G45"/>
  <c r="G48" s="1"/>
  <c r="Q45"/>
  <c r="Q48" s="1"/>
  <c r="M45"/>
  <c r="I45"/>
  <c r="K45"/>
  <c r="R45"/>
  <c r="N45"/>
  <c r="J45"/>
  <c r="F45"/>
  <c r="F48" s="1"/>
  <c r="S45"/>
  <c r="S48" s="1"/>
  <c r="O45"/>
  <c r="O48" s="1"/>
  <c r="J48"/>
  <c r="K48"/>
  <c r="U10"/>
  <c r="H10"/>
  <c r="M62" i="1"/>
  <c r="N62" s="1"/>
  <c r="O62" s="1"/>
  <c r="P62" s="1"/>
  <c r="Q62" s="1"/>
  <c r="R62" s="1"/>
  <c r="S62" s="1"/>
  <c r="T62" s="1"/>
  <c r="U62" s="1"/>
  <c r="V62" s="1"/>
  <c r="W62" s="1"/>
  <c r="X62" s="1"/>
  <c r="Y62" s="1"/>
  <c r="Z62" s="1"/>
  <c r="AA62" s="1"/>
  <c r="M60"/>
  <c r="N60" s="1"/>
  <c r="O60" s="1"/>
  <c r="P60" s="1"/>
  <c r="Q60" s="1"/>
  <c r="R60" s="1"/>
  <c r="S60" s="1"/>
  <c r="T60" s="1"/>
  <c r="U60" s="1"/>
  <c r="V60" s="1"/>
  <c r="W60" s="1"/>
  <c r="X60" s="1"/>
  <c r="Y60" s="1"/>
  <c r="Z60" s="1"/>
  <c r="AA60" s="1"/>
  <c r="L55"/>
  <c r="C55" s="1"/>
  <c r="V34" i="10"/>
  <c r="C54" i="1"/>
  <c r="T34" i="10"/>
  <c r="U34" s="1"/>
  <c r="W10" i="5"/>
  <c r="U11"/>
  <c r="Q8" i="3"/>
  <c r="AB9" i="5"/>
  <c r="AI9"/>
  <c r="AK9"/>
  <c r="C27" i="1"/>
  <c r="L27" s="1"/>
  <c r="K11" i="6"/>
  <c r="L11"/>
  <c r="O11" i="5"/>
  <c r="U6" i="3"/>
  <c r="U7" s="1"/>
  <c r="I10" i="5"/>
  <c r="AA9"/>
  <c r="AF9"/>
  <c r="AE9"/>
  <c r="AH9"/>
  <c r="T10"/>
  <c r="Y9"/>
  <c r="J10"/>
  <c r="AJ9"/>
  <c r="O10"/>
  <c r="N10"/>
  <c r="AG9"/>
  <c r="W9"/>
  <c r="AC9"/>
  <c r="X9"/>
  <c r="AL9"/>
  <c r="K10"/>
  <c r="R10"/>
  <c r="M10"/>
  <c r="S10"/>
  <c r="Z9"/>
  <c r="L10"/>
  <c r="G10"/>
  <c r="P10"/>
  <c r="Q10"/>
  <c r="AD9"/>
  <c r="Q11"/>
  <c r="F11"/>
  <c r="F14" s="1"/>
  <c r="P11"/>
  <c r="T11"/>
  <c r="H11"/>
  <c r="R11"/>
  <c r="S11"/>
  <c r="J11"/>
  <c r="K11"/>
  <c r="L61" i="1"/>
  <c r="M11" i="5"/>
  <c r="N11"/>
  <c r="X10"/>
  <c r="I11"/>
  <c r="L11"/>
  <c r="G11"/>
  <c r="AC23" i="1"/>
  <c r="AB20"/>
  <c r="AC24"/>
  <c r="AB21"/>
  <c r="C17"/>
  <c r="M7" i="3"/>
  <c r="C30" i="8"/>
  <c r="C31"/>
  <c r="C82" i="1"/>
  <c r="C91"/>
  <c r="L91" s="1"/>
  <c r="M91" s="1"/>
  <c r="N91" s="1"/>
  <c r="O91" s="1"/>
  <c r="P91" s="1"/>
  <c r="Q91" s="1"/>
  <c r="R91" s="1"/>
  <c r="S91" s="1"/>
  <c r="T91" s="1"/>
  <c r="U91" s="1"/>
  <c r="V91" s="1"/>
  <c r="W91" s="1"/>
  <c r="X91" s="1"/>
  <c r="Y91" s="1"/>
  <c r="Z91" s="1"/>
  <c r="AA91" s="1"/>
  <c r="C16"/>
  <c r="L15"/>
  <c r="M15" s="1"/>
  <c r="N15" s="1"/>
  <c r="O15" s="1"/>
  <c r="P15" s="1"/>
  <c r="Q15" s="1"/>
  <c r="R15" s="1"/>
  <c r="S15" s="1"/>
  <c r="T15" s="1"/>
  <c r="U15" s="1"/>
  <c r="V15" s="1"/>
  <c r="W15" s="1"/>
  <c r="X15" s="1"/>
  <c r="Y15" s="1"/>
  <c r="Z15" s="1"/>
  <c r="AA15" s="1"/>
  <c r="C19"/>
  <c r="L19" s="1"/>
  <c r="M19" s="1"/>
  <c r="N19" s="1"/>
  <c r="O19" s="1"/>
  <c r="P19" s="1"/>
  <c r="Q19" s="1"/>
  <c r="R19" s="1"/>
  <c r="S19" s="1"/>
  <c r="T19" s="1"/>
  <c r="U19" s="1"/>
  <c r="V19" s="1"/>
  <c r="W19" s="1"/>
  <c r="X19" s="1"/>
  <c r="Y19" s="1"/>
  <c r="Z19" s="1"/>
  <c r="AA19" s="1"/>
  <c r="C71"/>
  <c r="L71" s="1"/>
  <c r="M71" s="1"/>
  <c r="N71" s="1"/>
  <c r="O71" s="1"/>
  <c r="P71" s="1"/>
  <c r="Q71" s="1"/>
  <c r="R71" s="1"/>
  <c r="S71" s="1"/>
  <c r="T71" s="1"/>
  <c r="U71" s="1"/>
  <c r="V71" s="1"/>
  <c r="W71" s="1"/>
  <c r="X71" s="1"/>
  <c r="Y71" s="1"/>
  <c r="Z71" s="1"/>
  <c r="AA71" s="1"/>
  <c r="D23" i="8"/>
  <c r="AC16" i="1"/>
  <c r="AB13"/>
  <c r="L111"/>
  <c r="C111"/>
  <c r="L114"/>
  <c r="C114"/>
  <c r="F114" s="1"/>
  <c r="L110"/>
  <c r="C110"/>
  <c r="L13"/>
  <c r="M13" s="1"/>
  <c r="N13" s="1"/>
  <c r="O13" s="1"/>
  <c r="P13" s="1"/>
  <c r="Q13" s="1"/>
  <c r="R13" s="1"/>
  <c r="S13" s="1"/>
  <c r="T13" s="1"/>
  <c r="U13" s="1"/>
  <c r="V13" s="1"/>
  <c r="W13" s="1"/>
  <c r="X13" s="1"/>
  <c r="Y13" s="1"/>
  <c r="Z13" s="1"/>
  <c r="AA13" s="1"/>
  <c r="L10"/>
  <c r="M10" s="1"/>
  <c r="N10" s="1"/>
  <c r="O10" s="1"/>
  <c r="P10" s="1"/>
  <c r="Q10" s="1"/>
  <c r="R10" s="1"/>
  <c r="S10" s="1"/>
  <c r="T10" s="1"/>
  <c r="U10" s="1"/>
  <c r="V10" s="1"/>
  <c r="W10" s="1"/>
  <c r="X10" s="1"/>
  <c r="Y10" s="1"/>
  <c r="Z10" s="1"/>
  <c r="AA10" s="1"/>
  <c r="L9"/>
  <c r="M9" s="1"/>
  <c r="N9" s="1"/>
  <c r="O9" s="1"/>
  <c r="P9" s="1"/>
  <c r="Q9" s="1"/>
  <c r="R9" s="1"/>
  <c r="S9" s="1"/>
  <c r="T9" s="1"/>
  <c r="U9" s="1"/>
  <c r="V9" s="1"/>
  <c r="W9" s="1"/>
  <c r="X9" s="1"/>
  <c r="Y9" s="1"/>
  <c r="Z9" s="1"/>
  <c r="AA9" s="1"/>
  <c r="AF16" i="9"/>
  <c r="AG13"/>
  <c r="Y10" i="5"/>
  <c r="Z7"/>
  <c r="H49" l="1"/>
  <c r="J49"/>
  <c r="R49"/>
  <c r="G49"/>
  <c r="N49"/>
  <c r="Q49"/>
  <c r="T49"/>
  <c r="S49"/>
  <c r="M49"/>
  <c r="P49"/>
  <c r="O49"/>
  <c r="P48"/>
  <c r="M48"/>
  <c r="N48"/>
  <c r="R48"/>
  <c r="F49"/>
  <c r="I49"/>
  <c r="L49"/>
  <c r="K49"/>
  <c r="M27" i="1"/>
  <c r="N27" s="1"/>
  <c r="O27" s="1"/>
  <c r="P27" s="1"/>
  <c r="Q27" s="1"/>
  <c r="R27" s="1"/>
  <c r="S27" s="1"/>
  <c r="T27" s="1"/>
  <c r="U27" s="1"/>
  <c r="V27" s="1"/>
  <c r="W27" s="1"/>
  <c r="X27" s="1"/>
  <c r="Y27" s="1"/>
  <c r="Z27" s="1"/>
  <c r="AA27" s="1"/>
  <c r="AE62"/>
  <c r="M61"/>
  <c r="N61" s="1"/>
  <c r="O61" s="1"/>
  <c r="P61" s="1"/>
  <c r="Q61" s="1"/>
  <c r="R61" s="1"/>
  <c r="S61" s="1"/>
  <c r="T61" s="1"/>
  <c r="U61" s="1"/>
  <c r="V61" s="1"/>
  <c r="W61" s="1"/>
  <c r="X61" s="1"/>
  <c r="Y61" s="1"/>
  <c r="Z61" s="1"/>
  <c r="AA61" s="1"/>
  <c r="AE60"/>
  <c r="U8" i="3"/>
  <c r="M15" i="5"/>
  <c r="M14"/>
  <c r="R15"/>
  <c r="R14"/>
  <c r="T15"/>
  <c r="T14"/>
  <c r="P15"/>
  <c r="P14"/>
  <c r="S15"/>
  <c r="S14"/>
  <c r="J14"/>
  <c r="J15"/>
  <c r="F15"/>
  <c r="G15"/>
  <c r="G14"/>
  <c r="N15"/>
  <c r="N14"/>
  <c r="I15"/>
  <c r="I14"/>
  <c r="L15"/>
  <c r="L14"/>
  <c r="O15"/>
  <c r="O14"/>
  <c r="U15"/>
  <c r="U14"/>
  <c r="Q15"/>
  <c r="Q14"/>
  <c r="K15"/>
  <c r="K14"/>
  <c r="H15"/>
  <c r="H14"/>
  <c r="L43" i="1"/>
  <c r="M43" s="1"/>
  <c r="N43" s="1"/>
  <c r="O43" s="1"/>
  <c r="P43" s="1"/>
  <c r="Q43" s="1"/>
  <c r="R43" s="1"/>
  <c r="S43" s="1"/>
  <c r="T43" s="1"/>
  <c r="U43" s="1"/>
  <c r="V43" s="1"/>
  <c r="W43" s="1"/>
  <c r="X43" s="1"/>
  <c r="Y43" s="1"/>
  <c r="Z43" s="1"/>
  <c r="AA43" s="1"/>
  <c r="AB24"/>
  <c r="AC27"/>
  <c r="AB23"/>
  <c r="AC26"/>
  <c r="C21"/>
  <c r="L21" s="1"/>
  <c r="M21" s="1"/>
  <c r="N21" s="1"/>
  <c r="O21" s="1"/>
  <c r="P21" s="1"/>
  <c r="Q21" s="1"/>
  <c r="R21" s="1"/>
  <c r="S21" s="1"/>
  <c r="T21" s="1"/>
  <c r="U21" s="1"/>
  <c r="V21" s="1"/>
  <c r="W21" s="1"/>
  <c r="X21" s="1"/>
  <c r="Y21" s="1"/>
  <c r="Z21" s="1"/>
  <c r="AA21" s="1"/>
  <c r="C18"/>
  <c r="L17"/>
  <c r="M17" s="1"/>
  <c r="N17" s="1"/>
  <c r="O17" s="1"/>
  <c r="P17" s="1"/>
  <c r="Q17" s="1"/>
  <c r="R17" s="1"/>
  <c r="S17" s="1"/>
  <c r="T17" s="1"/>
  <c r="U17" s="1"/>
  <c r="V17" s="1"/>
  <c r="W17" s="1"/>
  <c r="X17" s="1"/>
  <c r="Y17" s="1"/>
  <c r="Z17" s="1"/>
  <c r="AA17" s="1"/>
  <c r="C20"/>
  <c r="L20" s="1"/>
  <c r="M20" s="1"/>
  <c r="N20" s="1"/>
  <c r="O20" s="1"/>
  <c r="P20" s="1"/>
  <c r="Q20" s="1"/>
  <c r="R20" s="1"/>
  <c r="S20" s="1"/>
  <c r="T20" s="1"/>
  <c r="U20" s="1"/>
  <c r="V20" s="1"/>
  <c r="W20" s="1"/>
  <c r="X20" s="1"/>
  <c r="Y20" s="1"/>
  <c r="Z20" s="1"/>
  <c r="AA20" s="1"/>
  <c r="L16"/>
  <c r="M16" s="1"/>
  <c r="N16" s="1"/>
  <c r="O16" s="1"/>
  <c r="P16" s="1"/>
  <c r="Q16" s="1"/>
  <c r="R16" s="1"/>
  <c r="S16" s="1"/>
  <c r="T16" s="1"/>
  <c r="U16" s="1"/>
  <c r="V16" s="1"/>
  <c r="W16" s="1"/>
  <c r="X16" s="1"/>
  <c r="Y16" s="1"/>
  <c r="Z16" s="1"/>
  <c r="AA16" s="1"/>
  <c r="C86"/>
  <c r="L86" s="1"/>
  <c r="M86" s="1"/>
  <c r="N86" s="1"/>
  <c r="O86" s="1"/>
  <c r="P86" s="1"/>
  <c r="Q86" s="1"/>
  <c r="R86" s="1"/>
  <c r="S86" s="1"/>
  <c r="T86" s="1"/>
  <c r="U86" s="1"/>
  <c r="V86" s="1"/>
  <c r="W86" s="1"/>
  <c r="X86" s="1"/>
  <c r="Y86" s="1"/>
  <c r="Z86" s="1"/>
  <c r="AA86" s="1"/>
  <c r="L82"/>
  <c r="M82" s="1"/>
  <c r="N82" s="1"/>
  <c r="O82" s="1"/>
  <c r="P82" s="1"/>
  <c r="Q82" s="1"/>
  <c r="R82" s="1"/>
  <c r="S82" s="1"/>
  <c r="T82" s="1"/>
  <c r="U82" s="1"/>
  <c r="V82" s="1"/>
  <c r="W82" s="1"/>
  <c r="X82" s="1"/>
  <c r="Y82" s="1"/>
  <c r="Z82" s="1"/>
  <c r="AA82" s="1"/>
  <c r="AC19"/>
  <c r="AB16"/>
  <c r="AH13" i="9"/>
  <c r="AG16"/>
  <c r="AA7" i="5"/>
  <c r="Z10"/>
  <c r="AE27" i="1" l="1"/>
  <c r="AE61"/>
  <c r="C3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C27" i="4"/>
  <c r="AC29" i="1"/>
  <c r="AB26"/>
  <c r="AC30"/>
  <c r="AB27"/>
  <c r="L18"/>
  <c r="M18" s="1"/>
  <c r="N18" s="1"/>
  <c r="O18" s="1"/>
  <c r="P18" s="1"/>
  <c r="Q18" s="1"/>
  <c r="R18" s="1"/>
  <c r="S18" s="1"/>
  <c r="T18" s="1"/>
  <c r="U18" s="1"/>
  <c r="V18" s="1"/>
  <c r="W18" s="1"/>
  <c r="X18" s="1"/>
  <c r="Y18" s="1"/>
  <c r="Z18" s="1"/>
  <c r="AA18" s="1"/>
  <c r="C22"/>
  <c r="L22" s="1"/>
  <c r="M22" s="1"/>
  <c r="N22" s="1"/>
  <c r="O22" s="1"/>
  <c r="P22" s="1"/>
  <c r="Q22" s="1"/>
  <c r="R22" s="1"/>
  <c r="S22" s="1"/>
  <c r="T22" s="1"/>
  <c r="U22" s="1"/>
  <c r="V22" s="1"/>
  <c r="W22" s="1"/>
  <c r="X22" s="1"/>
  <c r="Y22" s="1"/>
  <c r="Z22" s="1"/>
  <c r="AA22" s="1"/>
  <c r="AC22"/>
  <c r="AB19"/>
  <c r="AH16" i="9"/>
  <c r="AI13"/>
  <c r="AA10" i="5"/>
  <c r="AB7"/>
  <c r="D29" i="4" l="1"/>
  <c r="D30"/>
  <c r="D28"/>
  <c r="AB30" i="1"/>
  <c r="AC33"/>
  <c r="AB29"/>
  <c r="AC32"/>
  <c r="AC25"/>
  <c r="AB22"/>
  <c r="AJ13" i="9"/>
  <c r="AI16"/>
  <c r="AC7" i="5"/>
  <c r="AB10"/>
  <c r="AC35" i="1" l="1"/>
  <c r="AB32"/>
  <c r="AC36"/>
  <c r="AB33"/>
  <c r="AC28"/>
  <c r="AB25"/>
  <c r="AJ16" i="9"/>
  <c r="AK13"/>
  <c r="AC10" i="5"/>
  <c r="AD7"/>
  <c r="AB36" i="1" l="1"/>
  <c r="AC39"/>
  <c r="AB35"/>
  <c r="AC38"/>
  <c r="AB28"/>
  <c r="AC31"/>
  <c r="AL13" i="9"/>
  <c r="AK16"/>
  <c r="AE7" i="5"/>
  <c r="AD10"/>
  <c r="AC41" i="1" l="1"/>
  <c r="AB38"/>
  <c r="AC42"/>
  <c r="AB39"/>
  <c r="AC34"/>
  <c r="AB31"/>
  <c r="AL16" i="9"/>
  <c r="AM13"/>
  <c r="AE10" i="5"/>
  <c r="AF7"/>
  <c r="AB42" i="1" l="1"/>
  <c r="AC45"/>
  <c r="AB41"/>
  <c r="AC44"/>
  <c r="AB34"/>
  <c r="AC37"/>
  <c r="AN13" i="9"/>
  <c r="AM16"/>
  <c r="AG7" i="5"/>
  <c r="AF10"/>
  <c r="AB44" i="1" l="1"/>
  <c r="AC47"/>
  <c r="AC48"/>
  <c r="AB45"/>
  <c r="AC40"/>
  <c r="AB37"/>
  <c r="AN16" i="9"/>
  <c r="AO13"/>
  <c r="AG10" i="5"/>
  <c r="AH7"/>
  <c r="AB48" i="1" l="1"/>
  <c r="AC51"/>
  <c r="AB51" s="1"/>
  <c r="AC50"/>
  <c r="AB50" s="1"/>
  <c r="AB47"/>
  <c r="AC43"/>
  <c r="AB40"/>
  <c r="AP13" i="9"/>
  <c r="AO16"/>
  <c r="AI7" i="5"/>
  <c r="AH10"/>
  <c r="AC46" i="1" l="1"/>
  <c r="AB43"/>
  <c r="AP16" i="9"/>
  <c r="AQ13"/>
  <c r="AI10" i="5"/>
  <c r="AJ7"/>
  <c r="AB46" i="1" l="1"/>
  <c r="AC49"/>
  <c r="AB49" s="1"/>
  <c r="AQ16" i="9"/>
  <c r="AK7" i="5"/>
  <c r="AJ10"/>
  <c r="AK10" l="1"/>
  <c r="AL7"/>
  <c r="AL10" s="1"/>
  <c r="D11" i="8" l="1"/>
  <c r="D12" s="1"/>
  <c r="L68" i="1"/>
  <c r="M68" s="1"/>
  <c r="N68" s="1"/>
  <c r="O68" s="1"/>
  <c r="P68" s="1"/>
  <c r="Q68" s="1"/>
  <c r="R68" s="1"/>
  <c r="S68" s="1"/>
  <c r="T68" s="1"/>
  <c r="U68" s="1"/>
  <c r="V68" s="1"/>
  <c r="W68" s="1"/>
  <c r="X68" s="1"/>
  <c r="Y68" s="1"/>
  <c r="Z68" s="1"/>
  <c r="AA68" s="1"/>
  <c r="C29"/>
  <c r="L29" s="1"/>
  <c r="C8" i="5"/>
  <c r="U12" l="1"/>
  <c r="Q46"/>
  <c r="M46"/>
  <c r="I46"/>
  <c r="R46"/>
  <c r="N46"/>
  <c r="J46"/>
  <c r="F46"/>
  <c r="S46"/>
  <c r="O46"/>
  <c r="K46"/>
  <c r="G46"/>
  <c r="T46"/>
  <c r="P46"/>
  <c r="L46"/>
  <c r="H46"/>
  <c r="M29" i="1"/>
  <c r="N29" s="1"/>
  <c r="O29" s="1"/>
  <c r="P29" s="1"/>
  <c r="Q29" s="1"/>
  <c r="R29" s="1"/>
  <c r="S29" s="1"/>
  <c r="T29" s="1"/>
  <c r="U29" s="1"/>
  <c r="V29" s="1"/>
  <c r="W29" s="1"/>
  <c r="X29" s="1"/>
  <c r="Y29" s="1"/>
  <c r="Z29" s="1"/>
  <c r="AA29" s="1"/>
  <c r="F12" i="5"/>
  <c r="D14" i="8"/>
  <c r="C69" i="1" s="1"/>
  <c r="L69" s="1"/>
  <c r="C87"/>
  <c r="L87" s="1"/>
  <c r="C83"/>
  <c r="L83" s="1"/>
  <c r="L12" i="5"/>
  <c r="X11"/>
  <c r="X13" s="1"/>
  <c r="Q12"/>
  <c r="AJ11"/>
  <c r="AJ13" s="1"/>
  <c r="AH11"/>
  <c r="AH13" s="1"/>
  <c r="Y11"/>
  <c r="Y13" s="1"/>
  <c r="AF11"/>
  <c r="AF13" s="1"/>
  <c r="O12"/>
  <c r="I12"/>
  <c r="H12"/>
  <c r="K12"/>
  <c r="S12"/>
  <c r="N12"/>
  <c r="P12"/>
  <c r="R12"/>
  <c r="AD11"/>
  <c r="AD13" s="1"/>
  <c r="G12"/>
  <c r="AL11"/>
  <c r="AL13" s="1"/>
  <c r="AB11"/>
  <c r="AB13" s="1"/>
  <c r="J12"/>
  <c r="AK11"/>
  <c r="AK13" s="1"/>
  <c r="Z11"/>
  <c r="Z13" s="1"/>
  <c r="M12"/>
  <c r="T12"/>
  <c r="W11"/>
  <c r="W13" s="1"/>
  <c r="W14" s="1"/>
  <c r="AA11"/>
  <c r="AA13" s="1"/>
  <c r="AC11"/>
  <c r="AC13" s="1"/>
  <c r="AE11"/>
  <c r="AE13" s="1"/>
  <c r="AG11"/>
  <c r="AG13" s="1"/>
  <c r="AI11"/>
  <c r="AI13" s="1"/>
  <c r="M69" i="1" l="1"/>
  <c r="N69" s="1"/>
  <c r="O69" s="1"/>
  <c r="P69" s="1"/>
  <c r="Q69" s="1"/>
  <c r="R69" s="1"/>
  <c r="S69" s="1"/>
  <c r="T69" s="1"/>
  <c r="U69" s="1"/>
  <c r="V69" s="1"/>
  <c r="W69" s="1"/>
  <c r="X69" s="1"/>
  <c r="Y69" s="1"/>
  <c r="Z69" s="1"/>
  <c r="AA69" s="1"/>
  <c r="M83"/>
  <c r="N83" s="1"/>
  <c r="O83" s="1"/>
  <c r="P83" s="1"/>
  <c r="Q83" s="1"/>
  <c r="R83" s="1"/>
  <c r="S83" s="1"/>
  <c r="T83" s="1"/>
  <c r="U83" s="1"/>
  <c r="V83" s="1"/>
  <c r="W83" s="1"/>
  <c r="X83" s="1"/>
  <c r="Y83" s="1"/>
  <c r="Z83" s="1"/>
  <c r="AA83" s="1"/>
  <c r="M87"/>
  <c r="N87" s="1"/>
  <c r="O87" s="1"/>
  <c r="P87" s="1"/>
  <c r="Q87" s="1"/>
  <c r="R87" s="1"/>
  <c r="S87" s="1"/>
  <c r="T87" s="1"/>
  <c r="U87" s="1"/>
  <c r="V87" s="1"/>
  <c r="W87" s="1"/>
  <c r="X87" s="1"/>
  <c r="Y87" s="1"/>
  <c r="Z87" s="1"/>
  <c r="AA87" s="1"/>
  <c r="AE29"/>
  <c r="C32"/>
  <c r="Z33"/>
  <c r="Z32"/>
  <c r="S33"/>
  <c r="S32"/>
  <c r="P33"/>
  <c r="P32"/>
  <c r="M33"/>
  <c r="M32"/>
  <c r="L33"/>
  <c r="AE33" s="1"/>
  <c r="L32"/>
  <c r="X33"/>
  <c r="X32"/>
  <c r="V33"/>
  <c r="V32"/>
  <c r="T33"/>
  <c r="T32"/>
  <c r="Y33"/>
  <c r="Y32"/>
  <c r="Q33"/>
  <c r="Q32"/>
  <c r="N32"/>
  <c r="O33"/>
  <c r="O32"/>
  <c r="U33"/>
  <c r="U32"/>
  <c r="AA33"/>
  <c r="AA32"/>
  <c r="W33"/>
  <c r="W32"/>
  <c r="R33"/>
  <c r="R32"/>
  <c r="AE14" i="5"/>
  <c r="Z14"/>
  <c r="AL14"/>
  <c r="AG14"/>
  <c r="AC14"/>
  <c r="AK14"/>
  <c r="AB14"/>
  <c r="Y14"/>
  <c r="AJ14"/>
  <c r="AI14"/>
  <c r="AA14"/>
  <c r="AD14"/>
  <c r="AF14"/>
  <c r="AH14"/>
  <c r="X14"/>
  <c r="AE32" i="1" l="1"/>
  <c r="AE69"/>
  <c r="AE83"/>
  <c r="AE87"/>
  <c r="C33"/>
  <c r="N33"/>
  <c r="E10" i="6" l="1"/>
  <c r="K10" l="1"/>
  <c r="C10"/>
  <c r="L10"/>
  <c r="H10"/>
  <c r="O27" l="1"/>
  <c r="P27" s="1"/>
  <c r="O13"/>
  <c r="P13" s="1"/>
  <c r="O14"/>
  <c r="P14" s="1"/>
  <c r="O18"/>
  <c r="P18" s="1"/>
  <c r="O10"/>
  <c r="P10" s="1"/>
  <c r="O8"/>
  <c r="P8" s="1"/>
  <c r="O11"/>
  <c r="P11" s="1"/>
  <c r="O12"/>
  <c r="P12" s="1"/>
  <c r="O17"/>
  <c r="P17" s="1"/>
  <c r="O9"/>
  <c r="P9" s="1"/>
</calcChain>
</file>

<file path=xl/comments1.xml><?xml version="1.0" encoding="utf-8"?>
<comments xmlns="http://schemas.openxmlformats.org/spreadsheetml/2006/main">
  <authors>
    <author>Will</author>
  </authors>
  <commentList>
    <comment ref="B3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</commentList>
</comments>
</file>

<file path=xl/comments2.xml><?xml version="1.0" encoding="utf-8"?>
<comments xmlns="http://schemas.openxmlformats.org/spreadsheetml/2006/main">
  <authors>
    <author>Will</author>
    <author>Author</author>
  </authors>
  <commentList>
    <comment ref="G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G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3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P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9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U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M7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9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<sst xmlns="http://schemas.openxmlformats.org/spreadsheetml/2006/main" count="1903" uniqueCount="1034">
  <si>
    <t>Topic</t>
  </si>
  <si>
    <t>Name in code</t>
  </si>
  <si>
    <t>Tjeck</t>
  </si>
  <si>
    <t>Description</t>
  </si>
  <si>
    <t>Comment</t>
  </si>
  <si>
    <t>Reference</t>
  </si>
  <si>
    <t>Tab</t>
  </si>
  <si>
    <t>Note</t>
  </si>
  <si>
    <t>Folder name:</t>
  </si>
  <si>
    <t>C</t>
  </si>
  <si>
    <t>ok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</si>
  <si>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</si>
  <si>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</si>
  <si>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</si>
  <si>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</si>
  <si>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</si>
  <si>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</si>
  <si>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</si>
  <si>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Case names: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</si>
  <si>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</si>
  <si>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</si>
  <si>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</si>
  <si>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</si>
  <si>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</si>
  <si>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</si>
  <si>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Number of cases:</t>
  </si>
  <si>
    <t>X</t>
  </si>
  <si>
    <t>FLUE</t>
  </si>
  <si>
    <t>Nflue</t>
  </si>
  <si>
    <t>Number of flues</t>
  </si>
  <si>
    <t>Begin with ws2 file:</t>
  </si>
  <si>
    <t>Cflue</t>
  </si>
  <si>
    <t>0.0137(6m of 6' duct + loss in/out)</t>
  </si>
  <si>
    <t>Flue</t>
  </si>
  <si>
    <t>Flue height, m</t>
  </si>
  <si>
    <t>Geomtery</t>
  </si>
  <si>
    <t>Same weather file:</t>
  </si>
  <si>
    <t>Flue gas temperature</t>
  </si>
  <si>
    <t>Code -99: Temeprature will vary acc. T_in and T_out</t>
  </si>
  <si>
    <t>no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</si>
  <si>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</si>
  <si>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</si>
  <si>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</si>
  <si>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</si>
  <si>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</si>
  <si>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</si>
  <si>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</si>
  <si>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</si>
  <si>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</si>
  <si>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 xml:space="preserve"> -//-</t>
  </si>
  <si>
    <t>Fraction of leakage at floor level below wall 3</t>
  </si>
  <si>
    <t>Wind shelter for roof and flue (almost always =1)</t>
  </si>
  <si>
    <t>Npipe</t>
  </si>
  <si>
    <t>Number of passive vents</t>
  </si>
  <si>
    <t>[(#), wall, H, A, Swf, Swoff]</t>
  </si>
  <si>
    <t>BLDG</t>
  </si>
  <si>
    <t>Floor height above grade, m</t>
  </si>
  <si>
    <t>House site infor R= in a row of houses on a street, I= isolated house</t>
  </si>
  <si>
    <t>Building volume, m3</t>
  </si>
  <si>
    <t>Floor area , m2</t>
  </si>
  <si>
    <t>ACM p. 110</t>
  </si>
  <si>
    <t>Lhouse</t>
  </si>
  <si>
    <t>Length of house, m</t>
  </si>
  <si>
    <t>Whouse</t>
  </si>
  <si>
    <t>Width of house, m</t>
  </si>
  <si>
    <t>ACM p. 111</t>
  </si>
  <si>
    <t>Include: walls, windows, floor</t>
  </si>
  <si>
    <t>Res.com, p. 515-516 + ACM, p. 24</t>
  </si>
  <si>
    <t>UA</t>
  </si>
  <si>
    <t>Value changes with house Package and CZ</t>
  </si>
  <si>
    <t>VENTING</t>
  </si>
  <si>
    <t>Include: walls, windows</t>
  </si>
  <si>
    <t>Nwindoor</t>
  </si>
  <si>
    <t>Number of open windows and doors</t>
  </si>
  <si>
    <t>[(#),wall, high, wide, top, bottom]</t>
  </si>
  <si>
    <t>MECH.VENT</t>
  </si>
  <si>
    <t>Number of mechanical vent fans</t>
  </si>
  <si>
    <t>Bathroom fan</t>
  </si>
  <si>
    <t>Fans</t>
  </si>
  <si>
    <t>fan 1 Q, m^3/s</t>
  </si>
  <si>
    <t>Running REGCAP: p. 2</t>
  </si>
  <si>
    <t>Kitchen fan</t>
  </si>
  <si>
    <t>fan 2 Q, m^3/s</t>
  </si>
  <si>
    <t>62.2 fan OR Rivec fan</t>
  </si>
  <si>
    <t>Changes with number of bedrooms and fan.oper</t>
  </si>
  <si>
    <t>fan 3 Q, m^3/s</t>
  </si>
  <si>
    <t>Change by desired operation of the fan. 1=cont. Fan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</si>
  <si>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</si>
  <si>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</si>
  <si>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</si>
  <si>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</si>
  <si>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</si>
  <si>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</si>
  <si>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</si>
  <si>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</si>
  <si>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</si>
  <si>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</si>
  <si>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Heating Rvalue of ceiling, m2K/W</t>
  </si>
  <si>
    <t>Cooling Rvalue of ceiling, m2K/W</t>
  </si>
  <si>
    <t>latload</t>
  </si>
  <si>
    <t>latent load, kg/s</t>
  </si>
  <si>
    <t>Int. gain</t>
  </si>
  <si>
    <t>Should it be diff.?</t>
  </si>
  <si>
    <t>intgain1</t>
  </si>
  <si>
    <t>Internal gains, W</t>
  </si>
  <si>
    <t>ATTIC</t>
  </si>
  <si>
    <t>Cattic</t>
  </si>
  <si>
    <t>Att. leakage coefficient, m3/sPAn</t>
  </si>
  <si>
    <t>Flow coeff. are distributed  as fractions of total leakage</t>
  </si>
  <si>
    <t>p. 14</t>
  </si>
  <si>
    <t>Attic</t>
  </si>
  <si>
    <t>Nattic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</si>
  <si>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</si>
  <si>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</si>
  <si>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</si>
  <si>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</si>
  <si>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</si>
  <si>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</si>
  <si>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</si>
  <si>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</si>
  <si>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</si>
  <si>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</si>
  <si>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</si>
  <si>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</si>
  <si>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</si>
  <si>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Navent</t>
  </si>
  <si>
    <t>Number of added attic vents</t>
  </si>
  <si>
    <t>Avent wall</t>
  </si>
  <si>
    <t>Placeringen af attic fan</t>
  </si>
  <si>
    <t>Avent height</t>
  </si>
  <si>
    <t>see tab: Geometry</t>
  </si>
  <si>
    <t>Avent area</t>
  </si>
  <si>
    <t>See tab: Attic</t>
  </si>
  <si>
    <t>Avent presssure exponent</t>
  </si>
  <si>
    <t>pitch</t>
  </si>
  <si>
    <t>Roof pitch, degrees</t>
  </si>
  <si>
    <t>pitch=4:12</t>
  </si>
  <si>
    <t>RR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</si>
  <si>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</si>
  <si>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</si>
  <si>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</si>
  <si>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</si>
  <si>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</si>
  <si>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</si>
  <si>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</si>
  <si>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</si>
  <si>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</si>
  <si>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</si>
  <si>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</si>
  <si>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</si>
  <si>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</si>
  <si>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supLF</t>
  </si>
  <si>
    <t>Typical leakage fraction for ducts</t>
  </si>
  <si>
    <t>retLF</t>
  </si>
  <si>
    <t>Return leakg fraction, % or decimal fraction</t>
  </si>
  <si>
    <t>suplength</t>
  </si>
  <si>
    <t>Supply ducts length,m</t>
  </si>
  <si>
    <t>retlength</t>
  </si>
  <si>
    <t>Retun ducts length,m</t>
  </si>
  <si>
    <t>supdiam</t>
  </si>
  <si>
    <t>Mean supply diameter, m</t>
  </si>
  <si>
    <t>retdiam</t>
  </si>
  <si>
    <t>cqah</t>
  </si>
  <si>
    <t>Heat-Cool</t>
  </si>
  <si>
    <t>Value changes with CZ</t>
  </si>
  <si>
    <t>hqah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</si>
  <si>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</si>
  <si>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</si>
  <si>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</si>
  <si>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</si>
  <si>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</si>
  <si>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</si>
  <si>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</si>
  <si>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</si>
  <si>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</si>
  <si>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burried</t>
  </si>
  <si>
    <t>Fraction of ducts burried in insulation</t>
  </si>
  <si>
    <t>Raw capacity, tons (really only applies to cooling)</t>
  </si>
  <si>
    <t>Must be changed when climate is changed</t>
  </si>
  <si>
    <t>Ari capacity cooling, kBtu/h</t>
  </si>
  <si>
    <t>EERari cooling (Energy Efficient Ratio) [Btu/Wh]</t>
  </si>
  <si>
    <t>Converts to COP by dividing by 3.41</t>
  </si>
  <si>
    <t>Heating capacity, kBtu/h</t>
  </si>
  <si>
    <t>hfanpow</t>
  </si>
  <si>
    <t>cfanpow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</si>
  <si>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</si>
  <si>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</si>
  <si>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</si>
  <si>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</si>
  <si>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</si>
  <si>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</si>
  <si>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</si>
  <si>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</si>
  <si>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</si>
  <si>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</si>
  <si>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</si>
  <si>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</si>
  <si>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</si>
  <si>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</si>
  <si>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</si>
  <si>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</si>
  <si>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</si>
  <si>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</si>
  <si>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</si>
  <si>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</si>
  <si>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</si>
  <si>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</si>
  <si>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</si>
  <si>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A_wall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</si>
  <si>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</si>
  <si>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</si>
  <si>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</si>
  <si>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</si>
  <si>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</si>
  <si>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</si>
  <si>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</si>
  <si>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</si>
  <si>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</si>
  <si>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</si>
  <si>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</si>
  <si>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</si>
  <si>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</si>
  <si>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</si>
  <si>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</si>
  <si>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</si>
  <si>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</si>
  <si>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</si>
  <si>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</si>
  <si>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</si>
  <si>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</si>
  <si>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</si>
  <si>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</si>
  <si>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</si>
  <si>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</si>
  <si>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</si>
  <si>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</si>
  <si>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</si>
  <si>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</si>
  <si>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</si>
  <si>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</si>
  <si>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</si>
  <si>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</si>
  <si>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</si>
  <si>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</si>
  <si>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</si>
  <si>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</si>
  <si>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</si>
  <si>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Annamaria's ventilation rates</t>
  </si>
  <si>
    <t>Danish leakage requirements</t>
  </si>
  <si>
    <t>Leakage in different house sizes (ELA=AL5 in code)</t>
  </si>
  <si>
    <t>LF_wall</t>
  </si>
  <si>
    <t>l/s</t>
  </si>
  <si>
    <t>n50</t>
  </si>
  <si>
    <t>l/s m2</t>
  </si>
  <si>
    <t>A [ft2]</t>
  </si>
  <si>
    <t>SLA [-]</t>
  </si>
  <si>
    <t>ELA [in2]</t>
  </si>
  <si>
    <t>ELA [m2]</t>
  </si>
  <si>
    <t>C [m3/sPan]</t>
  </si>
  <si>
    <t>62.2 + infil</t>
  </si>
  <si>
    <t>ACH</t>
  </si>
  <si>
    <t>h-1</t>
  </si>
  <si>
    <t>A_house</t>
  </si>
  <si>
    <t xml:space="preserve"> =&gt; Danish houses are very very tight compared to CA houses</t>
  </si>
  <si>
    <t>ACH_n50</t>
  </si>
  <si>
    <t>ELA</t>
  </si>
  <si>
    <t>Flue_0.1m</t>
  </si>
  <si>
    <t>Flue_0.2m</t>
  </si>
  <si>
    <t xml:space="preserve"> =&gt; The house Annamaria simulated was very tight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</si>
  <si>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</si>
  <si>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</si>
  <si>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</si>
  <si>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</si>
  <si>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</si>
  <si>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</si>
  <si>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</si>
  <si>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</si>
  <si>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</si>
  <si>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</si>
  <si>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</si>
  <si>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</si>
  <si>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</si>
  <si>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</si>
  <si>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Flue: yes\no?</t>
  </si>
  <si>
    <t>0=no, 1=yes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</si>
  <si>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</si>
  <si>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</si>
  <si>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</si>
  <si>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</si>
  <si>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</si>
  <si>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</si>
  <si>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</si>
  <si>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</si>
  <si>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</si>
  <si>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</si>
  <si>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</si>
  <si>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</si>
  <si>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</si>
  <si>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</si>
  <si>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</si>
  <si>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</si>
  <si>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</si>
  <si>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</si>
  <si>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</si>
  <si>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</si>
  <si>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</si>
  <si>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</si>
  <si>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</si>
  <si>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</si>
  <si>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</si>
  <si>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</si>
  <si>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</si>
  <si>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</si>
  <si>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</si>
  <si>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</si>
  <si>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</si>
  <si>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</si>
  <si>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</si>
  <si>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</si>
  <si>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</si>
  <si>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</si>
  <si>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</si>
  <si>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</si>
  <si>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</si>
  <si>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</si>
  <si>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</si>
  <si>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</si>
  <si>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</si>
  <si>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</si>
  <si>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</si>
  <si>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</si>
  <si>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</si>
  <si>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</si>
  <si>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</si>
  <si>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</si>
  <si>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</si>
  <si>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</si>
  <si>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</si>
  <si>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</si>
  <si>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</si>
  <si>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</si>
  <si>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</si>
  <si>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</si>
  <si>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</si>
  <si>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</si>
  <si>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</si>
  <si>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</si>
  <si>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</si>
  <si>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</si>
  <si>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</si>
  <si>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</si>
  <si>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</si>
  <si>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</si>
  <si>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</si>
  <si>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</si>
  <si>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</si>
  <si>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</si>
  <si>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</si>
  <si>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</si>
  <si>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</si>
  <si>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</si>
  <si>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</si>
  <si>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</si>
  <si>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</si>
  <si>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</si>
  <si>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</si>
  <si>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</si>
  <si>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</si>
  <si>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</si>
  <si>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</si>
  <si>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</si>
  <si>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</si>
  <si>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</si>
  <si>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</si>
  <si>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</si>
  <si>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</si>
  <si>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</si>
  <si>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</si>
  <si>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</si>
  <si>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</si>
  <si>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</si>
  <si>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</si>
  <si>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</si>
  <si>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</si>
  <si>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</si>
  <si>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</si>
  <si>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</si>
  <si>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</si>
  <si>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</si>
  <si>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</si>
  <si>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</si>
  <si>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</si>
  <si>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</si>
  <si>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</si>
  <si>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</si>
  <si>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</si>
  <si>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</si>
  <si>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</si>
  <si>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</si>
  <si>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</si>
  <si>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</si>
  <si>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kWh/day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</si>
  <si>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</si>
  <si>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</si>
  <si>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</si>
  <si>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</si>
  <si>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</si>
  <si>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</si>
  <si>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including deliberate vents) at 4 Pa is about 0.003m2/m2attic floor area (or ceiling area).</t>
  </si>
  <si>
    <t>A_attic, openings</t>
  </si>
  <si>
    <t>1ft2 pr.150ft2</t>
  </si>
  <si>
    <t>A_attic, leakage (AL4)</t>
  </si>
  <si>
    <t>Note from Iain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</si>
  <si>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</si>
  <si>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</si>
  <si>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</si>
  <si>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</si>
  <si>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</si>
  <si>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</si>
  <si>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</si>
  <si>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</si>
  <si>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</si>
  <si>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</si>
  <si>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</si>
  <si>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</si>
  <si>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</si>
  <si>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</si>
  <si>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</si>
  <si>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</si>
  <si>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</si>
  <si>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Area_supply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</si>
  <si>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</si>
  <si>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</si>
  <si>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</si>
  <si>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</si>
  <si>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</si>
  <si>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</si>
  <si>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</si>
  <si>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</si>
  <si>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</si>
  <si>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</si>
  <si>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</si>
  <si>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</si>
  <si>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</si>
  <si>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</si>
  <si>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</si>
  <si>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</si>
  <si>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</si>
  <si>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</si>
  <si>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</si>
  <si>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Location</t>
  </si>
  <si>
    <t>Cooling Sizing</t>
  </si>
  <si>
    <t>Heating Sizing</t>
  </si>
  <si>
    <t>Cooling/Heating Ratio</t>
  </si>
  <si>
    <t>House UA calculation, p. 1</t>
  </si>
  <si>
    <r>
      <t>tons/1000ft</t>
    </r>
    <r>
      <rPr>
        <vertAlign val="superscript"/>
        <sz val="11"/>
        <color indexed="8"/>
        <rFont val="Calibri"/>
        <family val="2"/>
      </rPr>
      <t>2</t>
    </r>
  </si>
  <si>
    <r>
      <t>kBtu/1000ft</t>
    </r>
    <r>
      <rPr>
        <vertAlign val="superscript"/>
        <sz val="11"/>
        <color indexed="8"/>
        <rFont val="Calibri"/>
        <family val="2"/>
      </rPr>
      <t>2</t>
    </r>
  </si>
  <si>
    <t>tons/100kBtu</t>
  </si>
  <si>
    <t>EER_ari</t>
  </si>
  <si>
    <t>ALL CZ</t>
  </si>
  <si>
    <t>average</t>
  </si>
  <si>
    <t>ACM, p. 71-72</t>
  </si>
  <si>
    <t>max</t>
  </si>
  <si>
    <t>min</t>
  </si>
  <si>
    <t>sdev</t>
  </si>
  <si>
    <t>SEER</t>
  </si>
  <si>
    <t>SEER=13 from note: CECVentilation</t>
  </si>
  <si>
    <t>sdev%</t>
  </si>
  <si>
    <t>ACM, p. 72, eq R3-42</t>
  </si>
  <si>
    <t>Heating and cooling sizing</t>
  </si>
  <si>
    <t>AFUE</t>
  </si>
  <si>
    <t>Sdev%</t>
  </si>
  <si>
    <t>Cooling</t>
  </si>
  <si>
    <t>Max</t>
  </si>
  <si>
    <t>Heating</t>
  </si>
  <si>
    <t>Min</t>
  </si>
  <si>
    <t>Raw</t>
  </si>
  <si>
    <t>tons</t>
  </si>
  <si>
    <t>Raw(round)</t>
  </si>
  <si>
    <t>Cap. Cool</t>
  </si>
  <si>
    <t>kBtu/h</t>
  </si>
  <si>
    <t>Cap. Heat</t>
  </si>
  <si>
    <t>q_cool</t>
  </si>
  <si>
    <t>m3/s</t>
  </si>
  <si>
    <t>400cfm/ton</t>
  </si>
  <si>
    <t>q_heat</t>
  </si>
  <si>
    <t xml:space="preserve">16.8 cfm/ kBtuh </t>
  </si>
  <si>
    <t>P_fan,cool</t>
  </si>
  <si>
    <t>P_fan,heat</t>
  </si>
  <si>
    <t>C_sup</t>
  </si>
  <si>
    <t>m3/sPa^n</t>
  </si>
  <si>
    <t>cooling air air flow * LK_frac (0.03) = C*25^0.6</t>
  </si>
  <si>
    <t>C_ret</t>
  </si>
  <si>
    <t>Conversion: tons to kBtu/h - mulitiply by 12.</t>
  </si>
  <si>
    <t>One ton of capacity equals 12,000 Btu/h</t>
  </si>
  <si>
    <t xml:space="preserve"> Tout</t>
  </si>
  <si>
    <t xml:space="preserve"> tpredattic</t>
  </si>
  <si>
    <t xml:space="preserve"> Tpredhouse</t>
  </si>
  <si>
    <t xml:space="preserve"> tpredsup</t>
  </si>
  <si>
    <t xml:space="preserve"> tpredret</t>
  </si>
  <si>
    <t xml:space="preserve"> ahflag</t>
  </si>
  <si>
    <t xml:space="preserve"> fanpow</t>
  </si>
  <si>
    <t xml:space="preserve"> hcap</t>
  </si>
  <si>
    <t xml:space="preserve"> powercomp</t>
  </si>
  <si>
    <t xml:space="preserve"> </t>
  </si>
  <si>
    <t xml:space="preserve"> mvpow</t>
  </si>
  <si>
    <t xml:space="preserve"> HR(4) * 1000</t>
  </si>
  <si>
    <t xml:space="preserve"> qhouse</t>
  </si>
  <si>
    <t xml:space="preserve"> achhouse</t>
  </si>
  <si>
    <t xml:space="preserve"> capacityc</t>
  </si>
  <si>
    <t xml:space="preserve"> SHR</t>
  </si>
  <si>
    <t xml:space="preserve"> Mcoil</t>
  </si>
  <si>
    <t xml:space="preserve"> theat(ttime)</t>
  </si>
  <si>
    <t xml:space="preserve"> Pint</t>
  </si>
  <si>
    <t xml:space="preserve"> turnover</t>
  </si>
  <si>
    <t xml:space="preserve"> relexp</t>
  </si>
  <si>
    <t xml:space="preserve"> reldose</t>
  </si>
  <si>
    <t xml:space="preserve"> fan(1).on</t>
  </si>
  <si>
    <t xml:space="preserve"> fan(2).on</t>
  </si>
  <si>
    <t xml:space="preserve"> fan(3).on</t>
  </si>
  <si>
    <t xml:space="preserve"> fan(4).on</t>
  </si>
  <si>
    <t xml:space="preserve"> norventsum</t>
  </si>
  <si>
    <t>Fraction of leakage in wall 1 - N</t>
  </si>
  <si>
    <t>Fraction of leakage in wall 2 - S</t>
  </si>
  <si>
    <t>Fraction of leakage in wall 3 - E</t>
  </si>
  <si>
    <t>Fraction of leakage in wall 4 - W</t>
  </si>
  <si>
    <t xml:space="preserve"> HR</t>
  </si>
  <si>
    <t xml:space="preserve"> hrtot</t>
  </si>
  <si>
    <t xml:space="preserve">  _</t>
  </si>
  <si>
    <t>fan(5).on</t>
  </si>
  <si>
    <t xml:space="preserve"> fan(6).on</t>
  </si>
  <si>
    <t xml:space="preserve"> ventsum</t>
  </si>
  <si>
    <t xml:space="preserve"> rivecoff</t>
  </si>
  <si>
    <t xml:space="preserve"> achflue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</si>
  <si>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</si>
  <si>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</si>
  <si>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</si>
  <si>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</si>
  <si>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</si>
  <si>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</si>
  <si>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</si>
  <si>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planarea</t>
  </si>
  <si>
    <t>FLOORAREA</t>
  </si>
  <si>
    <t>volume</t>
  </si>
  <si>
    <t>Hfloor</t>
  </si>
  <si>
    <t>Chim(i%).Cflue</t>
  </si>
  <si>
    <t>Chim(i%).Hflue</t>
  </si>
  <si>
    <t>Chim(i%).Fluetemp</t>
  </si>
  <si>
    <t>Wallfraction(i%)</t>
  </si>
  <si>
    <t>FloorFraction(i%)</t>
  </si>
  <si>
    <t>Swrfl</t>
  </si>
  <si>
    <t>row$</t>
  </si>
  <si>
    <t>UAh</t>
  </si>
  <si>
    <t>UAc</t>
  </si>
  <si>
    <t>fan(i%).power</t>
  </si>
  <si>
    <t>fan(i%).q</t>
  </si>
  <si>
    <t>fan(i%).oper</t>
  </si>
  <si>
    <t>Nfan%</t>
  </si>
  <si>
    <t>windowWE</t>
  </si>
  <si>
    <t>windowN</t>
  </si>
  <si>
    <t>windowS</t>
  </si>
  <si>
    <t>shadcoef</t>
  </si>
  <si>
    <t>rceilh</t>
  </si>
  <si>
    <t>rceilc</t>
  </si>
  <si>
    <t>Avent(i%).wall</t>
  </si>
  <si>
    <t>Avent(i%).h</t>
  </si>
  <si>
    <t>Avent(i%).a</t>
  </si>
  <si>
    <t>Avent(i%).n</t>
  </si>
  <si>
    <t>Soffitfraction(i%)</t>
  </si>
  <si>
    <t>Soffit(i%).h</t>
  </si>
  <si>
    <t>Nafans%</t>
  </si>
  <si>
    <t>rroof</t>
  </si>
  <si>
    <t>rooftype</t>
  </si>
  <si>
    <t>location</t>
  </si>
  <si>
    <t>supthick</t>
  </si>
  <si>
    <t>retthick</t>
  </si>
  <si>
    <t>EERari</t>
  </si>
  <si>
    <t xml:space="preserve">hcapacity </t>
  </si>
  <si>
    <t>capacityraw</t>
  </si>
  <si>
    <t>capacityari</t>
  </si>
  <si>
    <t>charge</t>
  </si>
  <si>
    <t>ATTICVOL</t>
  </si>
  <si>
    <t>overhang</t>
  </si>
  <si>
    <t>h</t>
  </si>
  <si>
    <t>For a house with gables: (W_houseSI + 2 * overhang) / 2 * (D25 - H_soffitSI) * L_houseSI. For a pyramid shaped roof: 1/3*A_ceil*h</t>
  </si>
  <si>
    <t>Hpeak</t>
  </si>
  <si>
    <t>Roof peak, m</t>
  </si>
  <si>
    <t>ACH-62.2</t>
  </si>
  <si>
    <t>ACH-62.2+infil</t>
  </si>
  <si>
    <t>Make a batch file!</t>
  </si>
  <si>
    <r>
      <t>m3/sPa</t>
    </r>
    <r>
      <rPr>
        <vertAlign val="superscript"/>
        <sz val="11"/>
        <color indexed="17"/>
        <rFont val="Calibri"/>
        <family val="2"/>
      </rPr>
      <t>n</t>
    </r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</si>
  <si>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</si>
  <si>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</si>
  <si>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</si>
  <si>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</si>
  <si>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</si>
  <si>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</si>
  <si>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</si>
  <si>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</si>
  <si>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</si>
  <si>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</si>
  <si>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</si>
  <si>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</si>
  <si>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</si>
  <si>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</si>
  <si>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</si>
  <si>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</si>
  <si>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</si>
  <si>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</si>
  <si>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</si>
  <si>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</si>
  <si>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</si>
  <si>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</si>
  <si>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r>
      <t>Envelope leakage coefficient, 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</si>
  <si>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</si>
  <si>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</si>
  <si>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</si>
  <si>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</si>
  <si>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</si>
  <si>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</si>
  <si>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</si>
  <si>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</si>
  <si>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</si>
  <si>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</si>
  <si>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</si>
  <si>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r>
      <t>tons/1000ft</t>
    </r>
    <r>
      <rPr>
        <b/>
        <vertAlign val="superscript"/>
        <sz val="11"/>
        <color indexed="8"/>
        <rFont val="Calibri"/>
        <family val="2"/>
      </rPr>
      <t>2</t>
    </r>
  </si>
  <si>
    <r>
      <t>kBtu/1000ft</t>
    </r>
    <r>
      <rPr>
        <b/>
        <vertAlign val="superscript"/>
        <sz val="11"/>
        <color indexed="8"/>
        <rFont val="Calibri"/>
        <family val="2"/>
      </rPr>
      <t>2</t>
    </r>
  </si>
  <si>
    <t>CZ_8</t>
  </si>
  <si>
    <t>CZ_10</t>
  </si>
  <si>
    <t>CZ_11</t>
  </si>
  <si>
    <t>CZ_12</t>
  </si>
  <si>
    <t>CZ_13</t>
  </si>
  <si>
    <t>CZ_15</t>
  </si>
  <si>
    <t>ACM, p. 25</t>
  </si>
  <si>
    <t>afue</t>
  </si>
  <si>
    <t>AFUE efficiency</t>
  </si>
  <si>
    <t>Supply leak fraction, % or decimal fraction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</si>
  <si>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</si>
  <si>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</si>
  <si>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</si>
  <si>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</si>
  <si>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</si>
  <si>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</si>
  <si>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</si>
  <si>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</si>
  <si>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</si>
  <si>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</si>
  <si>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</si>
  <si>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</si>
  <si>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</si>
  <si>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</si>
  <si>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</si>
  <si>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</si>
  <si>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</si>
  <si>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</si>
  <si>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</si>
  <si>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</si>
  <si>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</si>
  <si>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</si>
  <si>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</si>
  <si>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</si>
  <si>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</si>
  <si>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</si>
  <si>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</si>
  <si>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</si>
  <si>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</si>
  <si>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</si>
  <si>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</si>
  <si>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</si>
  <si>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</si>
  <si>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</si>
  <si>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</si>
  <si>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</si>
  <si>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</si>
  <si>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</si>
  <si>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</si>
  <si>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</si>
  <si>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</si>
  <si>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</si>
  <si>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</si>
  <si>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</si>
  <si>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</si>
  <si>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</si>
  <si>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</si>
  <si>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</si>
  <si>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</si>
  <si>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</si>
  <si>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</si>
  <si>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</si>
  <si>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Heating house UA W/K</t>
  </si>
  <si>
    <t>Cooling house UA W/K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</si>
  <si>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</si>
  <si>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</si>
  <si>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</si>
  <si>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</si>
  <si>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</si>
  <si>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</si>
  <si>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</si>
  <si>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</si>
  <si>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</si>
  <si>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check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</si>
  <si>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</si>
  <si>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</si>
  <si>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</si>
  <si>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</si>
  <si>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</si>
  <si>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</si>
  <si>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</si>
  <si>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</si>
  <si>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</si>
  <si>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</si>
  <si>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</si>
  <si>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</si>
  <si>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</si>
  <si>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BATHROOMS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</si>
  <si>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</si>
  <si>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</si>
  <si>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</si>
  <si>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</si>
  <si>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</si>
  <si>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</si>
  <si>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 xml:space="preserve">CZ 1: Arcata </t>
  </si>
  <si>
    <t xml:space="preserve"> CZ 2: Santa Rosa </t>
  </si>
  <si>
    <t xml:space="preserve"> CZ 3: Oakland </t>
  </si>
  <si>
    <t xml:space="preserve"> CZ 4: Sunnyvale </t>
  </si>
  <si>
    <t xml:space="preserve"> CZ 5: Santa Maria </t>
  </si>
  <si>
    <t xml:space="preserve"> CZ 6: Los Angeles</t>
  </si>
  <si>
    <t xml:space="preserve"> CZ 7: San Diego</t>
  </si>
  <si>
    <t xml:space="preserve"> CZ 8: El Toro </t>
  </si>
  <si>
    <t xml:space="preserve"> CZ 9: Pasadena</t>
  </si>
  <si>
    <t xml:space="preserve"> CZ10: Riverside</t>
  </si>
  <si>
    <t xml:space="preserve"> CZ11: Red Bluff</t>
  </si>
  <si>
    <t xml:space="preserve"> CZ12: Sacramento</t>
  </si>
  <si>
    <t xml:space="preserve"> CZ13: Fresno</t>
  </si>
  <si>
    <t xml:space="preserve"> CZ14: China Lake</t>
  </si>
  <si>
    <t xml:space="preserve"> CZ15: El Centro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</si>
  <si>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</si>
  <si>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</si>
  <si>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</si>
  <si>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</si>
  <si>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</si>
  <si>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</si>
  <si>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</si>
  <si>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Number of Bedrooms</t>
  </si>
  <si>
    <t>62.2-Number of bedrooms</t>
  </si>
  <si>
    <t>Slab floor perimeter, Res. Com Apx B p.5</t>
  </si>
  <si>
    <t>Fenestration, Res. Com,  Apx B p.5</t>
  </si>
  <si>
    <t>Raised floor, Res. Com, Apx B p.5</t>
  </si>
  <si>
    <t>Wood-frame walls, Res. Com, Apx B p.5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</si>
  <si>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</si>
  <si>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</si>
  <si>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</si>
  <si>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</si>
  <si>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</si>
  <si>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</si>
  <si>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</si>
  <si>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</si>
  <si>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</si>
  <si>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</si>
  <si>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</si>
  <si>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</si>
  <si>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</si>
  <si>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</si>
  <si>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</si>
  <si>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</si>
  <si>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</si>
  <si>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</si>
  <si>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</si>
  <si>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</si>
  <si>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</si>
  <si>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</si>
  <si>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</si>
  <si>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</si>
  <si>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</si>
  <si>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</si>
  <si>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</si>
  <si>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</si>
  <si>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</si>
  <si>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</si>
  <si>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</si>
  <si>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R-0.95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</si>
  <si>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</si>
  <si>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</si>
  <si>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</si>
  <si>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</si>
  <si>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</si>
  <si>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</si>
  <si>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</si>
  <si>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</si>
  <si>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</si>
  <si>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</si>
  <si>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</si>
  <si>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</si>
  <si>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</si>
  <si>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</si>
  <si>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</si>
  <si>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</si>
  <si>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</si>
  <si>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</si>
  <si>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% 62.2</t>
  </si>
  <si>
    <t>Q (l/s)</t>
  </si>
  <si>
    <r>
      <t>m</t>
    </r>
    <r>
      <rPr>
        <vertAlign val="superscript"/>
        <sz val="11"/>
        <color rgb="FF006100"/>
        <rFont val="Calibri"/>
        <family val="2"/>
        <scheme val="minor"/>
      </rPr>
      <t>3</t>
    </r>
    <r>
      <rPr>
        <sz val="11"/>
        <color rgb="FF006100"/>
        <rFont val="Calibri"/>
        <family val="2"/>
        <scheme val="minor"/>
      </rPr>
      <t>/sPa</t>
    </r>
    <r>
      <rPr>
        <vertAlign val="superscript"/>
        <sz val="11"/>
        <color rgb="FF006100"/>
        <rFont val="Calibri"/>
        <family val="2"/>
        <scheme val="minor"/>
      </rPr>
      <t>n</t>
    </r>
  </si>
  <si>
    <t>ACM, p. 3-59</t>
  </si>
  <si>
    <t>Name</t>
  </si>
  <si>
    <t>CZ</t>
  </si>
  <si>
    <t>kBtuh</t>
  </si>
  <si>
    <t>kW/100m2</t>
  </si>
  <si>
    <t>kBtuh/1000 sq ft</t>
  </si>
  <si>
    <t>CFA</t>
  </si>
  <si>
    <t>sq ft</t>
  </si>
  <si>
    <t>Wrightsoft Manual J Calculations 2011 for 2,100 sq ft Pro C</t>
  </si>
  <si>
    <t>tons/1000 sq ft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</si>
  <si>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</si>
  <si>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</si>
  <si>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</si>
  <si>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</si>
  <si>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</si>
  <si>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</si>
  <si>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Airflow</t>
  </si>
  <si>
    <t>bat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</si>
  <si>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</si>
  <si>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</si>
  <si>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</si>
  <si>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</si>
  <si>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</si>
  <si>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</si>
  <si>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</si>
  <si>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</si>
  <si>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</si>
  <si>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</si>
  <si>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</si>
  <si>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</si>
  <si>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</si>
  <si>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</si>
  <si>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</si>
  <si>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</si>
  <si>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</si>
  <si>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</si>
  <si>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</si>
  <si>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</si>
  <si>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bathroomSchedule</t>
  </si>
  <si>
    <t>Dynamic bathroom schedule (1 = small, 2 = med, 3 = large)</t>
  </si>
  <si>
    <t>BEDROOMS</t>
  </si>
  <si>
    <t>Nbedrooms</t>
  </si>
  <si>
    <t>Number of bedrooms in the building</t>
  </si>
  <si>
    <t>STOREYS</t>
  </si>
  <si>
    <t>WEATHER</t>
  </si>
  <si>
    <t>weatherFactor</t>
  </si>
  <si>
    <t>Infiltration Weather Factor</t>
  </si>
  <si>
    <t xml:space="preserve"> CZ16: Mount Shasta/Blue Canyon</t>
  </si>
  <si>
    <t>fan 7 power, W (bathroom 3)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</si>
  <si>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</si>
  <si>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</si>
  <si>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</si>
  <si>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</si>
  <si>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</si>
  <si>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</si>
  <si>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</si>
  <si>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</si>
  <si>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</si>
  <si>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</si>
  <si>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</si>
  <si>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</si>
  <si>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</si>
  <si>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</si>
  <si>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</si>
  <si>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</si>
  <si>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</si>
  <si>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</si>
  <si>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</si>
  <si>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</si>
  <si>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</si>
  <si>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</si>
  <si>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</si>
  <si>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</si>
  <si>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</si>
  <si>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</si>
  <si>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</si>
  <si>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</si>
  <si>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</si>
  <si>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</si>
  <si>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</si>
  <si>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</si>
  <si>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</si>
  <si>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2A Houston, TX</t>
  </si>
  <si>
    <t>2B Phoenix, AZ</t>
  </si>
  <si>
    <t>3A Memphis, TN</t>
  </si>
  <si>
    <t>3B El Paso, TX</t>
  </si>
  <si>
    <t>3C San Francisco, CA</t>
  </si>
  <si>
    <t>4A Baltimore, MD</t>
  </si>
  <si>
    <t>4B Albuquerque, NM</t>
  </si>
  <si>
    <t>4C Salem, OR</t>
  </si>
  <si>
    <t>5A Chicago, IL</t>
  </si>
  <si>
    <t>5B Boise, ID</t>
  </si>
  <si>
    <t>6A Burlington, VT</t>
  </si>
  <si>
    <t>6B Helena, MT</t>
  </si>
  <si>
    <t>7 Duluth, MN</t>
  </si>
  <si>
    <t>8 Fairbanks, AL</t>
  </si>
  <si>
    <t>1A Miami, FL</t>
  </si>
  <si>
    <t>3 stories</t>
  </si>
  <si>
    <t>2M</t>
  </si>
  <si>
    <t>cfm cool</t>
  </si>
  <si>
    <t>cfm/W</t>
  </si>
  <si>
    <t>cfm heat</t>
  </si>
  <si>
    <t>l/s heat</t>
  </si>
  <si>
    <t>Heat W</t>
  </si>
  <si>
    <t>(6cfm/W =&gt;)</t>
  </si>
  <si>
    <t>h_air flow 0.167W/cfm; 400cfm/ton</t>
  </si>
  <si>
    <t>h_air flow 0.167W/cfm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</si>
  <si>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</si>
  <si>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</si>
  <si>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</si>
  <si>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</si>
  <si>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</si>
  <si>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</si>
  <si>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</si>
  <si>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Nstory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</si>
  <si>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</si>
  <si>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</si>
  <si>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</si>
  <si>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</si>
  <si>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</si>
  <si>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</si>
  <si>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</si>
  <si>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</si>
  <si>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</si>
  <si>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</si>
  <si>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</si>
  <si>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</si>
  <si>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</si>
  <si>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</si>
  <si>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</si>
  <si>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</si>
  <si>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</si>
  <si>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</si>
  <si>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</si>
  <si>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</si>
  <si>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</si>
  <si>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</si>
  <si>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</si>
  <si>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</si>
  <si>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</si>
  <si>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</si>
  <si>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</si>
  <si>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</si>
  <si>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</si>
  <si>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</si>
  <si>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</si>
  <si>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</si>
  <si>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</si>
  <si>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</si>
  <si>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</si>
  <si>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</si>
  <si>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</si>
  <si>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</si>
  <si>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</si>
  <si>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</si>
  <si>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</si>
  <si>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</si>
  <si>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</si>
  <si>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</si>
  <si>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</si>
  <si>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</si>
  <si>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</si>
  <si>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</si>
  <si>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</si>
  <si>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</si>
  <si>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</si>
  <si>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</si>
  <si>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</si>
  <si>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</si>
  <si>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</si>
  <si>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</si>
  <si>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</si>
  <si>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</si>
  <si>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</si>
  <si>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</si>
  <si>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</si>
  <si>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</si>
  <si>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</si>
  <si>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</si>
  <si>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</si>
  <si>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</si>
  <si>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</si>
  <si>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</si>
  <si>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</si>
  <si>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</si>
  <si>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</si>
  <si>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</si>
  <si>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</si>
  <si>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</si>
  <si>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</si>
  <si>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</si>
  <si>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</si>
  <si>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</si>
  <si>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These are pulling from CZ 2B, for whatever reason</t>
  </si>
  <si>
    <t>Not clear why these are pulling from the CZ they are pulling from…</t>
  </si>
  <si>
    <t>Green cells vary by CZ</t>
  </si>
  <si>
    <t>T24 CZ</t>
  </si>
  <si>
    <t>DOE/IECC CZ</t>
  </si>
  <si>
    <t>DO NOT INCLUDE CEILING!!!!????\</t>
  </si>
  <si>
    <t>????????????????????????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</si>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</sst>
</file>

<file path=xl/styles.xml><?xml version="1.0" encoding="utf-8"?>
<styleSheet xmlns="http://schemas.openxmlformats.org/spreadsheetml/2006/main">
  <numFmts count="8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.#"/>
    <numFmt numFmtId="169" formatCode="#,##0.0000000"/>
    <numFmt numFmtId="170" formatCode="#,##0.0"/>
  </numFmts>
  <fonts count="55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indexed="8"/>
      <name val="Calibri"/>
      <family val="2"/>
      <scheme val="minor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perscript"/>
      <sz val="11"/>
      <color indexed="17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indexed="8"/>
      <name val="Calibri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u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</fonts>
  <fills count="4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</fills>
  <borders count="3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8"/>
      </top>
      <bottom/>
      <diagonal/>
    </border>
    <border>
      <left style="thin">
        <color indexed="31"/>
      </left>
      <right style="thin">
        <color indexed="64"/>
      </right>
      <top style="thin">
        <color indexed="31"/>
      </top>
      <bottom style="thin">
        <color indexed="31"/>
      </bottom>
      <diagonal/>
    </border>
    <border>
      <left/>
      <right style="thin">
        <color indexed="64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1" applyNumberFormat="0" applyAlignment="0" applyProtection="0"/>
    <xf numFmtId="0" fontId="5" fillId="0" borderId="0"/>
    <xf numFmtId="0" fontId="9" fillId="6" borderId="0"/>
    <xf numFmtId="0" fontId="10" fillId="0" borderId="0"/>
    <xf numFmtId="0" fontId="5" fillId="7" borderId="0"/>
    <xf numFmtId="0" fontId="5" fillId="8" borderId="0"/>
    <xf numFmtId="0" fontId="5" fillId="9" borderId="0"/>
    <xf numFmtId="0" fontId="5" fillId="10" borderId="0"/>
    <xf numFmtId="0" fontId="5" fillId="11" borderId="0"/>
    <xf numFmtId="0" fontId="5" fillId="12" borderId="0"/>
    <xf numFmtId="0" fontId="5" fillId="13" borderId="0"/>
    <xf numFmtId="0" fontId="5" fillId="14" borderId="0"/>
    <xf numFmtId="0" fontId="5" fillId="15" borderId="0"/>
    <xf numFmtId="0" fontId="5" fillId="16" borderId="0"/>
    <xf numFmtId="0" fontId="5" fillId="17" borderId="0"/>
    <xf numFmtId="0" fontId="5" fillId="18" borderId="0"/>
    <xf numFmtId="0" fontId="11" fillId="19" borderId="0"/>
    <xf numFmtId="0" fontId="11" fillId="20" borderId="0"/>
    <xf numFmtId="0" fontId="11" fillId="21" borderId="0"/>
    <xf numFmtId="0" fontId="11" fillId="22" borderId="0"/>
    <xf numFmtId="0" fontId="11" fillId="23" borderId="0"/>
    <xf numFmtId="0" fontId="11" fillId="24" borderId="0"/>
    <xf numFmtId="0" fontId="11" fillId="25" borderId="0"/>
    <xf numFmtId="0" fontId="11" fillId="26" borderId="0"/>
    <xf numFmtId="0" fontId="11" fillId="27" borderId="0"/>
    <xf numFmtId="0" fontId="11" fillId="28" borderId="0"/>
    <xf numFmtId="0" fontId="11" fillId="29" borderId="0"/>
    <xf numFmtId="0" fontId="11" fillId="30" borderId="0"/>
    <xf numFmtId="0" fontId="12" fillId="31" borderId="0"/>
    <xf numFmtId="0" fontId="13" fillId="32" borderId="3"/>
    <xf numFmtId="0" fontId="14" fillId="33" borderId="4"/>
    <xf numFmtId="0" fontId="15" fillId="0" borderId="0"/>
    <xf numFmtId="0" fontId="16" fillId="0" borderId="5"/>
    <xf numFmtId="0" fontId="17" fillId="0" borderId="6"/>
    <xf numFmtId="0" fontId="18" fillId="0" borderId="7"/>
    <xf numFmtId="0" fontId="18" fillId="0" borderId="0"/>
    <xf numFmtId="0" fontId="19" fillId="34" borderId="3"/>
    <xf numFmtId="0" fontId="20" fillId="0" borderId="8"/>
    <xf numFmtId="0" fontId="21" fillId="35" borderId="0"/>
    <xf numFmtId="0" fontId="5" fillId="36" borderId="9"/>
    <xf numFmtId="0" fontId="22" fillId="32" borderId="10"/>
    <xf numFmtId="0" fontId="23" fillId="0" borderId="0"/>
    <xf numFmtId="0" fontId="7" fillId="0" borderId="11"/>
    <xf numFmtId="0" fontId="24" fillId="0" borderId="0"/>
    <xf numFmtId="0" fontId="26" fillId="0" borderId="0"/>
    <xf numFmtId="9" fontId="26" fillId="0" borderId="0" applyFill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9" fontId="33" fillId="0" borderId="0" applyFont="0" applyFill="0" applyBorder="0" applyAlignment="0" applyProtection="0"/>
    <xf numFmtId="43" fontId="33" fillId="0" borderId="0" applyFont="0" applyFill="0" applyBorder="0" applyAlignment="0" applyProtection="0"/>
  </cellStyleXfs>
  <cellXfs count="434">
    <xf numFmtId="0" fontId="0" fillId="0" borderId="0" xfId="0"/>
    <xf numFmtId="0" fontId="5" fillId="0" borderId="0" xfId="5" applyFont="1"/>
    <xf numFmtId="0" fontId="5" fillId="0" borderId="0" xfId="5" applyFont="1" applyAlignment="1">
      <alignment horizontal="right"/>
    </xf>
    <xf numFmtId="0" fontId="5" fillId="0" borderId="0" xfId="5" applyAlignment="1">
      <alignment horizontal="center"/>
    </xf>
    <xf numFmtId="0" fontId="6" fillId="0" borderId="0" xfId="5" applyFont="1"/>
    <xf numFmtId="0" fontId="7" fillId="0" borderId="0" xfId="5" applyFont="1"/>
    <xf numFmtId="0" fontId="8" fillId="0" borderId="0" xfId="5" applyFont="1"/>
    <xf numFmtId="0" fontId="5" fillId="0" borderId="0" xfId="5"/>
    <xf numFmtId="164" fontId="9" fillId="6" borderId="0" xfId="6" applyNumberFormat="1" applyBorder="1" applyAlignment="1" applyProtection="1">
      <alignment horizontal="right"/>
    </xf>
    <xf numFmtId="0" fontId="10" fillId="0" borderId="0" xfId="7" applyNumberFormat="1" applyFont="1" applyFill="1" applyBorder="1" applyAlignment="1" applyProtection="1"/>
    <xf numFmtId="164" fontId="5" fillId="0" borderId="0" xfId="5" applyNumberFormat="1" applyAlignment="1">
      <alignment horizontal="right"/>
    </xf>
    <xf numFmtId="0" fontId="9" fillId="6" borderId="0" xfId="6" applyNumberFormat="1" applyBorder="1" applyAlignment="1" applyProtection="1">
      <alignment horizontal="right"/>
    </xf>
    <xf numFmtId="165" fontId="9" fillId="6" borderId="0" xfId="6" applyNumberFormat="1" applyBorder="1" applyAlignment="1" applyProtection="1">
      <alignment horizontal="right"/>
    </xf>
    <xf numFmtId="2" fontId="9" fillId="6" borderId="0" xfId="6" applyNumberFormat="1" applyBorder="1" applyAlignment="1" applyProtection="1">
      <alignment horizontal="right"/>
    </xf>
    <xf numFmtId="1" fontId="9" fillId="6" borderId="0" xfId="6" applyNumberFormat="1" applyBorder="1" applyAlignment="1" applyProtection="1">
      <alignment horizontal="right"/>
    </xf>
    <xf numFmtId="0" fontId="5" fillId="0" borderId="0" xfId="5" applyFont="1" applyAlignment="1">
      <alignment horizontal="center"/>
    </xf>
    <xf numFmtId="166" fontId="5" fillId="0" borderId="0" xfId="5" applyNumberFormat="1" applyAlignment="1">
      <alignment horizontal="right"/>
    </xf>
    <xf numFmtId="166" fontId="9" fillId="6" borderId="0" xfId="6" applyNumberFormat="1" applyBorder="1" applyAlignment="1" applyProtection="1">
      <alignment horizontal="right"/>
    </xf>
    <xf numFmtId="1" fontId="3" fillId="4" borderId="0" xfId="3" applyNumberFormat="1" applyAlignment="1">
      <alignment horizontal="right"/>
    </xf>
    <xf numFmtId="0" fontId="5" fillId="0" borderId="2" xfId="5" applyFont="1" applyBorder="1"/>
    <xf numFmtId="166" fontId="3" fillId="4" borderId="0" xfId="3" applyNumberFormat="1" applyAlignment="1">
      <alignment horizontal="right"/>
    </xf>
    <xf numFmtId="167" fontId="9" fillId="6" borderId="0" xfId="6" applyNumberFormat="1" applyBorder="1" applyAlignment="1" applyProtection="1">
      <alignment horizontal="right"/>
    </xf>
    <xf numFmtId="0" fontId="2" fillId="3" borderId="0" xfId="2"/>
    <xf numFmtId="20" fontId="5" fillId="0" borderId="0" xfId="5" applyNumberFormat="1" applyFont="1"/>
    <xf numFmtId="2" fontId="3" fillId="4" borderId="0" xfId="3" applyNumberFormat="1" applyAlignment="1">
      <alignment horizontal="right"/>
    </xf>
    <xf numFmtId="164" fontId="3" fillId="4" borderId="0" xfId="3" applyNumberFormat="1" applyAlignment="1">
      <alignment horizontal="right"/>
    </xf>
    <xf numFmtId="0" fontId="5" fillId="0" borderId="0" xfId="5" applyAlignment="1">
      <alignment horizontal="right"/>
    </xf>
    <xf numFmtId="0" fontId="25" fillId="0" borderId="0" xfId="5" applyFont="1"/>
    <xf numFmtId="166" fontId="5" fillId="0" borderId="0" xfId="5" applyNumberFormat="1"/>
    <xf numFmtId="1" fontId="5" fillId="0" borderId="0" xfId="5" applyNumberFormat="1"/>
    <xf numFmtId="2" fontId="5" fillId="0" borderId="0" xfId="5" applyNumberFormat="1"/>
    <xf numFmtId="166" fontId="5" fillId="0" borderId="0" xfId="5" applyNumberFormat="1" applyFont="1"/>
    <xf numFmtId="164" fontId="5" fillId="0" borderId="0" xfId="5" applyNumberFormat="1" applyFont="1"/>
    <xf numFmtId="0" fontId="5" fillId="0" borderId="0" xfId="5" applyFont="1" applyBorder="1"/>
    <xf numFmtId="0" fontId="27" fillId="0" borderId="0" xfId="48" applyFont="1"/>
    <xf numFmtId="165" fontId="5" fillId="0" borderId="0" xfId="5" applyNumberFormat="1" applyFont="1"/>
    <xf numFmtId="0" fontId="28" fillId="0" borderId="0" xfId="5" applyFont="1"/>
    <xf numFmtId="0" fontId="5" fillId="0" borderId="12" xfId="5" applyFont="1" applyBorder="1"/>
    <xf numFmtId="2" fontId="5" fillId="0" borderId="0" xfId="5" applyNumberFormat="1" applyFont="1"/>
    <xf numFmtId="164" fontId="27" fillId="0" borderId="0" xfId="48" applyNumberFormat="1" applyFont="1"/>
    <xf numFmtId="9" fontId="26" fillId="0" borderId="0" xfId="49" applyFont="1"/>
    <xf numFmtId="0" fontId="15" fillId="0" borderId="0" xfId="35" applyNumberFormat="1" applyFont="1" applyFill="1" applyBorder="1" applyAlignment="1" applyProtection="1"/>
    <xf numFmtId="164" fontId="5" fillId="0" borderId="0" xfId="5" applyNumberFormat="1"/>
    <xf numFmtId="165" fontId="5" fillId="0" borderId="0" xfId="5" applyNumberFormat="1"/>
    <xf numFmtId="0" fontId="9" fillId="6" borderId="0" xfId="6" applyNumberFormat="1" applyBorder="1" applyAlignment="1" applyProtection="1"/>
    <xf numFmtId="165" fontId="9" fillId="6" borderId="0" xfId="6" applyNumberFormat="1" applyBorder="1" applyAlignment="1" applyProtection="1"/>
    <xf numFmtId="0" fontId="26" fillId="0" borderId="0" xfId="48"/>
    <xf numFmtId="0" fontId="28" fillId="0" borderId="0" xfId="5" applyFont="1" applyAlignment="1">
      <alignment horizontal="left"/>
    </xf>
    <xf numFmtId="0" fontId="28" fillId="0" borderId="0" xfId="5" applyFont="1" applyAlignment="1">
      <alignment horizontal="center"/>
    </xf>
    <xf numFmtId="0" fontId="5" fillId="0" borderId="0" xfId="5" applyAlignment="1"/>
    <xf numFmtId="2" fontId="5" fillId="0" borderId="0" xfId="5" applyNumberFormat="1" applyAlignment="1"/>
    <xf numFmtId="1" fontId="5" fillId="0" borderId="0" xfId="5" applyNumberFormat="1" applyAlignment="1"/>
    <xf numFmtId="0" fontId="1" fillId="2" borderId="0" xfId="1" applyAlignment="1">
      <alignment horizontal="center"/>
    </xf>
    <xf numFmtId="1" fontId="1" fillId="2" borderId="0" xfId="1" applyNumberFormat="1" applyAlignment="1"/>
    <xf numFmtId="2" fontId="1" fillId="2" borderId="0" xfId="1" applyNumberFormat="1"/>
    <xf numFmtId="0" fontId="29" fillId="0" borderId="0" xfId="50" applyAlignment="1" applyProtection="1"/>
    <xf numFmtId="0" fontId="5" fillId="0" borderId="0" xfId="5" applyNumberFormat="1" applyAlignment="1">
      <alignment horizontal="center"/>
    </xf>
    <xf numFmtId="2" fontId="5" fillId="0" borderId="0" xfId="5" applyNumberFormat="1" applyAlignment="1">
      <alignment horizontal="center"/>
    </xf>
    <xf numFmtId="166" fontId="5" fillId="0" borderId="0" xfId="5" applyNumberFormat="1" applyAlignment="1">
      <alignment horizontal="center"/>
    </xf>
    <xf numFmtId="2" fontId="5" fillId="0" borderId="0" xfId="5" applyNumberFormat="1" applyFont="1" applyAlignment="1">
      <alignment horizontal="center"/>
    </xf>
    <xf numFmtId="0" fontId="25" fillId="0" borderId="0" xfId="5" applyFont="1" applyAlignment="1">
      <alignment horizontal="center"/>
    </xf>
    <xf numFmtId="0" fontId="9" fillId="6" borderId="0" xfId="6" applyNumberFormat="1" applyBorder="1" applyAlignment="1" applyProtection="1">
      <alignment horizontal="center"/>
    </xf>
    <xf numFmtId="9" fontId="9" fillId="6" borderId="0" xfId="6" applyNumberFormat="1" applyBorder="1" applyAlignment="1" applyProtection="1">
      <alignment horizontal="center"/>
    </xf>
    <xf numFmtId="166" fontId="9" fillId="6" borderId="0" xfId="6" applyNumberFormat="1" applyBorder="1" applyAlignment="1" applyProtection="1">
      <alignment horizontal="center"/>
    </xf>
    <xf numFmtId="166" fontId="5" fillId="0" borderId="0" xfId="5" applyNumberFormat="1" applyFont="1" applyAlignment="1">
      <alignment horizontal="center"/>
    </xf>
    <xf numFmtId="0" fontId="5" fillId="0" borderId="2" xfId="5" applyFont="1" applyBorder="1" applyAlignment="1">
      <alignment horizontal="center"/>
    </xf>
    <xf numFmtId="0" fontId="5" fillId="0" borderId="0" xfId="5" applyFont="1" applyBorder="1" applyAlignment="1">
      <alignment horizontal="center"/>
    </xf>
    <xf numFmtId="0" fontId="5" fillId="0" borderId="0" xfId="5" applyFont="1" applyFill="1" applyBorder="1" applyAlignment="1">
      <alignment horizontal="center"/>
    </xf>
    <xf numFmtId="0" fontId="15" fillId="0" borderId="2" xfId="35" applyNumberFormat="1" applyFill="1" applyBorder="1" applyAlignment="1" applyProtection="1">
      <alignment horizontal="center"/>
    </xf>
    <xf numFmtId="0" fontId="15" fillId="0" borderId="0" xfId="35" applyNumberFormat="1" applyFill="1" applyBorder="1" applyAlignment="1" applyProtection="1">
      <alignment horizontal="center"/>
    </xf>
    <xf numFmtId="166" fontId="5" fillId="0" borderId="2" xfId="5" applyNumberFormat="1" applyFont="1" applyBorder="1" applyAlignment="1">
      <alignment horizontal="center"/>
    </xf>
    <xf numFmtId="0" fontId="5" fillId="0" borderId="2" xfId="5" applyBorder="1" applyAlignment="1">
      <alignment horizontal="center"/>
    </xf>
    <xf numFmtId="0" fontId="5" fillId="0" borderId="0" xfId="5" applyFont="1" applyAlignment="1">
      <alignment horizontal="left"/>
    </xf>
    <xf numFmtId="168" fontId="5" fillId="0" borderId="0" xfId="5" applyNumberFormat="1"/>
    <xf numFmtId="0" fontId="1" fillId="2" borderId="0" xfId="1"/>
    <xf numFmtId="166" fontId="1" fillId="2" borderId="0" xfId="1" applyNumberFormat="1"/>
    <xf numFmtId="9" fontId="5" fillId="0" borderId="0" xfId="5" applyNumberFormat="1"/>
    <xf numFmtId="0" fontId="5" fillId="0" borderId="0" xfId="5" applyFill="1"/>
    <xf numFmtId="167" fontId="5" fillId="0" borderId="0" xfId="5" applyNumberFormat="1" applyFill="1"/>
    <xf numFmtId="2" fontId="5" fillId="0" borderId="0" xfId="5" applyNumberFormat="1" applyFill="1"/>
    <xf numFmtId="164" fontId="5" fillId="0" borderId="0" xfId="5" applyNumberFormat="1" applyFill="1"/>
    <xf numFmtId="1" fontId="5" fillId="0" borderId="0" xfId="5" applyNumberFormat="1" applyFill="1"/>
    <xf numFmtId="1" fontId="1" fillId="2" borderId="0" xfId="1" applyNumberFormat="1"/>
    <xf numFmtId="0" fontId="31" fillId="0" borderId="0" xfId="48" applyFont="1"/>
    <xf numFmtId="165" fontId="1" fillId="2" borderId="0" xfId="1" applyNumberFormat="1"/>
    <xf numFmtId="0" fontId="32" fillId="0" borderId="0" xfId="48" applyFont="1"/>
    <xf numFmtId="0" fontId="7" fillId="0" borderId="0" xfId="5" applyFont="1" applyAlignment="1">
      <alignment horizontal="left"/>
    </xf>
    <xf numFmtId="9" fontId="5" fillId="0" borderId="0" xfId="51" applyFont="1"/>
    <xf numFmtId="0" fontId="29" fillId="0" borderId="0" xfId="50" applyNumberFormat="1" applyFill="1" applyBorder="1" applyAlignment="1" applyProtection="1"/>
    <xf numFmtId="0" fontId="0" fillId="0" borderId="0" xfId="0" applyAlignment="1">
      <alignment horizontal="left"/>
    </xf>
    <xf numFmtId="0" fontId="34" fillId="0" borderId="0" xfId="0" applyFont="1" applyAlignment="1">
      <alignment horizontal="left"/>
    </xf>
    <xf numFmtId="0" fontId="5" fillId="38" borderId="0" xfId="5" applyFill="1"/>
    <xf numFmtId="0" fontId="5" fillId="38" borderId="0" xfId="5" applyFont="1" applyFill="1"/>
    <xf numFmtId="0" fontId="5" fillId="0" borderId="0" xfId="5" applyFont="1" applyFill="1"/>
    <xf numFmtId="164" fontId="5" fillId="38" borderId="0" xfId="5" applyNumberFormat="1" applyFont="1" applyFill="1"/>
    <xf numFmtId="0" fontId="7" fillId="38" borderId="0" xfId="5" applyFont="1" applyFill="1"/>
    <xf numFmtId="0" fontId="25" fillId="38" borderId="0" xfId="5" applyFont="1" applyFill="1"/>
    <xf numFmtId="0" fontId="5" fillId="40" borderId="0" xfId="5" applyFont="1" applyFill="1"/>
    <xf numFmtId="1" fontId="5" fillId="40" borderId="0" xfId="5" applyNumberFormat="1" applyFont="1" applyFill="1"/>
    <xf numFmtId="164" fontId="5" fillId="40" borderId="0" xfId="5" applyNumberFormat="1" applyFont="1" applyFill="1"/>
    <xf numFmtId="0" fontId="5" fillId="40" borderId="0" xfId="5" quotePrefix="1" applyFont="1" applyFill="1"/>
    <xf numFmtId="166" fontId="5" fillId="40" borderId="0" xfId="5" applyNumberFormat="1" applyFont="1" applyFill="1"/>
    <xf numFmtId="0" fontId="28" fillId="0" borderId="13" xfId="5" applyFont="1" applyBorder="1" applyAlignment="1"/>
    <xf numFmtId="0" fontId="28" fillId="0" borderId="13" xfId="5" applyFont="1" applyBorder="1" applyAlignment="1">
      <alignment horizontal="center"/>
    </xf>
    <xf numFmtId="0" fontId="28" fillId="0" borderId="15" xfId="5" applyFont="1" applyBorder="1" applyAlignment="1">
      <alignment horizontal="center"/>
    </xf>
    <xf numFmtId="0" fontId="5" fillId="0" borderId="14" xfId="5" applyBorder="1" applyAlignment="1">
      <alignment horizontal="center"/>
    </xf>
    <xf numFmtId="0" fontId="5" fillId="0" borderId="14" xfId="5" applyFont="1" applyBorder="1" applyAlignment="1">
      <alignment horizontal="center"/>
    </xf>
    <xf numFmtId="0" fontId="1" fillId="2" borderId="14" xfId="1" applyFont="1" applyBorder="1" applyAlignment="1">
      <alignment horizontal="center"/>
    </xf>
    <xf numFmtId="0" fontId="1" fillId="2" borderId="14" xfId="1" applyBorder="1" applyAlignment="1">
      <alignment horizontal="center"/>
    </xf>
    <xf numFmtId="0" fontId="5" fillId="0" borderId="0" xfId="5" applyBorder="1"/>
    <xf numFmtId="166" fontId="5" fillId="0" borderId="14" xfId="5" applyNumberFormat="1" applyBorder="1"/>
    <xf numFmtId="0" fontId="5" fillId="0" borderId="15" xfId="5" applyBorder="1"/>
    <xf numFmtId="0" fontId="28" fillId="0" borderId="22" xfId="5" applyFont="1" applyBorder="1"/>
    <xf numFmtId="0" fontId="28" fillId="0" borderId="23" xfId="5" applyFont="1" applyBorder="1"/>
    <xf numFmtId="0" fontId="28" fillId="0" borderId="16" xfId="5" applyFont="1" applyBorder="1"/>
    <xf numFmtId="0" fontId="5" fillId="0" borderId="24" xfId="5" applyBorder="1"/>
    <xf numFmtId="0" fontId="5" fillId="0" borderId="14" xfId="5" applyBorder="1"/>
    <xf numFmtId="0" fontId="5" fillId="0" borderId="19" xfId="5" applyBorder="1" applyAlignment="1">
      <alignment horizontal="center"/>
    </xf>
    <xf numFmtId="0" fontId="28" fillId="0" borderId="22" xfId="5" applyFont="1" applyBorder="1" applyAlignment="1">
      <alignment horizontal="center"/>
    </xf>
    <xf numFmtId="0" fontId="28" fillId="0" borderId="14" xfId="5" applyFont="1" applyBorder="1"/>
    <xf numFmtId="0" fontId="5" fillId="0" borderId="26" xfId="5" applyFont="1" applyBorder="1"/>
    <xf numFmtId="0" fontId="15" fillId="0" borderId="14" xfId="35" applyNumberFormat="1" applyFont="1" applyFill="1" applyBorder="1" applyAlignment="1" applyProtection="1"/>
    <xf numFmtId="0" fontId="5" fillId="0" borderId="14" xfId="5" applyFont="1" applyBorder="1"/>
    <xf numFmtId="0" fontId="15" fillId="0" borderId="26" xfId="35" applyNumberFormat="1" applyFont="1" applyFill="1" applyBorder="1" applyAlignment="1" applyProtection="1"/>
    <xf numFmtId="0" fontId="5" fillId="37" borderId="27" xfId="5" applyFont="1" applyFill="1" applyBorder="1" applyAlignment="1">
      <alignment horizontal="left"/>
    </xf>
    <xf numFmtId="0" fontId="29" fillId="0" borderId="0" xfId="50" applyNumberFormat="1" applyFill="1" applyBorder="1" applyAlignment="1" applyProtection="1">
      <alignment horizontal="center"/>
    </xf>
    <xf numFmtId="0" fontId="5" fillId="0" borderId="13" xfId="5" applyBorder="1"/>
    <xf numFmtId="0" fontId="5" fillId="38" borderId="14" xfId="5" applyFill="1" applyBorder="1" applyAlignment="1">
      <alignment horizontal="center"/>
    </xf>
    <xf numFmtId="0" fontId="5" fillId="38" borderId="14" xfId="5" applyFill="1" applyBorder="1"/>
    <xf numFmtId="0" fontId="7" fillId="0" borderId="15" xfId="5" applyFont="1" applyBorder="1"/>
    <xf numFmtId="0" fontId="28" fillId="0" borderId="15" xfId="5" applyFont="1" applyBorder="1"/>
    <xf numFmtId="0" fontId="28" fillId="0" borderId="13" xfId="5" applyFont="1" applyBorder="1"/>
    <xf numFmtId="0" fontId="28" fillId="38" borderId="15" xfId="5" applyFont="1" applyFill="1" applyBorder="1"/>
    <xf numFmtId="0" fontId="28" fillId="38" borderId="13" xfId="5" applyFont="1" applyFill="1" applyBorder="1"/>
    <xf numFmtId="0" fontId="5" fillId="0" borderId="19" xfId="5" applyBorder="1"/>
    <xf numFmtId="0" fontId="1" fillId="2" borderId="14" xfId="1" applyBorder="1"/>
    <xf numFmtId="0" fontId="5" fillId="0" borderId="18" xfId="5" applyBorder="1"/>
    <xf numFmtId="0" fontId="7" fillId="0" borderId="17" xfId="5" applyFont="1" applyBorder="1"/>
    <xf numFmtId="0" fontId="7" fillId="0" borderId="19" xfId="5" applyFont="1" applyBorder="1"/>
    <xf numFmtId="0" fontId="7" fillId="0" borderId="18" xfId="5" applyFont="1" applyBorder="1"/>
    <xf numFmtId="0" fontId="7" fillId="0" borderId="20" xfId="5" applyFont="1" applyBorder="1"/>
    <xf numFmtId="0" fontId="7" fillId="0" borderId="14" xfId="5" applyFont="1" applyBorder="1"/>
    <xf numFmtId="0" fontId="7" fillId="0" borderId="0" xfId="5" applyFont="1" applyBorder="1"/>
    <xf numFmtId="0" fontId="7" fillId="0" borderId="21" xfId="5" applyFont="1" applyBorder="1"/>
    <xf numFmtId="0" fontId="9" fillId="6" borderId="14" xfId="6" applyNumberFormat="1" applyBorder="1" applyAlignment="1" applyProtection="1"/>
    <xf numFmtId="0" fontId="25" fillId="0" borderId="14" xfId="5" applyFont="1" applyBorder="1"/>
    <xf numFmtId="0" fontId="5" fillId="0" borderId="15" xfId="5" applyFont="1" applyBorder="1"/>
    <xf numFmtId="0" fontId="5" fillId="0" borderId="13" xfId="5" applyFont="1" applyBorder="1"/>
    <xf numFmtId="0" fontId="5" fillId="0" borderId="14" xfId="5" applyFont="1" applyFill="1" applyBorder="1"/>
    <xf numFmtId="0" fontId="5" fillId="38" borderId="14" xfId="5" applyFont="1" applyFill="1" applyBorder="1"/>
    <xf numFmtId="0" fontId="5" fillId="40" borderId="14" xfId="5" applyFont="1" applyFill="1" applyBorder="1"/>
    <xf numFmtId="0" fontId="5" fillId="0" borderId="28" xfId="5" applyFont="1" applyBorder="1"/>
    <xf numFmtId="49" fontId="5" fillId="0" borderId="14" xfId="5" applyNumberFormat="1" applyFont="1" applyBorder="1" applyAlignment="1"/>
    <xf numFmtId="0" fontId="5" fillId="40" borderId="13" xfId="5" applyFont="1" applyFill="1" applyBorder="1"/>
    <xf numFmtId="0" fontId="28" fillId="40" borderId="15" xfId="5" quotePrefix="1" applyFont="1" applyFill="1" applyBorder="1"/>
    <xf numFmtId="0" fontId="0" fillId="40" borderId="14" xfId="0" applyFill="1" applyBorder="1"/>
    <xf numFmtId="0" fontId="5" fillId="0" borderId="0" xfId="5" applyBorder="1" applyAlignment="1">
      <alignment horizontal="center"/>
    </xf>
    <xf numFmtId="0" fontId="9" fillId="6" borderId="13" xfId="6" applyNumberFormat="1" applyBorder="1" applyAlignment="1" applyProtection="1">
      <alignment horizontal="right"/>
    </xf>
    <xf numFmtId="0" fontId="5" fillId="0" borderId="13" xfId="5" applyBorder="1" applyAlignment="1">
      <alignment horizontal="center"/>
    </xf>
    <xf numFmtId="0" fontId="9" fillId="6" borderId="18" xfId="6" applyNumberFormat="1" applyBorder="1" applyAlignment="1" applyProtection="1">
      <alignment horizontal="right"/>
    </xf>
    <xf numFmtId="0" fontId="5" fillId="0" borderId="18" xfId="5" applyFont="1" applyBorder="1" applyAlignment="1">
      <alignment horizontal="center"/>
    </xf>
    <xf numFmtId="0" fontId="7" fillId="0" borderId="13" xfId="5" applyFont="1" applyBorder="1"/>
    <xf numFmtId="0" fontId="7" fillId="0" borderId="22" xfId="5" applyFont="1" applyBorder="1"/>
    <xf numFmtId="0" fontId="7" fillId="0" borderId="22" xfId="5" applyFont="1" applyBorder="1" applyAlignment="1">
      <alignment horizontal="center"/>
    </xf>
    <xf numFmtId="1" fontId="9" fillId="6" borderId="18" xfId="6" applyNumberFormat="1" applyBorder="1" applyAlignment="1" applyProtection="1">
      <alignment horizontal="right"/>
    </xf>
    <xf numFmtId="0" fontId="5" fillId="0" borderId="18" xfId="5" applyBorder="1" applyAlignment="1">
      <alignment horizontal="center"/>
    </xf>
    <xf numFmtId="0" fontId="5" fillId="0" borderId="17" xfId="5" applyBorder="1"/>
    <xf numFmtId="0" fontId="5" fillId="0" borderId="20" xfId="5" applyBorder="1"/>
    <xf numFmtId="0" fontId="5" fillId="0" borderId="21" xfId="5" applyBorder="1"/>
    <xf numFmtId="2" fontId="9" fillId="6" borderId="18" xfId="6" applyNumberFormat="1" applyBorder="1" applyAlignment="1" applyProtection="1">
      <alignment horizontal="right"/>
    </xf>
    <xf numFmtId="0" fontId="5" fillId="0" borderId="18" xfId="5" applyFont="1" applyBorder="1"/>
    <xf numFmtId="0" fontId="7" fillId="0" borderId="22" xfId="5" applyFont="1" applyBorder="1" applyAlignment="1">
      <alignment horizontal="left"/>
    </xf>
    <xf numFmtId="0" fontId="4" fillId="41" borderId="1" xfId="4" applyFill="1"/>
    <xf numFmtId="1" fontId="9" fillId="6" borderId="13" xfId="6" applyNumberFormat="1" applyBorder="1" applyAlignment="1" applyProtection="1">
      <alignment horizontal="right"/>
    </xf>
    <xf numFmtId="0" fontId="5" fillId="0" borderId="13" xfId="5" applyFill="1" applyBorder="1"/>
    <xf numFmtId="0" fontId="5" fillId="0" borderId="0" xfId="5" applyFill="1" applyBorder="1"/>
    <xf numFmtId="0" fontId="5" fillId="42" borderId="0" xfId="5" applyFill="1" applyAlignment="1">
      <alignment horizontal="center"/>
    </xf>
    <xf numFmtId="0" fontId="5" fillId="0" borderId="22" xfId="5" applyBorder="1" applyAlignment="1">
      <alignment horizontal="center"/>
    </xf>
    <xf numFmtId="0" fontId="5" fillId="42" borderId="22" xfId="5" applyFill="1" applyBorder="1" applyAlignment="1">
      <alignment horizontal="center"/>
    </xf>
    <xf numFmtId="0" fontId="5" fillId="0" borderId="0" xfId="5"/>
    <xf numFmtId="166" fontId="5" fillId="0" borderId="0" xfId="5" applyNumberFormat="1"/>
    <xf numFmtId="0" fontId="0" fillId="0" borderId="0" xfId="0"/>
    <xf numFmtId="0" fontId="5" fillId="0" borderId="0" xfId="5"/>
    <xf numFmtId="0" fontId="7" fillId="0" borderId="0" xfId="5" applyFont="1"/>
    <xf numFmtId="0" fontId="25" fillId="0" borderId="0" xfId="5" applyFont="1"/>
    <xf numFmtId="0" fontId="29" fillId="0" borderId="0" xfId="50" applyAlignment="1" applyProtection="1"/>
    <xf numFmtId="0" fontId="25" fillId="0" borderId="0" xfId="5" applyFont="1"/>
    <xf numFmtId="0" fontId="42" fillId="0" borderId="0" xfId="5" applyFont="1"/>
    <xf numFmtId="1" fontId="5" fillId="0" borderId="0" xfId="5" applyNumberFormat="1" applyAlignment="1">
      <alignment horizontal="right"/>
    </xf>
    <xf numFmtId="0" fontId="5" fillId="0" borderId="19" xfId="5" applyFill="1" applyBorder="1"/>
    <xf numFmtId="0" fontId="5" fillId="0" borderId="14" xfId="5" applyFill="1" applyBorder="1"/>
    <xf numFmtId="0" fontId="5" fillId="0" borderId="15" xfId="5" applyFill="1" applyBorder="1"/>
    <xf numFmtId="0" fontId="39" fillId="0" borderId="0" xfId="0" applyFont="1" applyBorder="1" applyAlignment="1">
      <alignment vertical="center" wrapText="1"/>
    </xf>
    <xf numFmtId="0" fontId="43" fillId="0" borderId="13" xfId="0" applyFont="1" applyBorder="1" applyAlignment="1">
      <alignment vertical="center" wrapText="1"/>
    </xf>
    <xf numFmtId="0" fontId="43" fillId="0" borderId="25" xfId="0" applyFont="1" applyBorder="1" applyAlignment="1">
      <alignment vertical="center" wrapText="1"/>
    </xf>
    <xf numFmtId="0" fontId="39" fillId="0" borderId="24" xfId="0" applyFont="1" applyBorder="1" applyAlignment="1">
      <alignment horizontal="center" vertical="center" wrapText="1"/>
    </xf>
    <xf numFmtId="0" fontId="39" fillId="0" borderId="24" xfId="0" applyFont="1" applyBorder="1" applyAlignment="1">
      <alignment vertical="center" wrapText="1"/>
    </xf>
    <xf numFmtId="2" fontId="5" fillId="0" borderId="0" xfId="5" applyNumberFormat="1" applyFont="1" applyBorder="1"/>
    <xf numFmtId="3" fontId="5" fillId="0" borderId="0" xfId="5" applyNumberFormat="1"/>
    <xf numFmtId="1" fontId="5" fillId="38" borderId="0" xfId="5" applyNumberFormat="1" applyFont="1" applyFill="1"/>
    <xf numFmtId="0" fontId="5" fillId="0" borderId="16" xfId="5" applyBorder="1" applyAlignment="1">
      <alignment horizontal="center"/>
    </xf>
    <xf numFmtId="0" fontId="5" fillId="0" borderId="16" xfId="5" applyBorder="1"/>
    <xf numFmtId="0" fontId="45" fillId="0" borderId="0" xfId="0" applyFont="1"/>
    <xf numFmtId="0" fontId="49" fillId="0" borderId="0" xfId="0" quotePrefix="1" applyFont="1" applyBorder="1" applyAlignment="1">
      <alignment horizontal="left" vertical="center"/>
    </xf>
    <xf numFmtId="0" fontId="47" fillId="0" borderId="19" xfId="0" applyFont="1" applyBorder="1" applyAlignment="1">
      <alignment horizontal="center" vertical="center" wrapText="1"/>
    </xf>
    <xf numFmtId="0" fontId="47" fillId="0" borderId="14" xfId="0" applyFont="1" applyBorder="1" applyAlignment="1">
      <alignment horizontal="center" vertical="center" wrapText="1"/>
    </xf>
    <xf numFmtId="0" fontId="47" fillId="0" borderId="20" xfId="0" applyFont="1" applyBorder="1" applyAlignment="1">
      <alignment horizontal="center" vertical="center" wrapText="1"/>
    </xf>
    <xf numFmtId="0" fontId="47" fillId="0" borderId="21" xfId="0" applyFont="1" applyBorder="1" applyAlignment="1">
      <alignment horizontal="center" vertical="center" wrapText="1"/>
    </xf>
    <xf numFmtId="0" fontId="47" fillId="0" borderId="15" xfId="0" applyFont="1" applyBorder="1" applyAlignment="1">
      <alignment horizontal="center" vertical="center" wrapText="1"/>
    </xf>
    <xf numFmtId="0" fontId="47" fillId="0" borderId="29" xfId="0" applyFont="1" applyBorder="1" applyAlignment="1">
      <alignment horizontal="center" vertical="center" wrapText="1"/>
    </xf>
    <xf numFmtId="0" fontId="47" fillId="0" borderId="25" xfId="0" applyFont="1" applyBorder="1" applyAlignment="1">
      <alignment horizontal="center" vertical="center" wrapText="1"/>
    </xf>
    <xf numFmtId="0" fontId="47" fillId="0" borderId="24" xfId="0" applyFont="1" applyBorder="1" applyAlignment="1">
      <alignment horizontal="center" vertical="center" wrapText="1"/>
    </xf>
    <xf numFmtId="0" fontId="47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8" fillId="0" borderId="13" xfId="5" applyFont="1" applyBorder="1" applyAlignment="1">
      <alignment horizontal="left" vertical="center"/>
    </xf>
    <xf numFmtId="0" fontId="28" fillId="0" borderId="13" xfId="5" applyFont="1" applyBorder="1" applyAlignment="1">
      <alignment horizontal="center" vertical="center"/>
    </xf>
    <xf numFmtId="0" fontId="25" fillId="0" borderId="0" xfId="5" applyFont="1" applyAlignment="1">
      <alignment horizontal="left" vertical="center"/>
    </xf>
    <xf numFmtId="166" fontId="5" fillId="0" borderId="16" xfId="5" applyNumberFormat="1" applyBorder="1"/>
    <xf numFmtId="0" fontId="5" fillId="0" borderId="0" xfId="5" applyAlignment="1">
      <alignment horizontal="left" vertical="center"/>
    </xf>
    <xf numFmtId="0" fontId="5" fillId="0" borderId="19" xfId="5" applyBorder="1" applyAlignment="1">
      <alignment horizontal="left" vertical="center"/>
    </xf>
    <xf numFmtId="166" fontId="5" fillId="0" borderId="18" xfId="5" applyNumberFormat="1" applyBorder="1" applyAlignment="1">
      <alignment horizontal="center"/>
    </xf>
    <xf numFmtId="2" fontId="5" fillId="0" borderId="0" xfId="5" applyNumberFormat="1" applyAlignment="1">
      <alignment horizontal="right"/>
    </xf>
    <xf numFmtId="2" fontId="1" fillId="2" borderId="0" xfId="1" applyNumberFormat="1" applyAlignment="1">
      <alignment horizontal="right"/>
    </xf>
    <xf numFmtId="0" fontId="5" fillId="0" borderId="0" xfId="5" applyAlignment="1">
      <alignment horizontal="left"/>
    </xf>
    <xf numFmtId="166" fontId="5" fillId="0" borderId="14" xfId="5" applyNumberFormat="1" applyBorder="1" applyAlignment="1">
      <alignment horizontal="center"/>
    </xf>
    <xf numFmtId="0" fontId="28" fillId="0" borderId="0" xfId="5" applyFont="1" applyBorder="1" applyAlignment="1">
      <alignment horizontal="center"/>
    </xf>
    <xf numFmtId="0" fontId="5" fillId="0" borderId="13" xfId="5" applyBorder="1" applyAlignment="1">
      <alignment horizontal="left"/>
    </xf>
    <xf numFmtId="0" fontId="5" fillId="0" borderId="15" xfId="5" applyBorder="1" applyAlignment="1">
      <alignment horizontal="center"/>
    </xf>
    <xf numFmtId="166" fontId="5" fillId="0" borderId="19" xfId="5" applyNumberFormat="1" applyBorder="1" applyAlignment="1">
      <alignment horizontal="center"/>
    </xf>
    <xf numFmtId="3" fontId="5" fillId="0" borderId="0" xfId="5" applyNumberFormat="1" applyAlignment="1">
      <alignment horizontal="right"/>
    </xf>
    <xf numFmtId="0" fontId="5" fillId="0" borderId="25" xfId="5" applyFill="1" applyBorder="1"/>
    <xf numFmtId="0" fontId="5" fillId="0" borderId="24" xfId="5" applyFill="1" applyBorder="1"/>
    <xf numFmtId="0" fontId="5" fillId="0" borderId="18" xfId="5" applyFill="1" applyBorder="1"/>
    <xf numFmtId="0" fontId="5" fillId="0" borderId="18" xfId="5" applyFill="1" applyBorder="1" applyAlignment="1">
      <alignment horizontal="right"/>
    </xf>
    <xf numFmtId="0" fontId="5" fillId="0" borderId="18" xfId="5" applyFill="1" applyBorder="1" applyAlignment="1">
      <alignment horizontal="center"/>
    </xf>
    <xf numFmtId="0" fontId="5" fillId="0" borderId="0" xfId="5" applyFill="1" applyAlignment="1">
      <alignment horizontal="right"/>
    </xf>
    <xf numFmtId="0" fontId="5" fillId="0" borderId="0" xfId="5" applyFill="1" applyAlignment="1">
      <alignment horizontal="center"/>
    </xf>
    <xf numFmtId="166" fontId="5" fillId="0" borderId="0" xfId="5" applyNumberFormat="1" applyFill="1"/>
    <xf numFmtId="2" fontId="5" fillId="0" borderId="0" xfId="5" applyNumberFormat="1" applyFont="1" applyFill="1"/>
    <xf numFmtId="0" fontId="28" fillId="0" borderId="15" xfId="5" quotePrefix="1" applyFont="1" applyBorder="1" applyAlignment="1">
      <alignment horizontal="center"/>
    </xf>
    <xf numFmtId="2" fontId="5" fillId="39" borderId="0" xfId="5" applyNumberFormat="1" applyFill="1" applyAlignment="1">
      <alignment horizontal="right"/>
    </xf>
    <xf numFmtId="0" fontId="0" fillId="0" borderId="0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quotePrefix="1"/>
    <xf numFmtId="0" fontId="0" fillId="0" borderId="14" xfId="0" applyBorder="1"/>
    <xf numFmtId="0" fontId="50" fillId="0" borderId="0" xfId="0" applyFont="1"/>
    <xf numFmtId="0" fontId="50" fillId="0" borderId="14" xfId="0" applyFont="1" applyBorder="1"/>
    <xf numFmtId="0" fontId="50" fillId="0" borderId="13" xfId="0" applyFont="1" applyBorder="1"/>
    <xf numFmtId="0" fontId="50" fillId="0" borderId="15" xfId="0" applyFont="1" applyBorder="1"/>
    <xf numFmtId="0" fontId="50" fillId="0" borderId="13" xfId="0" applyFont="1" applyBorder="1" applyAlignment="1">
      <alignment horizontal="center"/>
    </xf>
    <xf numFmtId="0" fontId="50" fillId="0" borderId="15" xfId="0" applyFont="1" applyBorder="1" applyAlignment="1">
      <alignment horizontal="center"/>
    </xf>
    <xf numFmtId="0" fontId="50" fillId="0" borderId="0" xfId="0" applyFont="1" applyBorder="1"/>
    <xf numFmtId="2" fontId="5" fillId="0" borderId="14" xfId="5" applyNumberFormat="1" applyBorder="1"/>
    <xf numFmtId="0" fontId="50" fillId="0" borderId="15" xfId="0" applyFont="1" applyBorder="1" applyAlignment="1">
      <alignment horizontal="left"/>
    </xf>
    <xf numFmtId="170" fontId="0" fillId="0" borderId="0" xfId="0" applyNumberFormat="1"/>
    <xf numFmtId="170" fontId="0" fillId="0" borderId="14" xfId="0" applyNumberFormat="1" applyBorder="1"/>
    <xf numFmtId="0" fontId="28" fillId="0" borderId="13" xfId="5" applyFont="1" applyBorder="1" applyAlignment="1">
      <alignment horizontal="left"/>
    </xf>
    <xf numFmtId="0" fontId="25" fillId="0" borderId="0" xfId="5" applyFont="1" applyAlignment="1">
      <alignment horizontal="left"/>
    </xf>
    <xf numFmtId="2" fontId="5" fillId="0" borderId="13" xfId="5" applyNumberFormat="1" applyBorder="1"/>
    <xf numFmtId="0" fontId="28" fillId="0" borderId="21" xfId="5" applyFont="1" applyBorder="1"/>
    <xf numFmtId="0" fontId="50" fillId="0" borderId="24" xfId="0" applyFont="1" applyBorder="1"/>
    <xf numFmtId="0" fontId="50" fillId="0" borderId="25" xfId="0" applyFont="1" applyBorder="1" applyAlignment="1">
      <alignment horizontal="center"/>
    </xf>
    <xf numFmtId="0" fontId="7" fillId="0" borderId="18" xfId="5" applyFont="1" applyFill="1" applyBorder="1"/>
    <xf numFmtId="0" fontId="7" fillId="0" borderId="0" xfId="5" applyFont="1" applyFill="1"/>
    <xf numFmtId="0" fontId="5" fillId="0" borderId="24" xfId="5" applyFont="1" applyBorder="1"/>
    <xf numFmtId="0" fontId="5" fillId="0" borderId="25" xfId="5" applyFont="1" applyBorder="1"/>
    <xf numFmtId="2" fontId="0" fillId="0" borderId="0" xfId="0" applyNumberFormat="1"/>
    <xf numFmtId="0" fontId="52" fillId="0" borderId="0" xfId="0" applyFont="1"/>
    <xf numFmtId="0" fontId="50" fillId="0" borderId="14" xfId="0" quotePrefix="1" applyFont="1" applyBorder="1"/>
    <xf numFmtId="2" fontId="0" fillId="0" borderId="0" xfId="0" applyNumberFormat="1" applyAlignment="1">
      <alignment horizontal="center"/>
    </xf>
    <xf numFmtId="0" fontId="50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5" fillId="0" borderId="13" xfId="5" applyNumberFormat="1" applyBorder="1" applyAlignment="1">
      <alignment horizontal="right"/>
    </xf>
    <xf numFmtId="164" fontId="5" fillId="0" borderId="0" xfId="5" applyNumberFormat="1" applyBorder="1" applyAlignment="1">
      <alignment horizontal="right"/>
    </xf>
    <xf numFmtId="0" fontId="52" fillId="0" borderId="0" xfId="0" applyFont="1" applyFill="1" applyBorder="1"/>
    <xf numFmtId="166" fontId="5" fillId="0" borderId="20" xfId="5" applyNumberFormat="1" applyFont="1" applyBorder="1" applyAlignment="1">
      <alignment horizontal="center"/>
    </xf>
    <xf numFmtId="166" fontId="9" fillId="6" borderId="18" xfId="6" applyNumberFormat="1" applyBorder="1" applyAlignment="1" applyProtection="1">
      <alignment horizontal="right"/>
    </xf>
    <xf numFmtId="167" fontId="5" fillId="0" borderId="0" xfId="5" applyNumberFormat="1" applyAlignment="1">
      <alignment horizontal="right"/>
    </xf>
    <xf numFmtId="166" fontId="5" fillId="0" borderId="18" xfId="5" applyNumberFormat="1" applyBorder="1" applyAlignment="1">
      <alignment horizontal="right"/>
    </xf>
    <xf numFmtId="2" fontId="7" fillId="0" borderId="0" xfId="5" applyNumberFormat="1" applyFont="1"/>
    <xf numFmtId="0" fontId="5" fillId="38" borderId="0" xfId="5" applyFont="1" applyFill="1" applyAlignment="1">
      <alignment horizontal="center"/>
    </xf>
    <xf numFmtId="1" fontId="5" fillId="0" borderId="2" xfId="5" applyNumberFormat="1" applyFont="1" applyBorder="1" applyAlignment="1">
      <alignment horizontal="center"/>
    </xf>
    <xf numFmtId="166" fontId="5" fillId="38" borderId="0" xfId="5" applyNumberFormat="1" applyFont="1" applyFill="1" applyAlignment="1">
      <alignment horizontal="center"/>
    </xf>
    <xf numFmtId="3" fontId="5" fillId="0" borderId="0" xfId="5" applyNumberFormat="1" applyFont="1" applyAlignment="1">
      <alignment horizontal="center"/>
    </xf>
    <xf numFmtId="166" fontId="5" fillId="0" borderId="0" xfId="5" applyNumberFormat="1" applyFont="1" applyFill="1"/>
    <xf numFmtId="165" fontId="9" fillId="6" borderId="18" xfId="6" applyNumberFormat="1" applyBorder="1" applyAlignment="1" applyProtection="1">
      <alignment horizontal="right"/>
    </xf>
    <xf numFmtId="165" fontId="5" fillId="0" borderId="0" xfId="5" applyNumberFormat="1" applyAlignment="1">
      <alignment horizontal="right"/>
    </xf>
    <xf numFmtId="165" fontId="5" fillId="0" borderId="0" xfId="5" applyNumberFormat="1" applyFont="1" applyBorder="1" applyAlignment="1">
      <alignment horizontal="center"/>
    </xf>
    <xf numFmtId="0" fontId="5" fillId="0" borderId="0" xfId="5" applyFont="1" applyAlignment="1">
      <alignment horizontal="center"/>
    </xf>
    <xf numFmtId="0" fontId="25" fillId="0" borderId="0" xfId="5" applyFont="1" applyAlignment="1">
      <alignment horizontal="center"/>
    </xf>
    <xf numFmtId="0" fontId="5" fillId="0" borderId="14" xfId="5" applyBorder="1"/>
    <xf numFmtId="0" fontId="5" fillId="38" borderId="14" xfId="5" applyFill="1" applyBorder="1"/>
    <xf numFmtId="0" fontId="5" fillId="0" borderId="19" xfId="5" applyFont="1" applyBorder="1"/>
    <xf numFmtId="0" fontId="5" fillId="38" borderId="15" xfId="5" applyFill="1" applyBorder="1"/>
    <xf numFmtId="165" fontId="5" fillId="0" borderId="0" xfId="5" applyNumberFormat="1" applyFont="1" applyAlignment="1">
      <alignment horizontal="center"/>
    </xf>
    <xf numFmtId="166" fontId="5" fillId="0" borderId="0" xfId="5" applyNumberFormat="1" applyFont="1" applyAlignment="1">
      <alignment horizontal="center"/>
    </xf>
    <xf numFmtId="0" fontId="28" fillId="0" borderId="13" xfId="5" applyFont="1" applyBorder="1" applyAlignment="1">
      <alignment horizontal="center"/>
    </xf>
    <xf numFmtId="165" fontId="5" fillId="38" borderId="0" xfId="5" applyNumberFormat="1" applyFont="1" applyFill="1" applyBorder="1" applyAlignment="1">
      <alignment horizontal="center"/>
    </xf>
    <xf numFmtId="165" fontId="5" fillId="0" borderId="0" xfId="5" applyNumberFormat="1" applyAlignment="1">
      <alignment horizontal="center"/>
    </xf>
    <xf numFmtId="0" fontId="28" fillId="0" borderId="0" xfId="5" applyFont="1" applyAlignment="1">
      <alignment horizontal="center"/>
    </xf>
    <xf numFmtId="0" fontId="28" fillId="0" borderId="13" xfId="5" applyFont="1" applyBorder="1" applyAlignment="1">
      <alignment horizontal="center"/>
    </xf>
    <xf numFmtId="0" fontId="28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8" fillId="0" borderId="13" xfId="5" applyFont="1" applyBorder="1" applyAlignment="1">
      <alignment horizontal="center"/>
    </xf>
    <xf numFmtId="0" fontId="28" fillId="0" borderId="0" xfId="5" applyFont="1" applyAlignment="1">
      <alignment horizontal="center"/>
    </xf>
    <xf numFmtId="0" fontId="28" fillId="0" borderId="13" xfId="5" applyFont="1" applyBorder="1" applyAlignment="1">
      <alignment horizontal="center"/>
    </xf>
    <xf numFmtId="0" fontId="5" fillId="0" borderId="0" xfId="5" applyAlignment="1">
      <alignment horizontal="center"/>
    </xf>
    <xf numFmtId="0" fontId="5" fillId="0" borderId="0" xfId="5" applyFont="1" applyAlignment="1">
      <alignment horizontal="center"/>
    </xf>
    <xf numFmtId="0" fontId="28" fillId="0" borderId="13" xfId="5" applyFont="1" applyBorder="1" applyAlignment="1">
      <alignment horizontal="center"/>
    </xf>
    <xf numFmtId="0" fontId="28" fillId="0" borderId="22" xfId="5" applyFont="1" applyBorder="1" applyAlignment="1">
      <alignment horizontal="center"/>
    </xf>
    <xf numFmtId="165" fontId="5" fillId="38" borderId="0" xfId="5" applyNumberFormat="1" applyFont="1" applyFill="1" applyBorder="1" applyAlignment="1">
      <alignment horizontal="center"/>
    </xf>
    <xf numFmtId="164" fontId="9" fillId="6" borderId="0" xfId="6" applyNumberFormat="1" applyBorder="1" applyAlignment="1" applyProtection="1">
      <alignment horizontal="right"/>
    </xf>
    <xf numFmtId="0" fontId="9" fillId="6" borderId="18" xfId="6" applyNumberFormat="1" applyBorder="1" applyAlignment="1" applyProtection="1">
      <alignment horizontal="right"/>
    </xf>
    <xf numFmtId="1" fontId="5" fillId="0" borderId="18" xfId="5" applyNumberFormat="1" applyBorder="1" applyAlignment="1">
      <alignment horizontal="right"/>
    </xf>
    <xf numFmtId="0" fontId="28" fillId="38" borderId="13" xfId="5" applyFont="1" applyFill="1" applyBorder="1" applyAlignment="1"/>
    <xf numFmtId="0" fontId="5" fillId="38" borderId="0" xfId="5" applyFill="1" applyAlignment="1"/>
    <xf numFmtId="1" fontId="5" fillId="38" borderId="0" xfId="5" applyNumberFormat="1" applyFill="1" applyAlignment="1">
      <alignment horizontal="right"/>
    </xf>
    <xf numFmtId="1" fontId="5" fillId="38" borderId="0" xfId="5" applyNumberFormat="1" applyFill="1" applyAlignment="1"/>
    <xf numFmtId="1" fontId="1" fillId="38" borderId="0" xfId="1" applyNumberFormat="1" applyFill="1" applyAlignment="1"/>
    <xf numFmtId="0" fontId="5" fillId="38" borderId="0" xfId="5" applyFill="1" applyAlignment="1">
      <alignment horizontal="center"/>
    </xf>
    <xf numFmtId="0" fontId="5" fillId="38" borderId="0" xfId="5" applyFill="1" applyAlignment="1">
      <alignment horizontal="right"/>
    </xf>
    <xf numFmtId="2" fontId="1" fillId="38" borderId="0" xfId="1" applyNumberFormat="1" applyFill="1" applyAlignment="1">
      <alignment horizontal="right"/>
    </xf>
    <xf numFmtId="0" fontId="28" fillId="38" borderId="13" xfId="5" applyFont="1" applyFill="1" applyBorder="1" applyAlignment="1">
      <alignment horizontal="center"/>
    </xf>
    <xf numFmtId="2" fontId="5" fillId="38" borderId="0" xfId="5" applyNumberFormat="1" applyFill="1" applyAlignment="1">
      <alignment horizontal="right"/>
    </xf>
    <xf numFmtId="0" fontId="0" fillId="38" borderId="0" xfId="0" applyFill="1" applyAlignment="1">
      <alignment horizontal="right"/>
    </xf>
    <xf numFmtId="166" fontId="5" fillId="38" borderId="0" xfId="5" applyNumberFormat="1" applyFill="1" applyAlignment="1">
      <alignment horizontal="right"/>
    </xf>
    <xf numFmtId="166" fontId="5" fillId="38" borderId="13" xfId="5" applyNumberFormat="1" applyFill="1" applyBorder="1" applyAlignment="1">
      <alignment horizontal="right"/>
    </xf>
    <xf numFmtId="0" fontId="0" fillId="38" borderId="0" xfId="0" applyFill="1" applyBorder="1"/>
    <xf numFmtId="3" fontId="5" fillId="38" borderId="0" xfId="5" applyNumberFormat="1" applyFill="1" applyAlignment="1">
      <alignment horizontal="right"/>
    </xf>
    <xf numFmtId="2" fontId="5" fillId="0" borderId="0" xfId="5" applyNumberFormat="1" applyFill="1" applyAlignment="1">
      <alignment horizontal="right"/>
    </xf>
    <xf numFmtId="0" fontId="0" fillId="0" borderId="0" xfId="0" applyFill="1" applyBorder="1"/>
    <xf numFmtId="166" fontId="5" fillId="0" borderId="0" xfId="5" applyNumberFormat="1" applyFill="1" applyAlignment="1">
      <alignment horizontal="right"/>
    </xf>
    <xf numFmtId="0" fontId="0" fillId="0" borderId="0" xfId="0" applyBorder="1" applyAlignment="1">
      <alignment horizontal="center"/>
    </xf>
    <xf numFmtId="0" fontId="28" fillId="0" borderId="13" xfId="5" applyFont="1" applyFill="1" applyBorder="1" applyAlignment="1"/>
    <xf numFmtId="1" fontId="5" fillId="0" borderId="0" xfId="5" applyNumberFormat="1" applyFill="1" applyAlignment="1">
      <alignment horizontal="right"/>
    </xf>
    <xf numFmtId="0" fontId="28" fillId="0" borderId="0" xfId="5" applyFont="1" applyFill="1" applyAlignment="1">
      <alignment horizontal="left"/>
    </xf>
    <xf numFmtId="2" fontId="5" fillId="0" borderId="0" xfId="5" applyNumberFormat="1" applyFont="1" applyFill="1" applyAlignment="1">
      <alignment horizontal="right"/>
    </xf>
    <xf numFmtId="0" fontId="0" fillId="0" borderId="0" xfId="0" applyFill="1" applyAlignment="1">
      <alignment horizontal="right"/>
    </xf>
    <xf numFmtId="166" fontId="5" fillId="0" borderId="13" xfId="5" applyNumberFormat="1" applyFill="1" applyBorder="1" applyAlignment="1">
      <alignment horizontal="right"/>
    </xf>
    <xf numFmtId="3" fontId="5" fillId="0" borderId="0" xfId="5" applyNumberFormat="1" applyFill="1" applyAlignment="1">
      <alignment horizontal="right"/>
    </xf>
    <xf numFmtId="2" fontId="1" fillId="2" borderId="0" xfId="1" applyNumberFormat="1" applyAlignment="1"/>
    <xf numFmtId="1" fontId="5" fillId="0" borderId="0" xfId="5" applyNumberFormat="1" applyFill="1" applyAlignment="1"/>
    <xf numFmtId="0" fontId="5" fillId="0" borderId="0" xfId="5" applyAlignment="1"/>
    <xf numFmtId="166" fontId="5" fillId="0" borderId="0" xfId="5" applyNumberFormat="1" applyAlignment="1"/>
    <xf numFmtId="0" fontId="5" fillId="0" borderId="0" xfId="5" applyAlignment="1">
      <alignment horizontal="right"/>
    </xf>
    <xf numFmtId="166" fontId="5" fillId="0" borderId="0" xfId="5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5" fillId="0" borderId="13" xfId="5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2" fontId="5" fillId="0" borderId="0" xfId="5" applyNumberFormat="1" applyAlignment="1">
      <alignment horizontal="center"/>
    </xf>
    <xf numFmtId="2" fontId="5" fillId="0" borderId="0" xfId="5" applyNumberFormat="1" applyFont="1" applyAlignment="1">
      <alignment horizontal="center"/>
    </xf>
    <xf numFmtId="0" fontId="25" fillId="0" borderId="0" xfId="5" applyFont="1" applyFill="1"/>
    <xf numFmtId="170" fontId="0" fillId="0" borderId="17" xfId="0" applyNumberFormat="1" applyBorder="1"/>
    <xf numFmtId="166" fontId="5" fillId="0" borderId="0" xfId="5" applyNumberFormat="1" applyFill="1" applyBorder="1"/>
    <xf numFmtId="0" fontId="5" fillId="0" borderId="0" xfId="5" applyFill="1" applyAlignment="1"/>
    <xf numFmtId="0" fontId="0" fillId="0" borderId="0" xfId="0"/>
    <xf numFmtId="0" fontId="5" fillId="0" borderId="0" xfId="5" applyFill="1"/>
    <xf numFmtId="1" fontId="5" fillId="0" borderId="0" xfId="5" applyNumberFormat="1" applyFill="1"/>
    <xf numFmtId="0" fontId="5" fillId="0" borderId="0" xfId="5" applyFill="1" applyBorder="1"/>
    <xf numFmtId="166" fontId="5" fillId="0" borderId="0" xfId="5" applyNumberFormat="1" applyFill="1"/>
    <xf numFmtId="0" fontId="0" fillId="0" borderId="0" xfId="0"/>
    <xf numFmtId="0" fontId="5" fillId="0" borderId="0" xfId="5"/>
    <xf numFmtId="20" fontId="5" fillId="0" borderId="0" xfId="5" applyNumberFormat="1" applyFont="1"/>
    <xf numFmtId="1" fontId="5" fillId="0" borderId="0" xfId="5" applyNumberFormat="1"/>
    <xf numFmtId="1" fontId="1" fillId="2" borderId="0" xfId="1" applyNumberFormat="1" applyAlignment="1"/>
    <xf numFmtId="2" fontId="1" fillId="2" borderId="0" xfId="1" applyNumberFormat="1"/>
    <xf numFmtId="166" fontId="5" fillId="0" borderId="0" xfId="5" applyNumberFormat="1" applyFont="1" applyAlignment="1">
      <alignment horizontal="center"/>
    </xf>
    <xf numFmtId="0" fontId="28" fillId="0" borderId="13" xfId="5" applyFont="1" applyBorder="1" applyAlignment="1"/>
    <xf numFmtId="0" fontId="28" fillId="0" borderId="13" xfId="5" applyFont="1" applyBorder="1" applyAlignment="1">
      <alignment horizontal="center"/>
    </xf>
    <xf numFmtId="2" fontId="1" fillId="2" borderId="0" xfId="1" applyNumberFormat="1" applyAlignment="1">
      <alignment horizontal="right"/>
    </xf>
    <xf numFmtId="0" fontId="5" fillId="0" borderId="0" xfId="5" applyFill="1" applyAlignment="1">
      <alignment horizontal="center"/>
    </xf>
    <xf numFmtId="0" fontId="0" fillId="0" borderId="14" xfId="0" applyBorder="1" applyAlignment="1">
      <alignment horizontal="center"/>
    </xf>
    <xf numFmtId="170" fontId="0" fillId="0" borderId="0" xfId="0" applyNumberFormat="1"/>
    <xf numFmtId="170" fontId="0" fillId="0" borderId="14" xfId="0" applyNumberFormat="1" applyBorder="1" applyAlignment="1">
      <alignment horizontal="center"/>
    </xf>
    <xf numFmtId="170" fontId="0" fillId="0" borderId="14" xfId="0" quotePrefix="1" applyNumberFormat="1" applyBorder="1" applyAlignment="1">
      <alignment horizontal="center"/>
    </xf>
    <xf numFmtId="0" fontId="5" fillId="0" borderId="0" xfId="5"/>
    <xf numFmtId="0" fontId="28" fillId="0" borderId="13" xfId="5" applyFont="1" applyBorder="1" applyAlignment="1"/>
    <xf numFmtId="0" fontId="5" fillId="0" borderId="24" xfId="5" applyBorder="1"/>
    <xf numFmtId="0" fontId="50" fillId="0" borderId="15" xfId="0" applyFont="1" applyBorder="1"/>
    <xf numFmtId="170" fontId="0" fillId="0" borderId="0" xfId="0" applyNumberFormat="1"/>
    <xf numFmtId="170" fontId="0" fillId="0" borderId="14" xfId="0" applyNumberFormat="1" applyBorder="1"/>
    <xf numFmtId="170" fontId="0" fillId="0" borderId="14" xfId="0" applyNumberFormat="1" applyBorder="1" applyAlignment="1">
      <alignment horizontal="center"/>
    </xf>
    <xf numFmtId="166" fontId="5" fillId="0" borderId="0" xfId="5" applyNumberFormat="1"/>
    <xf numFmtId="0" fontId="5" fillId="0" borderId="0" xfId="5" applyFill="1"/>
    <xf numFmtId="0" fontId="28" fillId="0" borderId="13" xfId="5" applyFont="1" applyBorder="1" applyAlignment="1"/>
    <xf numFmtId="166" fontId="5" fillId="0" borderId="14" xfId="5" applyNumberFormat="1" applyBorder="1"/>
    <xf numFmtId="0" fontId="50" fillId="0" borderId="14" xfId="0" applyFont="1" applyBorder="1"/>
    <xf numFmtId="170" fontId="0" fillId="0" borderId="0" xfId="0" applyNumberFormat="1"/>
    <xf numFmtId="2" fontId="0" fillId="0" borderId="0" xfId="0" applyNumberFormat="1" applyAlignment="1">
      <alignment horizontal="center"/>
    </xf>
    <xf numFmtId="2" fontId="31" fillId="0" borderId="0" xfId="1" applyNumberFormat="1" applyFont="1" applyFill="1"/>
    <xf numFmtId="1" fontId="5" fillId="0" borderId="0" xfId="5" applyNumberFormat="1" applyFill="1" applyBorder="1"/>
    <xf numFmtId="2" fontId="5" fillId="0" borderId="0" xfId="5" applyNumberFormat="1" applyBorder="1" applyAlignment="1">
      <alignment horizontal="right"/>
    </xf>
    <xf numFmtId="1" fontId="3" fillId="43" borderId="0" xfId="3" applyNumberFormat="1" applyFill="1" applyAlignment="1">
      <alignment horizontal="right"/>
    </xf>
    <xf numFmtId="1" fontId="3" fillId="44" borderId="0" xfId="3" applyNumberFormat="1" applyFill="1" applyAlignment="1">
      <alignment horizontal="right"/>
    </xf>
    <xf numFmtId="2" fontId="3" fillId="44" borderId="0" xfId="3" applyNumberFormat="1" applyFill="1" applyAlignment="1">
      <alignment horizontal="right"/>
    </xf>
    <xf numFmtId="2" fontId="3" fillId="43" borderId="0" xfId="3" applyNumberFormat="1" applyFill="1" applyAlignment="1">
      <alignment horizontal="right"/>
    </xf>
    <xf numFmtId="164" fontId="5" fillId="45" borderId="0" xfId="5" applyNumberFormat="1" applyFont="1" applyFill="1"/>
    <xf numFmtId="0" fontId="0" fillId="45" borderId="0" xfId="0" applyFill="1"/>
    <xf numFmtId="0" fontId="5" fillId="45" borderId="0" xfId="5" applyFill="1"/>
    <xf numFmtId="166" fontId="5" fillId="45" borderId="0" xfId="5" applyNumberFormat="1" applyFill="1"/>
    <xf numFmtId="1" fontId="5" fillId="45" borderId="0" xfId="5" applyNumberFormat="1" applyFill="1"/>
    <xf numFmtId="0" fontId="0" fillId="0" borderId="0" xfId="0" applyFill="1"/>
    <xf numFmtId="0" fontId="28" fillId="0" borderId="13" xfId="5" applyFont="1" applyBorder="1" applyAlignment="1">
      <alignment horizontal="left" vertical="center"/>
    </xf>
    <xf numFmtId="0" fontId="50" fillId="0" borderId="13" xfId="0" applyFont="1" applyBorder="1" applyAlignment="1">
      <alignment horizontal="left" vertical="center"/>
    </xf>
    <xf numFmtId="0" fontId="50" fillId="0" borderId="15" xfId="0" applyFont="1" applyBorder="1" applyAlignment="1">
      <alignment horizontal="left" vertical="center"/>
    </xf>
    <xf numFmtId="0" fontId="5" fillId="0" borderId="0" xfId="5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28" fillId="0" borderId="21" xfId="5" quotePrefix="1" applyFont="1" applyBorder="1" applyAlignment="1">
      <alignment horizontal="left" vertical="center"/>
    </xf>
    <xf numFmtId="0" fontId="50" fillId="0" borderId="13" xfId="0" applyFont="1" applyBorder="1" applyAlignment="1">
      <alignment vertical="center"/>
    </xf>
    <xf numFmtId="0" fontId="50" fillId="0" borderId="15" xfId="0" applyFont="1" applyBorder="1" applyAlignment="1">
      <alignment vertical="center"/>
    </xf>
    <xf numFmtId="0" fontId="5" fillId="0" borderId="20" xfId="5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5" fillId="0" borderId="0" xfId="5" applyAlignment="1">
      <alignment horizontal="center" vertical="center"/>
    </xf>
    <xf numFmtId="0" fontId="47" fillId="0" borderId="17" xfId="0" applyFont="1" applyBorder="1" applyAlignment="1">
      <alignment horizontal="center" vertical="center" wrapText="1"/>
    </xf>
    <xf numFmtId="0" fontId="47" fillId="0" borderId="21" xfId="0" applyFont="1" applyBorder="1" applyAlignment="1">
      <alignment horizontal="center" vertical="center" wrapText="1"/>
    </xf>
    <xf numFmtId="0" fontId="47" fillId="0" borderId="29" xfId="0" applyFont="1" applyBorder="1" applyAlignment="1">
      <alignment horizontal="center" vertical="center" wrapText="1"/>
    </xf>
    <xf numFmtId="0" fontId="47" fillId="0" borderId="25" xfId="0" applyFont="1" applyBorder="1" applyAlignment="1">
      <alignment horizontal="center" vertical="center" wrapText="1"/>
    </xf>
    <xf numFmtId="16" fontId="5" fillId="0" borderId="0" xfId="5" applyNumberFormat="1" applyAlignment="1">
      <alignment horizontal="center"/>
    </xf>
    <xf numFmtId="0" fontId="7" fillId="0" borderId="0" xfId="5" applyFont="1" applyAlignment="1">
      <alignment horizontal="center"/>
    </xf>
    <xf numFmtId="0" fontId="39" fillId="0" borderId="0" xfId="0" applyFont="1"/>
    <xf numFmtId="164" fontId="5" fillId="0" borderId="0" xfId="5" applyNumberFormat="1" applyAlignment="1">
      <alignment horizontal="center"/>
    </xf>
    <xf numFmtId="0" fontId="53" fillId="0" borderId="0" xfId="0" applyFont="1"/>
    <xf numFmtId="43" fontId="5" fillId="0" borderId="0" xfId="52" applyFont="1"/>
    <xf numFmtId="169" fontId="5" fillId="46" borderId="0" xfId="5" applyNumberFormat="1" applyFill="1"/>
    <xf numFmtId="166" fontId="5" fillId="46" borderId="0" xfId="5" applyNumberFormat="1" applyFill="1"/>
    <xf numFmtId="0" fontId="1" fillId="46" borderId="0" xfId="1" applyFill="1"/>
    <xf numFmtId="0" fontId="0" fillId="38" borderId="0" xfId="0" applyFill="1"/>
    <xf numFmtId="0" fontId="54" fillId="0" borderId="0" xfId="0" applyFont="1"/>
    <xf numFmtId="0" fontId="7" fillId="38" borderId="0" xfId="5" applyFont="1" applyFill="1" applyAlignment="1">
      <alignment horizontal="left"/>
    </xf>
  </cellXfs>
  <cellStyles count="53">
    <cellStyle name="Bad" xfId="2" builtinId="27"/>
    <cellStyle name="Check Cell" xfId="4" builtinId="23"/>
    <cellStyle name="Comma" xfId="52" builtinId="3"/>
    <cellStyle name="Excel Built-in 20% - Accent1" xfId="8"/>
    <cellStyle name="Excel Built-in 20% - Accent2" xfId="9"/>
    <cellStyle name="Excel Built-in 20% - Accent3" xfId="10"/>
    <cellStyle name="Excel Built-in 20% - Accent4" xfId="11"/>
    <cellStyle name="Excel Built-in 20% - Accent5" xfId="12"/>
    <cellStyle name="Excel Built-in 20% - Accent6" xfId="13"/>
    <cellStyle name="Excel Built-in 40% - Accent1" xfId="14"/>
    <cellStyle name="Excel Built-in 40% - Accent2" xfId="15"/>
    <cellStyle name="Excel Built-in 40% - Accent3" xfId="16"/>
    <cellStyle name="Excel Built-in 40% - Accent4" xfId="17"/>
    <cellStyle name="Excel Built-in 40% - Accent5" xfId="18"/>
    <cellStyle name="Excel Built-in 40% - Accent6" xfId="19"/>
    <cellStyle name="Excel Built-in 60% - Accent1" xfId="20"/>
    <cellStyle name="Excel Built-in 60% - Accent2" xfId="21"/>
    <cellStyle name="Excel Built-in 60% - Accent3" xfId="22"/>
    <cellStyle name="Excel Built-in 60% - Accent4" xfId="23"/>
    <cellStyle name="Excel Built-in 60% - Accent5" xfId="24"/>
    <cellStyle name="Excel Built-in 60% - Accent6" xfId="25"/>
    <cellStyle name="Excel Built-in Accent1" xfId="26"/>
    <cellStyle name="Excel Built-in Accent2" xfId="27"/>
    <cellStyle name="Excel Built-in Accent3" xfId="28"/>
    <cellStyle name="Excel Built-in Accent4" xfId="29"/>
    <cellStyle name="Excel Built-in Accent5" xfId="30"/>
    <cellStyle name="Excel Built-in Accent6" xfId="31"/>
    <cellStyle name="Excel Built-in Bad" xfId="32"/>
    <cellStyle name="Excel Built-in Calculation" xfId="33"/>
    <cellStyle name="Excel Built-in Check Cell" xfId="34"/>
    <cellStyle name="Excel Built-in Explanatory Text" xfId="35"/>
    <cellStyle name="Excel Built-in Good" xfId="6"/>
    <cellStyle name="Excel Built-in Heading 1" xfId="36"/>
    <cellStyle name="Excel Built-in Heading 2" xfId="37"/>
    <cellStyle name="Excel Built-in Heading 3" xfId="38"/>
    <cellStyle name="Excel Built-in Heading 4" xfId="39"/>
    <cellStyle name="Excel Built-in Hyperlink" xfId="7"/>
    <cellStyle name="Excel Built-in Input" xfId="40"/>
    <cellStyle name="Excel Built-in Linked Cell" xfId="41"/>
    <cellStyle name="Excel Built-in Neutral" xfId="42"/>
    <cellStyle name="Excel Built-in Normal" xfId="5"/>
    <cellStyle name="Excel Built-in Note" xfId="43"/>
    <cellStyle name="Excel Built-in Output" xfId="44"/>
    <cellStyle name="Excel Built-in Title" xfId="45"/>
    <cellStyle name="Excel Built-in Total" xfId="46"/>
    <cellStyle name="Excel Built-in Warning Text" xfId="47"/>
    <cellStyle name="Good" xfId="1" builtinId="26"/>
    <cellStyle name="Hyperlink" xfId="50" builtinId="8"/>
    <cellStyle name="Neutral" xfId="3" builtinId="28"/>
    <cellStyle name="Normal" xfId="0" builtinId="0"/>
    <cellStyle name="Normal 2" xfId="48"/>
    <cellStyle name="Percent" xfId="51" builtinId="5"/>
    <cellStyle name="Percent 2" xfId="49"/>
  </cellStyles>
  <dxfs count="1"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178594</xdr:colOff>
      <xdr:row>12</xdr:row>
      <xdr:rowOff>107157</xdr:rowOff>
    </xdr:from>
    <xdr:to>
      <xdr:col>10</xdr:col>
      <xdr:colOff>1250157</xdr:colOff>
      <xdr:row>15</xdr:row>
      <xdr:rowOff>130969</xdr:rowOff>
    </xdr:to>
    <xdr:sp macro="[0]!Regcap_input_new" textlink="">
      <xdr:nvSpPr>
        <xdr:cNvPr id="2" name="Rectangle 1"/>
        <xdr:cNvSpPr/>
      </xdr:nvSpPr>
      <xdr:spPr bwMode="auto">
        <a:xfrm>
          <a:off x="9239250" y="2405063"/>
          <a:ext cx="1071563" cy="595312"/>
        </a:xfrm>
        <a:prstGeom prst="rect">
          <a:avLst/>
        </a:prstGeom>
        <a:gradFill>
          <a:gsLst>
            <a:gs pos="0">
              <a:srgbClr val="00B050"/>
            </a:gs>
            <a:gs pos="73000">
              <a:srgbClr val="92D050"/>
            </a:gs>
            <a:gs pos="100000">
              <a:srgbClr val="FFFF00"/>
            </a:gs>
          </a:gsLst>
        </a:gra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>
              <a:solidFill>
                <a:sysClr val="windowText" lastClr="000000"/>
              </a:solidFill>
            </a:rPr>
            <a:t>Make </a:t>
          </a:r>
        </a:p>
        <a:p>
          <a:pPr algn="ctr"/>
          <a:r>
            <a:rPr lang="en-GB" sz="1100">
              <a:solidFill>
                <a:sysClr val="windowText" lastClr="000000"/>
              </a:solidFill>
            </a:rPr>
            <a:t>batch file</a:t>
          </a:r>
        </a:p>
      </xdr:txBody>
    </xdr:sp>
    <xdr:clientData/>
  </xdr:twoCellAnchor>
  <xdr:twoCellAnchor>
    <xdr:from>
      <xdr:col>10</xdr:col>
      <xdr:colOff>130969</xdr:colOff>
      <xdr:row>35</xdr:row>
      <xdr:rowOff>0</xdr:rowOff>
    </xdr:from>
    <xdr:to>
      <xdr:col>10</xdr:col>
      <xdr:colOff>1333500</xdr:colOff>
      <xdr:row>37</xdr:row>
      <xdr:rowOff>142875</xdr:rowOff>
    </xdr:to>
    <xdr:sp macro="[0]!Regcap_input_cz.Regcap_input_cz" textlink="">
      <xdr:nvSpPr>
        <xdr:cNvPr id="3" name="Rectangle 2"/>
        <xdr:cNvSpPr/>
      </xdr:nvSpPr>
      <xdr:spPr>
        <a:xfrm>
          <a:off x="11191875" y="6667500"/>
          <a:ext cx="1202531" cy="523875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GB" sz="1100"/>
            <a:t>CZ batch file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output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Users/wjnturner/Dropbox/Users/wjnturner/AppData/Roaming/Microsoft/Regcap%20Documents/Housing%20characteristics/CEC-2009%20resacm.pdf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www.the-engineering-page.com/conv/u.html" TargetMode="External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../../../Users/wjnturner/Dropbox/Users/wjnturner/AppData/Roaming/Microsoft/Regcap%20Documents/Fans/Energy%20start-vent_fan_prod_list.xls" TargetMode="External"/><Relationship Id="rId1" Type="http://schemas.openxmlformats.org/officeDocument/2006/relationships/hyperlink" Target="../../../Users/wjnturner/Dropbox/Users/wjnturner/AppData/Roaming/Microsoft/Regcap%20Documents/Fans/Energy%20start-vent_fan_prod_list.xls" TargetMode="External"/><Relationship Id="rId5" Type="http://schemas.openxmlformats.org/officeDocument/2006/relationships/comments" Target="../comments5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00B050"/>
  </sheetPr>
  <dimension ref="A1:AJ128"/>
  <sheetViews>
    <sheetView topLeftCell="D1" zoomScale="85" zoomScaleNormal="85" workbookViewId="0">
      <selection activeCell="E130" sqref="E130"/>
    </sheetView>
  </sheetViews>
  <sheetFormatPr defaultColWidth="8.7109375" defaultRowHeight="15" customHeight="1" outlineLevelCol="1"/>
  <cols>
    <col min="1" max="1" width="13" style="5" bestFit="1" customWidth="1"/>
    <col min="2" max="2" width="20" style="7" bestFit="1" customWidth="1"/>
    <col min="3" max="3" width="8.85546875" style="26" bestFit="1" customWidth="1"/>
    <col min="4" max="4" width="5.85546875" style="3" bestFit="1" customWidth="1"/>
    <col min="5" max="5" width="67.85546875" style="7" customWidth="1"/>
    <col min="6" max="6" width="40" style="7" hidden="1" customWidth="1" outlineLevel="1"/>
    <col min="7" max="7" width="19.42578125" style="7" hidden="1" customWidth="1" outlineLevel="1"/>
    <col min="8" max="8" width="10.85546875" style="4" hidden="1" customWidth="1" outlineLevel="1"/>
    <col min="9" max="9" width="52.85546875" style="7" hidden="1" customWidth="1" outlineLevel="1"/>
    <col min="10" max="10" width="20.140625" style="7" customWidth="1" collapsed="1"/>
    <col min="11" max="11" width="21.7109375" style="7" customWidth="1" outlineLevel="1"/>
    <col min="12" max="22" width="8.5703125" style="26" customWidth="1" outlineLevel="1"/>
    <col min="23" max="27" width="8.5703125" style="235" customWidth="1" outlineLevel="1"/>
    <col min="28" max="28" width="8.85546875" style="89" customWidth="1" outlineLevel="1"/>
    <col min="29" max="29" width="3.42578125" style="7" customWidth="1" outlineLevel="1"/>
    <col min="30" max="30" width="8.85546875" style="89" customWidth="1" outlineLevel="1"/>
    <col min="31" max="31" width="8.7109375" style="7" customWidth="1" outlineLevel="1"/>
    <col min="32" max="16384" width="8.7109375" style="7"/>
  </cols>
  <sheetData>
    <row r="1" spans="1:36" s="1" customFormat="1" ht="15" customHeight="1">
      <c r="A1" s="5"/>
      <c r="C1" s="2"/>
      <c r="D1" s="3"/>
      <c r="H1" s="4"/>
      <c r="J1" s="7"/>
      <c r="K1" s="183" t="s">
        <v>998</v>
      </c>
      <c r="L1" s="15">
        <v>1</v>
      </c>
      <c r="M1" s="15">
        <v>2</v>
      </c>
      <c r="N1" s="15">
        <v>3</v>
      </c>
      <c r="O1" s="15">
        <v>4</v>
      </c>
      <c r="P1" s="15">
        <v>5</v>
      </c>
      <c r="Q1" s="15">
        <v>6</v>
      </c>
      <c r="R1" s="15">
        <v>7</v>
      </c>
      <c r="S1" s="15">
        <v>8</v>
      </c>
      <c r="T1" s="15">
        <v>9</v>
      </c>
      <c r="U1" s="15">
        <v>10</v>
      </c>
      <c r="V1" s="15">
        <v>11</v>
      </c>
      <c r="W1" s="15">
        <v>12</v>
      </c>
      <c r="X1" s="15">
        <v>13</v>
      </c>
      <c r="Y1" s="15">
        <v>14</v>
      </c>
      <c r="Z1" s="15">
        <v>15</v>
      </c>
      <c r="AA1" s="15">
        <v>16</v>
      </c>
      <c r="AB1" s="89" t="s">
        <v>819</v>
      </c>
      <c r="AD1" s="89" t="s">
        <v>819</v>
      </c>
      <c r="AF1" s="7" t="s">
        <v>589</v>
      </c>
      <c r="AJ1" s="1" t="s">
        <v>721</v>
      </c>
    </row>
    <row r="2" spans="1:36" s="5" customFormat="1" ht="15.75" thickBot="1">
      <c r="A2" s="162" t="s">
        <v>0</v>
      </c>
      <c r="B2" s="162" t="s">
        <v>1</v>
      </c>
      <c r="C2" s="171" t="s">
        <v>684</v>
      </c>
      <c r="D2" s="163" t="s">
        <v>2</v>
      </c>
      <c r="E2" s="162" t="s">
        <v>3</v>
      </c>
      <c r="F2" s="5" t="s">
        <v>4</v>
      </c>
      <c r="G2" s="5" t="s">
        <v>5</v>
      </c>
      <c r="H2" s="6" t="s">
        <v>6</v>
      </c>
      <c r="I2" s="5" t="s">
        <v>7</v>
      </c>
      <c r="K2" s="5" t="s">
        <v>8</v>
      </c>
      <c r="L2" s="86" t="str">
        <f>$K$3&amp;L1&amp;".csv"</f>
        <v>C:\Night Vent\in\1a BPM\2M1.csv</v>
      </c>
      <c r="M2" s="86" t="str">
        <f t="shared" ref="M2:AB2" si="0">$K$3&amp;M1&amp;".csv"</f>
        <v>C:\Night Vent\in\1a BPM\2M2.csv</v>
      </c>
      <c r="N2" s="86" t="str">
        <f t="shared" si="0"/>
        <v>C:\Night Vent\in\1a BPM\2M3.csv</v>
      </c>
      <c r="O2" s="86" t="str">
        <f t="shared" si="0"/>
        <v>C:\Night Vent\in\1a BPM\2M4.csv</v>
      </c>
      <c r="P2" s="86" t="str">
        <f t="shared" si="0"/>
        <v>C:\Night Vent\in\1a BPM\2M5.csv</v>
      </c>
      <c r="Q2" s="86" t="str">
        <f t="shared" si="0"/>
        <v>C:\Night Vent\in\1a BPM\2M6.csv</v>
      </c>
      <c r="R2" s="86" t="str">
        <f t="shared" si="0"/>
        <v>C:\Night Vent\in\1a BPM\2M7.csv</v>
      </c>
      <c r="S2" s="86" t="str">
        <f t="shared" si="0"/>
        <v>C:\Night Vent\in\1a BPM\2M8.csv</v>
      </c>
      <c r="T2" s="86" t="str">
        <f t="shared" si="0"/>
        <v>C:\Night Vent\in\1a BPM\2M9.csv</v>
      </c>
      <c r="U2" s="86" t="str">
        <f t="shared" si="0"/>
        <v>C:\Night Vent\in\1a BPM\2M10.csv</v>
      </c>
      <c r="V2" s="86" t="str">
        <f t="shared" si="0"/>
        <v>C:\Night Vent\in\1a BPM\2M11.csv</v>
      </c>
      <c r="W2" s="86" t="str">
        <f t="shared" si="0"/>
        <v>C:\Night Vent\in\1a BPM\2M12.csv</v>
      </c>
      <c r="X2" s="86" t="str">
        <f t="shared" si="0"/>
        <v>C:\Night Vent\in\1a BPM\2M13.csv</v>
      </c>
      <c r="Y2" s="86" t="str">
        <f t="shared" si="0"/>
        <v>C:\Night Vent\in\1a BPM\2M14.csv</v>
      </c>
      <c r="Z2" s="86" t="str">
        <f t="shared" si="0"/>
        <v>C:\Night Vent\in\1a BPM\2M15.csv</v>
      </c>
      <c r="AA2" s="86" t="str">
        <f t="shared" si="0"/>
        <v>C:\Night Vent\in\1a BPM\2M16.csv</v>
      </c>
      <c r="AB2" s="89" t="str">
        <f t="shared" si="0"/>
        <v>C:\Night Vent\in\1a BPM\2Mbat.csv</v>
      </c>
      <c r="AD2" s="90" t="str">
        <f>$K$3&amp;AD1&amp;".csv"</f>
        <v>C:\Night Vent\in\1a BPM\2Mbat.csv</v>
      </c>
      <c r="AJ2" s="1" t="s">
        <v>722</v>
      </c>
    </row>
    <row r="3" spans="1:36" ht="15" customHeight="1" thickTop="1" thickBot="1">
      <c r="B3" s="7" t="s">
        <v>9</v>
      </c>
      <c r="C3" s="8">
        <f>Leakage!D13</f>
        <v>5.2430666733412769E-2</v>
      </c>
      <c r="D3" s="3" t="s">
        <v>10</v>
      </c>
      <c r="E3" s="7" t="s">
        <v>613</v>
      </c>
      <c r="F3" s="7" t="s">
        <v>11</v>
      </c>
      <c r="G3" s="9" t="s">
        <v>12</v>
      </c>
      <c r="H3" s="4" t="s">
        <v>13</v>
      </c>
      <c r="J3" s="379"/>
      <c r="K3" s="172" t="str">
        <f>"C:\Night Vent\in\1a BPM\"&amp;K5</f>
        <v>C:\Night Vent\in\1a BPM\2M</v>
      </c>
      <c r="L3" s="10">
        <f>C3</f>
        <v>5.2430666733412769E-2</v>
      </c>
      <c r="M3" s="10">
        <f t="shared" ref="M3:AA18" si="1">L3</f>
        <v>5.2430666733412769E-2</v>
      </c>
      <c r="N3" s="10">
        <f>M3</f>
        <v>5.2430666733412769E-2</v>
      </c>
      <c r="O3" s="10">
        <f t="shared" si="1"/>
        <v>5.2430666733412769E-2</v>
      </c>
      <c r="P3" s="10">
        <f t="shared" si="1"/>
        <v>5.2430666733412769E-2</v>
      </c>
      <c r="Q3" s="10">
        <f t="shared" si="1"/>
        <v>5.2430666733412769E-2</v>
      </c>
      <c r="R3" s="10">
        <f t="shared" si="1"/>
        <v>5.2430666733412769E-2</v>
      </c>
      <c r="S3" s="10">
        <f t="shared" si="1"/>
        <v>5.2430666733412769E-2</v>
      </c>
      <c r="T3" s="10">
        <f t="shared" si="1"/>
        <v>5.2430666733412769E-2</v>
      </c>
      <c r="U3" s="10">
        <f t="shared" si="1"/>
        <v>5.2430666733412769E-2</v>
      </c>
      <c r="V3" s="10">
        <f t="shared" si="1"/>
        <v>5.2430666733412769E-2</v>
      </c>
      <c r="W3" s="10">
        <f t="shared" si="1"/>
        <v>5.2430666733412769E-2</v>
      </c>
      <c r="X3" s="10">
        <f t="shared" si="1"/>
        <v>5.2430666733412769E-2</v>
      </c>
      <c r="Y3" s="10">
        <f t="shared" si="1"/>
        <v>5.2430666733412769E-2</v>
      </c>
      <c r="Z3" s="10">
        <f t="shared" si="1"/>
        <v>5.2430666733412769E-2</v>
      </c>
      <c r="AA3" s="10">
        <f t="shared" si="1"/>
        <v>5.2430666733412769E-2</v>
      </c>
      <c r="AB3" s="89">
        <f>C_no</f>
        <v>15</v>
      </c>
      <c r="AD3" s="89">
        <f>COUNT(K19:K34)</f>
        <v>0</v>
      </c>
      <c r="AE3" s="7">
        <f>IF(L3=Z3,0,1)</f>
        <v>0</v>
      </c>
      <c r="AJ3" s="7" t="s">
        <v>723</v>
      </c>
    </row>
    <row r="4" spans="1:36" ht="15" customHeight="1" thickTop="1" thickBot="1">
      <c r="B4" s="7" t="s">
        <v>14</v>
      </c>
      <c r="C4" s="11">
        <v>0.65</v>
      </c>
      <c r="D4" s="3" t="s">
        <v>10</v>
      </c>
      <c r="E4" s="7" t="s">
        <v>15</v>
      </c>
      <c r="F4" s="7" t="s">
        <v>16</v>
      </c>
      <c r="H4" s="4" t="s">
        <v>17</v>
      </c>
      <c r="K4" s="5" t="s">
        <v>18</v>
      </c>
      <c r="L4" s="221">
        <f t="shared" ref="L4:L53" si="2">C4</f>
        <v>0.65</v>
      </c>
      <c r="M4" s="221">
        <f t="shared" si="1"/>
        <v>0.65</v>
      </c>
      <c r="N4" s="221">
        <f t="shared" si="1"/>
        <v>0.65</v>
      </c>
      <c r="O4" s="221">
        <f t="shared" si="1"/>
        <v>0.65</v>
      </c>
      <c r="P4" s="221">
        <f t="shared" si="1"/>
        <v>0.65</v>
      </c>
      <c r="Q4" s="221">
        <f t="shared" si="1"/>
        <v>0.65</v>
      </c>
      <c r="R4" s="221">
        <f t="shared" si="1"/>
        <v>0.65</v>
      </c>
      <c r="S4" s="221">
        <f t="shared" si="1"/>
        <v>0.65</v>
      </c>
      <c r="T4" s="221">
        <f t="shared" si="1"/>
        <v>0.65</v>
      </c>
      <c r="U4" s="221">
        <f t="shared" si="1"/>
        <v>0.65</v>
      </c>
      <c r="V4" s="221">
        <f t="shared" si="1"/>
        <v>0.65</v>
      </c>
      <c r="W4" s="221">
        <f t="shared" si="1"/>
        <v>0.65</v>
      </c>
      <c r="X4" s="221">
        <f t="shared" si="1"/>
        <v>0.65</v>
      </c>
      <c r="Y4" s="221">
        <f t="shared" si="1"/>
        <v>0.65</v>
      </c>
      <c r="Z4" s="221">
        <f t="shared" si="1"/>
        <v>0.65</v>
      </c>
      <c r="AA4" s="221">
        <f t="shared" si="1"/>
        <v>0.65</v>
      </c>
      <c r="AB4" s="89" t="str">
        <f>IF($K$7&gt;=AC4,C_name&amp;AC4+$K$9-1,"")</f>
        <v>2M1</v>
      </c>
      <c r="AC4" s="7">
        <v>1</v>
      </c>
      <c r="AD4" s="89" t="str">
        <f>IF(K19&lt;&gt;"",C_name&amp;$K$19,"")</f>
        <v/>
      </c>
      <c r="AE4" s="379">
        <f t="shared" ref="AE4:AE67" si="3">IF(L4=Z4,0,1)</f>
        <v>0</v>
      </c>
      <c r="AJ4" s="7" t="s">
        <v>724</v>
      </c>
    </row>
    <row r="5" spans="1:36" ht="15" customHeight="1" thickTop="1" thickBot="1">
      <c r="B5" s="7" t="s">
        <v>583</v>
      </c>
      <c r="C5" s="11">
        <f>C76</f>
        <v>5.45</v>
      </c>
      <c r="D5" s="3" t="s">
        <v>10</v>
      </c>
      <c r="E5" s="7" t="s">
        <v>19</v>
      </c>
      <c r="F5" s="7" t="s">
        <v>20</v>
      </c>
      <c r="H5" s="4" t="s">
        <v>21</v>
      </c>
      <c r="K5" s="172" t="s">
        <v>900</v>
      </c>
      <c r="L5" s="221">
        <f t="shared" si="2"/>
        <v>5.45</v>
      </c>
      <c r="M5" s="221">
        <f t="shared" si="1"/>
        <v>5.45</v>
      </c>
      <c r="N5" s="221">
        <f t="shared" si="1"/>
        <v>5.45</v>
      </c>
      <c r="O5" s="221">
        <f t="shared" si="1"/>
        <v>5.45</v>
      </c>
      <c r="P5" s="221">
        <f t="shared" si="1"/>
        <v>5.45</v>
      </c>
      <c r="Q5" s="221">
        <f t="shared" si="1"/>
        <v>5.45</v>
      </c>
      <c r="R5" s="221">
        <f t="shared" si="1"/>
        <v>5.45</v>
      </c>
      <c r="S5" s="221">
        <f t="shared" si="1"/>
        <v>5.45</v>
      </c>
      <c r="T5" s="221">
        <f t="shared" si="1"/>
        <v>5.45</v>
      </c>
      <c r="U5" s="221">
        <f t="shared" si="1"/>
        <v>5.45</v>
      </c>
      <c r="V5" s="221">
        <f t="shared" si="1"/>
        <v>5.45</v>
      </c>
      <c r="W5" s="221">
        <f t="shared" si="1"/>
        <v>5.45</v>
      </c>
      <c r="X5" s="221">
        <f t="shared" si="1"/>
        <v>5.45</v>
      </c>
      <c r="Y5" s="221">
        <f t="shared" si="1"/>
        <v>5.45</v>
      </c>
      <c r="Z5" s="221">
        <f t="shared" si="1"/>
        <v>5.45</v>
      </c>
      <c r="AA5" s="221">
        <f t="shared" si="1"/>
        <v>5.45</v>
      </c>
      <c r="AB5" s="89" t="str">
        <f>IF(AND($K$11="yes",$K$7&gt;=AC5),IF($K$9&lt;10,"0"&amp;+$K$9,$K$9),IF($K$7&gt;=AC5,IF((AC5+$K$9-1)&lt;10,"0"&amp;AC5+$K$9-1,AC6+$K$9-1),""))</f>
        <v>01</v>
      </c>
      <c r="AC5" s="7">
        <v>1</v>
      </c>
      <c r="AD5" s="89">
        <f>IF(AND(K19&lt;&gt;"",K19&lt;10),"0"&amp;K19,K19)</f>
        <v>0</v>
      </c>
      <c r="AE5" s="379">
        <f t="shared" si="3"/>
        <v>0</v>
      </c>
      <c r="AJ5" s="7" t="s">
        <v>725</v>
      </c>
    </row>
    <row r="6" spans="1:36" ht="15" customHeight="1" thickTop="1" thickBot="1">
      <c r="B6" s="7" t="s">
        <v>22</v>
      </c>
      <c r="C6" s="11">
        <f>Leakage!H10</f>
        <v>0.5</v>
      </c>
      <c r="D6" s="3" t="s">
        <v>10</v>
      </c>
      <c r="E6" s="77" t="s">
        <v>640</v>
      </c>
      <c r="G6" s="9" t="s">
        <v>23</v>
      </c>
      <c r="H6" s="4" t="s">
        <v>13</v>
      </c>
      <c r="I6" s="7" t="s">
        <v>24</v>
      </c>
      <c r="K6" s="5" t="s">
        <v>25</v>
      </c>
      <c r="L6" s="221">
        <f t="shared" si="2"/>
        <v>0.5</v>
      </c>
      <c r="M6" s="221">
        <f t="shared" si="1"/>
        <v>0.5</v>
      </c>
      <c r="N6" s="221">
        <f t="shared" si="1"/>
        <v>0.5</v>
      </c>
      <c r="O6" s="221">
        <f t="shared" si="1"/>
        <v>0.5</v>
      </c>
      <c r="P6" s="221">
        <f t="shared" si="1"/>
        <v>0.5</v>
      </c>
      <c r="Q6" s="221">
        <f t="shared" si="1"/>
        <v>0.5</v>
      </c>
      <c r="R6" s="221">
        <f t="shared" si="1"/>
        <v>0.5</v>
      </c>
      <c r="S6" s="221">
        <f t="shared" si="1"/>
        <v>0.5</v>
      </c>
      <c r="T6" s="221">
        <f t="shared" si="1"/>
        <v>0.5</v>
      </c>
      <c r="U6" s="221">
        <f t="shared" si="1"/>
        <v>0.5</v>
      </c>
      <c r="V6" s="221">
        <f t="shared" si="1"/>
        <v>0.5</v>
      </c>
      <c r="W6" s="221">
        <f t="shared" si="1"/>
        <v>0.5</v>
      </c>
      <c r="X6" s="221">
        <f t="shared" si="1"/>
        <v>0.5</v>
      </c>
      <c r="Y6" s="221">
        <f t="shared" si="1"/>
        <v>0.5</v>
      </c>
      <c r="Z6" s="221">
        <f t="shared" si="1"/>
        <v>0.5</v>
      </c>
      <c r="AA6" s="221">
        <f t="shared" si="1"/>
        <v>0.5</v>
      </c>
      <c r="AB6" s="89" t="str">
        <f>IF($K$7&gt;=AC6,C_name&amp;AC6+$K$9-1,"")</f>
        <v>2M1</v>
      </c>
      <c r="AC6" s="7">
        <v>1</v>
      </c>
      <c r="AD6" s="89" t="str">
        <f>IF(K19&lt;&gt;"",C_name&amp;$K$19,"")</f>
        <v/>
      </c>
      <c r="AE6" s="379">
        <f t="shared" si="3"/>
        <v>0</v>
      </c>
      <c r="AJ6" s="7" t="s">
        <v>726</v>
      </c>
    </row>
    <row r="7" spans="1:36" ht="15" customHeight="1" thickTop="1" thickBot="1">
      <c r="A7" s="161"/>
      <c r="B7" s="126" t="s">
        <v>26</v>
      </c>
      <c r="C7" s="157">
        <f>Leakage!H11</f>
        <v>0</v>
      </c>
      <c r="D7" s="158" t="s">
        <v>10</v>
      </c>
      <c r="E7" s="174" t="s">
        <v>641</v>
      </c>
      <c r="G7" s="9" t="s">
        <v>23</v>
      </c>
      <c r="H7" s="4" t="s">
        <v>13</v>
      </c>
      <c r="K7" s="172">
        <v>15</v>
      </c>
      <c r="L7" s="221">
        <f t="shared" si="2"/>
        <v>0</v>
      </c>
      <c r="M7" s="221">
        <f t="shared" si="1"/>
        <v>0</v>
      </c>
      <c r="N7" s="221">
        <f t="shared" si="1"/>
        <v>0</v>
      </c>
      <c r="O7" s="221">
        <f t="shared" si="1"/>
        <v>0</v>
      </c>
      <c r="P7" s="221">
        <f t="shared" si="1"/>
        <v>0</v>
      </c>
      <c r="Q7" s="221">
        <f t="shared" si="1"/>
        <v>0</v>
      </c>
      <c r="R7" s="221">
        <f t="shared" si="1"/>
        <v>0</v>
      </c>
      <c r="S7" s="221">
        <f t="shared" si="1"/>
        <v>0</v>
      </c>
      <c r="T7" s="221">
        <f t="shared" si="1"/>
        <v>0</v>
      </c>
      <c r="U7" s="221">
        <f t="shared" si="1"/>
        <v>0</v>
      </c>
      <c r="V7" s="221">
        <f t="shared" si="1"/>
        <v>0</v>
      </c>
      <c r="W7" s="221">
        <f t="shared" si="1"/>
        <v>0</v>
      </c>
      <c r="X7" s="221">
        <f t="shared" si="1"/>
        <v>0</v>
      </c>
      <c r="Y7" s="221">
        <f t="shared" si="1"/>
        <v>0</v>
      </c>
      <c r="Z7" s="221">
        <f t="shared" si="1"/>
        <v>0</v>
      </c>
      <c r="AA7" s="221">
        <f t="shared" si="1"/>
        <v>0</v>
      </c>
      <c r="AB7" s="89" t="str">
        <f>IF($K$7&gt;=AC7,C_name&amp;AC7+$K$9-1,"")</f>
        <v>2M2</v>
      </c>
      <c r="AC7" s="7">
        <f>AC4+1</f>
        <v>2</v>
      </c>
      <c r="AD7" s="89" t="str">
        <f>IF(K20&lt;&gt;"",C_name&amp;$K$20,"")</f>
        <v/>
      </c>
      <c r="AE7" s="379">
        <f t="shared" si="3"/>
        <v>0</v>
      </c>
      <c r="AJ7" s="7" t="s">
        <v>727</v>
      </c>
    </row>
    <row r="8" spans="1:36" ht="15" customHeight="1" thickTop="1" thickBot="1">
      <c r="A8" s="5" t="s">
        <v>27</v>
      </c>
      <c r="B8" s="7" t="s">
        <v>28</v>
      </c>
      <c r="C8" s="11">
        <v>0</v>
      </c>
      <c r="D8" s="3" t="s">
        <v>10</v>
      </c>
      <c r="E8" s="77" t="s">
        <v>29</v>
      </c>
      <c r="G8" s="9"/>
      <c r="H8" s="4" t="s">
        <v>17</v>
      </c>
      <c r="K8" s="5" t="s">
        <v>30</v>
      </c>
      <c r="L8" s="188">
        <f t="shared" si="2"/>
        <v>0</v>
      </c>
      <c r="M8" s="188">
        <f t="shared" si="1"/>
        <v>0</v>
      </c>
      <c r="N8" s="188">
        <f t="shared" si="1"/>
        <v>0</v>
      </c>
      <c r="O8" s="188">
        <f t="shared" si="1"/>
        <v>0</v>
      </c>
      <c r="P8" s="188">
        <f t="shared" si="1"/>
        <v>0</v>
      </c>
      <c r="Q8" s="188">
        <f t="shared" si="1"/>
        <v>0</v>
      </c>
      <c r="R8" s="188">
        <f t="shared" si="1"/>
        <v>0</v>
      </c>
      <c r="S8" s="188">
        <f t="shared" si="1"/>
        <v>0</v>
      </c>
      <c r="T8" s="188">
        <f t="shared" si="1"/>
        <v>0</v>
      </c>
      <c r="U8" s="188">
        <f t="shared" si="1"/>
        <v>0</v>
      </c>
      <c r="V8" s="188">
        <f t="shared" si="1"/>
        <v>0</v>
      </c>
      <c r="W8" s="188">
        <f t="shared" si="1"/>
        <v>0</v>
      </c>
      <c r="X8" s="188">
        <f t="shared" si="1"/>
        <v>0</v>
      </c>
      <c r="Y8" s="188">
        <f t="shared" si="1"/>
        <v>0</v>
      </c>
      <c r="Z8" s="188">
        <f t="shared" si="1"/>
        <v>0</v>
      </c>
      <c r="AA8" s="188">
        <f t="shared" si="1"/>
        <v>0</v>
      </c>
      <c r="AB8" s="89" t="str">
        <f>IF(AND($K$11="yes",$K$7&gt;=AC8),IF($K$9&lt;10,"0"&amp;+$K$9,$K$9),IF($K$7&gt;=AC8,IF((AC8+$K$9-1)&lt;10,"0"&amp;AC8+$K$9-1,AC9+$K$9-1),""))</f>
        <v>02</v>
      </c>
      <c r="AC8" s="7">
        <f t="shared" ref="AC8:AC51" si="4">AC5+1</f>
        <v>2</v>
      </c>
      <c r="AD8" s="89">
        <f>IF(AND(K20&lt;&gt;"",K20&lt;10),"0"&amp;K20,K20)</f>
        <v>0</v>
      </c>
      <c r="AE8" s="379">
        <f t="shared" si="3"/>
        <v>0</v>
      </c>
      <c r="AJ8" s="7" t="s">
        <v>728</v>
      </c>
    </row>
    <row r="9" spans="1:36" ht="15" customHeight="1" thickTop="1" thickBot="1">
      <c r="B9" s="166" t="s">
        <v>545</v>
      </c>
      <c r="C9" s="287">
        <f>C_flueSI</f>
        <v>1.9281086206186945E-2</v>
      </c>
      <c r="D9" s="165" t="s">
        <v>10</v>
      </c>
      <c r="E9" s="189" t="s">
        <v>31</v>
      </c>
      <c r="F9" s="7" t="s">
        <v>32</v>
      </c>
      <c r="G9" s="9" t="s">
        <v>23</v>
      </c>
      <c r="H9" s="4" t="s">
        <v>33</v>
      </c>
      <c r="K9" s="172">
        <v>1</v>
      </c>
      <c r="L9" s="288">
        <f t="shared" si="2"/>
        <v>1.9281086206186945E-2</v>
      </c>
      <c r="M9" s="288">
        <f t="shared" si="1"/>
        <v>1.9281086206186945E-2</v>
      </c>
      <c r="N9" s="288">
        <f t="shared" si="1"/>
        <v>1.9281086206186945E-2</v>
      </c>
      <c r="O9" s="288">
        <f t="shared" si="1"/>
        <v>1.9281086206186945E-2</v>
      </c>
      <c r="P9" s="288">
        <f t="shared" si="1"/>
        <v>1.9281086206186945E-2</v>
      </c>
      <c r="Q9" s="288">
        <f t="shared" si="1"/>
        <v>1.9281086206186945E-2</v>
      </c>
      <c r="R9" s="288">
        <f t="shared" si="1"/>
        <v>1.9281086206186945E-2</v>
      </c>
      <c r="S9" s="288">
        <f t="shared" si="1"/>
        <v>1.9281086206186945E-2</v>
      </c>
      <c r="T9" s="288">
        <f t="shared" si="1"/>
        <v>1.9281086206186945E-2</v>
      </c>
      <c r="U9" s="288">
        <f t="shared" si="1"/>
        <v>1.9281086206186945E-2</v>
      </c>
      <c r="V9" s="288">
        <f t="shared" si="1"/>
        <v>1.9281086206186945E-2</v>
      </c>
      <c r="W9" s="288">
        <f t="shared" si="1"/>
        <v>1.9281086206186945E-2</v>
      </c>
      <c r="X9" s="288">
        <f t="shared" si="1"/>
        <v>1.9281086206186945E-2</v>
      </c>
      <c r="Y9" s="288">
        <f t="shared" si="1"/>
        <v>1.9281086206186945E-2</v>
      </c>
      <c r="Z9" s="288">
        <f t="shared" si="1"/>
        <v>1.9281086206186945E-2</v>
      </c>
      <c r="AA9" s="288">
        <f t="shared" si="1"/>
        <v>1.9281086206186945E-2</v>
      </c>
      <c r="AB9" s="89" t="str">
        <f>IF($K$7&gt;=AC9,C_name&amp;AC9+$K$9-1,"")</f>
        <v>2M2</v>
      </c>
      <c r="AC9" s="7">
        <f t="shared" si="4"/>
        <v>2</v>
      </c>
      <c r="AD9" s="89" t="str">
        <f>IF(K20&lt;&gt;"",C_name&amp;$K$20,"")</f>
        <v/>
      </c>
      <c r="AE9" s="379">
        <f t="shared" si="3"/>
        <v>0</v>
      </c>
      <c r="AJ9" s="7" t="s">
        <v>729</v>
      </c>
    </row>
    <row r="10" spans="1:36" ht="15" customHeight="1" thickTop="1" thickBot="1">
      <c r="B10" s="167" t="s">
        <v>546</v>
      </c>
      <c r="C10" s="13">
        <f>H_flueSI</f>
        <v>6.9740000000000002</v>
      </c>
      <c r="D10" s="156" t="s">
        <v>10</v>
      </c>
      <c r="E10" s="190" t="s">
        <v>34</v>
      </c>
      <c r="H10" s="4" t="s">
        <v>35</v>
      </c>
      <c r="K10" s="5" t="s">
        <v>36</v>
      </c>
      <c r="L10" s="221">
        <f t="shared" si="2"/>
        <v>6.9740000000000002</v>
      </c>
      <c r="M10" s="221">
        <f t="shared" si="1"/>
        <v>6.9740000000000002</v>
      </c>
      <c r="N10" s="221">
        <f t="shared" si="1"/>
        <v>6.9740000000000002</v>
      </c>
      <c r="O10" s="221">
        <f t="shared" si="1"/>
        <v>6.9740000000000002</v>
      </c>
      <c r="P10" s="221">
        <f t="shared" si="1"/>
        <v>6.9740000000000002</v>
      </c>
      <c r="Q10" s="221">
        <f t="shared" si="1"/>
        <v>6.9740000000000002</v>
      </c>
      <c r="R10" s="221">
        <f t="shared" si="1"/>
        <v>6.9740000000000002</v>
      </c>
      <c r="S10" s="221">
        <f t="shared" si="1"/>
        <v>6.9740000000000002</v>
      </c>
      <c r="T10" s="221">
        <f t="shared" si="1"/>
        <v>6.9740000000000002</v>
      </c>
      <c r="U10" s="221">
        <f t="shared" si="1"/>
        <v>6.9740000000000002</v>
      </c>
      <c r="V10" s="221">
        <f t="shared" si="1"/>
        <v>6.9740000000000002</v>
      </c>
      <c r="W10" s="221">
        <f t="shared" si="1"/>
        <v>6.9740000000000002</v>
      </c>
      <c r="X10" s="221">
        <f t="shared" si="1"/>
        <v>6.9740000000000002</v>
      </c>
      <c r="Y10" s="221">
        <f t="shared" si="1"/>
        <v>6.9740000000000002</v>
      </c>
      <c r="Z10" s="221">
        <f t="shared" si="1"/>
        <v>6.9740000000000002</v>
      </c>
      <c r="AA10" s="221">
        <f t="shared" si="1"/>
        <v>6.9740000000000002</v>
      </c>
      <c r="AB10" s="89" t="str">
        <f>IF($K$7&gt;=AC10,C_name&amp;AC10+$K$9-1,"")</f>
        <v>2M3</v>
      </c>
      <c r="AC10" s="7">
        <f t="shared" si="4"/>
        <v>3</v>
      </c>
      <c r="AD10" s="89" t="str">
        <f>IF(K21&lt;&gt;"",C_name&amp;$K$21,"")</f>
        <v/>
      </c>
      <c r="AE10" s="379">
        <f t="shared" si="3"/>
        <v>0</v>
      </c>
      <c r="AJ10" s="7" t="s">
        <v>730</v>
      </c>
    </row>
    <row r="11" spans="1:36" ht="15" customHeight="1" thickTop="1" thickBot="1">
      <c r="B11" s="168" t="s">
        <v>547</v>
      </c>
      <c r="C11" s="173">
        <v>-99</v>
      </c>
      <c r="D11" s="158" t="s">
        <v>10</v>
      </c>
      <c r="E11" s="191" t="s">
        <v>595</v>
      </c>
      <c r="F11" s="7" t="s">
        <v>38</v>
      </c>
      <c r="H11" s="4" t="s">
        <v>17</v>
      </c>
      <c r="K11" s="172" t="s">
        <v>39</v>
      </c>
      <c r="L11" s="188">
        <f t="shared" si="2"/>
        <v>-99</v>
      </c>
      <c r="M11" s="188">
        <f t="shared" si="1"/>
        <v>-99</v>
      </c>
      <c r="N11" s="188">
        <f t="shared" si="1"/>
        <v>-99</v>
      </c>
      <c r="O11" s="188">
        <f t="shared" si="1"/>
        <v>-99</v>
      </c>
      <c r="P11" s="188">
        <f t="shared" si="1"/>
        <v>-99</v>
      </c>
      <c r="Q11" s="188">
        <f t="shared" si="1"/>
        <v>-99</v>
      </c>
      <c r="R11" s="188">
        <f t="shared" si="1"/>
        <v>-99</v>
      </c>
      <c r="S11" s="188">
        <f t="shared" si="1"/>
        <v>-99</v>
      </c>
      <c r="T11" s="188">
        <f t="shared" si="1"/>
        <v>-99</v>
      </c>
      <c r="U11" s="188">
        <f t="shared" si="1"/>
        <v>-99</v>
      </c>
      <c r="V11" s="188">
        <f t="shared" si="1"/>
        <v>-99</v>
      </c>
      <c r="W11" s="188">
        <f t="shared" si="1"/>
        <v>-99</v>
      </c>
      <c r="X11" s="188">
        <f t="shared" si="1"/>
        <v>-99</v>
      </c>
      <c r="Y11" s="188">
        <f t="shared" si="1"/>
        <v>-99</v>
      </c>
      <c r="Z11" s="188">
        <f t="shared" si="1"/>
        <v>-99</v>
      </c>
      <c r="AA11" s="188">
        <f t="shared" si="1"/>
        <v>-99</v>
      </c>
      <c r="AB11" s="89" t="str">
        <f>IF(AND($K$11="yes",$K$7&gt;=AC11),IF($K$9&lt;10,"0"&amp;+$K$9,$K$9),IF($K$7&gt;=AC11,IF((AC11+$K$9-1)&lt;10,"0"&amp;AC11+$K$9-1,AC12+$K$9-1),""))</f>
        <v>03</v>
      </c>
      <c r="AC11" s="7">
        <f t="shared" si="4"/>
        <v>3</v>
      </c>
      <c r="AD11" s="89">
        <f>IF(AND(K21&lt;&gt;"",K21&lt;10),"0"&amp;K21,K21)</f>
        <v>0</v>
      </c>
      <c r="AE11" s="379">
        <f t="shared" si="3"/>
        <v>0</v>
      </c>
      <c r="AJ11" s="7" t="s">
        <v>731</v>
      </c>
    </row>
    <row r="12" spans="1:36" ht="15" customHeight="1" thickTop="1">
      <c r="B12" s="166" t="s">
        <v>545</v>
      </c>
      <c r="C12" s="169">
        <v>0</v>
      </c>
      <c r="D12" s="165" t="s">
        <v>10</v>
      </c>
      <c r="E12" s="134" t="s">
        <v>31</v>
      </c>
      <c r="F12" s="7" t="s">
        <v>691</v>
      </c>
      <c r="H12" s="4" t="s">
        <v>33</v>
      </c>
      <c r="I12" s="7" t="str">
        <f>L2</f>
        <v>C:\Night Vent\in\1a BPM\2M1.csv</v>
      </c>
      <c r="L12" s="221">
        <f t="shared" si="2"/>
        <v>0</v>
      </c>
      <c r="M12" s="221">
        <f t="shared" si="1"/>
        <v>0</v>
      </c>
      <c r="N12" s="221">
        <f t="shared" si="1"/>
        <v>0</v>
      </c>
      <c r="O12" s="221">
        <f t="shared" si="1"/>
        <v>0</v>
      </c>
      <c r="P12" s="221">
        <f t="shared" si="1"/>
        <v>0</v>
      </c>
      <c r="Q12" s="221">
        <f t="shared" si="1"/>
        <v>0</v>
      </c>
      <c r="R12" s="221">
        <f t="shared" si="1"/>
        <v>0</v>
      </c>
      <c r="S12" s="221">
        <f t="shared" si="1"/>
        <v>0</v>
      </c>
      <c r="T12" s="221">
        <f t="shared" si="1"/>
        <v>0</v>
      </c>
      <c r="U12" s="221">
        <f t="shared" si="1"/>
        <v>0</v>
      </c>
      <c r="V12" s="221">
        <f t="shared" si="1"/>
        <v>0</v>
      </c>
      <c r="W12" s="221">
        <f t="shared" si="1"/>
        <v>0</v>
      </c>
      <c r="X12" s="221">
        <f t="shared" si="1"/>
        <v>0</v>
      </c>
      <c r="Y12" s="221">
        <f t="shared" si="1"/>
        <v>0</v>
      </c>
      <c r="Z12" s="221">
        <f t="shared" si="1"/>
        <v>0</v>
      </c>
      <c r="AA12" s="221">
        <f t="shared" si="1"/>
        <v>0</v>
      </c>
      <c r="AB12" s="89" t="str">
        <f>IF($K$7&gt;=AC12,C_name&amp;AC12+$K$9-1,"")</f>
        <v>2M3</v>
      </c>
      <c r="AC12" s="7">
        <f t="shared" si="4"/>
        <v>3</v>
      </c>
      <c r="AD12" s="89" t="str">
        <f>IF(K21&lt;&gt;"",C_name&amp;$K$21,"")</f>
        <v/>
      </c>
      <c r="AE12" s="379">
        <f t="shared" si="3"/>
        <v>0</v>
      </c>
      <c r="AJ12" s="7" t="s">
        <v>732</v>
      </c>
    </row>
    <row r="13" spans="1:36" ht="15" customHeight="1">
      <c r="B13" s="167" t="s">
        <v>546</v>
      </c>
      <c r="C13" s="13">
        <f>C10</f>
        <v>6.9740000000000002</v>
      </c>
      <c r="D13" s="156" t="s">
        <v>10</v>
      </c>
      <c r="E13" s="116" t="s">
        <v>34</v>
      </c>
      <c r="H13" s="4" t="s">
        <v>35</v>
      </c>
      <c r="L13" s="221">
        <f t="shared" si="2"/>
        <v>6.9740000000000002</v>
      </c>
      <c r="M13" s="221">
        <f t="shared" si="1"/>
        <v>6.9740000000000002</v>
      </c>
      <c r="N13" s="221">
        <f t="shared" si="1"/>
        <v>6.9740000000000002</v>
      </c>
      <c r="O13" s="221">
        <f t="shared" si="1"/>
        <v>6.9740000000000002</v>
      </c>
      <c r="P13" s="221">
        <f t="shared" si="1"/>
        <v>6.9740000000000002</v>
      </c>
      <c r="Q13" s="221">
        <f t="shared" si="1"/>
        <v>6.9740000000000002</v>
      </c>
      <c r="R13" s="221">
        <f t="shared" si="1"/>
        <v>6.9740000000000002</v>
      </c>
      <c r="S13" s="221">
        <f t="shared" si="1"/>
        <v>6.9740000000000002</v>
      </c>
      <c r="T13" s="221">
        <f t="shared" si="1"/>
        <v>6.9740000000000002</v>
      </c>
      <c r="U13" s="221">
        <f t="shared" si="1"/>
        <v>6.9740000000000002</v>
      </c>
      <c r="V13" s="221">
        <f t="shared" si="1"/>
        <v>6.9740000000000002</v>
      </c>
      <c r="W13" s="221">
        <f t="shared" si="1"/>
        <v>6.9740000000000002</v>
      </c>
      <c r="X13" s="221">
        <f t="shared" si="1"/>
        <v>6.9740000000000002</v>
      </c>
      <c r="Y13" s="221">
        <f t="shared" si="1"/>
        <v>6.9740000000000002</v>
      </c>
      <c r="Z13" s="221">
        <f t="shared" si="1"/>
        <v>6.9740000000000002</v>
      </c>
      <c r="AA13" s="221">
        <f t="shared" si="1"/>
        <v>6.9740000000000002</v>
      </c>
      <c r="AB13" s="89" t="str">
        <f>IF($K$7&gt;=AC13,C_name&amp;AC13+$K$9-1,"")</f>
        <v>2M4</v>
      </c>
      <c r="AC13" s="7">
        <f t="shared" si="4"/>
        <v>4</v>
      </c>
      <c r="AD13" s="89" t="str">
        <f>IF(K22&lt;&gt;"",C_name&amp;$K$22,"")</f>
        <v/>
      </c>
      <c r="AE13" s="379">
        <f t="shared" si="3"/>
        <v>0</v>
      </c>
      <c r="AJ13" s="7" t="s">
        <v>733</v>
      </c>
    </row>
    <row r="14" spans="1:36" ht="15" customHeight="1">
      <c r="B14" s="168" t="s">
        <v>547</v>
      </c>
      <c r="C14" s="173">
        <f>C11</f>
        <v>-99</v>
      </c>
      <c r="D14" s="158" t="s">
        <v>10</v>
      </c>
      <c r="E14" s="111" t="s">
        <v>37</v>
      </c>
      <c r="H14" s="4" t="s">
        <v>17</v>
      </c>
      <c r="L14" s="188">
        <f t="shared" si="2"/>
        <v>-99</v>
      </c>
      <c r="M14" s="188">
        <f t="shared" si="1"/>
        <v>-99</v>
      </c>
      <c r="N14" s="188">
        <f t="shared" si="1"/>
        <v>-99</v>
      </c>
      <c r="O14" s="188">
        <f t="shared" si="1"/>
        <v>-99</v>
      </c>
      <c r="P14" s="188">
        <f t="shared" si="1"/>
        <v>-99</v>
      </c>
      <c r="Q14" s="188">
        <f t="shared" si="1"/>
        <v>-99</v>
      </c>
      <c r="R14" s="188">
        <f t="shared" si="1"/>
        <v>-99</v>
      </c>
      <c r="S14" s="188">
        <f t="shared" si="1"/>
        <v>-99</v>
      </c>
      <c r="T14" s="188">
        <f t="shared" si="1"/>
        <v>-99</v>
      </c>
      <c r="U14" s="188">
        <f t="shared" si="1"/>
        <v>-99</v>
      </c>
      <c r="V14" s="188">
        <f t="shared" si="1"/>
        <v>-99</v>
      </c>
      <c r="W14" s="188">
        <f t="shared" si="1"/>
        <v>-99</v>
      </c>
      <c r="X14" s="188">
        <f t="shared" si="1"/>
        <v>-99</v>
      </c>
      <c r="Y14" s="188">
        <f t="shared" si="1"/>
        <v>-99</v>
      </c>
      <c r="Z14" s="188">
        <f t="shared" si="1"/>
        <v>-99</v>
      </c>
      <c r="AA14" s="188">
        <f t="shared" si="1"/>
        <v>-99</v>
      </c>
      <c r="AB14" s="89" t="str">
        <f>IF(AND($K$11="yes",$K$7&gt;=AC14),IF($K$9&lt;10,"0"&amp;+$K$9,$K$9),IF($K$7&gt;=AC14,IF((AC14+$K$9-1)&lt;10,"0"&amp;AC14+$K$9-1,AC15+$K$9-1),""))</f>
        <v>04</v>
      </c>
      <c r="AC14" s="7">
        <f t="shared" si="4"/>
        <v>4</v>
      </c>
      <c r="AD14" s="89">
        <f>IF(AND(K22&lt;&gt;"",K22&lt;10),"0"&amp;K22,K22)</f>
        <v>0</v>
      </c>
      <c r="AE14" s="379">
        <f t="shared" si="3"/>
        <v>0</v>
      </c>
      <c r="AJ14" s="7" t="s">
        <v>734</v>
      </c>
    </row>
    <row r="15" spans="1:36" ht="15" customHeight="1">
      <c r="A15" s="139" t="s">
        <v>40</v>
      </c>
      <c r="B15" s="136" t="s">
        <v>548</v>
      </c>
      <c r="C15" s="169">
        <f>Leakage!M5</f>
        <v>0.26923076923076922</v>
      </c>
      <c r="D15" s="160" t="s">
        <v>10</v>
      </c>
      <c r="E15" s="136" t="s">
        <v>522</v>
      </c>
      <c r="F15" s="7" t="s">
        <v>42</v>
      </c>
      <c r="H15" s="4" t="s">
        <v>13</v>
      </c>
      <c r="L15" s="221">
        <f t="shared" si="2"/>
        <v>0.26923076923076922</v>
      </c>
      <c r="M15" s="221">
        <f t="shared" si="1"/>
        <v>0.26923076923076922</v>
      </c>
      <c r="N15" s="221">
        <f t="shared" si="1"/>
        <v>0.26923076923076922</v>
      </c>
      <c r="O15" s="221">
        <f t="shared" si="1"/>
        <v>0.26923076923076922</v>
      </c>
      <c r="P15" s="221">
        <f t="shared" si="1"/>
        <v>0.26923076923076922</v>
      </c>
      <c r="Q15" s="221">
        <f t="shared" si="1"/>
        <v>0.26923076923076922</v>
      </c>
      <c r="R15" s="221">
        <f t="shared" si="1"/>
        <v>0.26923076923076922</v>
      </c>
      <c r="S15" s="221">
        <f t="shared" si="1"/>
        <v>0.26923076923076922</v>
      </c>
      <c r="T15" s="221">
        <f t="shared" si="1"/>
        <v>0.26923076923076922</v>
      </c>
      <c r="U15" s="221">
        <f t="shared" si="1"/>
        <v>0.26923076923076922</v>
      </c>
      <c r="V15" s="221">
        <f t="shared" si="1"/>
        <v>0.26923076923076922</v>
      </c>
      <c r="W15" s="221">
        <f t="shared" si="1"/>
        <v>0.26923076923076922</v>
      </c>
      <c r="X15" s="221">
        <f t="shared" si="1"/>
        <v>0.26923076923076922</v>
      </c>
      <c r="Y15" s="221">
        <f t="shared" si="1"/>
        <v>0.26923076923076922</v>
      </c>
      <c r="Z15" s="221">
        <f t="shared" si="1"/>
        <v>0.26923076923076922</v>
      </c>
      <c r="AA15" s="221">
        <f t="shared" si="1"/>
        <v>0.26923076923076922</v>
      </c>
      <c r="AB15" s="89" t="str">
        <f>IF($K$7&gt;=AC15,C_name&amp;AC15+$K$9-1,"")</f>
        <v>2M4</v>
      </c>
      <c r="AC15" s="7">
        <f t="shared" si="4"/>
        <v>4</v>
      </c>
      <c r="AD15" s="89" t="str">
        <f>IF(K22&lt;&gt;"",C_name&amp;$K$22,"")</f>
        <v/>
      </c>
      <c r="AE15" s="379">
        <f t="shared" si="3"/>
        <v>0</v>
      </c>
      <c r="AJ15" s="7" t="s">
        <v>735</v>
      </c>
    </row>
    <row r="16" spans="1:36" ht="15" customHeight="1">
      <c r="A16" s="142"/>
      <c r="B16" s="109" t="s">
        <v>548</v>
      </c>
      <c r="C16" s="13">
        <f>C15</f>
        <v>0.26923076923076922</v>
      </c>
      <c r="D16" s="156" t="s">
        <v>10</v>
      </c>
      <c r="E16" s="109" t="s">
        <v>523</v>
      </c>
      <c r="H16" s="4" t="s">
        <v>13</v>
      </c>
      <c r="L16" s="221">
        <f t="shared" si="2"/>
        <v>0.26923076923076922</v>
      </c>
      <c r="M16" s="221">
        <f t="shared" si="1"/>
        <v>0.26923076923076922</v>
      </c>
      <c r="N16" s="221">
        <f t="shared" si="1"/>
        <v>0.26923076923076922</v>
      </c>
      <c r="O16" s="221">
        <f t="shared" si="1"/>
        <v>0.26923076923076922</v>
      </c>
      <c r="P16" s="221">
        <f t="shared" si="1"/>
        <v>0.26923076923076922</v>
      </c>
      <c r="Q16" s="221">
        <f t="shared" si="1"/>
        <v>0.26923076923076922</v>
      </c>
      <c r="R16" s="221">
        <f t="shared" si="1"/>
        <v>0.26923076923076922</v>
      </c>
      <c r="S16" s="221">
        <f t="shared" si="1"/>
        <v>0.26923076923076922</v>
      </c>
      <c r="T16" s="221">
        <f t="shared" si="1"/>
        <v>0.26923076923076922</v>
      </c>
      <c r="U16" s="221">
        <f t="shared" si="1"/>
        <v>0.26923076923076922</v>
      </c>
      <c r="V16" s="221">
        <f t="shared" si="1"/>
        <v>0.26923076923076922</v>
      </c>
      <c r="W16" s="221">
        <f t="shared" si="1"/>
        <v>0.26923076923076922</v>
      </c>
      <c r="X16" s="221">
        <f t="shared" si="1"/>
        <v>0.26923076923076922</v>
      </c>
      <c r="Y16" s="221">
        <f t="shared" si="1"/>
        <v>0.26923076923076922</v>
      </c>
      <c r="Z16" s="221">
        <f t="shared" si="1"/>
        <v>0.26923076923076922</v>
      </c>
      <c r="AA16" s="221">
        <f t="shared" si="1"/>
        <v>0.26923076923076922</v>
      </c>
      <c r="AB16" s="89" t="str">
        <f>IF($K$7&gt;=AC16,C_name&amp;AC16+$K$9-1,"")</f>
        <v>2M5</v>
      </c>
      <c r="AC16" s="7">
        <f t="shared" si="4"/>
        <v>5</v>
      </c>
      <c r="AD16" s="89" t="str">
        <f>IF(K23&lt;&gt;"",C_name&amp;$K$23,"")</f>
        <v/>
      </c>
      <c r="AE16" s="379">
        <f t="shared" si="3"/>
        <v>0</v>
      </c>
      <c r="AJ16" s="7" t="s">
        <v>849</v>
      </c>
    </row>
    <row r="17" spans="1:32" ht="15" customHeight="1">
      <c r="A17" s="142"/>
      <c r="B17" s="109" t="s">
        <v>548</v>
      </c>
      <c r="C17" s="13">
        <f>Leakage!M6</f>
        <v>0.23076923076923075</v>
      </c>
      <c r="D17" s="156" t="s">
        <v>10</v>
      </c>
      <c r="E17" s="109" t="s">
        <v>524</v>
      </c>
      <c r="H17" s="4" t="s">
        <v>13</v>
      </c>
      <c r="L17" s="221">
        <f t="shared" si="2"/>
        <v>0.23076923076923075</v>
      </c>
      <c r="M17" s="221">
        <f t="shared" si="1"/>
        <v>0.23076923076923075</v>
      </c>
      <c r="N17" s="221">
        <f t="shared" si="1"/>
        <v>0.23076923076923075</v>
      </c>
      <c r="O17" s="221">
        <f t="shared" si="1"/>
        <v>0.23076923076923075</v>
      </c>
      <c r="P17" s="221">
        <f t="shared" si="1"/>
        <v>0.23076923076923075</v>
      </c>
      <c r="Q17" s="221">
        <f t="shared" si="1"/>
        <v>0.23076923076923075</v>
      </c>
      <c r="R17" s="221">
        <f t="shared" si="1"/>
        <v>0.23076923076923075</v>
      </c>
      <c r="S17" s="221">
        <f t="shared" si="1"/>
        <v>0.23076923076923075</v>
      </c>
      <c r="T17" s="221">
        <f t="shared" si="1"/>
        <v>0.23076923076923075</v>
      </c>
      <c r="U17" s="221">
        <f t="shared" si="1"/>
        <v>0.23076923076923075</v>
      </c>
      <c r="V17" s="221">
        <f t="shared" si="1"/>
        <v>0.23076923076923075</v>
      </c>
      <c r="W17" s="221">
        <f t="shared" si="1"/>
        <v>0.23076923076923075</v>
      </c>
      <c r="X17" s="221">
        <f t="shared" si="1"/>
        <v>0.23076923076923075</v>
      </c>
      <c r="Y17" s="221">
        <f t="shared" si="1"/>
        <v>0.23076923076923075</v>
      </c>
      <c r="Z17" s="221">
        <f t="shared" si="1"/>
        <v>0.23076923076923075</v>
      </c>
      <c r="AA17" s="221">
        <f t="shared" si="1"/>
        <v>0.23076923076923075</v>
      </c>
      <c r="AB17" s="89" t="str">
        <f>IF(AND($K$11="yes",$K$7&gt;=AC17),IF($K$9&lt;10,"0"&amp;+$K$9,$K$9),IF($K$7&gt;=AC17,IF((AC17+$K$9-1)&lt;10,"0"&amp;AC17+$K$9-1,AC18+$K$9-1),""))</f>
        <v>05</v>
      </c>
      <c r="AC17" s="7">
        <f t="shared" si="4"/>
        <v>5</v>
      </c>
      <c r="AD17" s="89">
        <f>IF(AND(K23&lt;&gt;"",K23&lt;10),"0"&amp;K23,K23)</f>
        <v>0</v>
      </c>
      <c r="AE17" s="379">
        <f t="shared" si="3"/>
        <v>0</v>
      </c>
    </row>
    <row r="18" spans="1:32" ht="15" customHeight="1" thickBot="1">
      <c r="A18" s="142"/>
      <c r="B18" s="109" t="s">
        <v>548</v>
      </c>
      <c r="C18" s="13">
        <f>C17</f>
        <v>0.23076923076923075</v>
      </c>
      <c r="D18" s="156" t="s">
        <v>10</v>
      </c>
      <c r="E18" s="109" t="s">
        <v>525</v>
      </c>
      <c r="H18" s="4" t="s">
        <v>13</v>
      </c>
      <c r="K18" s="5" t="s">
        <v>308</v>
      </c>
      <c r="L18" s="221">
        <f t="shared" si="2"/>
        <v>0.23076923076923075</v>
      </c>
      <c r="M18" s="221">
        <f t="shared" si="1"/>
        <v>0.23076923076923075</v>
      </c>
      <c r="N18" s="221">
        <f t="shared" si="1"/>
        <v>0.23076923076923075</v>
      </c>
      <c r="O18" s="221">
        <f t="shared" si="1"/>
        <v>0.23076923076923075</v>
      </c>
      <c r="P18" s="221">
        <f t="shared" si="1"/>
        <v>0.23076923076923075</v>
      </c>
      <c r="Q18" s="221">
        <f t="shared" si="1"/>
        <v>0.23076923076923075</v>
      </c>
      <c r="R18" s="221">
        <f t="shared" si="1"/>
        <v>0.23076923076923075</v>
      </c>
      <c r="S18" s="221">
        <f t="shared" si="1"/>
        <v>0.23076923076923075</v>
      </c>
      <c r="T18" s="221">
        <f t="shared" si="1"/>
        <v>0.23076923076923075</v>
      </c>
      <c r="U18" s="221">
        <f t="shared" si="1"/>
        <v>0.23076923076923075</v>
      </c>
      <c r="V18" s="221">
        <f t="shared" si="1"/>
        <v>0.23076923076923075</v>
      </c>
      <c r="W18" s="221">
        <f t="shared" si="1"/>
        <v>0.23076923076923075</v>
      </c>
      <c r="X18" s="221">
        <f t="shared" si="1"/>
        <v>0.23076923076923075</v>
      </c>
      <c r="Y18" s="221">
        <f t="shared" si="1"/>
        <v>0.23076923076923075</v>
      </c>
      <c r="Z18" s="221">
        <f t="shared" si="1"/>
        <v>0.23076923076923075</v>
      </c>
      <c r="AA18" s="221">
        <f t="shared" si="1"/>
        <v>0.23076923076923075</v>
      </c>
      <c r="AB18" s="89" t="str">
        <f>IF($K$7&gt;=AC18,C_name&amp;AC18+$K$9-1,"")</f>
        <v>2M5</v>
      </c>
      <c r="AC18" s="7">
        <f t="shared" si="4"/>
        <v>5</v>
      </c>
      <c r="AD18" s="89" t="str">
        <f>IF(K23&lt;&gt;"",C_name&amp;$K$23,"")</f>
        <v/>
      </c>
      <c r="AE18" s="379">
        <f t="shared" si="3"/>
        <v>0</v>
      </c>
    </row>
    <row r="19" spans="1:32" ht="15" customHeight="1" thickTop="1" thickBot="1">
      <c r="A19" s="142"/>
      <c r="B19" s="109" t="s">
        <v>549</v>
      </c>
      <c r="C19" s="13">
        <f>C15</f>
        <v>0.26923076923076922</v>
      </c>
      <c r="D19" s="156" t="s">
        <v>10</v>
      </c>
      <c r="E19" s="109" t="s">
        <v>46</v>
      </c>
      <c r="F19" s="7" t="s">
        <v>47</v>
      </c>
      <c r="H19" s="4" t="s">
        <v>13</v>
      </c>
      <c r="K19" s="172"/>
      <c r="L19" s="221">
        <f t="shared" si="2"/>
        <v>0.26923076923076922</v>
      </c>
      <c r="M19" s="221">
        <f t="shared" ref="M19:AA31" si="5">L19</f>
        <v>0.26923076923076922</v>
      </c>
      <c r="N19" s="221">
        <f t="shared" si="5"/>
        <v>0.26923076923076922</v>
      </c>
      <c r="O19" s="221">
        <f t="shared" si="5"/>
        <v>0.26923076923076922</v>
      </c>
      <c r="P19" s="221">
        <f t="shared" si="5"/>
        <v>0.26923076923076922</v>
      </c>
      <c r="Q19" s="221">
        <f t="shared" si="5"/>
        <v>0.26923076923076922</v>
      </c>
      <c r="R19" s="221">
        <f t="shared" si="5"/>
        <v>0.26923076923076922</v>
      </c>
      <c r="S19" s="221">
        <f t="shared" si="5"/>
        <v>0.26923076923076922</v>
      </c>
      <c r="T19" s="221">
        <f t="shared" si="5"/>
        <v>0.26923076923076922</v>
      </c>
      <c r="U19" s="221">
        <f t="shared" si="5"/>
        <v>0.26923076923076922</v>
      </c>
      <c r="V19" s="221">
        <f t="shared" si="5"/>
        <v>0.26923076923076922</v>
      </c>
      <c r="W19" s="221">
        <f t="shared" si="5"/>
        <v>0.26923076923076922</v>
      </c>
      <c r="X19" s="221">
        <f t="shared" si="5"/>
        <v>0.26923076923076922</v>
      </c>
      <c r="Y19" s="221">
        <f t="shared" si="5"/>
        <v>0.26923076923076922</v>
      </c>
      <c r="Z19" s="221">
        <f t="shared" si="5"/>
        <v>0.26923076923076922</v>
      </c>
      <c r="AA19" s="221">
        <f t="shared" si="5"/>
        <v>0.26923076923076922</v>
      </c>
      <c r="AB19" s="89" t="str">
        <f>IF($K$7&gt;=AC19,C_name&amp;AC19+$K$9-1,"")</f>
        <v>2M6</v>
      </c>
      <c r="AC19" s="7">
        <f t="shared" si="4"/>
        <v>6</v>
      </c>
      <c r="AD19" s="89" t="str">
        <f>IF(K24&lt;&gt;"",C_name&amp;$K$24,"")</f>
        <v/>
      </c>
      <c r="AE19" s="379">
        <f t="shared" si="3"/>
        <v>0</v>
      </c>
    </row>
    <row r="20" spans="1:32" ht="15" customHeight="1" thickTop="1" thickBot="1">
      <c r="A20" s="142"/>
      <c r="B20" s="109" t="s">
        <v>549</v>
      </c>
      <c r="C20" s="13">
        <f>C16</f>
        <v>0.26923076923076922</v>
      </c>
      <c r="D20" s="156" t="s">
        <v>10</v>
      </c>
      <c r="E20" s="109" t="s">
        <v>48</v>
      </c>
      <c r="F20" s="7" t="s">
        <v>49</v>
      </c>
      <c r="H20" s="4" t="s">
        <v>13</v>
      </c>
      <c r="K20" s="172"/>
      <c r="L20" s="221">
        <f t="shared" si="2"/>
        <v>0.26923076923076922</v>
      </c>
      <c r="M20" s="221">
        <f t="shared" si="5"/>
        <v>0.26923076923076922</v>
      </c>
      <c r="N20" s="221">
        <f t="shared" si="5"/>
        <v>0.26923076923076922</v>
      </c>
      <c r="O20" s="221">
        <f t="shared" si="5"/>
        <v>0.26923076923076922</v>
      </c>
      <c r="P20" s="221">
        <f t="shared" si="5"/>
        <v>0.26923076923076922</v>
      </c>
      <c r="Q20" s="221">
        <f t="shared" si="5"/>
        <v>0.26923076923076922</v>
      </c>
      <c r="R20" s="221">
        <f t="shared" si="5"/>
        <v>0.26923076923076922</v>
      </c>
      <c r="S20" s="221">
        <f t="shared" si="5"/>
        <v>0.26923076923076922</v>
      </c>
      <c r="T20" s="221">
        <f t="shared" si="5"/>
        <v>0.26923076923076922</v>
      </c>
      <c r="U20" s="221">
        <f t="shared" si="5"/>
        <v>0.26923076923076922</v>
      </c>
      <c r="V20" s="221">
        <f t="shared" si="5"/>
        <v>0.26923076923076922</v>
      </c>
      <c r="W20" s="221">
        <f t="shared" si="5"/>
        <v>0.26923076923076922</v>
      </c>
      <c r="X20" s="221">
        <f t="shared" si="5"/>
        <v>0.26923076923076922</v>
      </c>
      <c r="Y20" s="221">
        <f t="shared" si="5"/>
        <v>0.26923076923076922</v>
      </c>
      <c r="Z20" s="221">
        <f t="shared" si="5"/>
        <v>0.26923076923076922</v>
      </c>
      <c r="AA20" s="221">
        <f t="shared" si="5"/>
        <v>0.26923076923076922</v>
      </c>
      <c r="AB20" s="89" t="str">
        <f>IF(AND($K$11="yes",$K$7&gt;=AC20),IF($K$9&lt;10,"0"&amp;+$K$9,$K$9),IF($K$7&gt;=AC20,IF((AC20+$K$9-1)&lt;10,"0"&amp;AC20+$K$9-1,AC21+$K$9-1),""))</f>
        <v>06</v>
      </c>
      <c r="AC20" s="7">
        <f t="shared" si="4"/>
        <v>6</v>
      </c>
      <c r="AD20" s="89">
        <f>IF(AND(K24&lt;&gt;"",K24&lt;10),"0"&amp;K24,K24)</f>
        <v>0</v>
      </c>
      <c r="AE20" s="379">
        <f t="shared" si="3"/>
        <v>0</v>
      </c>
    </row>
    <row r="21" spans="1:32" ht="15" customHeight="1" thickTop="1" thickBot="1">
      <c r="A21" s="142"/>
      <c r="B21" s="109" t="s">
        <v>549</v>
      </c>
      <c r="C21" s="13">
        <f>C17</f>
        <v>0.23076923076923075</v>
      </c>
      <c r="D21" s="156" t="s">
        <v>10</v>
      </c>
      <c r="E21" s="109" t="s">
        <v>50</v>
      </c>
      <c r="F21" s="7" t="s">
        <v>49</v>
      </c>
      <c r="H21" s="4" t="s">
        <v>13</v>
      </c>
      <c r="K21" s="172"/>
      <c r="L21" s="221">
        <f t="shared" si="2"/>
        <v>0.23076923076923075</v>
      </c>
      <c r="M21" s="221">
        <f t="shared" si="5"/>
        <v>0.23076923076923075</v>
      </c>
      <c r="N21" s="221">
        <f t="shared" si="5"/>
        <v>0.23076923076923075</v>
      </c>
      <c r="O21" s="221">
        <f t="shared" si="5"/>
        <v>0.23076923076923075</v>
      </c>
      <c r="P21" s="221">
        <f t="shared" si="5"/>
        <v>0.23076923076923075</v>
      </c>
      <c r="Q21" s="221">
        <f t="shared" si="5"/>
        <v>0.23076923076923075</v>
      </c>
      <c r="R21" s="221">
        <f t="shared" si="5"/>
        <v>0.23076923076923075</v>
      </c>
      <c r="S21" s="221">
        <f t="shared" si="5"/>
        <v>0.23076923076923075</v>
      </c>
      <c r="T21" s="221">
        <f t="shared" si="5"/>
        <v>0.23076923076923075</v>
      </c>
      <c r="U21" s="221">
        <f t="shared" si="5"/>
        <v>0.23076923076923075</v>
      </c>
      <c r="V21" s="221">
        <f t="shared" si="5"/>
        <v>0.23076923076923075</v>
      </c>
      <c r="W21" s="221">
        <f t="shared" si="5"/>
        <v>0.23076923076923075</v>
      </c>
      <c r="X21" s="221">
        <f t="shared" si="5"/>
        <v>0.23076923076923075</v>
      </c>
      <c r="Y21" s="221">
        <f t="shared" si="5"/>
        <v>0.23076923076923075</v>
      </c>
      <c r="Z21" s="221">
        <f t="shared" si="5"/>
        <v>0.23076923076923075</v>
      </c>
      <c r="AA21" s="221">
        <f t="shared" si="5"/>
        <v>0.23076923076923075</v>
      </c>
      <c r="AB21" s="89" t="str">
        <f>IF($K$7&gt;=AC21,C_name&amp;AC21+$K$9-1,"")</f>
        <v>2M6</v>
      </c>
      <c r="AC21" s="7">
        <f t="shared" si="4"/>
        <v>6</v>
      </c>
      <c r="AD21" s="89" t="str">
        <f>IF(K24&lt;&gt;"",C_name&amp;$K$24,"")</f>
        <v/>
      </c>
      <c r="AE21" s="379">
        <f t="shared" si="3"/>
        <v>0</v>
      </c>
    </row>
    <row r="22" spans="1:32" ht="15" customHeight="1" thickTop="1" thickBot="1">
      <c r="A22" s="142"/>
      <c r="B22" s="109" t="s">
        <v>549</v>
      </c>
      <c r="C22" s="13">
        <f>C18</f>
        <v>0.23076923076923075</v>
      </c>
      <c r="D22" s="156" t="s">
        <v>10</v>
      </c>
      <c r="E22" s="109" t="s">
        <v>50</v>
      </c>
      <c r="F22" s="7" t="s">
        <v>49</v>
      </c>
      <c r="H22" s="4" t="s">
        <v>13</v>
      </c>
      <c r="K22" s="172"/>
      <c r="L22" s="221">
        <f t="shared" si="2"/>
        <v>0.23076923076923075</v>
      </c>
      <c r="M22" s="221">
        <f t="shared" si="5"/>
        <v>0.23076923076923075</v>
      </c>
      <c r="N22" s="221">
        <f t="shared" si="5"/>
        <v>0.23076923076923075</v>
      </c>
      <c r="O22" s="221">
        <f t="shared" si="5"/>
        <v>0.23076923076923075</v>
      </c>
      <c r="P22" s="221">
        <f t="shared" si="5"/>
        <v>0.23076923076923075</v>
      </c>
      <c r="Q22" s="221">
        <f t="shared" si="5"/>
        <v>0.23076923076923075</v>
      </c>
      <c r="R22" s="221">
        <f t="shared" si="5"/>
        <v>0.23076923076923075</v>
      </c>
      <c r="S22" s="221">
        <f t="shared" si="5"/>
        <v>0.23076923076923075</v>
      </c>
      <c r="T22" s="221">
        <f t="shared" si="5"/>
        <v>0.23076923076923075</v>
      </c>
      <c r="U22" s="221">
        <f t="shared" si="5"/>
        <v>0.23076923076923075</v>
      </c>
      <c r="V22" s="221">
        <f t="shared" si="5"/>
        <v>0.23076923076923075</v>
      </c>
      <c r="W22" s="221">
        <f t="shared" si="5"/>
        <v>0.23076923076923075</v>
      </c>
      <c r="X22" s="221">
        <f t="shared" si="5"/>
        <v>0.23076923076923075</v>
      </c>
      <c r="Y22" s="221">
        <f t="shared" si="5"/>
        <v>0.23076923076923075</v>
      </c>
      <c r="Z22" s="221">
        <f t="shared" si="5"/>
        <v>0.23076923076923075</v>
      </c>
      <c r="AA22" s="221">
        <f t="shared" si="5"/>
        <v>0.23076923076923075</v>
      </c>
      <c r="AB22" s="89" t="str">
        <f>IF($K$7&gt;=AC22,C_name&amp;AC22+$K$9-1,"")</f>
        <v>2M7</v>
      </c>
      <c r="AC22" s="7">
        <f t="shared" si="4"/>
        <v>7</v>
      </c>
      <c r="AD22" s="89" t="str">
        <f>IF(K25&lt;&gt;"",C_name&amp;$K$25,"")</f>
        <v/>
      </c>
      <c r="AE22" s="379">
        <f t="shared" si="3"/>
        <v>0</v>
      </c>
    </row>
    <row r="23" spans="1:32" ht="15" customHeight="1" thickTop="1" thickBot="1">
      <c r="A23" s="142"/>
      <c r="B23" s="109" t="s">
        <v>550</v>
      </c>
      <c r="C23" s="11">
        <v>1</v>
      </c>
      <c r="D23" s="156" t="s">
        <v>10</v>
      </c>
      <c r="E23" s="109" t="s">
        <v>51</v>
      </c>
      <c r="H23" s="4" t="s">
        <v>17</v>
      </c>
      <c r="K23" s="172"/>
      <c r="L23" s="188">
        <f t="shared" si="2"/>
        <v>1</v>
      </c>
      <c r="M23" s="188">
        <f t="shared" si="5"/>
        <v>1</v>
      </c>
      <c r="N23" s="188">
        <f t="shared" si="5"/>
        <v>1</v>
      </c>
      <c r="O23" s="188">
        <f t="shared" si="5"/>
        <v>1</v>
      </c>
      <c r="P23" s="188">
        <f t="shared" si="5"/>
        <v>1</v>
      </c>
      <c r="Q23" s="188">
        <f t="shared" si="5"/>
        <v>1</v>
      </c>
      <c r="R23" s="188">
        <f t="shared" si="5"/>
        <v>1</v>
      </c>
      <c r="S23" s="188">
        <f t="shared" si="5"/>
        <v>1</v>
      </c>
      <c r="T23" s="188">
        <f t="shared" si="5"/>
        <v>1</v>
      </c>
      <c r="U23" s="188">
        <f t="shared" si="5"/>
        <v>1</v>
      </c>
      <c r="V23" s="188">
        <f t="shared" si="5"/>
        <v>1</v>
      </c>
      <c r="W23" s="188">
        <f t="shared" si="5"/>
        <v>1</v>
      </c>
      <c r="X23" s="188">
        <f t="shared" si="5"/>
        <v>1</v>
      </c>
      <c r="Y23" s="188">
        <f t="shared" si="5"/>
        <v>1</v>
      </c>
      <c r="Z23" s="188">
        <f t="shared" si="5"/>
        <v>1</v>
      </c>
      <c r="AA23" s="188">
        <f t="shared" si="5"/>
        <v>1</v>
      </c>
      <c r="AB23" s="89" t="str">
        <f>IF(AND($K$11="yes",$K$7&gt;=AC23),IF($K$9&lt;10,"0"&amp;+$K$9,$K$9),IF($K$7&gt;=AC23,IF((AC23+$K$9-1)&lt;10,"0"&amp;AC23+$K$9-1,AC24+$K$9-1),""))</f>
        <v>07</v>
      </c>
      <c r="AC23" s="7">
        <f t="shared" si="4"/>
        <v>7</v>
      </c>
      <c r="AD23" s="89">
        <f>IF(AND(K25&lt;&gt;"",K25&lt;10),"0"&amp;K25,K25)</f>
        <v>0</v>
      </c>
      <c r="AE23" s="379">
        <f t="shared" si="3"/>
        <v>0</v>
      </c>
    </row>
    <row r="24" spans="1:32" ht="15" customHeight="1" thickTop="1" thickBot="1">
      <c r="A24" s="161"/>
      <c r="B24" s="126" t="s">
        <v>52</v>
      </c>
      <c r="C24" s="157">
        <v>0</v>
      </c>
      <c r="D24" s="158" t="s">
        <v>10</v>
      </c>
      <c r="E24" s="126" t="s">
        <v>53</v>
      </c>
      <c r="F24" s="7" t="s">
        <v>54</v>
      </c>
      <c r="H24" s="4" t="s">
        <v>17</v>
      </c>
      <c r="K24" s="172"/>
      <c r="L24" s="188">
        <f t="shared" si="2"/>
        <v>0</v>
      </c>
      <c r="M24" s="188">
        <f t="shared" si="5"/>
        <v>0</v>
      </c>
      <c r="N24" s="188">
        <f t="shared" si="5"/>
        <v>0</v>
      </c>
      <c r="O24" s="188">
        <f t="shared" si="5"/>
        <v>0</v>
      </c>
      <c r="P24" s="188">
        <f t="shared" si="5"/>
        <v>0</v>
      </c>
      <c r="Q24" s="188">
        <f t="shared" si="5"/>
        <v>0</v>
      </c>
      <c r="R24" s="188">
        <f t="shared" si="5"/>
        <v>0</v>
      </c>
      <c r="S24" s="188">
        <f t="shared" si="5"/>
        <v>0</v>
      </c>
      <c r="T24" s="188">
        <f t="shared" si="5"/>
        <v>0</v>
      </c>
      <c r="U24" s="188">
        <f t="shared" si="5"/>
        <v>0</v>
      </c>
      <c r="V24" s="188">
        <f t="shared" si="5"/>
        <v>0</v>
      </c>
      <c r="W24" s="188">
        <f t="shared" si="5"/>
        <v>0</v>
      </c>
      <c r="X24" s="188">
        <f t="shared" si="5"/>
        <v>0</v>
      </c>
      <c r="Y24" s="188">
        <f t="shared" si="5"/>
        <v>0</v>
      </c>
      <c r="Z24" s="188">
        <f t="shared" si="5"/>
        <v>0</v>
      </c>
      <c r="AA24" s="188">
        <f t="shared" si="5"/>
        <v>0</v>
      </c>
      <c r="AB24" s="89" t="str">
        <f>IF($K$7&gt;=AC24,C_name&amp;AC24+$K$9-1,"")</f>
        <v>2M7</v>
      </c>
      <c r="AC24" s="7">
        <f t="shared" si="4"/>
        <v>7</v>
      </c>
      <c r="AD24" s="89" t="str">
        <f>IF(K25&lt;&gt;"",C_name&amp;$K$25,"")</f>
        <v/>
      </c>
      <c r="AE24" s="379">
        <f t="shared" si="3"/>
        <v>0</v>
      </c>
    </row>
    <row r="25" spans="1:32" ht="15" customHeight="1" thickTop="1" thickBot="1">
      <c r="A25" s="5" t="s">
        <v>55</v>
      </c>
      <c r="B25" s="7" t="s">
        <v>544</v>
      </c>
      <c r="C25" s="11">
        <f>Geometry!D12</f>
        <v>0.30000000000000004</v>
      </c>
      <c r="D25" s="3" t="s">
        <v>10</v>
      </c>
      <c r="E25" s="7" t="s">
        <v>56</v>
      </c>
      <c r="H25" s="4" t="s">
        <v>21</v>
      </c>
      <c r="K25" s="172"/>
      <c r="L25" s="16">
        <f t="shared" si="2"/>
        <v>0.30000000000000004</v>
      </c>
      <c r="M25" s="16">
        <f t="shared" si="5"/>
        <v>0.30000000000000004</v>
      </c>
      <c r="N25" s="16">
        <f t="shared" si="5"/>
        <v>0.30000000000000004</v>
      </c>
      <c r="O25" s="16">
        <f t="shared" si="5"/>
        <v>0.30000000000000004</v>
      </c>
      <c r="P25" s="16">
        <f t="shared" si="5"/>
        <v>0.30000000000000004</v>
      </c>
      <c r="Q25" s="16">
        <f t="shared" si="5"/>
        <v>0.30000000000000004</v>
      </c>
      <c r="R25" s="16">
        <f t="shared" si="5"/>
        <v>0.30000000000000004</v>
      </c>
      <c r="S25" s="16">
        <f t="shared" si="5"/>
        <v>0.30000000000000004</v>
      </c>
      <c r="T25" s="16">
        <f t="shared" si="5"/>
        <v>0.30000000000000004</v>
      </c>
      <c r="U25" s="16">
        <f t="shared" si="5"/>
        <v>0.30000000000000004</v>
      </c>
      <c r="V25" s="16">
        <f t="shared" si="5"/>
        <v>0.30000000000000004</v>
      </c>
      <c r="W25" s="16">
        <f t="shared" si="5"/>
        <v>0.30000000000000004</v>
      </c>
      <c r="X25" s="16">
        <f t="shared" si="5"/>
        <v>0.30000000000000004</v>
      </c>
      <c r="Y25" s="16">
        <f t="shared" si="5"/>
        <v>0.30000000000000004</v>
      </c>
      <c r="Z25" s="16">
        <f t="shared" si="5"/>
        <v>0.30000000000000004</v>
      </c>
      <c r="AA25" s="16">
        <f t="shared" si="5"/>
        <v>0.30000000000000004</v>
      </c>
      <c r="AB25" s="89" t="str">
        <f>IF($K$7&gt;=AC25,C_name&amp;AC25+$K$9-1,"")</f>
        <v>2M8</v>
      </c>
      <c r="AC25" s="7">
        <f t="shared" si="4"/>
        <v>8</v>
      </c>
      <c r="AD25" s="89" t="str">
        <f>IF(K26&lt;&gt;"",C_name&amp;$K$26,"")</f>
        <v/>
      </c>
      <c r="AE25" s="379">
        <f t="shared" si="3"/>
        <v>0</v>
      </c>
    </row>
    <row r="26" spans="1:32" ht="15" customHeight="1" thickTop="1" thickBot="1">
      <c r="B26" s="7" t="s">
        <v>551</v>
      </c>
      <c r="C26" s="11" t="s">
        <v>22</v>
      </c>
      <c r="D26" s="3" t="s">
        <v>10</v>
      </c>
      <c r="E26" s="7" t="s">
        <v>57</v>
      </c>
      <c r="H26" s="4" t="s">
        <v>17</v>
      </c>
      <c r="K26" s="172"/>
      <c r="L26" s="10" t="str">
        <f t="shared" si="2"/>
        <v>R</v>
      </c>
      <c r="M26" s="10" t="str">
        <f t="shared" si="5"/>
        <v>R</v>
      </c>
      <c r="N26" s="10" t="str">
        <f t="shared" si="5"/>
        <v>R</v>
      </c>
      <c r="O26" s="10" t="str">
        <f t="shared" si="5"/>
        <v>R</v>
      </c>
      <c r="P26" s="10" t="str">
        <f t="shared" si="5"/>
        <v>R</v>
      </c>
      <c r="Q26" s="10" t="str">
        <f t="shared" si="5"/>
        <v>R</v>
      </c>
      <c r="R26" s="10" t="str">
        <f t="shared" si="5"/>
        <v>R</v>
      </c>
      <c r="S26" s="10" t="str">
        <f t="shared" si="5"/>
        <v>R</v>
      </c>
      <c r="T26" s="10" t="str">
        <f t="shared" si="5"/>
        <v>R</v>
      </c>
      <c r="U26" s="10" t="str">
        <f t="shared" si="5"/>
        <v>R</v>
      </c>
      <c r="V26" s="10" t="str">
        <f t="shared" si="5"/>
        <v>R</v>
      </c>
      <c r="W26" s="10" t="str">
        <f t="shared" si="5"/>
        <v>R</v>
      </c>
      <c r="X26" s="10" t="str">
        <f t="shared" si="5"/>
        <v>R</v>
      </c>
      <c r="Y26" s="10" t="str">
        <f t="shared" si="5"/>
        <v>R</v>
      </c>
      <c r="Z26" s="10" t="str">
        <f t="shared" si="5"/>
        <v>R</v>
      </c>
      <c r="AA26" s="10" t="str">
        <f t="shared" si="5"/>
        <v>R</v>
      </c>
      <c r="AB26" s="89" t="str">
        <f>IF(AND($K$11="yes",$K$7&gt;=AC26),IF($K$9&lt;10,"0"&amp;+$K$9,$K$9),IF($K$7&gt;=AC26,IF((AC26+$K$9-1)&lt;10,"0"&amp;AC26+$K$9-1,AC27+$K$9-1),""))</f>
        <v>08</v>
      </c>
      <c r="AC26" s="7">
        <f t="shared" si="4"/>
        <v>8</v>
      </c>
      <c r="AD26" s="89">
        <f>IF(AND(K26&lt;&gt;"",K26&lt;10),"0"&amp;K26,K26)</f>
        <v>0</v>
      </c>
      <c r="AE26" s="379">
        <f t="shared" si="3"/>
        <v>0</v>
      </c>
    </row>
    <row r="27" spans="1:32" ht="15" customHeight="1" thickTop="1" thickBot="1">
      <c r="B27" s="7" t="s">
        <v>543</v>
      </c>
      <c r="C27" s="17">
        <f>V_houseSI</f>
        <v>487.74096000000009</v>
      </c>
      <c r="D27" s="3" t="s">
        <v>10</v>
      </c>
      <c r="E27" s="7" t="s">
        <v>58</v>
      </c>
      <c r="H27" s="4" t="s">
        <v>21</v>
      </c>
      <c r="K27" s="172"/>
      <c r="L27" s="16">
        <f t="shared" si="2"/>
        <v>487.74096000000009</v>
      </c>
      <c r="M27" s="16">
        <f t="shared" si="5"/>
        <v>487.74096000000009</v>
      </c>
      <c r="N27" s="16">
        <f t="shared" si="5"/>
        <v>487.74096000000009</v>
      </c>
      <c r="O27" s="16">
        <f t="shared" si="5"/>
        <v>487.74096000000009</v>
      </c>
      <c r="P27" s="16">
        <f t="shared" si="5"/>
        <v>487.74096000000009</v>
      </c>
      <c r="Q27" s="16">
        <f t="shared" si="5"/>
        <v>487.74096000000009</v>
      </c>
      <c r="R27" s="16">
        <f t="shared" si="5"/>
        <v>487.74096000000009</v>
      </c>
      <c r="S27" s="16">
        <f t="shared" si="5"/>
        <v>487.74096000000009</v>
      </c>
      <c r="T27" s="16">
        <f t="shared" si="5"/>
        <v>487.74096000000009</v>
      </c>
      <c r="U27" s="16">
        <f t="shared" si="5"/>
        <v>487.74096000000009</v>
      </c>
      <c r="V27" s="16">
        <f t="shared" si="5"/>
        <v>487.74096000000009</v>
      </c>
      <c r="W27" s="16">
        <f t="shared" si="5"/>
        <v>487.74096000000009</v>
      </c>
      <c r="X27" s="16">
        <f t="shared" si="5"/>
        <v>487.74096000000009</v>
      </c>
      <c r="Y27" s="16">
        <f t="shared" si="5"/>
        <v>487.74096000000009</v>
      </c>
      <c r="Z27" s="16">
        <f t="shared" si="5"/>
        <v>487.74096000000009</v>
      </c>
      <c r="AA27" s="16">
        <f t="shared" si="5"/>
        <v>487.74096000000009</v>
      </c>
      <c r="AB27" s="89" t="str">
        <f>IF($K$7&gt;=AC27,C_name&amp;AC27+$K$9-1,"")</f>
        <v>2M8</v>
      </c>
      <c r="AC27" s="7">
        <f t="shared" si="4"/>
        <v>8</v>
      </c>
      <c r="AD27" s="89" t="str">
        <f>IF(K26&lt;&gt;"",C_name&amp;$K$26,"")</f>
        <v/>
      </c>
      <c r="AE27" s="379">
        <f t="shared" si="3"/>
        <v>0</v>
      </c>
    </row>
    <row r="28" spans="1:32" ht="15" customHeight="1" thickTop="1" thickBot="1">
      <c r="B28" s="7" t="s">
        <v>542</v>
      </c>
      <c r="C28" s="17">
        <f>A_houseSI</f>
        <v>195.09638400000003</v>
      </c>
      <c r="D28" s="3" t="s">
        <v>10</v>
      </c>
      <c r="E28" s="7" t="s">
        <v>59</v>
      </c>
      <c r="F28" s="7" t="str">
        <f>"="&amp;A_houseFT &amp;" sq-ft"</f>
        <v>=2100 sq-ft</v>
      </c>
      <c r="G28" s="88" t="s">
        <v>60</v>
      </c>
      <c r="H28" s="4" t="s">
        <v>21</v>
      </c>
      <c r="K28" s="172"/>
      <c r="L28" s="16">
        <f t="shared" si="2"/>
        <v>195.09638400000003</v>
      </c>
      <c r="M28" s="16">
        <f>L28</f>
        <v>195.09638400000003</v>
      </c>
      <c r="N28" s="16">
        <f t="shared" si="5"/>
        <v>195.09638400000003</v>
      </c>
      <c r="O28" s="16">
        <f t="shared" si="5"/>
        <v>195.09638400000003</v>
      </c>
      <c r="P28" s="16">
        <f t="shared" si="5"/>
        <v>195.09638400000003</v>
      </c>
      <c r="Q28" s="16">
        <f t="shared" si="5"/>
        <v>195.09638400000003</v>
      </c>
      <c r="R28" s="16">
        <f t="shared" si="5"/>
        <v>195.09638400000003</v>
      </c>
      <c r="S28" s="16">
        <f t="shared" si="5"/>
        <v>195.09638400000003</v>
      </c>
      <c r="T28" s="16">
        <f t="shared" si="5"/>
        <v>195.09638400000003</v>
      </c>
      <c r="U28" s="16">
        <f t="shared" si="5"/>
        <v>195.09638400000003</v>
      </c>
      <c r="V28" s="16">
        <f t="shared" si="5"/>
        <v>195.09638400000003</v>
      </c>
      <c r="W28" s="16">
        <f t="shared" si="5"/>
        <v>195.09638400000003</v>
      </c>
      <c r="X28" s="16">
        <f t="shared" si="5"/>
        <v>195.09638400000003</v>
      </c>
      <c r="Y28" s="16">
        <f t="shared" si="5"/>
        <v>195.09638400000003</v>
      </c>
      <c r="Z28" s="16">
        <f t="shared" si="5"/>
        <v>195.09638400000003</v>
      </c>
      <c r="AA28" s="16">
        <f t="shared" si="5"/>
        <v>195.09638400000003</v>
      </c>
      <c r="AB28" s="89" t="str">
        <f>IF($K$7&gt;=AC28,C_name&amp;AC28+$K$9-1,"")</f>
        <v>2M9</v>
      </c>
      <c r="AC28" s="7">
        <f t="shared" si="4"/>
        <v>9</v>
      </c>
      <c r="AD28" s="89" t="str">
        <f>IF(K27&lt;&gt;"",C_name&amp;$K$27,"")</f>
        <v/>
      </c>
      <c r="AE28" s="379">
        <f t="shared" si="3"/>
        <v>0</v>
      </c>
    </row>
    <row r="29" spans="1:32" ht="15" customHeight="1" thickTop="1" thickBot="1">
      <c r="B29" s="7" t="s">
        <v>541</v>
      </c>
      <c r="C29" s="17">
        <f>planareaSI</f>
        <v>97.548192000000014</v>
      </c>
      <c r="D29" s="3" t="s">
        <v>10</v>
      </c>
      <c r="E29" s="7" t="s">
        <v>540</v>
      </c>
      <c r="G29" s="9"/>
      <c r="H29" s="4" t="s">
        <v>21</v>
      </c>
      <c r="K29" s="172"/>
      <c r="L29" s="16">
        <f t="shared" si="2"/>
        <v>97.548192000000014</v>
      </c>
      <c r="M29" s="16">
        <f>L29</f>
        <v>97.548192000000014</v>
      </c>
      <c r="N29" s="16">
        <f t="shared" si="5"/>
        <v>97.548192000000014</v>
      </c>
      <c r="O29" s="16">
        <f t="shared" si="5"/>
        <v>97.548192000000014</v>
      </c>
      <c r="P29" s="16">
        <f t="shared" si="5"/>
        <v>97.548192000000014</v>
      </c>
      <c r="Q29" s="16">
        <f t="shared" si="5"/>
        <v>97.548192000000014</v>
      </c>
      <c r="R29" s="16">
        <f t="shared" si="5"/>
        <v>97.548192000000014</v>
      </c>
      <c r="S29" s="16">
        <f t="shared" si="5"/>
        <v>97.548192000000014</v>
      </c>
      <c r="T29" s="16">
        <f t="shared" si="5"/>
        <v>97.548192000000014</v>
      </c>
      <c r="U29" s="16">
        <f t="shared" si="5"/>
        <v>97.548192000000014</v>
      </c>
      <c r="V29" s="16">
        <f t="shared" si="5"/>
        <v>97.548192000000014</v>
      </c>
      <c r="W29" s="16">
        <f t="shared" si="5"/>
        <v>97.548192000000014</v>
      </c>
      <c r="X29" s="16">
        <f t="shared" si="5"/>
        <v>97.548192000000014</v>
      </c>
      <c r="Y29" s="16">
        <f t="shared" si="5"/>
        <v>97.548192000000014</v>
      </c>
      <c r="Z29" s="16">
        <f t="shared" si="5"/>
        <v>97.548192000000014</v>
      </c>
      <c r="AA29" s="16">
        <f t="shared" si="5"/>
        <v>97.548192000000014</v>
      </c>
      <c r="AB29" s="89" t="str">
        <f>IF(AND($K$11="yes",$K$7&gt;=AC29),IF($K$9&lt;10,"0"&amp;+$K$9,$K$9),IF($K$7&gt;=AC29,IF((AC29+$K$9-1)&lt;10,"0"&amp;AC29+$K$9-1,AC30+$K$9-1),""))</f>
        <v>09</v>
      </c>
      <c r="AC29" s="7">
        <f t="shared" si="4"/>
        <v>9</v>
      </c>
      <c r="AD29" s="89">
        <f>IF(AND(K27&lt;&gt;"",K27&lt;10),"0"&amp;K27,K27)</f>
        <v>0</v>
      </c>
      <c r="AE29" s="379">
        <f t="shared" si="3"/>
        <v>0</v>
      </c>
    </row>
    <row r="30" spans="1:32" ht="15" customHeight="1" thickTop="1" thickBot="1">
      <c r="B30" s="7" t="s">
        <v>61</v>
      </c>
      <c r="C30" s="17">
        <f>L_houseSI</f>
        <v>10.668000000000001</v>
      </c>
      <c r="D30" s="3" t="s">
        <v>10</v>
      </c>
      <c r="E30" s="7" t="s">
        <v>62</v>
      </c>
      <c r="G30" s="9"/>
      <c r="H30" s="4" t="s">
        <v>21</v>
      </c>
      <c r="K30" s="172"/>
      <c r="L30" s="16">
        <f t="shared" si="2"/>
        <v>10.668000000000001</v>
      </c>
      <c r="M30" s="16">
        <f t="shared" si="5"/>
        <v>10.668000000000001</v>
      </c>
      <c r="N30" s="16">
        <f t="shared" si="5"/>
        <v>10.668000000000001</v>
      </c>
      <c r="O30" s="16">
        <f t="shared" si="5"/>
        <v>10.668000000000001</v>
      </c>
      <c r="P30" s="16">
        <f t="shared" si="5"/>
        <v>10.668000000000001</v>
      </c>
      <c r="Q30" s="16">
        <f t="shared" si="5"/>
        <v>10.668000000000001</v>
      </c>
      <c r="R30" s="16">
        <f t="shared" si="5"/>
        <v>10.668000000000001</v>
      </c>
      <c r="S30" s="16">
        <f t="shared" si="5"/>
        <v>10.668000000000001</v>
      </c>
      <c r="T30" s="16">
        <f t="shared" si="5"/>
        <v>10.668000000000001</v>
      </c>
      <c r="U30" s="16">
        <f t="shared" si="5"/>
        <v>10.668000000000001</v>
      </c>
      <c r="V30" s="16">
        <f t="shared" si="5"/>
        <v>10.668000000000001</v>
      </c>
      <c r="W30" s="16">
        <f t="shared" si="5"/>
        <v>10.668000000000001</v>
      </c>
      <c r="X30" s="16">
        <f t="shared" si="5"/>
        <v>10.668000000000001</v>
      </c>
      <c r="Y30" s="16">
        <f t="shared" si="5"/>
        <v>10.668000000000001</v>
      </c>
      <c r="Z30" s="16">
        <f t="shared" si="5"/>
        <v>10.668000000000001</v>
      </c>
      <c r="AA30" s="16">
        <f t="shared" si="5"/>
        <v>10.668000000000001</v>
      </c>
      <c r="AB30" s="89" t="str">
        <f>IF($K$7&gt;=AC30,C_name&amp;AC30+$K$9-1,"")</f>
        <v>2M9</v>
      </c>
      <c r="AC30" s="7">
        <f t="shared" si="4"/>
        <v>9</v>
      </c>
      <c r="AD30" s="89" t="str">
        <f>IF(K27&lt;&gt;"",C_name&amp;$K$27,"")</f>
        <v/>
      </c>
      <c r="AE30" s="379">
        <f t="shared" si="3"/>
        <v>0</v>
      </c>
    </row>
    <row r="31" spans="1:32" ht="15" customHeight="1" thickTop="1" thickBot="1">
      <c r="B31" s="7" t="s">
        <v>63</v>
      </c>
      <c r="C31" s="17">
        <f>W_houseSI</f>
        <v>9.1440000000000001</v>
      </c>
      <c r="D31" s="3" t="s">
        <v>10</v>
      </c>
      <c r="E31" s="7" t="s">
        <v>64</v>
      </c>
      <c r="G31" s="9" t="s">
        <v>65</v>
      </c>
      <c r="H31" s="4" t="s">
        <v>21</v>
      </c>
      <c r="K31" s="172"/>
      <c r="L31" s="16">
        <f t="shared" si="2"/>
        <v>9.1440000000000001</v>
      </c>
      <c r="M31" s="16">
        <f t="shared" si="5"/>
        <v>9.1440000000000001</v>
      </c>
      <c r="N31" s="16">
        <f t="shared" si="5"/>
        <v>9.1440000000000001</v>
      </c>
      <c r="O31" s="16">
        <f t="shared" si="5"/>
        <v>9.1440000000000001</v>
      </c>
      <c r="P31" s="16">
        <f t="shared" si="5"/>
        <v>9.1440000000000001</v>
      </c>
      <c r="Q31" s="16">
        <f t="shared" si="5"/>
        <v>9.1440000000000001</v>
      </c>
      <c r="R31" s="16">
        <f t="shared" si="5"/>
        <v>9.1440000000000001</v>
      </c>
      <c r="S31" s="16">
        <f t="shared" si="5"/>
        <v>9.1440000000000001</v>
      </c>
      <c r="T31" s="16">
        <f t="shared" si="5"/>
        <v>9.1440000000000001</v>
      </c>
      <c r="U31" s="16">
        <f t="shared" si="5"/>
        <v>9.1440000000000001</v>
      </c>
      <c r="V31" s="16">
        <f t="shared" si="5"/>
        <v>9.1440000000000001</v>
      </c>
      <c r="W31" s="16">
        <f t="shared" si="5"/>
        <v>9.1440000000000001</v>
      </c>
      <c r="X31" s="16">
        <f t="shared" si="5"/>
        <v>9.1440000000000001</v>
      </c>
      <c r="Y31" s="16">
        <f t="shared" si="5"/>
        <v>9.1440000000000001</v>
      </c>
      <c r="Z31" s="16">
        <f t="shared" si="5"/>
        <v>9.1440000000000001</v>
      </c>
      <c r="AA31" s="16">
        <f t="shared" si="5"/>
        <v>9.1440000000000001</v>
      </c>
      <c r="AB31" s="89" t="str">
        <f>IF($K$7&gt;=AC31,C_name&amp;AC31+$K$9-1,"")</f>
        <v>2M10</v>
      </c>
      <c r="AC31" s="7">
        <f t="shared" si="4"/>
        <v>10</v>
      </c>
      <c r="AD31" s="89" t="str">
        <f>IF(K28&lt;&gt;"",C_name&amp;$K$28,"")</f>
        <v/>
      </c>
      <c r="AE31" s="379">
        <f t="shared" si="3"/>
        <v>0</v>
      </c>
    </row>
    <row r="32" spans="1:32" ht="15" customHeight="1" thickTop="1" thickBot="1">
      <c r="B32" s="109" t="s">
        <v>552</v>
      </c>
      <c r="C32" s="14">
        <f>UA!H14</f>
        <v>347.89252488616773</v>
      </c>
      <c r="D32" s="156" t="s">
        <v>10</v>
      </c>
      <c r="E32" s="175" t="s">
        <v>689</v>
      </c>
      <c r="F32" s="7" t="s">
        <v>66</v>
      </c>
      <c r="G32" s="9" t="s">
        <v>67</v>
      </c>
      <c r="H32" s="4" t="s">
        <v>68</v>
      </c>
      <c r="I32" s="7" t="s">
        <v>69</v>
      </c>
      <c r="K32" s="172"/>
      <c r="L32" s="18">
        <f>UA!F14</f>
        <v>351.59222836079061</v>
      </c>
      <c r="M32" s="18">
        <f>UA!G14</f>
        <v>347.89252488616773</v>
      </c>
      <c r="N32" s="18">
        <f>UA!H14</f>
        <v>347.89252488616773</v>
      </c>
      <c r="O32" s="18">
        <f>UA!I14</f>
        <v>314.6598068356077</v>
      </c>
      <c r="P32" s="18">
        <f>UA!J14</f>
        <v>314.6598068356077</v>
      </c>
      <c r="Q32" s="18">
        <f>UA!K14</f>
        <v>314.6598068356077</v>
      </c>
      <c r="R32" s="18">
        <f>UA!L14</f>
        <v>281.42708878504766</v>
      </c>
      <c r="S32" s="18">
        <f>UA!M14</f>
        <v>281.42708878504766</v>
      </c>
      <c r="T32" s="18">
        <f>UA!N14</f>
        <v>233.86936501274499</v>
      </c>
      <c r="U32" s="18">
        <f>UA!O14</f>
        <v>233.86936501274499</v>
      </c>
      <c r="V32" s="18">
        <f>UA!P14</f>
        <v>233.86936501274499</v>
      </c>
      <c r="W32" s="18">
        <f>UA!Q14</f>
        <v>233.86936501274499</v>
      </c>
      <c r="X32" s="18">
        <f>UA!R14</f>
        <v>233.86936501274499</v>
      </c>
      <c r="Y32" s="18">
        <f>UA!S14</f>
        <v>229.66357991723521</v>
      </c>
      <c r="Z32" s="18">
        <f>UA!T14</f>
        <v>228.51762412238833</v>
      </c>
      <c r="AA32" s="18">
        <f>UA!U14</f>
        <v>216.96675260075523</v>
      </c>
      <c r="AB32" s="89">
        <f>IF(AND($K$11="yes",$K$7&gt;=AC32),IF($K$9&lt;10,"0"&amp;+$K$9,$K$9),IF($K$7&gt;=AC32,IF((AC32+$K$9-1)&lt;10,"0"&amp;AC32+$K$9-1,AC33+$K$9-1),""))</f>
        <v>10</v>
      </c>
      <c r="AC32" s="7">
        <f t="shared" si="4"/>
        <v>10</v>
      </c>
      <c r="AD32" s="89">
        <f>IF(AND(K28&lt;&gt;"",K28&lt;10),"0"&amp;K28,K28)</f>
        <v>0</v>
      </c>
      <c r="AE32" s="379">
        <f t="shared" si="3"/>
        <v>1</v>
      </c>
      <c r="AF32" s="379" t="s">
        <v>997</v>
      </c>
    </row>
    <row r="33" spans="1:31" ht="15" customHeight="1" thickTop="1" thickBot="1">
      <c r="B33" s="126" t="s">
        <v>553</v>
      </c>
      <c r="C33" s="173">
        <f>UA!H15</f>
        <v>290.4377248861677</v>
      </c>
      <c r="D33" s="158" t="s">
        <v>10</v>
      </c>
      <c r="E33" s="174" t="s">
        <v>690</v>
      </c>
      <c r="F33" s="7" t="s">
        <v>71</v>
      </c>
      <c r="G33" s="9" t="s">
        <v>67</v>
      </c>
      <c r="H33" s="4" t="s">
        <v>68</v>
      </c>
      <c r="I33" s="7" t="s">
        <v>69</v>
      </c>
      <c r="K33" s="172"/>
      <c r="L33" s="18">
        <f>UA!F15</f>
        <v>294.13742836079058</v>
      </c>
      <c r="M33" s="18">
        <f>UA!G15</f>
        <v>290.4377248861677</v>
      </c>
      <c r="N33" s="18">
        <f>UA!H15</f>
        <v>290.4377248861677</v>
      </c>
      <c r="O33" s="18">
        <f>UA!I15</f>
        <v>257.20500683560766</v>
      </c>
      <c r="P33" s="18">
        <f>UA!J15</f>
        <v>257.20500683560766</v>
      </c>
      <c r="Q33" s="18">
        <f>UA!K15</f>
        <v>257.20500683560766</v>
      </c>
      <c r="R33" s="18">
        <f>UA!L15</f>
        <v>223.97228878504768</v>
      </c>
      <c r="S33" s="18">
        <f>UA!M15</f>
        <v>223.97228878504768</v>
      </c>
      <c r="T33" s="18">
        <f>UA!N15</f>
        <v>176.41456501274496</v>
      </c>
      <c r="U33" s="18">
        <f>UA!O15</f>
        <v>176.41456501274496</v>
      </c>
      <c r="V33" s="18">
        <f>UA!P15</f>
        <v>176.41456501274496</v>
      </c>
      <c r="W33" s="18">
        <f>UA!Q15</f>
        <v>176.41456501274496</v>
      </c>
      <c r="X33" s="18">
        <f>UA!R15</f>
        <v>176.41456501274496</v>
      </c>
      <c r="Y33" s="18">
        <f>UA!S15</f>
        <v>172.20877991723523</v>
      </c>
      <c r="Z33" s="18">
        <f>UA!T15</f>
        <v>171.06282412238835</v>
      </c>
      <c r="AA33" s="18">
        <f>UA!U15</f>
        <v>183.28635260075521</v>
      </c>
      <c r="AB33" s="89" t="str">
        <f>IF($K$7&gt;=AC33,C_name&amp;AC33+$K$9-1,"")</f>
        <v>2M10</v>
      </c>
      <c r="AC33" s="7">
        <f t="shared" si="4"/>
        <v>10</v>
      </c>
      <c r="AD33" s="89" t="str">
        <f>IF(K28&lt;&gt;"",C_name&amp;$K$28,"")</f>
        <v/>
      </c>
      <c r="AE33" s="379">
        <f t="shared" si="3"/>
        <v>1</v>
      </c>
    </row>
    <row r="34" spans="1:31" ht="15" customHeight="1" thickTop="1" thickBot="1">
      <c r="A34" s="139" t="s">
        <v>70</v>
      </c>
      <c r="B34" s="7" t="s">
        <v>72</v>
      </c>
      <c r="C34" s="11">
        <v>0</v>
      </c>
      <c r="D34" s="177" t="s">
        <v>10</v>
      </c>
      <c r="E34" s="7" t="s">
        <v>73</v>
      </c>
      <c r="F34" s="7" t="s">
        <v>74</v>
      </c>
      <c r="G34" s="9"/>
      <c r="H34" s="4" t="s">
        <v>17</v>
      </c>
      <c r="K34" s="172"/>
      <c r="L34" s="10">
        <f t="shared" si="2"/>
        <v>0</v>
      </c>
      <c r="M34" s="10">
        <f t="shared" ref="M34:AA49" si="6">L34</f>
        <v>0</v>
      </c>
      <c r="N34" s="10">
        <f t="shared" si="6"/>
        <v>0</v>
      </c>
      <c r="O34" s="10">
        <f t="shared" si="6"/>
        <v>0</v>
      </c>
      <c r="P34" s="10">
        <f t="shared" si="6"/>
        <v>0</v>
      </c>
      <c r="Q34" s="10">
        <f t="shared" si="6"/>
        <v>0</v>
      </c>
      <c r="R34" s="10">
        <f t="shared" si="6"/>
        <v>0</v>
      </c>
      <c r="S34" s="10">
        <f t="shared" si="6"/>
        <v>0</v>
      </c>
      <c r="T34" s="10">
        <f t="shared" si="6"/>
        <v>0</v>
      </c>
      <c r="U34" s="10">
        <f t="shared" si="6"/>
        <v>0</v>
      </c>
      <c r="V34" s="10">
        <f t="shared" si="6"/>
        <v>0</v>
      </c>
      <c r="W34" s="10">
        <f t="shared" si="6"/>
        <v>0</v>
      </c>
      <c r="X34" s="10">
        <f t="shared" si="6"/>
        <v>0</v>
      </c>
      <c r="Y34" s="10">
        <f t="shared" si="6"/>
        <v>0</v>
      </c>
      <c r="Z34" s="10">
        <f t="shared" si="6"/>
        <v>0</v>
      </c>
      <c r="AA34" s="10">
        <f t="shared" si="6"/>
        <v>0</v>
      </c>
      <c r="AB34" s="89" t="str">
        <f>IF($K$7&gt;=AC34,C_name&amp;AC34+$K$9-1,"")</f>
        <v>2M11</v>
      </c>
      <c r="AC34" s="7">
        <f t="shared" si="4"/>
        <v>11</v>
      </c>
      <c r="AD34" s="89" t="str">
        <f>IF(K29&lt;&gt;"",C_name&amp;$K$29,"")</f>
        <v/>
      </c>
      <c r="AE34" s="379">
        <f t="shared" si="3"/>
        <v>0</v>
      </c>
    </row>
    <row r="35" spans="1:31" ht="15" customHeight="1" thickTop="1">
      <c r="A35" s="139" t="s">
        <v>75</v>
      </c>
      <c r="B35" s="136" t="s">
        <v>557</v>
      </c>
      <c r="C35" s="159">
        <v>6</v>
      </c>
      <c r="D35" s="178" t="s">
        <v>700</v>
      </c>
      <c r="E35" s="136" t="s">
        <v>76</v>
      </c>
      <c r="H35" s="4" t="s">
        <v>17</v>
      </c>
      <c r="L35" s="188">
        <f t="shared" si="2"/>
        <v>6</v>
      </c>
      <c r="M35" s="188">
        <f t="shared" si="6"/>
        <v>6</v>
      </c>
      <c r="N35" s="188">
        <f t="shared" si="6"/>
        <v>6</v>
      </c>
      <c r="O35" s="188">
        <f t="shared" si="6"/>
        <v>6</v>
      </c>
      <c r="P35" s="188">
        <f t="shared" si="6"/>
        <v>6</v>
      </c>
      <c r="Q35" s="188">
        <f t="shared" si="6"/>
        <v>6</v>
      </c>
      <c r="R35" s="188">
        <f t="shared" si="6"/>
        <v>6</v>
      </c>
      <c r="S35" s="188">
        <f t="shared" si="6"/>
        <v>6</v>
      </c>
      <c r="T35" s="188">
        <f t="shared" si="6"/>
        <v>6</v>
      </c>
      <c r="U35" s="188">
        <f t="shared" si="6"/>
        <v>6</v>
      </c>
      <c r="V35" s="188">
        <f t="shared" si="6"/>
        <v>6</v>
      </c>
      <c r="W35" s="188">
        <f t="shared" si="6"/>
        <v>6</v>
      </c>
      <c r="X35" s="188">
        <f t="shared" si="6"/>
        <v>6</v>
      </c>
      <c r="Y35" s="188">
        <f t="shared" si="6"/>
        <v>6</v>
      </c>
      <c r="Z35" s="188">
        <f t="shared" si="6"/>
        <v>6</v>
      </c>
      <c r="AA35" s="188">
        <f t="shared" si="6"/>
        <v>6</v>
      </c>
      <c r="AB35" s="89">
        <f>IF(AND($K$11="yes",$K$7&gt;=AC35),IF($K$9&lt;10,"0"&amp;+$K$9,$K$9),IF($K$7&gt;=AC35,IF((AC35+$K$9-1)&lt;10,"0"&amp;AC35+$K$9-1,AC36+$K$9-1),""))</f>
        <v>11</v>
      </c>
      <c r="AC35" s="7">
        <f t="shared" si="4"/>
        <v>11</v>
      </c>
      <c r="AD35" s="89">
        <f>IF(AND(K29&lt;&gt;"",K29&lt;10),"0"&amp;K29,K29)</f>
        <v>0</v>
      </c>
      <c r="AE35" s="379">
        <f t="shared" si="3"/>
        <v>0</v>
      </c>
    </row>
    <row r="36" spans="1:31" ht="15" customHeight="1">
      <c r="B36" s="166" t="s">
        <v>554</v>
      </c>
      <c r="C36" s="159">
        <f>Fans!F33</f>
        <v>11.8</v>
      </c>
      <c r="D36" s="176" t="s">
        <v>700</v>
      </c>
      <c r="E36" s="294" t="s">
        <v>870</v>
      </c>
      <c r="F36" s="19" t="s">
        <v>77</v>
      </c>
      <c r="H36" s="4" t="s">
        <v>78</v>
      </c>
      <c r="L36" s="280">
        <f t="shared" si="2"/>
        <v>11.8</v>
      </c>
      <c r="M36" s="280">
        <f t="shared" si="6"/>
        <v>11.8</v>
      </c>
      <c r="N36" s="280">
        <f t="shared" si="6"/>
        <v>11.8</v>
      </c>
      <c r="O36" s="280">
        <f t="shared" si="6"/>
        <v>11.8</v>
      </c>
      <c r="P36" s="280">
        <f t="shared" si="6"/>
        <v>11.8</v>
      </c>
      <c r="Q36" s="280">
        <f t="shared" si="6"/>
        <v>11.8</v>
      </c>
      <c r="R36" s="280">
        <f t="shared" si="6"/>
        <v>11.8</v>
      </c>
      <c r="S36" s="280">
        <f t="shared" si="6"/>
        <v>11.8</v>
      </c>
      <c r="T36" s="280">
        <f t="shared" si="6"/>
        <v>11.8</v>
      </c>
      <c r="U36" s="280">
        <f t="shared" si="6"/>
        <v>11.8</v>
      </c>
      <c r="V36" s="280">
        <f t="shared" si="6"/>
        <v>11.8</v>
      </c>
      <c r="W36" s="280">
        <f t="shared" si="6"/>
        <v>11.8</v>
      </c>
      <c r="X36" s="280">
        <f t="shared" si="6"/>
        <v>11.8</v>
      </c>
      <c r="Y36" s="280">
        <f t="shared" si="6"/>
        <v>11.8</v>
      </c>
      <c r="Z36" s="280">
        <f t="shared" si="6"/>
        <v>11.8</v>
      </c>
      <c r="AA36" s="280">
        <f t="shared" si="6"/>
        <v>11.8</v>
      </c>
      <c r="AB36" s="89" t="str">
        <f>IF($K$7&gt;=AC36,C_name&amp;AC36+$K$9-1,"")</f>
        <v>2M11</v>
      </c>
      <c r="AC36" s="7">
        <f t="shared" si="4"/>
        <v>11</v>
      </c>
      <c r="AD36" s="89" t="str">
        <f>IF(K29&lt;&gt;"",C_name&amp;$K$29,"")</f>
        <v/>
      </c>
      <c r="AE36" s="379">
        <f t="shared" si="3"/>
        <v>0</v>
      </c>
    </row>
    <row r="37" spans="1:31" ht="15" customHeight="1">
      <c r="B37" s="167" t="s">
        <v>555</v>
      </c>
      <c r="C37" s="8">
        <f>Fans!C33</f>
        <v>-2.8315243039169418E-2</v>
      </c>
      <c r="D37" s="176" t="s">
        <v>700</v>
      </c>
      <c r="E37" s="292" t="s">
        <v>79</v>
      </c>
      <c r="H37" s="4" t="s">
        <v>78</v>
      </c>
      <c r="L37" s="275">
        <f t="shared" si="2"/>
        <v>-2.8315243039169418E-2</v>
      </c>
      <c r="M37" s="275">
        <f t="shared" si="6"/>
        <v>-2.8315243039169418E-2</v>
      </c>
      <c r="N37" s="275">
        <f t="shared" si="6"/>
        <v>-2.8315243039169418E-2</v>
      </c>
      <c r="O37" s="275">
        <f t="shared" si="6"/>
        <v>-2.8315243039169418E-2</v>
      </c>
      <c r="P37" s="275">
        <f t="shared" si="6"/>
        <v>-2.8315243039169418E-2</v>
      </c>
      <c r="Q37" s="275">
        <f t="shared" si="6"/>
        <v>-2.8315243039169418E-2</v>
      </c>
      <c r="R37" s="275">
        <f t="shared" si="6"/>
        <v>-2.8315243039169418E-2</v>
      </c>
      <c r="S37" s="275">
        <f t="shared" si="6"/>
        <v>-2.8315243039169418E-2</v>
      </c>
      <c r="T37" s="275">
        <f t="shared" si="6"/>
        <v>-2.8315243039169418E-2</v>
      </c>
      <c r="U37" s="275">
        <f t="shared" si="6"/>
        <v>-2.8315243039169418E-2</v>
      </c>
      <c r="V37" s="275">
        <f t="shared" si="6"/>
        <v>-2.8315243039169418E-2</v>
      </c>
      <c r="W37" s="275">
        <f t="shared" si="6"/>
        <v>-2.8315243039169418E-2</v>
      </c>
      <c r="X37" s="275">
        <f t="shared" si="6"/>
        <v>-2.8315243039169418E-2</v>
      </c>
      <c r="Y37" s="275">
        <f t="shared" si="6"/>
        <v>-2.8315243039169418E-2</v>
      </c>
      <c r="Z37" s="275">
        <f t="shared" si="6"/>
        <v>-2.8315243039169418E-2</v>
      </c>
      <c r="AA37" s="275">
        <f t="shared" si="6"/>
        <v>-2.8315243039169418E-2</v>
      </c>
      <c r="AB37" s="89" t="str">
        <f>IF($K$7&gt;=AC37,C_name&amp;AC37+$K$9-1,"")</f>
        <v>2M12</v>
      </c>
      <c r="AC37" s="7">
        <f t="shared" si="4"/>
        <v>12</v>
      </c>
      <c r="AD37" s="89" t="str">
        <f>IF(K30&lt;&gt;"",C_name&amp;$K$30,"")</f>
        <v/>
      </c>
      <c r="AE37" s="379">
        <f t="shared" si="3"/>
        <v>0</v>
      </c>
    </row>
    <row r="38" spans="1:31" ht="15" customHeight="1">
      <c r="B38" s="168" t="s">
        <v>556</v>
      </c>
      <c r="C38" s="157">
        <v>1</v>
      </c>
      <c r="D38" s="176" t="s">
        <v>700</v>
      </c>
      <c r="E38" s="295" t="s">
        <v>871</v>
      </c>
      <c r="G38" s="9" t="s">
        <v>80</v>
      </c>
      <c r="H38" s="4" t="s">
        <v>78</v>
      </c>
      <c r="L38" s="274">
        <f t="shared" si="2"/>
        <v>1</v>
      </c>
      <c r="M38" s="274">
        <f t="shared" si="6"/>
        <v>1</v>
      </c>
      <c r="N38" s="274">
        <f t="shared" si="6"/>
        <v>1</v>
      </c>
      <c r="O38" s="274">
        <f t="shared" si="6"/>
        <v>1</v>
      </c>
      <c r="P38" s="274">
        <f t="shared" si="6"/>
        <v>1</v>
      </c>
      <c r="Q38" s="274">
        <f t="shared" si="6"/>
        <v>1</v>
      </c>
      <c r="R38" s="274">
        <f t="shared" si="6"/>
        <v>1</v>
      </c>
      <c r="S38" s="274">
        <f t="shared" si="6"/>
        <v>1</v>
      </c>
      <c r="T38" s="274">
        <f t="shared" si="6"/>
        <v>1</v>
      </c>
      <c r="U38" s="274">
        <f t="shared" si="6"/>
        <v>1</v>
      </c>
      <c r="V38" s="274">
        <f t="shared" si="6"/>
        <v>1</v>
      </c>
      <c r="W38" s="274">
        <f t="shared" si="6"/>
        <v>1</v>
      </c>
      <c r="X38" s="274">
        <f t="shared" si="6"/>
        <v>1</v>
      </c>
      <c r="Y38" s="274">
        <f t="shared" si="6"/>
        <v>1</v>
      </c>
      <c r="Z38" s="274">
        <f t="shared" si="6"/>
        <v>1</v>
      </c>
      <c r="AA38" s="274">
        <f t="shared" si="6"/>
        <v>1</v>
      </c>
      <c r="AB38" s="89">
        <f>IF(AND($K$11="yes",$K$7&gt;=AC38),IF($K$9&lt;10,"0"&amp;+$K$9,$K$9),IF($K$7&gt;=AC38,IF((AC38+$K$9-1)&lt;10,"0"&amp;AC38+$K$9-1,AC39+$K$9-1),""))</f>
        <v>12</v>
      </c>
      <c r="AC38" s="7">
        <f t="shared" si="4"/>
        <v>12</v>
      </c>
      <c r="AD38" s="89">
        <f>IF(AND(K30&lt;&gt;"",K30&lt;10),"0"&amp;K30,K30)</f>
        <v>0</v>
      </c>
      <c r="AE38" s="379">
        <f t="shared" si="3"/>
        <v>0</v>
      </c>
    </row>
    <row r="39" spans="1:31" ht="15" customHeight="1">
      <c r="B39" s="166" t="s">
        <v>554</v>
      </c>
      <c r="C39" s="159">
        <v>0</v>
      </c>
      <c r="D39" s="176" t="s">
        <v>700</v>
      </c>
      <c r="E39" s="294" t="s">
        <v>872</v>
      </c>
      <c r="F39" s="19" t="s">
        <v>81</v>
      </c>
      <c r="H39" s="4" t="s">
        <v>78</v>
      </c>
      <c r="L39" s="16">
        <f t="shared" si="2"/>
        <v>0</v>
      </c>
      <c r="M39" s="16">
        <f t="shared" si="6"/>
        <v>0</v>
      </c>
      <c r="N39" s="16">
        <f t="shared" si="6"/>
        <v>0</v>
      </c>
      <c r="O39" s="16">
        <f t="shared" si="6"/>
        <v>0</v>
      </c>
      <c r="P39" s="16">
        <f t="shared" si="6"/>
        <v>0</v>
      </c>
      <c r="Q39" s="16">
        <f t="shared" si="6"/>
        <v>0</v>
      </c>
      <c r="R39" s="16">
        <f t="shared" si="6"/>
        <v>0</v>
      </c>
      <c r="S39" s="16">
        <f t="shared" si="6"/>
        <v>0</v>
      </c>
      <c r="T39" s="16">
        <f t="shared" si="6"/>
        <v>0</v>
      </c>
      <c r="U39" s="16">
        <f t="shared" si="6"/>
        <v>0</v>
      </c>
      <c r="V39" s="16">
        <f t="shared" si="6"/>
        <v>0</v>
      </c>
      <c r="W39" s="16">
        <f t="shared" si="6"/>
        <v>0</v>
      </c>
      <c r="X39" s="16">
        <f t="shared" si="6"/>
        <v>0</v>
      </c>
      <c r="Y39" s="16">
        <f t="shared" si="6"/>
        <v>0</v>
      </c>
      <c r="Z39" s="16">
        <f t="shared" si="6"/>
        <v>0</v>
      </c>
      <c r="AA39" s="16">
        <f t="shared" si="6"/>
        <v>0</v>
      </c>
      <c r="AB39" s="89" t="str">
        <f>IF($K$7&gt;=AC39,C_name&amp;AC39+$K$9-1,"")</f>
        <v>2M12</v>
      </c>
      <c r="AC39" s="7">
        <f t="shared" si="4"/>
        <v>12</v>
      </c>
      <c r="AD39" s="89" t="str">
        <f>IF(K30&lt;&gt;"",C_name&amp;$K$30,"")</f>
        <v/>
      </c>
      <c r="AE39" s="379">
        <f t="shared" si="3"/>
        <v>0</v>
      </c>
    </row>
    <row r="40" spans="1:31" ht="15" customHeight="1">
      <c r="B40" s="167" t="s">
        <v>555</v>
      </c>
      <c r="C40" s="8">
        <f>Fans!C11</f>
        <v>-7.0788107597923547E-2</v>
      </c>
      <c r="D40" s="176" t="s">
        <v>700</v>
      </c>
      <c r="E40" s="292" t="s">
        <v>82</v>
      </c>
      <c r="H40" s="4" t="s">
        <v>78</v>
      </c>
      <c r="L40" s="10">
        <f t="shared" si="2"/>
        <v>-7.0788107597923547E-2</v>
      </c>
      <c r="M40" s="10">
        <f t="shared" si="6"/>
        <v>-7.0788107597923547E-2</v>
      </c>
      <c r="N40" s="10">
        <f t="shared" si="6"/>
        <v>-7.0788107597923547E-2</v>
      </c>
      <c r="O40" s="10">
        <f t="shared" si="6"/>
        <v>-7.0788107597923547E-2</v>
      </c>
      <c r="P40" s="10">
        <f t="shared" si="6"/>
        <v>-7.0788107597923547E-2</v>
      </c>
      <c r="Q40" s="10">
        <f t="shared" si="6"/>
        <v>-7.0788107597923547E-2</v>
      </c>
      <c r="R40" s="10">
        <f t="shared" si="6"/>
        <v>-7.0788107597923547E-2</v>
      </c>
      <c r="S40" s="10">
        <f t="shared" si="6"/>
        <v>-7.0788107597923547E-2</v>
      </c>
      <c r="T40" s="10">
        <f t="shared" si="6"/>
        <v>-7.0788107597923547E-2</v>
      </c>
      <c r="U40" s="10">
        <f t="shared" si="6"/>
        <v>-7.0788107597923547E-2</v>
      </c>
      <c r="V40" s="10">
        <f t="shared" si="6"/>
        <v>-7.0788107597923547E-2</v>
      </c>
      <c r="W40" s="10">
        <f t="shared" si="6"/>
        <v>-7.0788107597923547E-2</v>
      </c>
      <c r="X40" s="10">
        <f t="shared" si="6"/>
        <v>-7.0788107597923547E-2</v>
      </c>
      <c r="Y40" s="10">
        <f t="shared" si="6"/>
        <v>-7.0788107597923547E-2</v>
      </c>
      <c r="Z40" s="10">
        <f t="shared" si="6"/>
        <v>-7.0788107597923547E-2</v>
      </c>
      <c r="AA40" s="10">
        <f t="shared" si="6"/>
        <v>-7.0788107597923547E-2</v>
      </c>
      <c r="AB40" s="89" t="str">
        <f>IF($K$7&gt;=AC40,C_name&amp;AC40+$K$9-1,"")</f>
        <v>2M13</v>
      </c>
      <c r="AC40" s="7">
        <f t="shared" si="4"/>
        <v>13</v>
      </c>
      <c r="AD40" s="89" t="str">
        <f>IF(K31&lt;&gt;"",C_name&amp;$K$31,"")</f>
        <v/>
      </c>
      <c r="AE40" s="379">
        <f t="shared" si="3"/>
        <v>0</v>
      </c>
    </row>
    <row r="41" spans="1:31" ht="15" customHeight="1">
      <c r="B41" s="168" t="s">
        <v>556</v>
      </c>
      <c r="C41" s="157">
        <v>23</v>
      </c>
      <c r="D41" s="176" t="s">
        <v>700</v>
      </c>
      <c r="E41" s="295" t="s">
        <v>873</v>
      </c>
      <c r="H41" s="4" t="s">
        <v>78</v>
      </c>
      <c r="L41" s="188">
        <f t="shared" si="2"/>
        <v>23</v>
      </c>
      <c r="M41" s="188">
        <f t="shared" si="6"/>
        <v>23</v>
      </c>
      <c r="N41" s="188">
        <f t="shared" si="6"/>
        <v>23</v>
      </c>
      <c r="O41" s="188">
        <f t="shared" si="6"/>
        <v>23</v>
      </c>
      <c r="P41" s="188">
        <f t="shared" si="6"/>
        <v>23</v>
      </c>
      <c r="Q41" s="188">
        <f t="shared" si="6"/>
        <v>23</v>
      </c>
      <c r="R41" s="188">
        <f t="shared" si="6"/>
        <v>23</v>
      </c>
      <c r="S41" s="188">
        <f t="shared" si="6"/>
        <v>23</v>
      </c>
      <c r="T41" s="188">
        <f t="shared" si="6"/>
        <v>23</v>
      </c>
      <c r="U41" s="188">
        <f t="shared" si="6"/>
        <v>23</v>
      </c>
      <c r="V41" s="188">
        <f t="shared" si="6"/>
        <v>23</v>
      </c>
      <c r="W41" s="188">
        <f t="shared" si="6"/>
        <v>23</v>
      </c>
      <c r="X41" s="188">
        <f t="shared" si="6"/>
        <v>23</v>
      </c>
      <c r="Y41" s="188">
        <f t="shared" si="6"/>
        <v>23</v>
      </c>
      <c r="Z41" s="188">
        <f t="shared" si="6"/>
        <v>23</v>
      </c>
      <c r="AA41" s="188">
        <f t="shared" si="6"/>
        <v>23</v>
      </c>
      <c r="AB41" s="89">
        <f>IF(AND($K$11="yes",$K$7&gt;=AC41),IF($K$9&lt;10,"0"&amp;+$K$9,$K$9),IF($K$7&gt;=AC41,IF((AC41+$K$9-1)&lt;10,"0"&amp;AC41+$K$9-1,AC42+$K$9-1),""))</f>
        <v>13</v>
      </c>
      <c r="AC41" s="7">
        <f t="shared" si="4"/>
        <v>13</v>
      </c>
      <c r="AD41" s="89">
        <f>IF(AND(K31&lt;&gt;"",K31&lt;10),"0"&amp;K31,K31)</f>
        <v>0</v>
      </c>
      <c r="AE41" s="379">
        <f t="shared" si="3"/>
        <v>0</v>
      </c>
    </row>
    <row r="42" spans="1:31" ht="15" customHeight="1">
      <c r="A42" s="281"/>
      <c r="B42" s="166" t="s">
        <v>554</v>
      </c>
      <c r="C42" s="164">
        <f>Fans!I9</f>
        <v>37.200000000000003</v>
      </c>
      <c r="D42" s="176" t="s">
        <v>700</v>
      </c>
      <c r="E42" s="294" t="s">
        <v>874</v>
      </c>
      <c r="F42" s="19" t="s">
        <v>83</v>
      </c>
      <c r="H42" s="4" t="s">
        <v>78</v>
      </c>
      <c r="I42" s="7" t="s">
        <v>84</v>
      </c>
      <c r="L42" s="280">
        <f t="shared" si="2"/>
        <v>37.200000000000003</v>
      </c>
      <c r="M42" s="280">
        <f t="shared" si="6"/>
        <v>37.200000000000003</v>
      </c>
      <c r="N42" s="280">
        <f t="shared" si="6"/>
        <v>37.200000000000003</v>
      </c>
      <c r="O42" s="280">
        <f t="shared" si="6"/>
        <v>37.200000000000003</v>
      </c>
      <c r="P42" s="280">
        <f t="shared" si="6"/>
        <v>37.200000000000003</v>
      </c>
      <c r="Q42" s="280">
        <f t="shared" si="6"/>
        <v>37.200000000000003</v>
      </c>
      <c r="R42" s="280">
        <f t="shared" si="6"/>
        <v>37.200000000000003</v>
      </c>
      <c r="S42" s="280">
        <f t="shared" si="6"/>
        <v>37.200000000000003</v>
      </c>
      <c r="T42" s="280">
        <f t="shared" si="6"/>
        <v>37.200000000000003</v>
      </c>
      <c r="U42" s="280">
        <f t="shared" si="6"/>
        <v>37.200000000000003</v>
      </c>
      <c r="V42" s="280">
        <f t="shared" si="6"/>
        <v>37.200000000000003</v>
      </c>
      <c r="W42" s="280">
        <f t="shared" si="6"/>
        <v>37.200000000000003</v>
      </c>
      <c r="X42" s="280">
        <f t="shared" si="6"/>
        <v>37.200000000000003</v>
      </c>
      <c r="Y42" s="280">
        <f t="shared" si="6"/>
        <v>37.200000000000003</v>
      </c>
      <c r="Z42" s="280">
        <f t="shared" si="6"/>
        <v>37.200000000000003</v>
      </c>
      <c r="AA42" s="280">
        <f t="shared" si="6"/>
        <v>37.200000000000003</v>
      </c>
      <c r="AB42" s="89" t="str">
        <f>IF($K$7&gt;=AC42,C_name&amp;AC42+$K$9-1,"")</f>
        <v>2M13</v>
      </c>
      <c r="AC42" s="7">
        <f t="shared" si="4"/>
        <v>13</v>
      </c>
      <c r="AD42" s="89" t="str">
        <f>IF(K31&lt;&gt;"",C_name&amp;$K$31,"")</f>
        <v/>
      </c>
      <c r="AE42" s="379">
        <f t="shared" si="3"/>
        <v>0</v>
      </c>
    </row>
    <row r="43" spans="1:31" ht="15" customHeight="1">
      <c r="A43" s="281"/>
      <c r="B43" s="167" t="s">
        <v>555</v>
      </c>
      <c r="C43" s="8">
        <f>Fans!C9</f>
        <v>-4.7192071731949031E-2</v>
      </c>
      <c r="D43" s="176" t="s">
        <v>700</v>
      </c>
      <c r="E43" s="292" t="s">
        <v>85</v>
      </c>
      <c r="H43" s="4" t="s">
        <v>78</v>
      </c>
      <c r="I43" s="7" t="s">
        <v>84</v>
      </c>
      <c r="L43" s="275">
        <f t="shared" si="2"/>
        <v>-4.7192071731949031E-2</v>
      </c>
      <c r="M43" s="275">
        <f t="shared" si="6"/>
        <v>-4.7192071731949031E-2</v>
      </c>
      <c r="N43" s="275">
        <f t="shared" si="6"/>
        <v>-4.7192071731949031E-2</v>
      </c>
      <c r="O43" s="275">
        <f t="shared" si="6"/>
        <v>-4.7192071731949031E-2</v>
      </c>
      <c r="P43" s="275">
        <f t="shared" si="6"/>
        <v>-4.7192071731949031E-2</v>
      </c>
      <c r="Q43" s="275">
        <f t="shared" si="6"/>
        <v>-4.7192071731949031E-2</v>
      </c>
      <c r="R43" s="275">
        <f t="shared" si="6"/>
        <v>-4.7192071731949031E-2</v>
      </c>
      <c r="S43" s="275">
        <f t="shared" si="6"/>
        <v>-4.7192071731949031E-2</v>
      </c>
      <c r="T43" s="275">
        <f t="shared" si="6"/>
        <v>-4.7192071731949031E-2</v>
      </c>
      <c r="U43" s="275">
        <f t="shared" si="6"/>
        <v>-4.7192071731949031E-2</v>
      </c>
      <c r="V43" s="275">
        <f t="shared" si="6"/>
        <v>-4.7192071731949031E-2</v>
      </c>
      <c r="W43" s="275">
        <f t="shared" si="6"/>
        <v>-4.7192071731949031E-2</v>
      </c>
      <c r="X43" s="275">
        <f t="shared" si="6"/>
        <v>-4.7192071731949031E-2</v>
      </c>
      <c r="Y43" s="275">
        <f t="shared" si="6"/>
        <v>-4.7192071731949031E-2</v>
      </c>
      <c r="Z43" s="275">
        <f t="shared" si="6"/>
        <v>-4.7192071731949031E-2</v>
      </c>
      <c r="AA43" s="275">
        <f t="shared" si="6"/>
        <v>-4.7192071731949031E-2</v>
      </c>
      <c r="AB43" s="89" t="str">
        <f>IF($K$7&gt;=AC43,C_name&amp;AC43+$K$9-1,"")</f>
        <v>2M14</v>
      </c>
      <c r="AC43" s="7">
        <f t="shared" si="4"/>
        <v>14</v>
      </c>
      <c r="AD43" s="89" t="str">
        <f>IF(K32&lt;&gt;"",C_name&amp;$K$32,"")</f>
        <v/>
      </c>
      <c r="AE43" s="379">
        <f t="shared" si="3"/>
        <v>0</v>
      </c>
    </row>
    <row r="44" spans="1:31" ht="15" customHeight="1">
      <c r="A44" s="281"/>
      <c r="B44" s="168" t="s">
        <v>556</v>
      </c>
      <c r="C44" s="157">
        <v>24</v>
      </c>
      <c r="D44" s="176" t="s">
        <v>700</v>
      </c>
      <c r="E44" s="295" t="s">
        <v>875</v>
      </c>
      <c r="H44" s="4" t="s">
        <v>78</v>
      </c>
      <c r="I44" s="7" t="s">
        <v>86</v>
      </c>
      <c r="L44" s="274">
        <f t="shared" si="2"/>
        <v>24</v>
      </c>
      <c r="M44" s="274">
        <f t="shared" si="6"/>
        <v>24</v>
      </c>
      <c r="N44" s="274">
        <f t="shared" si="6"/>
        <v>24</v>
      </c>
      <c r="O44" s="274">
        <f t="shared" si="6"/>
        <v>24</v>
      </c>
      <c r="P44" s="274">
        <f t="shared" si="6"/>
        <v>24</v>
      </c>
      <c r="Q44" s="274">
        <f t="shared" si="6"/>
        <v>24</v>
      </c>
      <c r="R44" s="274">
        <f t="shared" si="6"/>
        <v>24</v>
      </c>
      <c r="S44" s="274">
        <f t="shared" si="6"/>
        <v>24</v>
      </c>
      <c r="T44" s="274">
        <f t="shared" si="6"/>
        <v>24</v>
      </c>
      <c r="U44" s="274">
        <f t="shared" si="6"/>
        <v>24</v>
      </c>
      <c r="V44" s="274">
        <f t="shared" si="6"/>
        <v>24</v>
      </c>
      <c r="W44" s="274">
        <f t="shared" si="6"/>
        <v>24</v>
      </c>
      <c r="X44" s="274">
        <f t="shared" si="6"/>
        <v>24</v>
      </c>
      <c r="Y44" s="274">
        <f t="shared" si="6"/>
        <v>24</v>
      </c>
      <c r="Z44" s="274">
        <f t="shared" si="6"/>
        <v>24</v>
      </c>
      <c r="AA44" s="274">
        <f t="shared" si="6"/>
        <v>24</v>
      </c>
      <c r="AB44" s="89">
        <f>IF(AND($K$11="yes",$K$7&gt;=AC44),IF($K$9&lt;10,"0"&amp;+$K$9,$K$9),IF($K$7&gt;=AC44,IF((AC44+$K$9-1)&lt;10,"0"&amp;AC44+$K$9-1,AC45+$K$9-1),""))</f>
        <v>14</v>
      </c>
      <c r="AC44" s="7">
        <f>AC41+1</f>
        <v>14</v>
      </c>
      <c r="AD44" s="89">
        <f>IF(AND(K32&lt;&gt;"",K32&lt;10),"0"&amp;K32,K32)</f>
        <v>0</v>
      </c>
      <c r="AE44" s="379">
        <f t="shared" si="3"/>
        <v>0</v>
      </c>
    </row>
    <row r="45" spans="1:31" ht="15" customHeight="1">
      <c r="A45" s="281"/>
      <c r="B45" s="166" t="s">
        <v>554</v>
      </c>
      <c r="C45" s="159">
        <f>Fans!I8</f>
        <v>10.199999999999999</v>
      </c>
      <c r="D45" s="176" t="s">
        <v>700</v>
      </c>
      <c r="E45" s="294" t="s">
        <v>876</v>
      </c>
      <c r="F45" s="19" t="s">
        <v>87</v>
      </c>
      <c r="H45" s="4" t="s">
        <v>78</v>
      </c>
      <c r="L45" s="16">
        <f t="shared" si="2"/>
        <v>10.199999999999999</v>
      </c>
      <c r="M45" s="16">
        <f t="shared" si="6"/>
        <v>10.199999999999999</v>
      </c>
      <c r="N45" s="16">
        <f t="shared" si="6"/>
        <v>10.199999999999999</v>
      </c>
      <c r="O45" s="16">
        <f t="shared" si="6"/>
        <v>10.199999999999999</v>
      </c>
      <c r="P45" s="16">
        <f t="shared" si="6"/>
        <v>10.199999999999999</v>
      </c>
      <c r="Q45" s="16">
        <f t="shared" si="6"/>
        <v>10.199999999999999</v>
      </c>
      <c r="R45" s="16">
        <f t="shared" si="6"/>
        <v>10.199999999999999</v>
      </c>
      <c r="S45" s="16">
        <f t="shared" si="6"/>
        <v>10.199999999999999</v>
      </c>
      <c r="T45" s="16">
        <f t="shared" si="6"/>
        <v>10.199999999999999</v>
      </c>
      <c r="U45" s="16">
        <f t="shared" si="6"/>
        <v>10.199999999999999</v>
      </c>
      <c r="V45" s="16">
        <f t="shared" si="6"/>
        <v>10.199999999999999</v>
      </c>
      <c r="W45" s="16">
        <f t="shared" si="6"/>
        <v>10.199999999999999</v>
      </c>
      <c r="X45" s="16">
        <f t="shared" si="6"/>
        <v>10.199999999999999</v>
      </c>
      <c r="Y45" s="16">
        <f t="shared" si="6"/>
        <v>10.199999999999999</v>
      </c>
      <c r="Z45" s="16">
        <f t="shared" si="6"/>
        <v>10.199999999999999</v>
      </c>
      <c r="AA45" s="16">
        <f t="shared" si="6"/>
        <v>10.199999999999999</v>
      </c>
      <c r="AB45" s="89" t="str">
        <f>IF($K$7&gt;=AC45,C_name&amp;AC45+$K$9-1,"")</f>
        <v>2M14</v>
      </c>
      <c r="AC45" s="7">
        <f t="shared" si="4"/>
        <v>14</v>
      </c>
      <c r="AD45" s="89" t="str">
        <f>IF(K32&lt;&gt;"",C_name&amp;$K$32,"")</f>
        <v/>
      </c>
      <c r="AE45" s="379">
        <f t="shared" si="3"/>
        <v>0</v>
      </c>
    </row>
    <row r="46" spans="1:31" ht="15" customHeight="1">
      <c r="A46" s="281"/>
      <c r="B46" s="167" t="s">
        <v>555</v>
      </c>
      <c r="C46" s="8">
        <f>Fans!C8</f>
        <v>-2.3596035865974516E-2</v>
      </c>
      <c r="D46" s="176" t="s">
        <v>700</v>
      </c>
      <c r="E46" s="292" t="s">
        <v>88</v>
      </c>
      <c r="H46" s="4" t="s">
        <v>78</v>
      </c>
      <c r="L46" s="10">
        <f t="shared" si="2"/>
        <v>-2.3596035865974516E-2</v>
      </c>
      <c r="M46" s="10">
        <f t="shared" si="6"/>
        <v>-2.3596035865974516E-2</v>
      </c>
      <c r="N46" s="10">
        <f t="shared" si="6"/>
        <v>-2.3596035865974516E-2</v>
      </c>
      <c r="O46" s="10">
        <f t="shared" si="6"/>
        <v>-2.3596035865974516E-2</v>
      </c>
      <c r="P46" s="10">
        <f t="shared" si="6"/>
        <v>-2.3596035865974516E-2</v>
      </c>
      <c r="Q46" s="10">
        <f t="shared" si="6"/>
        <v>-2.3596035865974516E-2</v>
      </c>
      <c r="R46" s="10">
        <f t="shared" si="6"/>
        <v>-2.3596035865974516E-2</v>
      </c>
      <c r="S46" s="10">
        <f t="shared" si="6"/>
        <v>-2.3596035865974516E-2</v>
      </c>
      <c r="T46" s="10">
        <f t="shared" si="6"/>
        <v>-2.3596035865974516E-2</v>
      </c>
      <c r="U46" s="10">
        <f t="shared" si="6"/>
        <v>-2.3596035865974516E-2</v>
      </c>
      <c r="V46" s="10">
        <f t="shared" si="6"/>
        <v>-2.3596035865974516E-2</v>
      </c>
      <c r="W46" s="10">
        <f t="shared" si="6"/>
        <v>-2.3596035865974516E-2</v>
      </c>
      <c r="X46" s="10">
        <f t="shared" si="6"/>
        <v>-2.3596035865974516E-2</v>
      </c>
      <c r="Y46" s="10">
        <f t="shared" si="6"/>
        <v>-2.3596035865974516E-2</v>
      </c>
      <c r="Z46" s="10">
        <f t="shared" si="6"/>
        <v>-2.3596035865974516E-2</v>
      </c>
      <c r="AA46" s="10">
        <f t="shared" si="6"/>
        <v>-2.3596035865974516E-2</v>
      </c>
      <c r="AB46" s="89" t="str">
        <f>IF($K$7&gt;=AC46,C_name&amp;AC46+$K$9-1,"")</f>
        <v>2M15</v>
      </c>
      <c r="AC46" s="7">
        <f t="shared" si="4"/>
        <v>15</v>
      </c>
      <c r="AD46" s="89" t="str">
        <f>IF(K33&lt;&gt;"",C_name&amp;$K$33,"")</f>
        <v/>
      </c>
      <c r="AE46" s="379">
        <f t="shared" si="3"/>
        <v>0</v>
      </c>
    </row>
    <row r="47" spans="1:31" ht="15" customHeight="1">
      <c r="B47" s="167" t="s">
        <v>556</v>
      </c>
      <c r="C47" s="11">
        <v>25</v>
      </c>
      <c r="D47" s="176" t="s">
        <v>700</v>
      </c>
      <c r="E47" s="293" t="s">
        <v>877</v>
      </c>
      <c r="H47" s="4" t="s">
        <v>78</v>
      </c>
      <c r="L47" s="188">
        <f t="shared" si="2"/>
        <v>25</v>
      </c>
      <c r="M47" s="188">
        <f t="shared" si="6"/>
        <v>25</v>
      </c>
      <c r="N47" s="188">
        <f t="shared" si="6"/>
        <v>25</v>
      </c>
      <c r="O47" s="188">
        <f t="shared" si="6"/>
        <v>25</v>
      </c>
      <c r="P47" s="188">
        <f t="shared" si="6"/>
        <v>25</v>
      </c>
      <c r="Q47" s="188">
        <f t="shared" si="6"/>
        <v>25</v>
      </c>
      <c r="R47" s="188">
        <f t="shared" si="6"/>
        <v>25</v>
      </c>
      <c r="S47" s="188">
        <f t="shared" si="6"/>
        <v>25</v>
      </c>
      <c r="T47" s="188">
        <f t="shared" si="6"/>
        <v>25</v>
      </c>
      <c r="U47" s="188">
        <f t="shared" si="6"/>
        <v>25</v>
      </c>
      <c r="V47" s="188">
        <f t="shared" si="6"/>
        <v>25</v>
      </c>
      <c r="W47" s="188">
        <f t="shared" si="6"/>
        <v>25</v>
      </c>
      <c r="X47" s="188">
        <f t="shared" si="6"/>
        <v>25</v>
      </c>
      <c r="Y47" s="188">
        <f t="shared" si="6"/>
        <v>25</v>
      </c>
      <c r="Z47" s="188">
        <f t="shared" si="6"/>
        <v>25</v>
      </c>
      <c r="AA47" s="188">
        <f t="shared" si="6"/>
        <v>25</v>
      </c>
      <c r="AB47" s="89">
        <f>IF(AND($K$11="yes",$K$7&gt;=AC47),IF($K$9&lt;10,"0"&amp;+$K$9,$K$9),IF($K$7&gt;=AC47,IF((AC47+$K$9-1)&lt;10,"0"&amp;AC47+$K$9-1,AC48+$K$9-1),""))</f>
        <v>15</v>
      </c>
      <c r="AC47" s="7">
        <f t="shared" si="4"/>
        <v>15</v>
      </c>
      <c r="AD47" s="89">
        <f>IF(AND(K33&lt;&gt;"",K33&lt;10),"0"&amp;K33,K33)</f>
        <v>0</v>
      </c>
      <c r="AE47" s="379">
        <f t="shared" si="3"/>
        <v>0</v>
      </c>
    </row>
    <row r="48" spans="1:31" ht="15" customHeight="1">
      <c r="B48" s="166" t="s">
        <v>554</v>
      </c>
      <c r="C48" s="315">
        <f>Fans!I8</f>
        <v>10.199999999999999</v>
      </c>
      <c r="D48" s="176" t="s">
        <v>700</v>
      </c>
      <c r="E48" s="294" t="s">
        <v>713</v>
      </c>
      <c r="L48" s="280">
        <f t="shared" si="2"/>
        <v>10.199999999999999</v>
      </c>
      <c r="M48" s="280">
        <f t="shared" si="6"/>
        <v>10.199999999999999</v>
      </c>
      <c r="N48" s="280">
        <f t="shared" si="6"/>
        <v>10.199999999999999</v>
      </c>
      <c r="O48" s="280">
        <f t="shared" si="6"/>
        <v>10.199999999999999</v>
      </c>
      <c r="P48" s="280">
        <f t="shared" si="6"/>
        <v>10.199999999999999</v>
      </c>
      <c r="Q48" s="280">
        <f t="shared" si="6"/>
        <v>10.199999999999999</v>
      </c>
      <c r="R48" s="280">
        <f t="shared" si="6"/>
        <v>10.199999999999999</v>
      </c>
      <c r="S48" s="280">
        <f t="shared" si="6"/>
        <v>10.199999999999999</v>
      </c>
      <c r="T48" s="280">
        <f t="shared" si="6"/>
        <v>10.199999999999999</v>
      </c>
      <c r="U48" s="280">
        <f t="shared" si="6"/>
        <v>10.199999999999999</v>
      </c>
      <c r="V48" s="280">
        <f t="shared" si="6"/>
        <v>10.199999999999999</v>
      </c>
      <c r="W48" s="280">
        <f t="shared" si="6"/>
        <v>10.199999999999999</v>
      </c>
      <c r="X48" s="280">
        <f t="shared" si="6"/>
        <v>10.199999999999999</v>
      </c>
      <c r="Y48" s="280">
        <f t="shared" si="6"/>
        <v>10.199999999999999</v>
      </c>
      <c r="Z48" s="280">
        <f t="shared" si="6"/>
        <v>10.199999999999999</v>
      </c>
      <c r="AA48" s="280">
        <f t="shared" si="6"/>
        <v>10.199999999999999</v>
      </c>
      <c r="AB48" s="89" t="str">
        <f>IF($K$7&gt;=AC48,C_name&amp;AC48+$K$9-1,"")</f>
        <v>2M15</v>
      </c>
      <c r="AC48" s="7">
        <f t="shared" si="4"/>
        <v>15</v>
      </c>
      <c r="AD48" s="89" t="str">
        <f>IF(K33&lt;&gt;"",C_name&amp;$K$33,"")</f>
        <v/>
      </c>
      <c r="AE48" s="379">
        <f t="shared" si="3"/>
        <v>0</v>
      </c>
    </row>
    <row r="49" spans="1:31" ht="15" customHeight="1">
      <c r="B49" s="167" t="s">
        <v>555</v>
      </c>
      <c r="C49" s="314">
        <f>Fans!C8</f>
        <v>-2.3596035865974516E-2</v>
      </c>
      <c r="D49" s="176" t="s">
        <v>700</v>
      </c>
      <c r="E49" s="292" t="s">
        <v>711</v>
      </c>
      <c r="L49" s="275">
        <f t="shared" si="2"/>
        <v>-2.3596035865974516E-2</v>
      </c>
      <c r="M49" s="275">
        <f t="shared" si="6"/>
        <v>-2.3596035865974516E-2</v>
      </c>
      <c r="N49" s="275">
        <f t="shared" si="6"/>
        <v>-2.3596035865974516E-2</v>
      </c>
      <c r="O49" s="275">
        <f t="shared" si="6"/>
        <v>-2.3596035865974516E-2</v>
      </c>
      <c r="P49" s="275">
        <f t="shared" si="6"/>
        <v>-2.3596035865974516E-2</v>
      </c>
      <c r="Q49" s="275">
        <f t="shared" si="6"/>
        <v>-2.3596035865974516E-2</v>
      </c>
      <c r="R49" s="275">
        <f t="shared" si="6"/>
        <v>-2.3596035865974516E-2</v>
      </c>
      <c r="S49" s="275">
        <f t="shared" si="6"/>
        <v>-2.3596035865974516E-2</v>
      </c>
      <c r="T49" s="275">
        <f t="shared" si="6"/>
        <v>-2.3596035865974516E-2</v>
      </c>
      <c r="U49" s="275">
        <f t="shared" si="6"/>
        <v>-2.3596035865974516E-2</v>
      </c>
      <c r="V49" s="275">
        <f t="shared" si="6"/>
        <v>-2.3596035865974516E-2</v>
      </c>
      <c r="W49" s="275">
        <f t="shared" si="6"/>
        <v>-2.3596035865974516E-2</v>
      </c>
      <c r="X49" s="275">
        <f t="shared" si="6"/>
        <v>-2.3596035865974516E-2</v>
      </c>
      <c r="Y49" s="275">
        <f t="shared" si="6"/>
        <v>-2.3596035865974516E-2</v>
      </c>
      <c r="Z49" s="275">
        <f t="shared" si="6"/>
        <v>-2.3596035865974516E-2</v>
      </c>
      <c r="AA49" s="275">
        <f t="shared" si="6"/>
        <v>-2.3596035865974516E-2</v>
      </c>
      <c r="AB49" s="89" t="str">
        <f>IF($K$7&gt;=AC49,C_name&amp;AC49+$K$9-1,"")</f>
        <v/>
      </c>
      <c r="AC49" s="7">
        <f>AC46+1</f>
        <v>16</v>
      </c>
      <c r="AD49" s="89" t="str">
        <f>IF(K34&lt;&gt;"",C_name&amp;$K$34,"")</f>
        <v/>
      </c>
      <c r="AE49" s="379">
        <f t="shared" si="3"/>
        <v>0</v>
      </c>
    </row>
    <row r="50" spans="1:31" ht="15" customHeight="1">
      <c r="B50" s="168" t="s">
        <v>556</v>
      </c>
      <c r="C50" s="157">
        <v>26</v>
      </c>
      <c r="D50" s="176" t="s">
        <v>700</v>
      </c>
      <c r="E50" s="295" t="s">
        <v>878</v>
      </c>
      <c r="L50" s="274">
        <f t="shared" si="2"/>
        <v>26</v>
      </c>
      <c r="M50" s="274">
        <f t="shared" ref="M50:AA59" si="7">L50</f>
        <v>26</v>
      </c>
      <c r="N50" s="274">
        <f t="shared" si="7"/>
        <v>26</v>
      </c>
      <c r="O50" s="274">
        <f t="shared" si="7"/>
        <v>26</v>
      </c>
      <c r="P50" s="274">
        <f t="shared" si="7"/>
        <v>26</v>
      </c>
      <c r="Q50" s="274">
        <f t="shared" si="7"/>
        <v>26</v>
      </c>
      <c r="R50" s="274">
        <f t="shared" si="7"/>
        <v>26</v>
      </c>
      <c r="S50" s="274">
        <f t="shared" si="7"/>
        <v>26</v>
      </c>
      <c r="T50" s="274">
        <f t="shared" si="7"/>
        <v>26</v>
      </c>
      <c r="U50" s="274">
        <f t="shared" si="7"/>
        <v>26</v>
      </c>
      <c r="V50" s="274">
        <f t="shared" si="7"/>
        <v>26</v>
      </c>
      <c r="W50" s="274">
        <f t="shared" si="7"/>
        <v>26</v>
      </c>
      <c r="X50" s="274">
        <f t="shared" si="7"/>
        <v>26</v>
      </c>
      <c r="Y50" s="274">
        <f t="shared" si="7"/>
        <v>26</v>
      </c>
      <c r="Z50" s="274">
        <f t="shared" si="7"/>
        <v>26</v>
      </c>
      <c r="AA50" s="274">
        <f t="shared" si="7"/>
        <v>26</v>
      </c>
      <c r="AB50" s="89" t="str">
        <f>IF(AND($K$11="yes",$K$7&gt;=AC50),IF($K$9&lt;10,"0"&amp;+$K$9,$K$9),IF($K$7&gt;=AC50,IF((AC50+$K$9-1)&lt;10,"0"&amp;AC50+$K$9-1,AC51+$K$9-1),""))</f>
        <v/>
      </c>
      <c r="AC50" s="7">
        <f t="shared" si="4"/>
        <v>16</v>
      </c>
      <c r="AD50" s="89">
        <f>IF(AND(K34&lt;&gt;"",K34&lt;10),"0"&amp;K34,K34)</f>
        <v>0</v>
      </c>
      <c r="AE50" s="379">
        <f t="shared" si="3"/>
        <v>0</v>
      </c>
    </row>
    <row r="51" spans="1:31" ht="15" customHeight="1">
      <c r="B51" s="166" t="s">
        <v>554</v>
      </c>
      <c r="C51" s="315">
        <f>Fans!I8</f>
        <v>10.199999999999999</v>
      </c>
      <c r="D51" s="176" t="s">
        <v>700</v>
      </c>
      <c r="E51" s="294" t="s">
        <v>879</v>
      </c>
      <c r="L51" s="16">
        <f t="shared" si="2"/>
        <v>10.199999999999999</v>
      </c>
      <c r="M51" s="16">
        <f t="shared" si="7"/>
        <v>10.199999999999999</v>
      </c>
      <c r="N51" s="16">
        <f t="shared" si="7"/>
        <v>10.199999999999999</v>
      </c>
      <c r="O51" s="16">
        <f t="shared" si="7"/>
        <v>10.199999999999999</v>
      </c>
      <c r="P51" s="16">
        <f t="shared" si="7"/>
        <v>10.199999999999999</v>
      </c>
      <c r="Q51" s="16">
        <f t="shared" si="7"/>
        <v>10.199999999999999</v>
      </c>
      <c r="R51" s="16">
        <f t="shared" si="7"/>
        <v>10.199999999999999</v>
      </c>
      <c r="S51" s="16">
        <f t="shared" si="7"/>
        <v>10.199999999999999</v>
      </c>
      <c r="T51" s="16">
        <f t="shared" si="7"/>
        <v>10.199999999999999</v>
      </c>
      <c r="U51" s="16">
        <f t="shared" si="7"/>
        <v>10.199999999999999</v>
      </c>
      <c r="V51" s="16">
        <f t="shared" si="7"/>
        <v>10.199999999999999</v>
      </c>
      <c r="W51" s="16">
        <f t="shared" si="7"/>
        <v>10.199999999999999</v>
      </c>
      <c r="X51" s="16">
        <f t="shared" si="7"/>
        <v>10.199999999999999</v>
      </c>
      <c r="Y51" s="16">
        <f t="shared" si="7"/>
        <v>10.199999999999999</v>
      </c>
      <c r="Z51" s="16">
        <f t="shared" si="7"/>
        <v>10.199999999999999</v>
      </c>
      <c r="AA51" s="16">
        <f t="shared" si="7"/>
        <v>10.199999999999999</v>
      </c>
      <c r="AB51" s="89" t="str">
        <f>IF($K$7&gt;=AC51,C_name&amp;AC51+$K$9-1,"")</f>
        <v/>
      </c>
      <c r="AC51" s="7">
        <f t="shared" si="4"/>
        <v>16</v>
      </c>
      <c r="AD51" s="89" t="str">
        <f>IF(K34&lt;&gt;"",C_name&amp;$K$34,"")</f>
        <v/>
      </c>
      <c r="AE51" s="379">
        <f t="shared" si="3"/>
        <v>0</v>
      </c>
    </row>
    <row r="52" spans="1:31" ht="15" customHeight="1">
      <c r="B52" s="167" t="s">
        <v>555</v>
      </c>
      <c r="C52" s="314">
        <f>Fans!C8</f>
        <v>-2.3596035865974516E-2</v>
      </c>
      <c r="D52" s="176" t="s">
        <v>700</v>
      </c>
      <c r="E52" s="292" t="s">
        <v>712</v>
      </c>
      <c r="L52" s="10">
        <f t="shared" si="2"/>
        <v>-2.3596035865974516E-2</v>
      </c>
      <c r="M52" s="10">
        <f t="shared" si="7"/>
        <v>-2.3596035865974516E-2</v>
      </c>
      <c r="N52" s="10">
        <f t="shared" si="7"/>
        <v>-2.3596035865974516E-2</v>
      </c>
      <c r="O52" s="10">
        <f t="shared" si="7"/>
        <v>-2.3596035865974516E-2</v>
      </c>
      <c r="P52" s="10">
        <f t="shared" si="7"/>
        <v>-2.3596035865974516E-2</v>
      </c>
      <c r="Q52" s="10">
        <f t="shared" si="7"/>
        <v>-2.3596035865974516E-2</v>
      </c>
      <c r="R52" s="10">
        <f t="shared" si="7"/>
        <v>-2.3596035865974516E-2</v>
      </c>
      <c r="S52" s="10">
        <f t="shared" si="7"/>
        <v>-2.3596035865974516E-2</v>
      </c>
      <c r="T52" s="10">
        <f t="shared" si="7"/>
        <v>-2.3596035865974516E-2</v>
      </c>
      <c r="U52" s="10">
        <f t="shared" si="7"/>
        <v>-2.3596035865974516E-2</v>
      </c>
      <c r="V52" s="10">
        <f t="shared" si="7"/>
        <v>-2.3596035865974516E-2</v>
      </c>
      <c r="W52" s="10">
        <f t="shared" si="7"/>
        <v>-2.3596035865974516E-2</v>
      </c>
      <c r="X52" s="10">
        <f t="shared" si="7"/>
        <v>-2.3596035865974516E-2</v>
      </c>
      <c r="Y52" s="10">
        <f t="shared" si="7"/>
        <v>-2.3596035865974516E-2</v>
      </c>
      <c r="Z52" s="10">
        <f t="shared" si="7"/>
        <v>-2.3596035865974516E-2</v>
      </c>
      <c r="AA52" s="10">
        <f t="shared" si="7"/>
        <v>-2.3596035865974516E-2</v>
      </c>
      <c r="AE52" s="379">
        <f t="shared" si="3"/>
        <v>0</v>
      </c>
    </row>
    <row r="53" spans="1:31" ht="15" customHeight="1">
      <c r="B53" s="168" t="s">
        <v>556</v>
      </c>
      <c r="C53" s="157">
        <v>27</v>
      </c>
      <c r="D53" s="176" t="s">
        <v>700</v>
      </c>
      <c r="E53" s="295" t="s">
        <v>880</v>
      </c>
      <c r="L53" s="188">
        <f t="shared" si="2"/>
        <v>27</v>
      </c>
      <c r="M53" s="188">
        <f t="shared" si="7"/>
        <v>27</v>
      </c>
      <c r="N53" s="188">
        <f t="shared" si="7"/>
        <v>27</v>
      </c>
      <c r="O53" s="188">
        <f t="shared" si="7"/>
        <v>27</v>
      </c>
      <c r="P53" s="188">
        <f t="shared" si="7"/>
        <v>27</v>
      </c>
      <c r="Q53" s="188">
        <f t="shared" si="7"/>
        <v>27</v>
      </c>
      <c r="R53" s="188">
        <f t="shared" si="7"/>
        <v>27</v>
      </c>
      <c r="S53" s="188">
        <f t="shared" si="7"/>
        <v>27</v>
      </c>
      <c r="T53" s="188">
        <f t="shared" si="7"/>
        <v>27</v>
      </c>
      <c r="U53" s="188">
        <f t="shared" si="7"/>
        <v>27</v>
      </c>
      <c r="V53" s="188">
        <f t="shared" si="7"/>
        <v>27</v>
      </c>
      <c r="W53" s="188">
        <f t="shared" si="7"/>
        <v>27</v>
      </c>
      <c r="X53" s="188">
        <f t="shared" si="7"/>
        <v>27</v>
      </c>
      <c r="Y53" s="188">
        <f t="shared" si="7"/>
        <v>27</v>
      </c>
      <c r="Z53" s="188">
        <f t="shared" si="7"/>
        <v>27</v>
      </c>
      <c r="AA53" s="188">
        <f t="shared" si="7"/>
        <v>27</v>
      </c>
      <c r="AE53" s="379">
        <f t="shared" si="3"/>
        <v>0</v>
      </c>
    </row>
    <row r="54" spans="1:31" s="182" customFormat="1" ht="15" customHeight="1">
      <c r="A54" s="183"/>
      <c r="B54" s="166" t="s">
        <v>554</v>
      </c>
      <c r="C54" s="164">
        <f>L54</f>
        <v>83.966400000000007</v>
      </c>
      <c r="D54" s="176" t="s">
        <v>700</v>
      </c>
      <c r="E54" s="294" t="s">
        <v>850</v>
      </c>
      <c r="H54" s="4"/>
      <c r="L54" s="316">
        <f>IF(L117&lt;L118,L117,L118)</f>
        <v>83.966400000000007</v>
      </c>
      <c r="M54" s="316">
        <f t="shared" ref="M54:AA54" si="8">IF(M117&lt;M118,M117,M118)</f>
        <v>84.000000000000028</v>
      </c>
      <c r="N54" s="316">
        <f t="shared" si="8"/>
        <v>84.000000000000028</v>
      </c>
      <c r="O54" s="316">
        <f t="shared" si="8"/>
        <v>126.00000000000003</v>
      </c>
      <c r="P54" s="316">
        <f t="shared" si="8"/>
        <v>84.000000000000028</v>
      </c>
      <c r="Q54" s="316">
        <f t="shared" si="8"/>
        <v>54.333333333333336</v>
      </c>
      <c r="R54" s="316">
        <f t="shared" si="8"/>
        <v>84.000000000000028</v>
      </c>
      <c r="S54" s="316">
        <f t="shared" si="8"/>
        <v>84.000000000000028</v>
      </c>
      <c r="T54" s="316">
        <f t="shared" si="8"/>
        <v>73.333333333333329</v>
      </c>
      <c r="U54" s="316">
        <f t="shared" si="8"/>
        <v>87.999999999999986</v>
      </c>
      <c r="V54" s="316">
        <f t="shared" si="8"/>
        <v>101.33333333333333</v>
      </c>
      <c r="W54" s="316">
        <f t="shared" si="8"/>
        <v>74.666666666666657</v>
      </c>
      <c r="X54" s="316">
        <f t="shared" si="8"/>
        <v>92.666666666666657</v>
      </c>
      <c r="Y54" s="316">
        <f t="shared" si="8"/>
        <v>67.333333333333329</v>
      </c>
      <c r="Z54" s="316">
        <f t="shared" si="8"/>
        <v>67.333333333333329</v>
      </c>
      <c r="AA54" s="316">
        <f t="shared" si="8"/>
        <v>0</v>
      </c>
      <c r="AB54" s="89"/>
      <c r="AD54" s="89"/>
      <c r="AE54" s="379">
        <f t="shared" si="3"/>
        <v>1</v>
      </c>
    </row>
    <row r="55" spans="1:31" s="182" customFormat="1" ht="15" customHeight="1">
      <c r="A55" s="183"/>
      <c r="B55" s="167" t="s">
        <v>555</v>
      </c>
      <c r="C55" s="8">
        <f>L55</f>
        <v>0.39627727794708484</v>
      </c>
      <c r="D55" s="176" t="s">
        <v>700</v>
      </c>
      <c r="E55" s="292" t="s">
        <v>712</v>
      </c>
      <c r="H55" s="4"/>
      <c r="L55" s="395">
        <f>IF(L106&lt;L107,L106,L107)</f>
        <v>0.39627727794708484</v>
      </c>
      <c r="M55" s="395">
        <f t="shared" ref="M55:AA55" si="9">IF(M106&lt;M107,M106,M107)</f>
        <v>0.3964358522880001</v>
      </c>
      <c r="N55" s="395">
        <f t="shared" si="9"/>
        <v>0.3964358522880001</v>
      </c>
      <c r="O55" s="395">
        <f t="shared" si="9"/>
        <v>0.59465377843200018</v>
      </c>
      <c r="P55" s="395">
        <f t="shared" si="9"/>
        <v>0.3964358522880001</v>
      </c>
      <c r="Q55" s="395">
        <f t="shared" si="9"/>
        <v>0.25642477747200004</v>
      </c>
      <c r="R55" s="395">
        <f t="shared" si="9"/>
        <v>0.3964358522880001</v>
      </c>
      <c r="S55" s="395">
        <f t="shared" si="9"/>
        <v>0.3964358522880001</v>
      </c>
      <c r="T55" s="395">
        <f t="shared" si="9"/>
        <v>0.34609479168000001</v>
      </c>
      <c r="U55" s="395">
        <f t="shared" si="9"/>
        <v>0.41531375001600002</v>
      </c>
      <c r="V55" s="395">
        <f t="shared" si="9"/>
        <v>0.47824007577600003</v>
      </c>
      <c r="W55" s="395">
        <f t="shared" si="9"/>
        <v>0.35238742425600006</v>
      </c>
      <c r="X55" s="395">
        <f t="shared" si="9"/>
        <v>0.43733796403200004</v>
      </c>
      <c r="Y55" s="395">
        <f t="shared" si="9"/>
        <v>0.31777794508800006</v>
      </c>
      <c r="Z55" s="395">
        <f t="shared" si="9"/>
        <v>0.31777794508800006</v>
      </c>
      <c r="AA55" s="275">
        <f t="shared" si="9"/>
        <v>0</v>
      </c>
      <c r="AB55" s="89"/>
      <c r="AD55" s="89"/>
      <c r="AE55" s="379">
        <f t="shared" si="3"/>
        <v>1</v>
      </c>
    </row>
    <row r="56" spans="1:31" s="182" customFormat="1" ht="15" customHeight="1">
      <c r="A56" s="183"/>
      <c r="B56" s="168" t="s">
        <v>556</v>
      </c>
      <c r="C56" s="157">
        <v>21</v>
      </c>
      <c r="D56" s="176" t="s">
        <v>700</v>
      </c>
      <c r="E56" s="295" t="s">
        <v>715</v>
      </c>
      <c r="H56" s="4"/>
      <c r="L56" s="274">
        <f t="shared" ref="L56:L59" si="10">C56</f>
        <v>21</v>
      </c>
      <c r="M56" s="274">
        <f t="shared" si="7"/>
        <v>21</v>
      </c>
      <c r="N56" s="274">
        <f t="shared" si="7"/>
        <v>21</v>
      </c>
      <c r="O56" s="274">
        <f t="shared" si="7"/>
        <v>21</v>
      </c>
      <c r="P56" s="274">
        <f t="shared" si="7"/>
        <v>21</v>
      </c>
      <c r="Q56" s="274">
        <f t="shared" si="7"/>
        <v>21</v>
      </c>
      <c r="R56" s="274">
        <f t="shared" si="7"/>
        <v>21</v>
      </c>
      <c r="S56" s="274">
        <f t="shared" si="7"/>
        <v>21</v>
      </c>
      <c r="T56" s="274">
        <f t="shared" si="7"/>
        <v>21</v>
      </c>
      <c r="U56" s="274">
        <f t="shared" si="7"/>
        <v>21</v>
      </c>
      <c r="V56" s="274">
        <f t="shared" si="7"/>
        <v>21</v>
      </c>
      <c r="W56" s="274">
        <f t="shared" si="7"/>
        <v>21</v>
      </c>
      <c r="X56" s="274">
        <f t="shared" si="7"/>
        <v>21</v>
      </c>
      <c r="Y56" s="274">
        <f t="shared" si="7"/>
        <v>21</v>
      </c>
      <c r="Z56" s="274">
        <f t="shared" si="7"/>
        <v>21</v>
      </c>
      <c r="AA56" s="274">
        <f t="shared" si="7"/>
        <v>21</v>
      </c>
      <c r="AB56" s="89"/>
      <c r="AD56" s="89"/>
      <c r="AE56" s="379">
        <f t="shared" si="3"/>
        <v>0</v>
      </c>
    </row>
    <row r="57" spans="1:31" s="182" customFormat="1" ht="15" customHeight="1">
      <c r="A57" s="183"/>
      <c r="B57" s="166" t="s">
        <v>554</v>
      </c>
      <c r="C57" s="164">
        <v>0</v>
      </c>
      <c r="D57" s="176" t="s">
        <v>700</v>
      </c>
      <c r="E57" s="294" t="s">
        <v>850</v>
      </c>
      <c r="H57" s="4"/>
      <c r="L57" s="280">
        <f t="shared" si="10"/>
        <v>0</v>
      </c>
      <c r="M57" s="280">
        <f t="shared" si="7"/>
        <v>0</v>
      </c>
      <c r="N57" s="280">
        <f t="shared" ref="N57:N59" si="11">M57</f>
        <v>0</v>
      </c>
      <c r="O57" s="280">
        <f t="shared" ref="O57:O59" si="12">N57</f>
        <v>0</v>
      </c>
      <c r="P57" s="280">
        <f t="shared" ref="P57:P59" si="13">O57</f>
        <v>0</v>
      </c>
      <c r="Q57" s="280">
        <f t="shared" ref="Q57:Q59" si="14">P57</f>
        <v>0</v>
      </c>
      <c r="R57" s="280">
        <f t="shared" ref="R57:R59" si="15">Q57</f>
        <v>0</v>
      </c>
      <c r="S57" s="280">
        <f t="shared" ref="S57:S59" si="16">R57</f>
        <v>0</v>
      </c>
      <c r="T57" s="280">
        <f t="shared" ref="T57:T59" si="17">S57</f>
        <v>0</v>
      </c>
      <c r="U57" s="280">
        <f t="shared" ref="U57:U59" si="18">T57</f>
        <v>0</v>
      </c>
      <c r="V57" s="280">
        <f t="shared" ref="V57:V59" si="19">U57</f>
        <v>0</v>
      </c>
      <c r="W57" s="280">
        <f t="shared" ref="W57:W59" si="20">V57</f>
        <v>0</v>
      </c>
      <c r="X57" s="280">
        <f t="shared" ref="X57:X59" si="21">W57</f>
        <v>0</v>
      </c>
      <c r="Y57" s="280">
        <f t="shared" ref="Y57:Y59" si="22">X57</f>
        <v>0</v>
      </c>
      <c r="Z57" s="280">
        <f t="shared" ref="Z57:Z59" si="23">Y57</f>
        <v>0</v>
      </c>
      <c r="AA57" s="280">
        <f t="shared" ref="AA57:AA59" si="24">Z57</f>
        <v>0</v>
      </c>
      <c r="AB57" s="89"/>
      <c r="AD57" s="89"/>
      <c r="AE57" s="379">
        <f t="shared" si="3"/>
        <v>0</v>
      </c>
    </row>
    <row r="58" spans="1:31" s="182" customFormat="1" ht="15" customHeight="1">
      <c r="A58" s="183"/>
      <c r="B58" s="167" t="s">
        <v>555</v>
      </c>
      <c r="C58" s="8">
        <v>0</v>
      </c>
      <c r="D58" s="176" t="s">
        <v>700</v>
      </c>
      <c r="E58" s="292" t="s">
        <v>712</v>
      </c>
      <c r="H58" s="4"/>
      <c r="L58" s="275">
        <f t="shared" si="10"/>
        <v>0</v>
      </c>
      <c r="M58" s="275">
        <f t="shared" si="7"/>
        <v>0</v>
      </c>
      <c r="N58" s="275">
        <f t="shared" si="11"/>
        <v>0</v>
      </c>
      <c r="O58" s="275">
        <f t="shared" si="12"/>
        <v>0</v>
      </c>
      <c r="P58" s="275">
        <f t="shared" si="13"/>
        <v>0</v>
      </c>
      <c r="Q58" s="275">
        <f t="shared" si="14"/>
        <v>0</v>
      </c>
      <c r="R58" s="275">
        <f t="shared" si="15"/>
        <v>0</v>
      </c>
      <c r="S58" s="275">
        <f t="shared" si="16"/>
        <v>0</v>
      </c>
      <c r="T58" s="275">
        <f t="shared" si="17"/>
        <v>0</v>
      </c>
      <c r="U58" s="275">
        <f t="shared" si="18"/>
        <v>0</v>
      </c>
      <c r="V58" s="275">
        <f t="shared" si="19"/>
        <v>0</v>
      </c>
      <c r="W58" s="275">
        <f t="shared" si="20"/>
        <v>0</v>
      </c>
      <c r="X58" s="275">
        <f t="shared" si="21"/>
        <v>0</v>
      </c>
      <c r="Y58" s="275">
        <f t="shared" si="22"/>
        <v>0</v>
      </c>
      <c r="Z58" s="275">
        <f t="shared" si="23"/>
        <v>0</v>
      </c>
      <c r="AA58" s="275">
        <f t="shared" si="24"/>
        <v>0</v>
      </c>
      <c r="AB58" s="89"/>
      <c r="AD58" s="89"/>
      <c r="AE58" s="379">
        <f t="shared" si="3"/>
        <v>0</v>
      </c>
    </row>
    <row r="59" spans="1:31" s="182" customFormat="1" ht="15" customHeight="1">
      <c r="A59" s="183"/>
      <c r="B59" s="168" t="s">
        <v>556</v>
      </c>
      <c r="C59" s="157">
        <v>0</v>
      </c>
      <c r="D59" s="176" t="s">
        <v>700</v>
      </c>
      <c r="E59" s="295" t="s">
        <v>715</v>
      </c>
      <c r="H59" s="4"/>
      <c r="L59" s="274">
        <f t="shared" si="10"/>
        <v>0</v>
      </c>
      <c r="M59" s="274">
        <f t="shared" si="7"/>
        <v>0</v>
      </c>
      <c r="N59" s="274">
        <f t="shared" si="11"/>
        <v>0</v>
      </c>
      <c r="O59" s="274">
        <f t="shared" si="12"/>
        <v>0</v>
      </c>
      <c r="P59" s="274">
        <f t="shared" si="13"/>
        <v>0</v>
      </c>
      <c r="Q59" s="274">
        <f t="shared" si="14"/>
        <v>0</v>
      </c>
      <c r="R59" s="274">
        <f t="shared" si="15"/>
        <v>0</v>
      </c>
      <c r="S59" s="274">
        <f t="shared" si="16"/>
        <v>0</v>
      </c>
      <c r="T59" s="274">
        <f t="shared" si="17"/>
        <v>0</v>
      </c>
      <c r="U59" s="274">
        <f t="shared" si="18"/>
        <v>0</v>
      </c>
      <c r="V59" s="274">
        <f t="shared" si="19"/>
        <v>0</v>
      </c>
      <c r="W59" s="274">
        <f t="shared" si="20"/>
        <v>0</v>
      </c>
      <c r="X59" s="274">
        <f t="shared" si="21"/>
        <v>0</v>
      </c>
      <c r="Y59" s="274">
        <f t="shared" si="22"/>
        <v>0</v>
      </c>
      <c r="Z59" s="274">
        <f t="shared" si="23"/>
        <v>0</v>
      </c>
      <c r="AA59" s="274">
        <f t="shared" si="24"/>
        <v>0</v>
      </c>
      <c r="AB59" s="89"/>
      <c r="AD59" s="89"/>
      <c r="AE59" s="379">
        <f t="shared" si="3"/>
        <v>0</v>
      </c>
    </row>
    <row r="60" spans="1:31" ht="15" customHeight="1">
      <c r="A60" s="139" t="s">
        <v>89</v>
      </c>
      <c r="B60" s="136" t="s">
        <v>558</v>
      </c>
      <c r="C60" s="169">
        <f>A_windowSI*Geometry!D35</f>
        <v>18.008896984615387</v>
      </c>
      <c r="D60" s="165" t="s">
        <v>10</v>
      </c>
      <c r="E60" s="170" t="s">
        <v>90</v>
      </c>
      <c r="F60" s="19" t="s">
        <v>91</v>
      </c>
      <c r="H60" s="4" t="s">
        <v>21</v>
      </c>
      <c r="L60" s="221">
        <f>C60</f>
        <v>18.008896984615387</v>
      </c>
      <c r="M60" s="221">
        <f t="shared" ref="M60:AA60" si="25">L60</f>
        <v>18.008896984615387</v>
      </c>
      <c r="N60" s="221">
        <f t="shared" si="25"/>
        <v>18.008896984615387</v>
      </c>
      <c r="O60" s="221">
        <f t="shared" si="25"/>
        <v>18.008896984615387</v>
      </c>
      <c r="P60" s="221">
        <f t="shared" si="25"/>
        <v>18.008896984615387</v>
      </c>
      <c r="Q60" s="221">
        <f t="shared" si="25"/>
        <v>18.008896984615387</v>
      </c>
      <c r="R60" s="221">
        <f t="shared" si="25"/>
        <v>18.008896984615387</v>
      </c>
      <c r="S60" s="221">
        <f t="shared" si="25"/>
        <v>18.008896984615387</v>
      </c>
      <c r="T60" s="221">
        <f t="shared" si="25"/>
        <v>18.008896984615387</v>
      </c>
      <c r="U60" s="221">
        <f t="shared" si="25"/>
        <v>18.008896984615387</v>
      </c>
      <c r="V60" s="221">
        <f t="shared" si="25"/>
        <v>18.008896984615387</v>
      </c>
      <c r="W60" s="221">
        <f t="shared" si="25"/>
        <v>18.008896984615387</v>
      </c>
      <c r="X60" s="221">
        <f t="shared" si="25"/>
        <v>18.008896984615387</v>
      </c>
      <c r="Y60" s="221">
        <f t="shared" si="25"/>
        <v>18.008896984615387</v>
      </c>
      <c r="Z60" s="221">
        <f t="shared" si="25"/>
        <v>18.008896984615387</v>
      </c>
      <c r="AA60" s="221">
        <f t="shared" si="25"/>
        <v>18.008896984615387</v>
      </c>
      <c r="AE60" s="379">
        <f t="shared" si="3"/>
        <v>0</v>
      </c>
    </row>
    <row r="61" spans="1:31" ht="15" customHeight="1">
      <c r="B61" s="7" t="s">
        <v>559</v>
      </c>
      <c r="C61" s="13">
        <f>A_windowSI*(1-Geometry!D35)/2</f>
        <v>10.505189907692312</v>
      </c>
      <c r="D61" s="3" t="s">
        <v>10</v>
      </c>
      <c r="E61" s="7" t="s">
        <v>92</v>
      </c>
      <c r="F61" s="7" t="s">
        <v>93</v>
      </c>
      <c r="H61" s="4" t="s">
        <v>21</v>
      </c>
      <c r="L61" s="221">
        <f>C61</f>
        <v>10.505189907692312</v>
      </c>
      <c r="M61" s="221">
        <f t="shared" ref="M61:AA61" si="26">L61</f>
        <v>10.505189907692312</v>
      </c>
      <c r="N61" s="221">
        <f t="shared" si="26"/>
        <v>10.505189907692312</v>
      </c>
      <c r="O61" s="221">
        <f t="shared" si="26"/>
        <v>10.505189907692312</v>
      </c>
      <c r="P61" s="221">
        <f t="shared" si="26"/>
        <v>10.505189907692312</v>
      </c>
      <c r="Q61" s="221">
        <f t="shared" si="26"/>
        <v>10.505189907692312</v>
      </c>
      <c r="R61" s="221">
        <f t="shared" si="26"/>
        <v>10.505189907692312</v>
      </c>
      <c r="S61" s="221">
        <f t="shared" si="26"/>
        <v>10.505189907692312</v>
      </c>
      <c r="T61" s="221">
        <f t="shared" si="26"/>
        <v>10.505189907692312</v>
      </c>
      <c r="U61" s="221">
        <f t="shared" si="26"/>
        <v>10.505189907692312</v>
      </c>
      <c r="V61" s="221">
        <f t="shared" si="26"/>
        <v>10.505189907692312</v>
      </c>
      <c r="W61" s="221">
        <f t="shared" si="26"/>
        <v>10.505189907692312</v>
      </c>
      <c r="X61" s="221">
        <f t="shared" si="26"/>
        <v>10.505189907692312</v>
      </c>
      <c r="Y61" s="221">
        <f t="shared" si="26"/>
        <v>10.505189907692312</v>
      </c>
      <c r="Z61" s="221">
        <f t="shared" si="26"/>
        <v>10.505189907692312</v>
      </c>
      <c r="AA61" s="221">
        <f t="shared" si="26"/>
        <v>10.505189907692312</v>
      </c>
      <c r="AE61" s="379">
        <f t="shared" si="3"/>
        <v>0</v>
      </c>
    </row>
    <row r="62" spans="1:31" ht="15" customHeight="1">
      <c r="B62" s="7" t="s">
        <v>560</v>
      </c>
      <c r="C62" s="13">
        <f>C61</f>
        <v>10.505189907692312</v>
      </c>
      <c r="D62" s="3" t="s">
        <v>10</v>
      </c>
      <c r="E62" s="7" t="s">
        <v>685</v>
      </c>
      <c r="F62" s="7" t="s">
        <v>94</v>
      </c>
      <c r="H62" s="4" t="s">
        <v>21</v>
      </c>
      <c r="L62" s="221">
        <f>C62</f>
        <v>10.505189907692312</v>
      </c>
      <c r="M62" s="221">
        <f t="shared" ref="M62:AA78" si="27">L62</f>
        <v>10.505189907692312</v>
      </c>
      <c r="N62" s="221">
        <f t="shared" si="27"/>
        <v>10.505189907692312</v>
      </c>
      <c r="O62" s="221">
        <f t="shared" si="27"/>
        <v>10.505189907692312</v>
      </c>
      <c r="P62" s="221">
        <f t="shared" si="27"/>
        <v>10.505189907692312</v>
      </c>
      <c r="Q62" s="221">
        <f t="shared" si="27"/>
        <v>10.505189907692312</v>
      </c>
      <c r="R62" s="221">
        <f t="shared" si="27"/>
        <v>10.505189907692312</v>
      </c>
      <c r="S62" s="221">
        <f t="shared" si="27"/>
        <v>10.505189907692312</v>
      </c>
      <c r="T62" s="221">
        <f t="shared" si="27"/>
        <v>10.505189907692312</v>
      </c>
      <c r="U62" s="221">
        <f t="shared" si="27"/>
        <v>10.505189907692312</v>
      </c>
      <c r="V62" s="221">
        <f t="shared" si="27"/>
        <v>10.505189907692312</v>
      </c>
      <c r="W62" s="221">
        <f t="shared" si="27"/>
        <v>10.505189907692312</v>
      </c>
      <c r="X62" s="221">
        <f t="shared" si="27"/>
        <v>10.505189907692312</v>
      </c>
      <c r="Y62" s="221">
        <f t="shared" si="27"/>
        <v>10.505189907692312</v>
      </c>
      <c r="Z62" s="221">
        <f t="shared" si="27"/>
        <v>10.505189907692312</v>
      </c>
      <c r="AA62" s="221">
        <f t="shared" si="27"/>
        <v>10.505189907692312</v>
      </c>
      <c r="AE62" s="379">
        <f t="shared" si="3"/>
        <v>0</v>
      </c>
    </row>
    <row r="63" spans="1:31" ht="15" customHeight="1">
      <c r="B63" s="7" t="s">
        <v>561</v>
      </c>
      <c r="C63" s="13">
        <f>UA!H28</f>
        <v>0.3</v>
      </c>
      <c r="D63" s="15" t="s">
        <v>10</v>
      </c>
      <c r="E63" s="7" t="s">
        <v>95</v>
      </c>
      <c r="G63" s="9" t="s">
        <v>96</v>
      </c>
      <c r="H63" s="4" t="s">
        <v>68</v>
      </c>
      <c r="J63" s="91" t="s">
        <v>995</v>
      </c>
      <c r="L63" s="240">
        <f>UA!F28</f>
        <v>0.3</v>
      </c>
      <c r="M63" s="240">
        <f>UA!G28</f>
        <v>0.3</v>
      </c>
      <c r="N63" s="240">
        <f>UA!H28</f>
        <v>0.3</v>
      </c>
      <c r="O63" s="240">
        <f>UA!I28</f>
        <v>0.3</v>
      </c>
      <c r="P63" s="240">
        <f>UA!J28</f>
        <v>0.3</v>
      </c>
      <c r="Q63" s="240">
        <f>UA!K28</f>
        <v>0.3</v>
      </c>
      <c r="R63" s="240">
        <f>UA!L28</f>
        <v>0.3</v>
      </c>
      <c r="S63" s="240">
        <f>UA!M28</f>
        <v>0.3</v>
      </c>
      <c r="T63" s="240">
        <f>UA!N28</f>
        <v>0.3</v>
      </c>
      <c r="U63" s="240">
        <f>UA!O28</f>
        <v>0.3</v>
      </c>
      <c r="V63" s="240">
        <f>UA!P28</f>
        <v>0.3</v>
      </c>
      <c r="W63" s="240">
        <f>UA!Q28</f>
        <v>0.3</v>
      </c>
      <c r="X63" s="240">
        <f>UA!R28</f>
        <v>0.3</v>
      </c>
      <c r="Y63" s="240">
        <f>UA!S28</f>
        <v>0.3</v>
      </c>
      <c r="Z63" s="240">
        <f>UA!T28</f>
        <v>0.35</v>
      </c>
      <c r="AA63" s="240">
        <f>UA!U28</f>
        <v>0.4</v>
      </c>
      <c r="AE63" s="379">
        <f t="shared" si="3"/>
        <v>1</v>
      </c>
    </row>
    <row r="64" spans="1:31" ht="15" customHeight="1">
      <c r="B64" s="7" t="s">
        <v>562</v>
      </c>
      <c r="C64" s="17">
        <f>UA!H21</f>
        <v>3.3022190912293063</v>
      </c>
      <c r="D64" s="3" t="s">
        <v>10</v>
      </c>
      <c r="E64" s="7" t="s">
        <v>97</v>
      </c>
      <c r="F64" s="7" t="str">
        <f>"U-value= " &amp;TEXT(C64^-1,"0.00") &amp;"W/m2K"</f>
        <v>U-value= 0.30W/m2K</v>
      </c>
      <c r="G64" s="9" t="s">
        <v>96</v>
      </c>
      <c r="H64" s="4" t="s">
        <v>68</v>
      </c>
      <c r="I64" s="7" t="s">
        <v>69</v>
      </c>
      <c r="J64" s="91"/>
      <c r="L64" s="20">
        <f>UA!F21</f>
        <v>3.3022190912293063</v>
      </c>
      <c r="M64" s="20">
        <f>UA!G21</f>
        <v>3.3022190912293063</v>
      </c>
      <c r="N64" s="20">
        <f>UA!H21</f>
        <v>3.3022190912293063</v>
      </c>
      <c r="O64" s="20">
        <f>UA!I21</f>
        <v>3.3022190912293063</v>
      </c>
      <c r="P64" s="20">
        <f>UA!J21</f>
        <v>3.3022190912293063</v>
      </c>
      <c r="Q64" s="20">
        <f>UA!K21</f>
        <v>3.3022190912293063</v>
      </c>
      <c r="R64" s="20">
        <f>UA!L21</f>
        <v>3.8025553171731401</v>
      </c>
      <c r="S64" s="20">
        <f>UA!M21</f>
        <v>3.8025553171731401</v>
      </c>
      <c r="T64" s="20">
        <f>UA!N21</f>
        <v>3.8025553171731401</v>
      </c>
      <c r="U64" s="20">
        <f>UA!O21</f>
        <v>3.8025553171731401</v>
      </c>
      <c r="V64" s="20">
        <f>UA!P21</f>
        <v>3.8025553171731401</v>
      </c>
      <c r="W64" s="20">
        <f>UA!Q21</f>
        <v>4.358484457110734</v>
      </c>
      <c r="X64" s="20">
        <f>UA!R21</f>
        <v>4.358484457110734</v>
      </c>
      <c r="Y64" s="20">
        <f>UA!S21</f>
        <v>4.358484457110734</v>
      </c>
      <c r="Z64" s="20">
        <f>UA!T21</f>
        <v>4.358484457110734</v>
      </c>
      <c r="AA64" s="20">
        <f>UA!U21</f>
        <v>3.8025553171731401</v>
      </c>
      <c r="AE64" s="379">
        <f t="shared" si="3"/>
        <v>1</v>
      </c>
    </row>
    <row r="65" spans="1:31" ht="15" customHeight="1">
      <c r="B65" s="7" t="s">
        <v>563</v>
      </c>
      <c r="C65" s="17">
        <f>UA!H22</f>
        <v>4.5943917791016435</v>
      </c>
      <c r="D65" s="3" t="s">
        <v>10</v>
      </c>
      <c r="E65" s="7" t="s">
        <v>98</v>
      </c>
      <c r="F65" s="7" t="str">
        <f>"U-value= " &amp;TEXT(C65^-1,"0.00") &amp;"W/m2K"</f>
        <v>U-value= 0.22W/m2K</v>
      </c>
      <c r="H65" s="4" t="s">
        <v>68</v>
      </c>
      <c r="I65" s="7" t="s">
        <v>69</v>
      </c>
      <c r="J65" s="91"/>
      <c r="L65" s="20">
        <f>UA!F22</f>
        <v>4.5943917791016435</v>
      </c>
      <c r="M65" s="20">
        <f>UA!G22</f>
        <v>4.5943917791016435</v>
      </c>
      <c r="N65" s="20">
        <f>UA!H22</f>
        <v>4.5943917791016435</v>
      </c>
      <c r="O65" s="20">
        <f>UA!I22</f>
        <v>4.5943917791016435</v>
      </c>
      <c r="P65" s="20">
        <f>UA!J22</f>
        <v>4.5943917791016435</v>
      </c>
      <c r="Q65" s="20">
        <f>UA!K22</f>
        <v>4.5943917791016435</v>
      </c>
      <c r="R65" s="20">
        <f>UA!L22</f>
        <v>5.6239473598527123</v>
      </c>
      <c r="S65" s="20">
        <f>UA!M22</f>
        <v>5.6239473598527123</v>
      </c>
      <c r="T65" s="20">
        <f>UA!N22</f>
        <v>5.6239473598527123</v>
      </c>
      <c r="U65" s="20">
        <f>UA!O22</f>
        <v>5.6239473598527123</v>
      </c>
      <c r="V65" s="20">
        <f>UA!P22</f>
        <v>5.6239473598527123</v>
      </c>
      <c r="W65" s="20">
        <f>UA!Q22</f>
        <v>6.931565642633938</v>
      </c>
      <c r="X65" s="20">
        <f>UA!R22</f>
        <v>6.931565642633938</v>
      </c>
      <c r="Y65" s="20">
        <f>UA!S22</f>
        <v>6.931565642633938</v>
      </c>
      <c r="Z65" s="20">
        <f>UA!T22</f>
        <v>6.931565642633938</v>
      </c>
      <c r="AA65" s="20">
        <f>UA!U22</f>
        <v>5.6239473598527123</v>
      </c>
      <c r="AE65" s="379">
        <f t="shared" si="3"/>
        <v>1</v>
      </c>
    </row>
    <row r="66" spans="1:31" ht="15" customHeight="1">
      <c r="B66" s="7" t="s">
        <v>99</v>
      </c>
      <c r="C66" s="21">
        <f>'Internal gains'!D12</f>
        <v>1.1342592592592593E-4</v>
      </c>
      <c r="D66" s="3" t="s">
        <v>10</v>
      </c>
      <c r="E66" s="7" t="s">
        <v>100</v>
      </c>
      <c r="F66" s="7" t="str">
        <f>"Lat.load= " &amp;TEXT(C66*3600*1000,"0.00") &amp;"g/h OR " &amp;TEXT(C66*3600*24,"0.0") &amp; "kg/day"</f>
        <v>Lat.load= 408.33g/h OR 9.8kg/day</v>
      </c>
      <c r="H66" s="4" t="s">
        <v>101</v>
      </c>
      <c r="I66" s="22" t="s">
        <v>102</v>
      </c>
      <c r="J66"/>
      <c r="L66" s="279">
        <f t="shared" ref="L66:L95" si="28">C66</f>
        <v>1.1342592592592593E-4</v>
      </c>
      <c r="M66" s="279">
        <f t="shared" ref="M66:M82" si="29">L66</f>
        <v>1.1342592592592593E-4</v>
      </c>
      <c r="N66" s="279">
        <f t="shared" si="27"/>
        <v>1.1342592592592593E-4</v>
      </c>
      <c r="O66" s="279">
        <f t="shared" si="27"/>
        <v>1.1342592592592593E-4</v>
      </c>
      <c r="P66" s="279">
        <f t="shared" si="27"/>
        <v>1.1342592592592593E-4</v>
      </c>
      <c r="Q66" s="279">
        <f t="shared" si="27"/>
        <v>1.1342592592592593E-4</v>
      </c>
      <c r="R66" s="279">
        <f t="shared" si="27"/>
        <v>1.1342592592592593E-4</v>
      </c>
      <c r="S66" s="279">
        <f t="shared" si="27"/>
        <v>1.1342592592592593E-4</v>
      </c>
      <c r="T66" s="279">
        <f t="shared" si="27"/>
        <v>1.1342592592592593E-4</v>
      </c>
      <c r="U66" s="279">
        <f t="shared" si="27"/>
        <v>1.1342592592592593E-4</v>
      </c>
      <c r="V66" s="279">
        <f t="shared" si="27"/>
        <v>1.1342592592592593E-4</v>
      </c>
      <c r="W66" s="279">
        <f t="shared" si="27"/>
        <v>1.1342592592592593E-4</v>
      </c>
      <c r="X66" s="279">
        <f t="shared" si="27"/>
        <v>1.1342592592592593E-4</v>
      </c>
      <c r="Y66" s="279">
        <f t="shared" si="27"/>
        <v>1.1342592592592593E-4</v>
      </c>
      <c r="Z66" s="279">
        <f t="shared" si="27"/>
        <v>1.1342592592592593E-4</v>
      </c>
      <c r="AA66" s="279">
        <f t="shared" si="27"/>
        <v>1.1342592592592593E-4</v>
      </c>
      <c r="AE66" s="379">
        <f t="shared" si="3"/>
        <v>0</v>
      </c>
    </row>
    <row r="67" spans="1:31" ht="15" customHeight="1">
      <c r="B67" s="7" t="s">
        <v>103</v>
      </c>
      <c r="C67" s="17">
        <f>'Internal gains'!D6</f>
        <v>628.88167104166666</v>
      </c>
      <c r="D67" s="3" t="s">
        <v>10</v>
      </c>
      <c r="E67" s="7" t="s">
        <v>104</v>
      </c>
      <c r="H67" s="4" t="s">
        <v>101</v>
      </c>
      <c r="L67" s="16">
        <f t="shared" si="28"/>
        <v>628.88167104166666</v>
      </c>
      <c r="M67" s="16">
        <f t="shared" si="29"/>
        <v>628.88167104166666</v>
      </c>
      <c r="N67" s="16">
        <f t="shared" si="27"/>
        <v>628.88167104166666</v>
      </c>
      <c r="O67" s="16">
        <f t="shared" si="27"/>
        <v>628.88167104166666</v>
      </c>
      <c r="P67" s="16">
        <f t="shared" si="27"/>
        <v>628.88167104166666</v>
      </c>
      <c r="Q67" s="16">
        <f t="shared" si="27"/>
        <v>628.88167104166666</v>
      </c>
      <c r="R67" s="16">
        <f t="shared" si="27"/>
        <v>628.88167104166666</v>
      </c>
      <c r="S67" s="16">
        <f t="shared" si="27"/>
        <v>628.88167104166666</v>
      </c>
      <c r="T67" s="16">
        <f t="shared" si="27"/>
        <v>628.88167104166666</v>
      </c>
      <c r="U67" s="16">
        <f t="shared" si="27"/>
        <v>628.88167104166666</v>
      </c>
      <c r="V67" s="16">
        <f t="shared" si="27"/>
        <v>628.88167104166666</v>
      </c>
      <c r="W67" s="16">
        <f t="shared" si="27"/>
        <v>628.88167104166666</v>
      </c>
      <c r="X67" s="16">
        <f t="shared" si="27"/>
        <v>628.88167104166666</v>
      </c>
      <c r="Y67" s="16">
        <f t="shared" si="27"/>
        <v>628.88167104166666</v>
      </c>
      <c r="Z67" s="16">
        <f t="shared" si="27"/>
        <v>628.88167104166666</v>
      </c>
      <c r="AA67" s="16">
        <f t="shared" si="27"/>
        <v>628.88167104166666</v>
      </c>
      <c r="AE67" s="379">
        <f t="shared" si="3"/>
        <v>0</v>
      </c>
    </row>
    <row r="68" spans="1:31" ht="15" customHeight="1">
      <c r="A68" s="139" t="s">
        <v>105</v>
      </c>
      <c r="B68" s="136" t="s">
        <v>581</v>
      </c>
      <c r="C68" s="278">
        <f>Geometry!D24</f>
        <v>74.33172230400001</v>
      </c>
      <c r="D68" s="165" t="s">
        <v>10</v>
      </c>
      <c r="E68" s="136" t="s">
        <v>686</v>
      </c>
      <c r="L68" s="16">
        <f t="shared" si="28"/>
        <v>74.33172230400001</v>
      </c>
      <c r="M68" s="16">
        <f t="shared" si="29"/>
        <v>74.33172230400001</v>
      </c>
      <c r="N68" s="16">
        <f t="shared" si="27"/>
        <v>74.33172230400001</v>
      </c>
      <c r="O68" s="16">
        <f t="shared" si="27"/>
        <v>74.33172230400001</v>
      </c>
      <c r="P68" s="16">
        <f t="shared" si="27"/>
        <v>74.33172230400001</v>
      </c>
      <c r="Q68" s="16">
        <f t="shared" si="27"/>
        <v>74.33172230400001</v>
      </c>
      <c r="R68" s="16">
        <f t="shared" si="27"/>
        <v>74.33172230400001</v>
      </c>
      <c r="S68" s="16">
        <f t="shared" si="27"/>
        <v>74.33172230400001</v>
      </c>
      <c r="T68" s="16">
        <f t="shared" si="27"/>
        <v>74.33172230400001</v>
      </c>
      <c r="U68" s="16">
        <f t="shared" si="27"/>
        <v>74.33172230400001</v>
      </c>
      <c r="V68" s="16">
        <f t="shared" si="27"/>
        <v>74.33172230400001</v>
      </c>
      <c r="W68" s="16">
        <f t="shared" si="27"/>
        <v>74.33172230400001</v>
      </c>
      <c r="X68" s="16">
        <f t="shared" si="27"/>
        <v>74.33172230400001</v>
      </c>
      <c r="Y68" s="16">
        <f t="shared" si="27"/>
        <v>74.33172230400001</v>
      </c>
      <c r="Z68" s="16">
        <f t="shared" si="27"/>
        <v>74.33172230400001</v>
      </c>
      <c r="AA68" s="16">
        <f t="shared" si="27"/>
        <v>74.33172230400001</v>
      </c>
      <c r="AE68" s="379">
        <f t="shared" ref="AE68:AE124" si="30">IF(L68=Z68,0,1)</f>
        <v>0</v>
      </c>
    </row>
    <row r="69" spans="1:31" ht="15" customHeight="1">
      <c r="B69" s="109" t="s">
        <v>106</v>
      </c>
      <c r="C69" s="13">
        <f>Attic!D14</f>
        <v>0.18412260282716261</v>
      </c>
      <c r="D69" s="156" t="s">
        <v>10</v>
      </c>
      <c r="E69" s="109" t="s">
        <v>107</v>
      </c>
      <c r="F69" s="7" t="s">
        <v>108</v>
      </c>
      <c r="G69" s="9" t="s">
        <v>109</v>
      </c>
      <c r="H69" s="4" t="s">
        <v>110</v>
      </c>
      <c r="L69" s="221">
        <f t="shared" si="28"/>
        <v>0.18412260282716261</v>
      </c>
      <c r="M69" s="221">
        <f t="shared" si="29"/>
        <v>0.18412260282716261</v>
      </c>
      <c r="N69" s="221">
        <f t="shared" si="27"/>
        <v>0.18412260282716261</v>
      </c>
      <c r="O69" s="221">
        <f t="shared" si="27"/>
        <v>0.18412260282716261</v>
      </c>
      <c r="P69" s="221">
        <f t="shared" si="27"/>
        <v>0.18412260282716261</v>
      </c>
      <c r="Q69" s="221">
        <f t="shared" si="27"/>
        <v>0.18412260282716261</v>
      </c>
      <c r="R69" s="221">
        <f t="shared" si="27"/>
        <v>0.18412260282716261</v>
      </c>
      <c r="S69" s="221">
        <f t="shared" si="27"/>
        <v>0.18412260282716261</v>
      </c>
      <c r="T69" s="221">
        <f t="shared" si="27"/>
        <v>0.18412260282716261</v>
      </c>
      <c r="U69" s="221">
        <f t="shared" si="27"/>
        <v>0.18412260282716261</v>
      </c>
      <c r="V69" s="221">
        <f t="shared" si="27"/>
        <v>0.18412260282716261</v>
      </c>
      <c r="W69" s="221">
        <f t="shared" si="27"/>
        <v>0.18412260282716261</v>
      </c>
      <c r="X69" s="221">
        <f t="shared" si="27"/>
        <v>0.18412260282716261</v>
      </c>
      <c r="Y69" s="221">
        <f t="shared" si="27"/>
        <v>0.18412260282716261</v>
      </c>
      <c r="Z69" s="221">
        <f t="shared" si="27"/>
        <v>0.18412260282716261</v>
      </c>
      <c r="AA69" s="221">
        <f t="shared" si="27"/>
        <v>0.18412260282716261</v>
      </c>
      <c r="AE69" s="379">
        <f t="shared" si="30"/>
        <v>0</v>
      </c>
    </row>
    <row r="70" spans="1:31" ht="15" customHeight="1">
      <c r="B70" s="109" t="s">
        <v>111</v>
      </c>
      <c r="C70" s="11">
        <v>0.65</v>
      </c>
      <c r="D70" s="156" t="s">
        <v>10</v>
      </c>
      <c r="E70" s="109" t="s">
        <v>112</v>
      </c>
      <c r="F70" s="7" t="s">
        <v>113</v>
      </c>
      <c r="G70" s="9" t="s">
        <v>109</v>
      </c>
      <c r="H70" s="4" t="s">
        <v>17</v>
      </c>
      <c r="L70" s="221">
        <f t="shared" si="28"/>
        <v>0.65</v>
      </c>
      <c r="M70" s="221">
        <f t="shared" si="29"/>
        <v>0.65</v>
      </c>
      <c r="N70" s="221">
        <f t="shared" si="27"/>
        <v>0.65</v>
      </c>
      <c r="O70" s="221">
        <f t="shared" si="27"/>
        <v>0.65</v>
      </c>
      <c r="P70" s="221">
        <f t="shared" si="27"/>
        <v>0.65</v>
      </c>
      <c r="Q70" s="221">
        <f t="shared" si="27"/>
        <v>0.65</v>
      </c>
      <c r="R70" s="221">
        <f t="shared" si="27"/>
        <v>0.65</v>
      </c>
      <c r="S70" s="221">
        <f t="shared" si="27"/>
        <v>0.65</v>
      </c>
      <c r="T70" s="221">
        <f t="shared" si="27"/>
        <v>0.65</v>
      </c>
      <c r="U70" s="221">
        <f t="shared" si="27"/>
        <v>0.65</v>
      </c>
      <c r="V70" s="221">
        <f t="shared" si="27"/>
        <v>0.65</v>
      </c>
      <c r="W70" s="221">
        <f t="shared" si="27"/>
        <v>0.65</v>
      </c>
      <c r="X70" s="221">
        <f t="shared" si="27"/>
        <v>0.65</v>
      </c>
      <c r="Y70" s="221">
        <f t="shared" si="27"/>
        <v>0.65</v>
      </c>
      <c r="Z70" s="221">
        <f t="shared" si="27"/>
        <v>0.65</v>
      </c>
      <c r="AA70" s="221">
        <f t="shared" si="27"/>
        <v>0.65</v>
      </c>
      <c r="AE70" s="379">
        <f t="shared" si="30"/>
        <v>0</v>
      </c>
    </row>
    <row r="71" spans="1:31" ht="15" customHeight="1">
      <c r="B71" s="7" t="s">
        <v>568</v>
      </c>
      <c r="C71" s="11">
        <f>Attic!D18</f>
        <v>0.35</v>
      </c>
      <c r="D71" s="3" t="s">
        <v>10</v>
      </c>
      <c r="E71" s="7" t="s">
        <v>115</v>
      </c>
      <c r="F71" s="7" t="s">
        <v>41</v>
      </c>
      <c r="H71" s="4" t="s">
        <v>110</v>
      </c>
      <c r="L71" s="221">
        <f t="shared" si="28"/>
        <v>0.35</v>
      </c>
      <c r="M71" s="221">
        <f t="shared" si="29"/>
        <v>0.35</v>
      </c>
      <c r="N71" s="221">
        <f t="shared" si="27"/>
        <v>0.35</v>
      </c>
      <c r="O71" s="221">
        <f t="shared" si="27"/>
        <v>0.35</v>
      </c>
      <c r="P71" s="221">
        <f t="shared" si="27"/>
        <v>0.35</v>
      </c>
      <c r="Q71" s="221">
        <f t="shared" si="27"/>
        <v>0.35</v>
      </c>
      <c r="R71" s="221">
        <f t="shared" si="27"/>
        <v>0.35</v>
      </c>
      <c r="S71" s="221">
        <f t="shared" si="27"/>
        <v>0.35</v>
      </c>
      <c r="T71" s="221">
        <f t="shared" si="27"/>
        <v>0.35</v>
      </c>
      <c r="U71" s="221">
        <f t="shared" si="27"/>
        <v>0.35</v>
      </c>
      <c r="V71" s="221">
        <f t="shared" si="27"/>
        <v>0.35</v>
      </c>
      <c r="W71" s="221">
        <f t="shared" si="27"/>
        <v>0.35</v>
      </c>
      <c r="X71" s="221">
        <f t="shared" si="27"/>
        <v>0.35</v>
      </c>
      <c r="Y71" s="221">
        <f t="shared" si="27"/>
        <v>0.35</v>
      </c>
      <c r="Z71" s="221">
        <f t="shared" si="27"/>
        <v>0.35</v>
      </c>
      <c r="AA71" s="221">
        <f t="shared" si="27"/>
        <v>0.35</v>
      </c>
      <c r="AE71" s="379">
        <f t="shared" si="30"/>
        <v>0</v>
      </c>
    </row>
    <row r="72" spans="1:31" ht="15.75" customHeight="1">
      <c r="B72" s="7" t="s">
        <v>568</v>
      </c>
      <c r="C72" s="11">
        <f>Attic!D19</f>
        <v>0.35</v>
      </c>
      <c r="D72" s="3" t="s">
        <v>10</v>
      </c>
      <c r="E72" s="7" t="s">
        <v>116</v>
      </c>
      <c r="F72" s="7" t="s">
        <v>43</v>
      </c>
      <c r="H72" s="4" t="s">
        <v>110</v>
      </c>
      <c r="L72" s="221">
        <f t="shared" si="28"/>
        <v>0.35</v>
      </c>
      <c r="M72" s="221">
        <f t="shared" si="29"/>
        <v>0.35</v>
      </c>
      <c r="N72" s="221">
        <f t="shared" si="27"/>
        <v>0.35</v>
      </c>
      <c r="O72" s="221">
        <f t="shared" si="27"/>
        <v>0.35</v>
      </c>
      <c r="P72" s="221">
        <f t="shared" si="27"/>
        <v>0.35</v>
      </c>
      <c r="Q72" s="221">
        <f t="shared" si="27"/>
        <v>0.35</v>
      </c>
      <c r="R72" s="221">
        <f t="shared" si="27"/>
        <v>0.35</v>
      </c>
      <c r="S72" s="221">
        <f t="shared" si="27"/>
        <v>0.35</v>
      </c>
      <c r="T72" s="221">
        <f t="shared" si="27"/>
        <v>0.35</v>
      </c>
      <c r="U72" s="221">
        <f t="shared" si="27"/>
        <v>0.35</v>
      </c>
      <c r="V72" s="221">
        <f t="shared" si="27"/>
        <v>0.35</v>
      </c>
      <c r="W72" s="221">
        <f t="shared" si="27"/>
        <v>0.35</v>
      </c>
      <c r="X72" s="221">
        <f t="shared" si="27"/>
        <v>0.35</v>
      </c>
      <c r="Y72" s="221">
        <f t="shared" si="27"/>
        <v>0.35</v>
      </c>
      <c r="Z72" s="221">
        <f t="shared" si="27"/>
        <v>0.35</v>
      </c>
      <c r="AA72" s="221">
        <f t="shared" si="27"/>
        <v>0.35</v>
      </c>
      <c r="AE72" s="379">
        <f t="shared" si="30"/>
        <v>0</v>
      </c>
    </row>
    <row r="73" spans="1:31" ht="15" customHeight="1">
      <c r="B73" s="7" t="s">
        <v>568</v>
      </c>
      <c r="C73" s="11">
        <f>Attic!D20</f>
        <v>0.1</v>
      </c>
      <c r="D73" s="3" t="s">
        <v>10</v>
      </c>
      <c r="E73" s="7" t="s">
        <v>117</v>
      </c>
      <c r="F73" s="7" t="s">
        <v>44</v>
      </c>
      <c r="H73" s="4" t="s">
        <v>110</v>
      </c>
      <c r="L73" s="221">
        <f t="shared" si="28"/>
        <v>0.1</v>
      </c>
      <c r="M73" s="221">
        <f t="shared" si="29"/>
        <v>0.1</v>
      </c>
      <c r="N73" s="221">
        <f t="shared" si="27"/>
        <v>0.1</v>
      </c>
      <c r="O73" s="221">
        <f t="shared" si="27"/>
        <v>0.1</v>
      </c>
      <c r="P73" s="221">
        <f t="shared" si="27"/>
        <v>0.1</v>
      </c>
      <c r="Q73" s="221">
        <f t="shared" si="27"/>
        <v>0.1</v>
      </c>
      <c r="R73" s="221">
        <f t="shared" si="27"/>
        <v>0.1</v>
      </c>
      <c r="S73" s="221">
        <f t="shared" si="27"/>
        <v>0.1</v>
      </c>
      <c r="T73" s="221">
        <f t="shared" si="27"/>
        <v>0.1</v>
      </c>
      <c r="U73" s="221">
        <f t="shared" si="27"/>
        <v>0.1</v>
      </c>
      <c r="V73" s="221">
        <f t="shared" si="27"/>
        <v>0.1</v>
      </c>
      <c r="W73" s="221">
        <f t="shared" si="27"/>
        <v>0.1</v>
      </c>
      <c r="X73" s="221">
        <f t="shared" si="27"/>
        <v>0.1</v>
      </c>
      <c r="Y73" s="221">
        <f t="shared" si="27"/>
        <v>0.1</v>
      </c>
      <c r="Z73" s="221">
        <f t="shared" si="27"/>
        <v>0.1</v>
      </c>
      <c r="AA73" s="221">
        <f t="shared" si="27"/>
        <v>0.1</v>
      </c>
      <c r="AE73" s="379">
        <f t="shared" si="30"/>
        <v>0</v>
      </c>
    </row>
    <row r="74" spans="1:31" ht="15" customHeight="1">
      <c r="B74" s="7" t="s">
        <v>568</v>
      </c>
      <c r="C74" s="11">
        <f>Attic!D21</f>
        <v>0.1</v>
      </c>
      <c r="D74" s="3" t="s">
        <v>10</v>
      </c>
      <c r="E74" s="7" t="s">
        <v>118</v>
      </c>
      <c r="F74" s="7" t="s">
        <v>45</v>
      </c>
      <c r="H74" s="4" t="s">
        <v>110</v>
      </c>
      <c r="L74" s="221">
        <f t="shared" si="28"/>
        <v>0.1</v>
      </c>
      <c r="M74" s="221">
        <f t="shared" si="29"/>
        <v>0.1</v>
      </c>
      <c r="N74" s="221">
        <f t="shared" si="27"/>
        <v>0.1</v>
      </c>
      <c r="O74" s="221">
        <f t="shared" si="27"/>
        <v>0.1</v>
      </c>
      <c r="P74" s="221">
        <f t="shared" si="27"/>
        <v>0.1</v>
      </c>
      <c r="Q74" s="221">
        <f t="shared" si="27"/>
        <v>0.1</v>
      </c>
      <c r="R74" s="221">
        <f t="shared" si="27"/>
        <v>0.1</v>
      </c>
      <c r="S74" s="221">
        <f t="shared" si="27"/>
        <v>0.1</v>
      </c>
      <c r="T74" s="221">
        <f t="shared" si="27"/>
        <v>0.1</v>
      </c>
      <c r="U74" s="221">
        <f t="shared" si="27"/>
        <v>0.1</v>
      </c>
      <c r="V74" s="221">
        <f t="shared" si="27"/>
        <v>0.1</v>
      </c>
      <c r="W74" s="221">
        <f t="shared" si="27"/>
        <v>0.1</v>
      </c>
      <c r="X74" s="221">
        <f t="shared" si="27"/>
        <v>0.1</v>
      </c>
      <c r="Y74" s="221">
        <f t="shared" si="27"/>
        <v>0.1</v>
      </c>
      <c r="Z74" s="221">
        <f t="shared" si="27"/>
        <v>0.1</v>
      </c>
      <c r="AA74" s="221">
        <f t="shared" si="27"/>
        <v>0.1</v>
      </c>
      <c r="AE74" s="379">
        <f t="shared" si="30"/>
        <v>0</v>
      </c>
    </row>
    <row r="75" spans="1:31" ht="15" customHeight="1">
      <c r="B75" s="7" t="s">
        <v>568</v>
      </c>
      <c r="C75" s="11">
        <f>Attic!D22</f>
        <v>0.1</v>
      </c>
      <c r="D75" s="3" t="s">
        <v>10</v>
      </c>
      <c r="E75" s="7" t="s">
        <v>119</v>
      </c>
      <c r="H75" s="4" t="s">
        <v>110</v>
      </c>
      <c r="L75" s="221">
        <f t="shared" si="28"/>
        <v>0.1</v>
      </c>
      <c r="M75" s="221">
        <f t="shared" si="29"/>
        <v>0.1</v>
      </c>
      <c r="N75" s="221">
        <f t="shared" si="27"/>
        <v>0.1</v>
      </c>
      <c r="O75" s="221">
        <f t="shared" si="27"/>
        <v>0.1</v>
      </c>
      <c r="P75" s="221">
        <f t="shared" si="27"/>
        <v>0.1</v>
      </c>
      <c r="Q75" s="221">
        <f t="shared" si="27"/>
        <v>0.1</v>
      </c>
      <c r="R75" s="221">
        <f t="shared" si="27"/>
        <v>0.1</v>
      </c>
      <c r="S75" s="221">
        <f t="shared" si="27"/>
        <v>0.1</v>
      </c>
      <c r="T75" s="221">
        <f t="shared" si="27"/>
        <v>0.1</v>
      </c>
      <c r="U75" s="221">
        <f t="shared" si="27"/>
        <v>0.1</v>
      </c>
      <c r="V75" s="221">
        <f t="shared" si="27"/>
        <v>0.1</v>
      </c>
      <c r="W75" s="221">
        <f t="shared" si="27"/>
        <v>0.1</v>
      </c>
      <c r="X75" s="221">
        <f t="shared" si="27"/>
        <v>0.1</v>
      </c>
      <c r="Y75" s="221">
        <f t="shared" si="27"/>
        <v>0.1</v>
      </c>
      <c r="Z75" s="221">
        <f t="shared" si="27"/>
        <v>0.1</v>
      </c>
      <c r="AA75" s="221">
        <f t="shared" si="27"/>
        <v>0.1</v>
      </c>
      <c r="AE75" s="379">
        <f t="shared" si="30"/>
        <v>0</v>
      </c>
    </row>
    <row r="76" spans="1:31" ht="15" customHeight="1">
      <c r="B76" s="7" t="s">
        <v>569</v>
      </c>
      <c r="C76" s="11">
        <f>Geometry!D15</f>
        <v>5.45</v>
      </c>
      <c r="D76" s="3" t="s">
        <v>10</v>
      </c>
      <c r="E76" s="7" t="s">
        <v>120</v>
      </c>
      <c r="H76" s="4" t="s">
        <v>21</v>
      </c>
      <c r="L76" s="221">
        <f t="shared" si="28"/>
        <v>5.45</v>
      </c>
      <c r="M76" s="221">
        <f t="shared" si="29"/>
        <v>5.45</v>
      </c>
      <c r="N76" s="221">
        <f t="shared" si="27"/>
        <v>5.45</v>
      </c>
      <c r="O76" s="221">
        <f t="shared" si="27"/>
        <v>5.45</v>
      </c>
      <c r="P76" s="221">
        <f t="shared" si="27"/>
        <v>5.45</v>
      </c>
      <c r="Q76" s="221">
        <f t="shared" si="27"/>
        <v>5.45</v>
      </c>
      <c r="R76" s="221">
        <f t="shared" si="27"/>
        <v>5.45</v>
      </c>
      <c r="S76" s="221">
        <f t="shared" si="27"/>
        <v>5.45</v>
      </c>
      <c r="T76" s="221">
        <f t="shared" si="27"/>
        <v>5.45</v>
      </c>
      <c r="U76" s="221">
        <f t="shared" si="27"/>
        <v>5.45</v>
      </c>
      <c r="V76" s="221">
        <f t="shared" si="27"/>
        <v>5.45</v>
      </c>
      <c r="W76" s="221">
        <f t="shared" si="27"/>
        <v>5.45</v>
      </c>
      <c r="X76" s="221">
        <f t="shared" si="27"/>
        <v>5.45</v>
      </c>
      <c r="Y76" s="221">
        <f t="shared" si="27"/>
        <v>5.45</v>
      </c>
      <c r="Z76" s="221">
        <f t="shared" si="27"/>
        <v>5.45</v>
      </c>
      <c r="AA76" s="221">
        <f t="shared" si="27"/>
        <v>5.45</v>
      </c>
      <c r="AE76" s="379">
        <f t="shared" si="30"/>
        <v>0</v>
      </c>
    </row>
    <row r="77" spans="1:31" ht="15" customHeight="1">
      <c r="B77" s="7" t="s">
        <v>569</v>
      </c>
      <c r="C77" s="11">
        <f>Geometry!D15</f>
        <v>5.45</v>
      </c>
      <c r="D77" s="3" t="s">
        <v>10</v>
      </c>
      <c r="E77" s="7" t="s">
        <v>121</v>
      </c>
      <c r="H77" s="4" t="s">
        <v>21</v>
      </c>
      <c r="L77" s="221">
        <f t="shared" si="28"/>
        <v>5.45</v>
      </c>
      <c r="M77" s="221">
        <f t="shared" si="29"/>
        <v>5.45</v>
      </c>
      <c r="N77" s="221">
        <f t="shared" si="27"/>
        <v>5.45</v>
      </c>
      <c r="O77" s="221">
        <f t="shared" si="27"/>
        <v>5.45</v>
      </c>
      <c r="P77" s="221">
        <f t="shared" si="27"/>
        <v>5.45</v>
      </c>
      <c r="Q77" s="221">
        <f t="shared" si="27"/>
        <v>5.45</v>
      </c>
      <c r="R77" s="221">
        <f t="shared" si="27"/>
        <v>5.45</v>
      </c>
      <c r="S77" s="221">
        <f t="shared" si="27"/>
        <v>5.45</v>
      </c>
      <c r="T77" s="221">
        <f t="shared" si="27"/>
        <v>5.45</v>
      </c>
      <c r="U77" s="221">
        <f t="shared" si="27"/>
        <v>5.45</v>
      </c>
      <c r="V77" s="221">
        <f t="shared" si="27"/>
        <v>5.45</v>
      </c>
      <c r="W77" s="221">
        <f t="shared" si="27"/>
        <v>5.45</v>
      </c>
      <c r="X77" s="221">
        <f t="shared" si="27"/>
        <v>5.45</v>
      </c>
      <c r="Y77" s="221">
        <f t="shared" si="27"/>
        <v>5.45</v>
      </c>
      <c r="Z77" s="221">
        <f t="shared" si="27"/>
        <v>5.45</v>
      </c>
      <c r="AA77" s="221">
        <f t="shared" si="27"/>
        <v>5.45</v>
      </c>
      <c r="AE77" s="379">
        <f t="shared" si="30"/>
        <v>0</v>
      </c>
    </row>
    <row r="78" spans="1:31" ht="15" customHeight="1">
      <c r="B78" s="7" t="s">
        <v>569</v>
      </c>
      <c r="C78" s="11">
        <f>Geometry!D15</f>
        <v>5.45</v>
      </c>
      <c r="D78" s="3" t="s">
        <v>10</v>
      </c>
      <c r="E78" s="7" t="s">
        <v>122</v>
      </c>
      <c r="H78" s="4" t="s">
        <v>21</v>
      </c>
      <c r="L78" s="221">
        <f t="shared" si="28"/>
        <v>5.45</v>
      </c>
      <c r="M78" s="221">
        <f t="shared" si="29"/>
        <v>5.45</v>
      </c>
      <c r="N78" s="221">
        <f t="shared" si="27"/>
        <v>5.45</v>
      </c>
      <c r="O78" s="221">
        <f t="shared" si="27"/>
        <v>5.45</v>
      </c>
      <c r="P78" s="221">
        <f t="shared" si="27"/>
        <v>5.45</v>
      </c>
      <c r="Q78" s="221">
        <f t="shared" si="27"/>
        <v>5.45</v>
      </c>
      <c r="R78" s="221">
        <f t="shared" si="27"/>
        <v>5.45</v>
      </c>
      <c r="S78" s="221">
        <f t="shared" si="27"/>
        <v>5.45</v>
      </c>
      <c r="T78" s="221">
        <f t="shared" si="27"/>
        <v>5.45</v>
      </c>
      <c r="U78" s="221">
        <f t="shared" si="27"/>
        <v>5.45</v>
      </c>
      <c r="V78" s="221">
        <f t="shared" si="27"/>
        <v>5.45</v>
      </c>
      <c r="W78" s="221">
        <f t="shared" si="27"/>
        <v>5.45</v>
      </c>
      <c r="X78" s="221">
        <f t="shared" si="27"/>
        <v>5.45</v>
      </c>
      <c r="Y78" s="221">
        <f t="shared" si="27"/>
        <v>5.45</v>
      </c>
      <c r="Z78" s="221">
        <f t="shared" si="27"/>
        <v>5.45</v>
      </c>
      <c r="AA78" s="221">
        <f t="shared" si="27"/>
        <v>5.45</v>
      </c>
      <c r="AE78" s="379">
        <f t="shared" si="30"/>
        <v>0</v>
      </c>
    </row>
    <row r="79" spans="1:31" ht="15" customHeight="1">
      <c r="B79" s="7" t="s">
        <v>569</v>
      </c>
      <c r="C79" s="11">
        <f>Geometry!D15</f>
        <v>5.45</v>
      </c>
      <c r="D79" s="158" t="s">
        <v>10</v>
      </c>
      <c r="E79" s="7" t="s">
        <v>123</v>
      </c>
      <c r="H79" s="4" t="s">
        <v>21</v>
      </c>
      <c r="L79" s="221">
        <f t="shared" si="28"/>
        <v>5.45</v>
      </c>
      <c r="M79" s="221">
        <f t="shared" si="29"/>
        <v>5.45</v>
      </c>
      <c r="N79" s="221">
        <f t="shared" ref="N79:AA79" si="31">M79</f>
        <v>5.45</v>
      </c>
      <c r="O79" s="221">
        <f t="shared" si="31"/>
        <v>5.45</v>
      </c>
      <c r="P79" s="221">
        <f t="shared" si="31"/>
        <v>5.45</v>
      </c>
      <c r="Q79" s="221">
        <f t="shared" si="31"/>
        <v>5.45</v>
      </c>
      <c r="R79" s="221">
        <f t="shared" si="31"/>
        <v>5.45</v>
      </c>
      <c r="S79" s="221">
        <f t="shared" si="31"/>
        <v>5.45</v>
      </c>
      <c r="T79" s="221">
        <f t="shared" si="31"/>
        <v>5.45</v>
      </c>
      <c r="U79" s="221">
        <f t="shared" si="31"/>
        <v>5.45</v>
      </c>
      <c r="V79" s="221">
        <f t="shared" si="31"/>
        <v>5.45</v>
      </c>
      <c r="W79" s="221">
        <f t="shared" si="31"/>
        <v>5.45</v>
      </c>
      <c r="X79" s="221">
        <f t="shared" si="31"/>
        <v>5.45</v>
      </c>
      <c r="Y79" s="221">
        <f t="shared" si="31"/>
        <v>5.45</v>
      </c>
      <c r="Z79" s="221">
        <f t="shared" si="31"/>
        <v>5.45</v>
      </c>
      <c r="AA79" s="221">
        <f t="shared" si="31"/>
        <v>5.45</v>
      </c>
      <c r="AE79" s="379">
        <f t="shared" si="30"/>
        <v>0</v>
      </c>
    </row>
    <row r="80" spans="1:31" ht="15" customHeight="1">
      <c r="A80" s="139" t="s">
        <v>124</v>
      </c>
      <c r="B80" s="136" t="s">
        <v>125</v>
      </c>
      <c r="C80" s="159">
        <v>2</v>
      </c>
      <c r="D80" s="158" t="s">
        <v>10</v>
      </c>
      <c r="E80" s="136" t="s">
        <v>126</v>
      </c>
      <c r="H80" s="4" t="s">
        <v>17</v>
      </c>
      <c r="L80" s="188">
        <f t="shared" si="28"/>
        <v>2</v>
      </c>
      <c r="M80" s="188">
        <f t="shared" si="29"/>
        <v>2</v>
      </c>
      <c r="N80" s="188">
        <f t="shared" ref="N80:AA80" si="32">M80</f>
        <v>2</v>
      </c>
      <c r="O80" s="188">
        <f t="shared" si="32"/>
        <v>2</v>
      </c>
      <c r="P80" s="188">
        <f t="shared" si="32"/>
        <v>2</v>
      </c>
      <c r="Q80" s="188">
        <f t="shared" si="32"/>
        <v>2</v>
      </c>
      <c r="R80" s="188">
        <f t="shared" si="32"/>
        <v>2</v>
      </c>
      <c r="S80" s="188">
        <f t="shared" si="32"/>
        <v>2</v>
      </c>
      <c r="T80" s="188">
        <f t="shared" si="32"/>
        <v>2</v>
      </c>
      <c r="U80" s="188">
        <f t="shared" si="32"/>
        <v>2</v>
      </c>
      <c r="V80" s="188">
        <f t="shared" si="32"/>
        <v>2</v>
      </c>
      <c r="W80" s="188">
        <f t="shared" si="32"/>
        <v>2</v>
      </c>
      <c r="X80" s="188">
        <f t="shared" si="32"/>
        <v>2</v>
      </c>
      <c r="Y80" s="188">
        <f t="shared" si="32"/>
        <v>2</v>
      </c>
      <c r="Z80" s="188">
        <f t="shared" si="32"/>
        <v>2</v>
      </c>
      <c r="AA80" s="188">
        <f t="shared" si="32"/>
        <v>2</v>
      </c>
      <c r="AE80" s="379">
        <f t="shared" si="30"/>
        <v>0</v>
      </c>
    </row>
    <row r="81" spans="1:31" ht="15" customHeight="1">
      <c r="B81" s="166" t="s">
        <v>564</v>
      </c>
      <c r="C81" s="159">
        <v>1</v>
      </c>
      <c r="D81" s="3" t="s">
        <v>10</v>
      </c>
      <c r="E81" s="134" t="s">
        <v>127</v>
      </c>
      <c r="F81" s="7" t="s">
        <v>128</v>
      </c>
      <c r="H81" s="4" t="s">
        <v>110</v>
      </c>
      <c r="L81" s="10">
        <f t="shared" si="28"/>
        <v>1</v>
      </c>
      <c r="M81" s="10">
        <f t="shared" si="29"/>
        <v>1</v>
      </c>
      <c r="N81" s="10">
        <f t="shared" ref="N81:AA81" si="33">M81</f>
        <v>1</v>
      </c>
      <c r="O81" s="10">
        <f t="shared" si="33"/>
        <v>1</v>
      </c>
      <c r="P81" s="10">
        <f t="shared" si="33"/>
        <v>1</v>
      </c>
      <c r="Q81" s="10">
        <f t="shared" si="33"/>
        <v>1</v>
      </c>
      <c r="R81" s="10">
        <f t="shared" si="33"/>
        <v>1</v>
      </c>
      <c r="S81" s="10">
        <f t="shared" si="33"/>
        <v>1</v>
      </c>
      <c r="T81" s="10">
        <f t="shared" si="33"/>
        <v>1</v>
      </c>
      <c r="U81" s="10">
        <f t="shared" si="33"/>
        <v>1</v>
      </c>
      <c r="V81" s="10">
        <f t="shared" si="33"/>
        <v>1</v>
      </c>
      <c r="W81" s="10">
        <f t="shared" si="33"/>
        <v>1</v>
      </c>
      <c r="X81" s="10">
        <f t="shared" si="33"/>
        <v>1</v>
      </c>
      <c r="Y81" s="10">
        <f t="shared" si="33"/>
        <v>1</v>
      </c>
      <c r="Z81" s="10">
        <f t="shared" si="33"/>
        <v>1</v>
      </c>
      <c r="AA81" s="10">
        <f t="shared" si="33"/>
        <v>1</v>
      </c>
      <c r="AE81" s="379">
        <f t="shared" si="30"/>
        <v>0</v>
      </c>
    </row>
    <row r="82" spans="1:31" ht="15" customHeight="1">
      <c r="B82" s="167" t="s">
        <v>565</v>
      </c>
      <c r="C82" s="13">
        <f>H_attic.ventSI</f>
        <v>6.2119999999999997</v>
      </c>
      <c r="D82" s="3" t="s">
        <v>10</v>
      </c>
      <c r="E82" s="116" t="s">
        <v>129</v>
      </c>
      <c r="G82" s="7" t="s">
        <v>130</v>
      </c>
      <c r="H82" s="4" t="s">
        <v>110</v>
      </c>
      <c r="L82" s="10">
        <f t="shared" si="28"/>
        <v>6.2119999999999997</v>
      </c>
      <c r="M82" s="10">
        <f t="shared" si="29"/>
        <v>6.2119999999999997</v>
      </c>
      <c r="N82" s="10">
        <f t="shared" ref="N82:AA82" si="34">M82</f>
        <v>6.2119999999999997</v>
      </c>
      <c r="O82" s="10">
        <f t="shared" si="34"/>
        <v>6.2119999999999997</v>
      </c>
      <c r="P82" s="10">
        <f t="shared" si="34"/>
        <v>6.2119999999999997</v>
      </c>
      <c r="Q82" s="10">
        <f t="shared" si="34"/>
        <v>6.2119999999999997</v>
      </c>
      <c r="R82" s="10">
        <f t="shared" si="34"/>
        <v>6.2119999999999997</v>
      </c>
      <c r="S82" s="10">
        <f t="shared" si="34"/>
        <v>6.2119999999999997</v>
      </c>
      <c r="T82" s="10">
        <f t="shared" si="34"/>
        <v>6.2119999999999997</v>
      </c>
      <c r="U82" s="10">
        <f t="shared" si="34"/>
        <v>6.2119999999999997</v>
      </c>
      <c r="V82" s="10">
        <f t="shared" si="34"/>
        <v>6.2119999999999997</v>
      </c>
      <c r="W82" s="10">
        <f t="shared" si="34"/>
        <v>6.2119999999999997</v>
      </c>
      <c r="X82" s="10">
        <f t="shared" si="34"/>
        <v>6.2119999999999997</v>
      </c>
      <c r="Y82" s="10">
        <f t="shared" si="34"/>
        <v>6.2119999999999997</v>
      </c>
      <c r="Z82" s="10">
        <f t="shared" si="34"/>
        <v>6.2119999999999997</v>
      </c>
      <c r="AA82" s="10">
        <f t="shared" si="34"/>
        <v>6.2119999999999997</v>
      </c>
      <c r="AE82" s="379">
        <f t="shared" si="30"/>
        <v>0</v>
      </c>
    </row>
    <row r="83" spans="1:31" ht="15" customHeight="1">
      <c r="B83" s="167" t="s">
        <v>566</v>
      </c>
      <c r="C83" s="13">
        <f>Attic!D12*Attic!D18*2</f>
        <v>0.25037369279999994</v>
      </c>
      <c r="D83" s="3" t="s">
        <v>10</v>
      </c>
      <c r="E83" s="116" t="s">
        <v>131</v>
      </c>
      <c r="G83" s="7" t="s">
        <v>132</v>
      </c>
      <c r="H83" s="4" t="s">
        <v>110</v>
      </c>
      <c r="L83" s="10">
        <f t="shared" si="28"/>
        <v>0.25037369279999994</v>
      </c>
      <c r="M83" s="10">
        <f t="shared" ref="M83:AA95" si="35">L83</f>
        <v>0.25037369279999994</v>
      </c>
      <c r="N83" s="10">
        <f t="shared" si="35"/>
        <v>0.25037369279999994</v>
      </c>
      <c r="O83" s="10">
        <f t="shared" si="35"/>
        <v>0.25037369279999994</v>
      </c>
      <c r="P83" s="10">
        <f t="shared" si="35"/>
        <v>0.25037369279999994</v>
      </c>
      <c r="Q83" s="10">
        <f t="shared" si="35"/>
        <v>0.25037369279999994</v>
      </c>
      <c r="R83" s="10">
        <f t="shared" si="35"/>
        <v>0.25037369279999994</v>
      </c>
      <c r="S83" s="10">
        <f t="shared" si="35"/>
        <v>0.25037369279999994</v>
      </c>
      <c r="T83" s="10">
        <f t="shared" si="35"/>
        <v>0.25037369279999994</v>
      </c>
      <c r="U83" s="10">
        <f t="shared" si="35"/>
        <v>0.25037369279999994</v>
      </c>
      <c r="V83" s="10">
        <f t="shared" si="35"/>
        <v>0.25037369279999994</v>
      </c>
      <c r="W83" s="10">
        <f t="shared" si="35"/>
        <v>0.25037369279999994</v>
      </c>
      <c r="X83" s="10">
        <f t="shared" si="35"/>
        <v>0.25037369279999994</v>
      </c>
      <c r="Y83" s="10">
        <f t="shared" si="35"/>
        <v>0.25037369279999994</v>
      </c>
      <c r="Z83" s="10">
        <f t="shared" si="35"/>
        <v>0.25037369279999994</v>
      </c>
      <c r="AA83" s="10">
        <f t="shared" si="35"/>
        <v>0.25037369279999994</v>
      </c>
      <c r="AE83" s="379">
        <f t="shared" si="30"/>
        <v>0</v>
      </c>
    </row>
    <row r="84" spans="1:31" ht="15" customHeight="1">
      <c r="B84" s="168" t="s">
        <v>567</v>
      </c>
      <c r="C84" s="157">
        <v>0.5</v>
      </c>
      <c r="D84" s="158" t="s">
        <v>10</v>
      </c>
      <c r="E84" s="111" t="s">
        <v>133</v>
      </c>
      <c r="H84" s="4" t="s">
        <v>17</v>
      </c>
      <c r="L84" s="10">
        <f t="shared" si="28"/>
        <v>0.5</v>
      </c>
      <c r="M84" s="10">
        <f t="shared" si="35"/>
        <v>0.5</v>
      </c>
      <c r="N84" s="10">
        <f t="shared" si="35"/>
        <v>0.5</v>
      </c>
      <c r="O84" s="10">
        <f t="shared" si="35"/>
        <v>0.5</v>
      </c>
      <c r="P84" s="10">
        <f t="shared" si="35"/>
        <v>0.5</v>
      </c>
      <c r="Q84" s="10">
        <f t="shared" si="35"/>
        <v>0.5</v>
      </c>
      <c r="R84" s="10">
        <f t="shared" si="35"/>
        <v>0.5</v>
      </c>
      <c r="S84" s="10">
        <f t="shared" si="35"/>
        <v>0.5</v>
      </c>
      <c r="T84" s="10">
        <f t="shared" si="35"/>
        <v>0.5</v>
      </c>
      <c r="U84" s="10">
        <f t="shared" si="35"/>
        <v>0.5</v>
      </c>
      <c r="V84" s="10">
        <f t="shared" si="35"/>
        <v>0.5</v>
      </c>
      <c r="W84" s="10">
        <f t="shared" si="35"/>
        <v>0.5</v>
      </c>
      <c r="X84" s="10">
        <f t="shared" si="35"/>
        <v>0.5</v>
      </c>
      <c r="Y84" s="10">
        <f t="shared" si="35"/>
        <v>0.5</v>
      </c>
      <c r="Z84" s="10">
        <f t="shared" si="35"/>
        <v>0.5</v>
      </c>
      <c r="AA84" s="10">
        <f t="shared" si="35"/>
        <v>0.5</v>
      </c>
      <c r="AE84" s="379">
        <f t="shared" si="30"/>
        <v>0</v>
      </c>
    </row>
    <row r="85" spans="1:31" ht="15" customHeight="1">
      <c r="B85" s="166" t="s">
        <v>564</v>
      </c>
      <c r="C85" s="159">
        <v>3</v>
      </c>
      <c r="D85" s="3" t="s">
        <v>10</v>
      </c>
      <c r="E85" s="134" t="s">
        <v>127</v>
      </c>
      <c r="H85" s="4" t="s">
        <v>110</v>
      </c>
      <c r="L85" s="188">
        <f t="shared" si="28"/>
        <v>3</v>
      </c>
      <c r="M85" s="188">
        <f t="shared" si="35"/>
        <v>3</v>
      </c>
      <c r="N85" s="188">
        <f t="shared" si="35"/>
        <v>3</v>
      </c>
      <c r="O85" s="188">
        <f t="shared" si="35"/>
        <v>3</v>
      </c>
      <c r="P85" s="188">
        <f t="shared" si="35"/>
        <v>3</v>
      </c>
      <c r="Q85" s="188">
        <f t="shared" si="35"/>
        <v>3</v>
      </c>
      <c r="R85" s="188">
        <f t="shared" si="35"/>
        <v>3</v>
      </c>
      <c r="S85" s="188">
        <f t="shared" si="35"/>
        <v>3</v>
      </c>
      <c r="T85" s="188">
        <f t="shared" si="35"/>
        <v>3</v>
      </c>
      <c r="U85" s="188">
        <f t="shared" si="35"/>
        <v>3</v>
      </c>
      <c r="V85" s="188">
        <f t="shared" si="35"/>
        <v>3</v>
      </c>
      <c r="W85" s="188">
        <f t="shared" si="35"/>
        <v>3</v>
      </c>
      <c r="X85" s="188">
        <f t="shared" si="35"/>
        <v>3</v>
      </c>
      <c r="Y85" s="188">
        <f t="shared" si="35"/>
        <v>3</v>
      </c>
      <c r="Z85" s="188">
        <f t="shared" si="35"/>
        <v>3</v>
      </c>
      <c r="AA85" s="188">
        <f t="shared" si="35"/>
        <v>3</v>
      </c>
      <c r="AE85" s="379">
        <f t="shared" si="30"/>
        <v>0</v>
      </c>
    </row>
    <row r="86" spans="1:31" ht="15" customHeight="1">
      <c r="B86" s="167" t="s">
        <v>565</v>
      </c>
      <c r="C86" s="13">
        <f>C82</f>
        <v>6.2119999999999997</v>
      </c>
      <c r="D86" s="3" t="s">
        <v>10</v>
      </c>
      <c r="E86" s="116" t="s">
        <v>129</v>
      </c>
      <c r="H86" s="4" t="s">
        <v>110</v>
      </c>
      <c r="L86" s="221">
        <f t="shared" si="28"/>
        <v>6.2119999999999997</v>
      </c>
      <c r="M86" s="221">
        <f t="shared" si="35"/>
        <v>6.2119999999999997</v>
      </c>
      <c r="N86" s="221">
        <f t="shared" si="35"/>
        <v>6.2119999999999997</v>
      </c>
      <c r="O86" s="221">
        <f t="shared" si="35"/>
        <v>6.2119999999999997</v>
      </c>
      <c r="P86" s="221">
        <f t="shared" si="35"/>
        <v>6.2119999999999997</v>
      </c>
      <c r="Q86" s="221">
        <f t="shared" si="35"/>
        <v>6.2119999999999997</v>
      </c>
      <c r="R86" s="221">
        <f t="shared" si="35"/>
        <v>6.2119999999999997</v>
      </c>
      <c r="S86" s="221">
        <f t="shared" si="35"/>
        <v>6.2119999999999997</v>
      </c>
      <c r="T86" s="221">
        <f t="shared" si="35"/>
        <v>6.2119999999999997</v>
      </c>
      <c r="U86" s="221">
        <f t="shared" si="35"/>
        <v>6.2119999999999997</v>
      </c>
      <c r="V86" s="221">
        <f t="shared" si="35"/>
        <v>6.2119999999999997</v>
      </c>
      <c r="W86" s="221">
        <f t="shared" si="35"/>
        <v>6.2119999999999997</v>
      </c>
      <c r="X86" s="221">
        <f t="shared" si="35"/>
        <v>6.2119999999999997</v>
      </c>
      <c r="Y86" s="221">
        <f t="shared" si="35"/>
        <v>6.2119999999999997</v>
      </c>
      <c r="Z86" s="221">
        <f t="shared" si="35"/>
        <v>6.2119999999999997</v>
      </c>
      <c r="AA86" s="221">
        <f t="shared" si="35"/>
        <v>6.2119999999999997</v>
      </c>
      <c r="AE86" s="379">
        <f t="shared" si="30"/>
        <v>0</v>
      </c>
    </row>
    <row r="87" spans="1:31" ht="15" customHeight="1">
      <c r="B87" s="167" t="s">
        <v>566</v>
      </c>
      <c r="C87" s="13">
        <f>Attic!D12*Attic!D20*2</f>
        <v>7.15353408E-2</v>
      </c>
      <c r="D87" s="3" t="s">
        <v>10</v>
      </c>
      <c r="E87" s="116" t="s">
        <v>131</v>
      </c>
      <c r="H87" s="4" t="s">
        <v>110</v>
      </c>
      <c r="L87" s="221">
        <f t="shared" si="28"/>
        <v>7.15353408E-2</v>
      </c>
      <c r="M87" s="221">
        <f t="shared" si="35"/>
        <v>7.15353408E-2</v>
      </c>
      <c r="N87" s="221">
        <f t="shared" si="35"/>
        <v>7.15353408E-2</v>
      </c>
      <c r="O87" s="221">
        <f t="shared" si="35"/>
        <v>7.15353408E-2</v>
      </c>
      <c r="P87" s="221">
        <f t="shared" si="35"/>
        <v>7.15353408E-2</v>
      </c>
      <c r="Q87" s="221">
        <f t="shared" si="35"/>
        <v>7.15353408E-2</v>
      </c>
      <c r="R87" s="221">
        <f t="shared" si="35"/>
        <v>7.15353408E-2</v>
      </c>
      <c r="S87" s="221">
        <f t="shared" si="35"/>
        <v>7.15353408E-2</v>
      </c>
      <c r="T87" s="221">
        <f t="shared" si="35"/>
        <v>7.15353408E-2</v>
      </c>
      <c r="U87" s="221">
        <f t="shared" si="35"/>
        <v>7.15353408E-2</v>
      </c>
      <c r="V87" s="221">
        <f t="shared" si="35"/>
        <v>7.15353408E-2</v>
      </c>
      <c r="W87" s="221">
        <f t="shared" si="35"/>
        <v>7.15353408E-2</v>
      </c>
      <c r="X87" s="221">
        <f t="shared" si="35"/>
        <v>7.15353408E-2</v>
      </c>
      <c r="Y87" s="221">
        <f t="shared" si="35"/>
        <v>7.15353408E-2</v>
      </c>
      <c r="Z87" s="221">
        <f t="shared" si="35"/>
        <v>7.15353408E-2</v>
      </c>
      <c r="AA87" s="221">
        <f t="shared" si="35"/>
        <v>7.15353408E-2</v>
      </c>
      <c r="AE87" s="379">
        <f t="shared" si="30"/>
        <v>0</v>
      </c>
    </row>
    <row r="88" spans="1:31" ht="15" customHeight="1">
      <c r="B88" s="168" t="s">
        <v>567</v>
      </c>
      <c r="C88" s="157">
        <v>0.5</v>
      </c>
      <c r="D88" s="3" t="s">
        <v>10</v>
      </c>
      <c r="E88" s="111" t="s">
        <v>133</v>
      </c>
      <c r="H88" s="4" t="s">
        <v>17</v>
      </c>
      <c r="L88" s="16">
        <f t="shared" si="28"/>
        <v>0.5</v>
      </c>
      <c r="M88" s="16">
        <f t="shared" si="35"/>
        <v>0.5</v>
      </c>
      <c r="N88" s="16">
        <f t="shared" si="35"/>
        <v>0.5</v>
      </c>
      <c r="O88" s="16">
        <f t="shared" si="35"/>
        <v>0.5</v>
      </c>
      <c r="P88" s="16">
        <f t="shared" si="35"/>
        <v>0.5</v>
      </c>
      <c r="Q88" s="16">
        <f t="shared" si="35"/>
        <v>0.5</v>
      </c>
      <c r="R88" s="16">
        <f t="shared" si="35"/>
        <v>0.5</v>
      </c>
      <c r="S88" s="16">
        <f t="shared" si="35"/>
        <v>0.5</v>
      </c>
      <c r="T88" s="16">
        <f t="shared" si="35"/>
        <v>0.5</v>
      </c>
      <c r="U88" s="16">
        <f t="shared" si="35"/>
        <v>0.5</v>
      </c>
      <c r="V88" s="16">
        <f t="shared" si="35"/>
        <v>0.5</v>
      </c>
      <c r="W88" s="16">
        <f t="shared" si="35"/>
        <v>0.5</v>
      </c>
      <c r="X88" s="16">
        <f t="shared" si="35"/>
        <v>0.5</v>
      </c>
      <c r="Y88" s="16">
        <f t="shared" si="35"/>
        <v>0.5</v>
      </c>
      <c r="Z88" s="16">
        <f t="shared" si="35"/>
        <v>0.5</v>
      </c>
      <c r="AA88" s="16">
        <f t="shared" si="35"/>
        <v>0.5</v>
      </c>
      <c r="AE88" s="379">
        <f t="shared" si="30"/>
        <v>0</v>
      </c>
    </row>
    <row r="89" spans="1:31" ht="15" customHeight="1">
      <c r="A89" s="139" t="s">
        <v>211</v>
      </c>
      <c r="B89" s="136" t="s">
        <v>134</v>
      </c>
      <c r="C89" s="169">
        <f>Geometry!D22</f>
        <v>18.43494882292201</v>
      </c>
      <c r="D89" s="165" t="s">
        <v>10</v>
      </c>
      <c r="E89" s="136" t="s">
        <v>135</v>
      </c>
      <c r="F89" s="23" t="s">
        <v>136</v>
      </c>
      <c r="H89" s="4" t="s">
        <v>21</v>
      </c>
      <c r="L89" s="221">
        <f t="shared" si="28"/>
        <v>18.43494882292201</v>
      </c>
      <c r="M89" s="221">
        <f t="shared" si="35"/>
        <v>18.43494882292201</v>
      </c>
      <c r="N89" s="221">
        <f t="shared" si="35"/>
        <v>18.43494882292201</v>
      </c>
      <c r="O89" s="221">
        <f t="shared" si="35"/>
        <v>18.43494882292201</v>
      </c>
      <c r="P89" s="221">
        <f t="shared" si="35"/>
        <v>18.43494882292201</v>
      </c>
      <c r="Q89" s="221">
        <f t="shared" si="35"/>
        <v>18.43494882292201</v>
      </c>
      <c r="R89" s="221">
        <f t="shared" si="35"/>
        <v>18.43494882292201</v>
      </c>
      <c r="S89" s="221">
        <f t="shared" si="35"/>
        <v>18.43494882292201</v>
      </c>
      <c r="T89" s="221">
        <f t="shared" si="35"/>
        <v>18.43494882292201</v>
      </c>
      <c r="U89" s="221">
        <f t="shared" si="35"/>
        <v>18.43494882292201</v>
      </c>
      <c r="V89" s="221">
        <f t="shared" si="35"/>
        <v>18.43494882292201</v>
      </c>
      <c r="W89" s="221">
        <f t="shared" si="35"/>
        <v>18.43494882292201</v>
      </c>
      <c r="X89" s="221">
        <f t="shared" si="35"/>
        <v>18.43494882292201</v>
      </c>
      <c r="Y89" s="221">
        <f t="shared" si="35"/>
        <v>18.43494882292201</v>
      </c>
      <c r="Z89" s="221">
        <f t="shared" si="35"/>
        <v>18.43494882292201</v>
      </c>
      <c r="AA89" s="221">
        <f t="shared" si="35"/>
        <v>18.43494882292201</v>
      </c>
      <c r="AE89" s="379">
        <f t="shared" si="30"/>
        <v>0</v>
      </c>
    </row>
    <row r="90" spans="1:31" ht="15" customHeight="1">
      <c r="B90" s="7" t="s">
        <v>137</v>
      </c>
      <c r="C90" s="11" t="s">
        <v>138</v>
      </c>
      <c r="D90" s="3" t="s">
        <v>10</v>
      </c>
      <c r="E90" s="7" t="s">
        <v>139</v>
      </c>
      <c r="H90" s="4" t="s">
        <v>17</v>
      </c>
      <c r="L90" s="10" t="str">
        <f t="shared" si="28"/>
        <v>P</v>
      </c>
      <c r="M90" s="10" t="str">
        <f t="shared" si="35"/>
        <v>P</v>
      </c>
      <c r="N90" s="10" t="str">
        <f t="shared" si="35"/>
        <v>P</v>
      </c>
      <c r="O90" s="10" t="str">
        <f t="shared" si="35"/>
        <v>P</v>
      </c>
      <c r="P90" s="10" t="str">
        <f t="shared" si="35"/>
        <v>P</v>
      </c>
      <c r="Q90" s="10" t="str">
        <f t="shared" si="35"/>
        <v>P</v>
      </c>
      <c r="R90" s="10" t="str">
        <f t="shared" si="35"/>
        <v>P</v>
      </c>
      <c r="S90" s="10" t="str">
        <f t="shared" si="35"/>
        <v>P</v>
      </c>
      <c r="T90" s="10" t="str">
        <f t="shared" si="35"/>
        <v>P</v>
      </c>
      <c r="U90" s="10" t="str">
        <f t="shared" si="35"/>
        <v>P</v>
      </c>
      <c r="V90" s="10" t="str">
        <f t="shared" si="35"/>
        <v>P</v>
      </c>
      <c r="W90" s="10" t="str">
        <f t="shared" si="35"/>
        <v>P</v>
      </c>
      <c r="X90" s="10" t="str">
        <f t="shared" si="35"/>
        <v>P</v>
      </c>
      <c r="Y90" s="10" t="str">
        <f t="shared" si="35"/>
        <v>P</v>
      </c>
      <c r="Z90" s="10" t="str">
        <f t="shared" si="35"/>
        <v>P</v>
      </c>
      <c r="AA90" s="10" t="str">
        <f t="shared" si="35"/>
        <v>P</v>
      </c>
      <c r="AE90" s="379">
        <f t="shared" si="30"/>
        <v>0</v>
      </c>
    </row>
    <row r="91" spans="1:31" ht="15" customHeight="1">
      <c r="B91" s="7" t="s">
        <v>585</v>
      </c>
      <c r="C91" s="17">
        <f>H_peak</f>
        <v>6.9740000000000002</v>
      </c>
      <c r="D91" s="3" t="s">
        <v>10</v>
      </c>
      <c r="E91" s="7" t="s">
        <v>586</v>
      </c>
      <c r="H91" s="4" t="s">
        <v>21</v>
      </c>
      <c r="L91" s="16">
        <f t="shared" si="28"/>
        <v>6.9740000000000002</v>
      </c>
      <c r="M91" s="16">
        <f>L91</f>
        <v>6.9740000000000002</v>
      </c>
      <c r="N91" s="16">
        <f t="shared" si="35"/>
        <v>6.9740000000000002</v>
      </c>
      <c r="O91" s="16">
        <f t="shared" si="35"/>
        <v>6.9740000000000002</v>
      </c>
      <c r="P91" s="16">
        <f t="shared" si="35"/>
        <v>6.9740000000000002</v>
      </c>
      <c r="Q91" s="16">
        <f t="shared" si="35"/>
        <v>6.9740000000000002</v>
      </c>
      <c r="R91" s="16">
        <f t="shared" si="35"/>
        <v>6.9740000000000002</v>
      </c>
      <c r="S91" s="16">
        <f t="shared" si="35"/>
        <v>6.9740000000000002</v>
      </c>
      <c r="T91" s="16">
        <f t="shared" si="35"/>
        <v>6.9740000000000002</v>
      </c>
      <c r="U91" s="16">
        <f t="shared" si="35"/>
        <v>6.9740000000000002</v>
      </c>
      <c r="V91" s="16">
        <f t="shared" si="35"/>
        <v>6.9740000000000002</v>
      </c>
      <c r="W91" s="16">
        <f t="shared" si="35"/>
        <v>6.9740000000000002</v>
      </c>
      <c r="X91" s="16">
        <f t="shared" si="35"/>
        <v>6.9740000000000002</v>
      </c>
      <c r="Y91" s="16">
        <f t="shared" si="35"/>
        <v>6.9740000000000002</v>
      </c>
      <c r="Z91" s="16">
        <f t="shared" si="35"/>
        <v>6.9740000000000002</v>
      </c>
      <c r="AA91" s="16">
        <f t="shared" si="35"/>
        <v>6.9740000000000002</v>
      </c>
      <c r="AE91" s="379">
        <f t="shared" si="30"/>
        <v>0</v>
      </c>
    </row>
    <row r="92" spans="1:31" ht="15" customHeight="1">
      <c r="B92" s="7" t="s">
        <v>570</v>
      </c>
      <c r="C92" s="11">
        <v>0</v>
      </c>
      <c r="D92" s="3" t="s">
        <v>10</v>
      </c>
      <c r="E92" s="7" t="s">
        <v>140</v>
      </c>
      <c r="H92" s="4" t="s">
        <v>17</v>
      </c>
      <c r="L92" s="188">
        <f t="shared" si="28"/>
        <v>0</v>
      </c>
      <c r="M92" s="188">
        <f t="shared" si="35"/>
        <v>0</v>
      </c>
      <c r="N92" s="188">
        <f t="shared" si="35"/>
        <v>0</v>
      </c>
      <c r="O92" s="188">
        <f t="shared" si="35"/>
        <v>0</v>
      </c>
      <c r="P92" s="188">
        <f t="shared" si="35"/>
        <v>0</v>
      </c>
      <c r="Q92" s="188">
        <f t="shared" si="35"/>
        <v>0</v>
      </c>
      <c r="R92" s="188">
        <f t="shared" si="35"/>
        <v>0</v>
      </c>
      <c r="S92" s="188">
        <f t="shared" si="35"/>
        <v>0</v>
      </c>
      <c r="T92" s="188">
        <f t="shared" si="35"/>
        <v>0</v>
      </c>
      <c r="U92" s="188">
        <f t="shared" si="35"/>
        <v>0</v>
      </c>
      <c r="V92" s="188">
        <f t="shared" si="35"/>
        <v>0</v>
      </c>
      <c r="W92" s="188">
        <f t="shared" si="35"/>
        <v>0</v>
      </c>
      <c r="X92" s="188">
        <f t="shared" si="35"/>
        <v>0</v>
      </c>
      <c r="Y92" s="188">
        <f t="shared" si="35"/>
        <v>0</v>
      </c>
      <c r="Z92" s="188">
        <f t="shared" si="35"/>
        <v>0</v>
      </c>
      <c r="AA92" s="188">
        <f t="shared" si="35"/>
        <v>0</v>
      </c>
      <c r="AE92" s="379">
        <f t="shared" si="30"/>
        <v>0</v>
      </c>
    </row>
    <row r="93" spans="1:31" ht="15" customHeight="1">
      <c r="B93" s="7" t="s">
        <v>571</v>
      </c>
      <c r="C93" s="11">
        <v>0</v>
      </c>
      <c r="D93" s="3" t="s">
        <v>10</v>
      </c>
      <c r="E93" s="7" t="s">
        <v>141</v>
      </c>
      <c r="H93" s="4" t="s">
        <v>17</v>
      </c>
      <c r="L93" s="188">
        <f t="shared" si="28"/>
        <v>0</v>
      </c>
      <c r="M93" s="188">
        <f t="shared" si="35"/>
        <v>0</v>
      </c>
      <c r="N93" s="188">
        <f t="shared" si="35"/>
        <v>0</v>
      </c>
      <c r="O93" s="188">
        <f t="shared" si="35"/>
        <v>0</v>
      </c>
      <c r="P93" s="188">
        <f t="shared" si="35"/>
        <v>0</v>
      </c>
      <c r="Q93" s="188">
        <f t="shared" si="35"/>
        <v>0</v>
      </c>
      <c r="R93" s="188">
        <f t="shared" si="35"/>
        <v>0</v>
      </c>
      <c r="S93" s="188">
        <f t="shared" si="35"/>
        <v>0</v>
      </c>
      <c r="T93" s="188">
        <f t="shared" si="35"/>
        <v>0</v>
      </c>
      <c r="U93" s="188">
        <f t="shared" si="35"/>
        <v>0</v>
      </c>
      <c r="V93" s="188">
        <f t="shared" si="35"/>
        <v>0</v>
      </c>
      <c r="W93" s="188">
        <f t="shared" si="35"/>
        <v>0</v>
      </c>
      <c r="X93" s="188">
        <f t="shared" si="35"/>
        <v>0</v>
      </c>
      <c r="Y93" s="188">
        <f t="shared" si="35"/>
        <v>0</v>
      </c>
      <c r="Z93" s="188">
        <f t="shared" si="35"/>
        <v>0</v>
      </c>
      <c r="AA93" s="188">
        <f t="shared" si="35"/>
        <v>0</v>
      </c>
      <c r="AE93" s="379">
        <f t="shared" si="30"/>
        <v>0</v>
      </c>
    </row>
    <row r="94" spans="1:31" ht="15" customHeight="1">
      <c r="B94" s="126" t="s">
        <v>572</v>
      </c>
      <c r="C94" s="157">
        <v>2</v>
      </c>
      <c r="D94" s="158" t="str">
        <f>IF(AND(C94&gt;0,C94&lt;=4), "ok", "check")</f>
        <v>ok</v>
      </c>
      <c r="E94" s="126" t="s">
        <v>143</v>
      </c>
      <c r="H94" s="4" t="s">
        <v>17</v>
      </c>
      <c r="L94" s="188">
        <f t="shared" si="28"/>
        <v>2</v>
      </c>
      <c r="M94" s="188">
        <f t="shared" si="35"/>
        <v>2</v>
      </c>
      <c r="N94" s="188">
        <f t="shared" si="35"/>
        <v>2</v>
      </c>
      <c r="O94" s="188">
        <f t="shared" si="35"/>
        <v>2</v>
      </c>
      <c r="P94" s="188">
        <f t="shared" si="35"/>
        <v>2</v>
      </c>
      <c r="Q94" s="188">
        <f t="shared" si="35"/>
        <v>2</v>
      </c>
      <c r="R94" s="188">
        <f t="shared" si="35"/>
        <v>2</v>
      </c>
      <c r="S94" s="188">
        <f t="shared" si="35"/>
        <v>2</v>
      </c>
      <c r="T94" s="188">
        <f t="shared" si="35"/>
        <v>2</v>
      </c>
      <c r="U94" s="188">
        <f t="shared" si="35"/>
        <v>2</v>
      </c>
      <c r="V94" s="188">
        <f t="shared" si="35"/>
        <v>2</v>
      </c>
      <c r="W94" s="188">
        <f t="shared" si="35"/>
        <v>2</v>
      </c>
      <c r="X94" s="188">
        <f t="shared" si="35"/>
        <v>2</v>
      </c>
      <c r="Y94" s="188">
        <f t="shared" si="35"/>
        <v>2</v>
      </c>
      <c r="Z94" s="188">
        <f t="shared" si="35"/>
        <v>2</v>
      </c>
      <c r="AA94" s="188">
        <f t="shared" si="35"/>
        <v>2</v>
      </c>
      <c r="AE94" s="379">
        <f t="shared" si="30"/>
        <v>0</v>
      </c>
    </row>
    <row r="95" spans="1:31" ht="15" customHeight="1">
      <c r="A95" s="139" t="s">
        <v>142</v>
      </c>
      <c r="B95" s="7" t="s">
        <v>573</v>
      </c>
      <c r="C95" s="11">
        <v>0</v>
      </c>
      <c r="D95" s="3" t="s">
        <v>10</v>
      </c>
      <c r="E95" s="7" t="s">
        <v>718</v>
      </c>
      <c r="H95" s="4" t="s">
        <v>17</v>
      </c>
      <c r="L95" s="188">
        <f t="shared" si="28"/>
        <v>0</v>
      </c>
      <c r="M95" s="188">
        <f t="shared" si="35"/>
        <v>0</v>
      </c>
      <c r="N95" s="188">
        <f t="shared" si="35"/>
        <v>0</v>
      </c>
      <c r="O95" s="188">
        <f t="shared" si="35"/>
        <v>0</v>
      </c>
      <c r="P95" s="188">
        <f t="shared" si="35"/>
        <v>0</v>
      </c>
      <c r="Q95" s="188">
        <f t="shared" si="35"/>
        <v>0</v>
      </c>
      <c r="R95" s="188">
        <f t="shared" si="35"/>
        <v>0</v>
      </c>
      <c r="S95" s="188">
        <f t="shared" si="35"/>
        <v>0</v>
      </c>
      <c r="T95" s="188">
        <f t="shared" si="35"/>
        <v>0</v>
      </c>
      <c r="U95" s="188">
        <f t="shared" si="35"/>
        <v>0</v>
      </c>
      <c r="V95" s="188">
        <f t="shared" si="35"/>
        <v>0</v>
      </c>
      <c r="W95" s="188">
        <f t="shared" si="35"/>
        <v>0</v>
      </c>
      <c r="X95" s="188">
        <f t="shared" si="35"/>
        <v>0</v>
      </c>
      <c r="Y95" s="188">
        <f t="shared" si="35"/>
        <v>0</v>
      </c>
      <c r="Z95" s="188">
        <f t="shared" si="35"/>
        <v>0</v>
      </c>
      <c r="AA95" s="188">
        <f t="shared" si="35"/>
        <v>0</v>
      </c>
      <c r="AE95" s="379">
        <f t="shared" si="30"/>
        <v>0</v>
      </c>
    </row>
    <row r="96" spans="1:31" ht="15" customHeight="1">
      <c r="B96" s="7" t="s">
        <v>574</v>
      </c>
      <c r="C96" s="13">
        <f>Ducts!K14</f>
        <v>0.05</v>
      </c>
      <c r="D96" s="3" t="s">
        <v>10</v>
      </c>
      <c r="E96" s="7" t="s">
        <v>144</v>
      </c>
      <c r="H96" s="4" t="s">
        <v>145</v>
      </c>
      <c r="I96" s="7" t="s">
        <v>69</v>
      </c>
      <c r="L96" s="24">
        <f>Ducts!I14</f>
        <v>0.05</v>
      </c>
      <c r="M96" s="24">
        <f>Ducts!J14</f>
        <v>0.05</v>
      </c>
      <c r="N96" s="24">
        <f>Ducts!K14</f>
        <v>0.05</v>
      </c>
      <c r="O96" s="24">
        <f>Ducts!L14</f>
        <v>0.05</v>
      </c>
      <c r="P96" s="24">
        <f>Ducts!M14</f>
        <v>0.05</v>
      </c>
      <c r="Q96" s="24">
        <f>Ducts!N14</f>
        <v>0.05</v>
      </c>
      <c r="R96" s="24">
        <f>Ducts!O14</f>
        <v>0.05</v>
      </c>
      <c r="S96" s="24">
        <f>Ducts!P14</f>
        <v>0.05</v>
      </c>
      <c r="T96" s="24">
        <f>Ducts!Q14</f>
        <v>0.05</v>
      </c>
      <c r="U96" s="24">
        <f>Ducts!R14</f>
        <v>0.05</v>
      </c>
      <c r="V96" s="24">
        <f>Ducts!S14</f>
        <v>0.05</v>
      </c>
      <c r="W96" s="24">
        <f>Ducts!T14</f>
        <v>0.05</v>
      </c>
      <c r="X96" s="24">
        <f>Ducts!U14</f>
        <v>0.05</v>
      </c>
      <c r="Y96" s="24">
        <f>Ducts!V14</f>
        <v>0.05</v>
      </c>
      <c r="Z96" s="24">
        <f>Ducts!W14</f>
        <v>0.05</v>
      </c>
      <c r="AA96" s="24">
        <f>Ducts!X14</f>
        <v>0.05</v>
      </c>
      <c r="AE96" s="379">
        <f t="shared" si="30"/>
        <v>0</v>
      </c>
    </row>
    <row r="97" spans="2:31" ht="15" customHeight="1">
      <c r="B97" s="7" t="s">
        <v>575</v>
      </c>
      <c r="C97" s="13">
        <f>Ducts!K14</f>
        <v>0.05</v>
      </c>
      <c r="D97" s="3" t="s">
        <v>10</v>
      </c>
      <c r="E97" s="7" t="s">
        <v>146</v>
      </c>
      <c r="H97" s="4" t="s">
        <v>145</v>
      </c>
      <c r="I97" s="7" t="s">
        <v>69</v>
      </c>
      <c r="L97" s="24">
        <f>Ducts!I14</f>
        <v>0.05</v>
      </c>
      <c r="M97" s="24">
        <f>Ducts!J14</f>
        <v>0.05</v>
      </c>
      <c r="N97" s="24">
        <f>Ducts!K14</f>
        <v>0.05</v>
      </c>
      <c r="O97" s="24">
        <f>Ducts!L14</f>
        <v>0.05</v>
      </c>
      <c r="P97" s="24">
        <f>Ducts!M14</f>
        <v>0.05</v>
      </c>
      <c r="Q97" s="24">
        <f>Ducts!N14</f>
        <v>0.05</v>
      </c>
      <c r="R97" s="24">
        <f>Ducts!O14</f>
        <v>0.05</v>
      </c>
      <c r="S97" s="24">
        <f>Ducts!P14</f>
        <v>0.05</v>
      </c>
      <c r="T97" s="24">
        <f>Ducts!Q14</f>
        <v>0.05</v>
      </c>
      <c r="U97" s="24">
        <f>Ducts!R14</f>
        <v>0.05</v>
      </c>
      <c r="V97" s="24">
        <f>Ducts!S14</f>
        <v>0.05</v>
      </c>
      <c r="W97" s="24">
        <f>Ducts!T14</f>
        <v>0.05</v>
      </c>
      <c r="X97" s="24">
        <f>Ducts!U14</f>
        <v>0.05</v>
      </c>
      <c r="Y97" s="24">
        <f>Ducts!V14</f>
        <v>0.05</v>
      </c>
      <c r="Z97" s="24">
        <f>Ducts!W14</f>
        <v>0.05</v>
      </c>
      <c r="AA97" s="24">
        <f>Ducts!X14</f>
        <v>0.05</v>
      </c>
      <c r="AE97" s="379">
        <f t="shared" si="30"/>
        <v>0</v>
      </c>
    </row>
    <row r="98" spans="2:31" ht="15" customHeight="1">
      <c r="B98" s="7" t="s">
        <v>147</v>
      </c>
      <c r="C98" s="13">
        <f>Ducts!K16</f>
        <v>1.5322296583303978</v>
      </c>
      <c r="D98" s="3" t="s">
        <v>10</v>
      </c>
      <c r="E98" s="7" t="s">
        <v>148</v>
      </c>
      <c r="H98" s="4" t="s">
        <v>145</v>
      </c>
      <c r="I98" s="7" t="s">
        <v>69</v>
      </c>
      <c r="L98" s="24">
        <f>Ducts!I16</f>
        <v>1.5322296583303978</v>
      </c>
      <c r="M98" s="24">
        <f>Ducts!J16</f>
        <v>1.5322296583303978</v>
      </c>
      <c r="N98" s="24">
        <f>Ducts!K16</f>
        <v>1.5322296583303978</v>
      </c>
      <c r="O98" s="24">
        <f>Ducts!L16</f>
        <v>1.5322296583303978</v>
      </c>
      <c r="P98" s="24">
        <f>Ducts!M16</f>
        <v>1.5322296583303978</v>
      </c>
      <c r="Q98" s="24">
        <f>Ducts!N16</f>
        <v>1.5322296583303978</v>
      </c>
      <c r="R98" s="24">
        <f>Ducts!O16</f>
        <v>1.5322296583303978</v>
      </c>
      <c r="S98" s="24">
        <f>Ducts!P16</f>
        <v>1.5322296583303978</v>
      </c>
      <c r="T98" s="24">
        <f>Ducts!Q16</f>
        <v>1.5322296583303978</v>
      </c>
      <c r="U98" s="24">
        <f>Ducts!R16</f>
        <v>1.5322296583303978</v>
      </c>
      <c r="V98" s="24">
        <f>Ducts!S16</f>
        <v>1.5322296583303978</v>
      </c>
      <c r="W98" s="24">
        <f>Ducts!T16</f>
        <v>1.5322296583303978</v>
      </c>
      <c r="X98" s="24">
        <f>Ducts!U16</f>
        <v>1.5322296583303978</v>
      </c>
      <c r="Y98" s="24">
        <f>Ducts!V16</f>
        <v>1.5322296583303978</v>
      </c>
      <c r="Z98" s="24">
        <f>Ducts!W16</f>
        <v>1.5322296583303978</v>
      </c>
      <c r="AA98" s="24">
        <f>Ducts!X16</f>
        <v>1.5322296583303978</v>
      </c>
      <c r="AE98" s="379">
        <f t="shared" si="30"/>
        <v>0</v>
      </c>
    </row>
    <row r="99" spans="2:31" ht="15" customHeight="1">
      <c r="B99" s="7" t="s">
        <v>149</v>
      </c>
      <c r="C99" s="13">
        <f>Ducts!K16</f>
        <v>1.5322296583303978</v>
      </c>
      <c r="D99" s="3" t="s">
        <v>10</v>
      </c>
      <c r="E99" s="7" t="s">
        <v>150</v>
      </c>
      <c r="H99" s="4" t="s">
        <v>145</v>
      </c>
      <c r="I99" s="7" t="s">
        <v>69</v>
      </c>
      <c r="L99" s="24">
        <f>Ducts!I16</f>
        <v>1.5322296583303978</v>
      </c>
      <c r="M99" s="24">
        <f>Ducts!J16</f>
        <v>1.5322296583303978</v>
      </c>
      <c r="N99" s="24">
        <f>Ducts!K16</f>
        <v>1.5322296583303978</v>
      </c>
      <c r="O99" s="24">
        <f>Ducts!L16</f>
        <v>1.5322296583303978</v>
      </c>
      <c r="P99" s="24">
        <f>Ducts!M16</f>
        <v>1.5322296583303978</v>
      </c>
      <c r="Q99" s="24">
        <f>Ducts!N16</f>
        <v>1.5322296583303978</v>
      </c>
      <c r="R99" s="24">
        <f>Ducts!O16</f>
        <v>1.5322296583303978</v>
      </c>
      <c r="S99" s="24">
        <f>Ducts!P16</f>
        <v>1.5322296583303978</v>
      </c>
      <c r="T99" s="24">
        <f>Ducts!Q16</f>
        <v>1.5322296583303978</v>
      </c>
      <c r="U99" s="24">
        <f>Ducts!R16</f>
        <v>1.5322296583303978</v>
      </c>
      <c r="V99" s="24">
        <f>Ducts!S16</f>
        <v>1.5322296583303978</v>
      </c>
      <c r="W99" s="24">
        <f>Ducts!T16</f>
        <v>1.5322296583303978</v>
      </c>
      <c r="X99" s="24">
        <f>Ducts!U16</f>
        <v>1.5322296583303978</v>
      </c>
      <c r="Y99" s="24">
        <f>Ducts!V16</f>
        <v>1.5322296583303978</v>
      </c>
      <c r="Z99" s="24">
        <f>Ducts!W16</f>
        <v>1.5322296583303978</v>
      </c>
      <c r="AA99" s="24">
        <f>Ducts!X16</f>
        <v>1.5322296583303978</v>
      </c>
      <c r="AE99" s="379">
        <f t="shared" si="30"/>
        <v>0</v>
      </c>
    </row>
    <row r="100" spans="2:31" ht="15" customHeight="1">
      <c r="B100" s="77" t="s">
        <v>151</v>
      </c>
      <c r="C100" s="11">
        <v>0.03</v>
      </c>
      <c r="D100" s="3" t="s">
        <v>10</v>
      </c>
      <c r="E100" s="77" t="s">
        <v>636</v>
      </c>
      <c r="F100" s="7" t="s">
        <v>152</v>
      </c>
      <c r="H100" s="4" t="s">
        <v>17</v>
      </c>
      <c r="L100" s="221">
        <f t="shared" ref="L100:L105" si="36">C100</f>
        <v>0.03</v>
      </c>
      <c r="M100" s="221">
        <f t="shared" ref="M100:AA112" si="37">L100</f>
        <v>0.03</v>
      </c>
      <c r="N100" s="221">
        <f t="shared" si="37"/>
        <v>0.03</v>
      </c>
      <c r="O100" s="221">
        <f t="shared" si="37"/>
        <v>0.03</v>
      </c>
      <c r="P100" s="221">
        <f t="shared" si="37"/>
        <v>0.03</v>
      </c>
      <c r="Q100" s="221">
        <f t="shared" si="37"/>
        <v>0.03</v>
      </c>
      <c r="R100" s="221">
        <f t="shared" si="37"/>
        <v>0.03</v>
      </c>
      <c r="S100" s="221">
        <f t="shared" si="37"/>
        <v>0.03</v>
      </c>
      <c r="T100" s="221">
        <f t="shared" si="37"/>
        <v>0.03</v>
      </c>
      <c r="U100" s="221">
        <f t="shared" si="37"/>
        <v>0.03</v>
      </c>
      <c r="V100" s="221">
        <f t="shared" si="37"/>
        <v>0.03</v>
      </c>
      <c r="W100" s="221">
        <f t="shared" si="37"/>
        <v>0.03</v>
      </c>
      <c r="X100" s="221">
        <f t="shared" si="37"/>
        <v>0.03</v>
      </c>
      <c r="Y100" s="221">
        <f t="shared" si="37"/>
        <v>0.03</v>
      </c>
      <c r="Z100" s="221">
        <f t="shared" si="37"/>
        <v>0.03</v>
      </c>
      <c r="AA100" s="221">
        <f t="shared" si="37"/>
        <v>0.03</v>
      </c>
      <c r="AE100" s="379">
        <f t="shared" si="30"/>
        <v>0</v>
      </c>
    </row>
    <row r="101" spans="2:31" ht="15" customHeight="1">
      <c r="B101" s="77" t="s">
        <v>153</v>
      </c>
      <c r="C101" s="11">
        <v>0.03</v>
      </c>
      <c r="D101" s="3" t="s">
        <v>10</v>
      </c>
      <c r="E101" s="77" t="s">
        <v>154</v>
      </c>
      <c r="H101" s="4" t="s">
        <v>17</v>
      </c>
      <c r="L101" s="221">
        <f t="shared" si="36"/>
        <v>0.03</v>
      </c>
      <c r="M101" s="221">
        <f t="shared" si="37"/>
        <v>0.03</v>
      </c>
      <c r="N101" s="221">
        <f t="shared" si="37"/>
        <v>0.03</v>
      </c>
      <c r="O101" s="221">
        <f t="shared" si="37"/>
        <v>0.03</v>
      </c>
      <c r="P101" s="221">
        <f t="shared" si="37"/>
        <v>0.03</v>
      </c>
      <c r="Q101" s="221">
        <f t="shared" si="37"/>
        <v>0.03</v>
      </c>
      <c r="R101" s="221">
        <f t="shared" si="37"/>
        <v>0.03</v>
      </c>
      <c r="S101" s="221">
        <f t="shared" si="37"/>
        <v>0.03</v>
      </c>
      <c r="T101" s="221">
        <f t="shared" si="37"/>
        <v>0.03</v>
      </c>
      <c r="U101" s="221">
        <f t="shared" si="37"/>
        <v>0.03</v>
      </c>
      <c r="V101" s="221">
        <f t="shared" si="37"/>
        <v>0.03</v>
      </c>
      <c r="W101" s="221">
        <f t="shared" si="37"/>
        <v>0.03</v>
      </c>
      <c r="X101" s="221">
        <f t="shared" si="37"/>
        <v>0.03</v>
      </c>
      <c r="Y101" s="221">
        <f t="shared" si="37"/>
        <v>0.03</v>
      </c>
      <c r="Z101" s="221">
        <f t="shared" si="37"/>
        <v>0.03</v>
      </c>
      <c r="AA101" s="221">
        <f t="shared" si="37"/>
        <v>0.03</v>
      </c>
      <c r="AE101" s="379">
        <f t="shared" si="30"/>
        <v>0</v>
      </c>
    </row>
    <row r="102" spans="2:31" ht="15" customHeight="1">
      <c r="B102" s="7" t="s">
        <v>155</v>
      </c>
      <c r="C102" s="17">
        <f>Ducts!D16</f>
        <v>43.594977665708207</v>
      </c>
      <c r="D102" s="3" t="s">
        <v>10</v>
      </c>
      <c r="E102" s="7" t="s">
        <v>156</v>
      </c>
      <c r="H102" s="4" t="s">
        <v>145</v>
      </c>
      <c r="L102" s="16">
        <f t="shared" si="36"/>
        <v>43.594977665708207</v>
      </c>
      <c r="M102" s="16">
        <f t="shared" si="37"/>
        <v>43.594977665708207</v>
      </c>
      <c r="N102" s="16">
        <f t="shared" si="37"/>
        <v>43.594977665708207</v>
      </c>
      <c r="O102" s="16">
        <f t="shared" si="37"/>
        <v>43.594977665708207</v>
      </c>
      <c r="P102" s="16">
        <f t="shared" si="37"/>
        <v>43.594977665708207</v>
      </c>
      <c r="Q102" s="16">
        <f t="shared" si="37"/>
        <v>43.594977665708207</v>
      </c>
      <c r="R102" s="16">
        <f t="shared" si="37"/>
        <v>43.594977665708207</v>
      </c>
      <c r="S102" s="16">
        <f t="shared" si="37"/>
        <v>43.594977665708207</v>
      </c>
      <c r="T102" s="16">
        <f t="shared" si="37"/>
        <v>43.594977665708207</v>
      </c>
      <c r="U102" s="16">
        <f t="shared" si="37"/>
        <v>43.594977665708207</v>
      </c>
      <c r="V102" s="16">
        <f t="shared" si="37"/>
        <v>43.594977665708207</v>
      </c>
      <c r="W102" s="16">
        <f t="shared" si="37"/>
        <v>43.594977665708207</v>
      </c>
      <c r="X102" s="16">
        <f t="shared" si="37"/>
        <v>43.594977665708207</v>
      </c>
      <c r="Y102" s="16">
        <f t="shared" si="37"/>
        <v>43.594977665708207</v>
      </c>
      <c r="Z102" s="16">
        <f t="shared" si="37"/>
        <v>43.594977665708207</v>
      </c>
      <c r="AA102" s="16">
        <f t="shared" si="37"/>
        <v>43.594977665708207</v>
      </c>
      <c r="AE102" s="379">
        <f t="shared" si="30"/>
        <v>0</v>
      </c>
    </row>
    <row r="103" spans="2:31" ht="15" customHeight="1">
      <c r="B103" s="7" t="s">
        <v>157</v>
      </c>
      <c r="C103" s="17">
        <f>Ducts!D17</f>
        <v>13.800246174646471</v>
      </c>
      <c r="D103" s="3" t="s">
        <v>10</v>
      </c>
      <c r="E103" s="7" t="s">
        <v>158</v>
      </c>
      <c r="H103" s="4" t="s">
        <v>145</v>
      </c>
      <c r="L103" s="16">
        <f t="shared" si="36"/>
        <v>13.800246174646471</v>
      </c>
      <c r="M103" s="16">
        <f t="shared" si="37"/>
        <v>13.800246174646471</v>
      </c>
      <c r="N103" s="16">
        <f t="shared" si="37"/>
        <v>13.800246174646471</v>
      </c>
      <c r="O103" s="16">
        <f t="shared" si="37"/>
        <v>13.800246174646471</v>
      </c>
      <c r="P103" s="16">
        <f t="shared" si="37"/>
        <v>13.800246174646471</v>
      </c>
      <c r="Q103" s="16">
        <f t="shared" si="37"/>
        <v>13.800246174646471</v>
      </c>
      <c r="R103" s="16">
        <f t="shared" si="37"/>
        <v>13.800246174646471</v>
      </c>
      <c r="S103" s="16">
        <f t="shared" si="37"/>
        <v>13.800246174646471</v>
      </c>
      <c r="T103" s="16">
        <f t="shared" si="37"/>
        <v>13.800246174646471</v>
      </c>
      <c r="U103" s="16">
        <f t="shared" si="37"/>
        <v>13.800246174646471</v>
      </c>
      <c r="V103" s="16">
        <f t="shared" si="37"/>
        <v>13.800246174646471</v>
      </c>
      <c r="W103" s="16">
        <f t="shared" si="37"/>
        <v>13.800246174646471</v>
      </c>
      <c r="X103" s="16">
        <f t="shared" si="37"/>
        <v>13.800246174646471</v>
      </c>
      <c r="Y103" s="16">
        <f t="shared" si="37"/>
        <v>13.800246174646471</v>
      </c>
      <c r="Z103" s="16">
        <f t="shared" si="37"/>
        <v>13.800246174646471</v>
      </c>
      <c r="AA103" s="16">
        <f t="shared" si="37"/>
        <v>13.800246174646471</v>
      </c>
      <c r="AE103" s="379">
        <f t="shared" si="30"/>
        <v>0</v>
      </c>
    </row>
    <row r="104" spans="2:31" ht="15" customHeight="1">
      <c r="B104" s="7" t="s">
        <v>159</v>
      </c>
      <c r="C104" s="11">
        <f>Ducts!D12</f>
        <v>0.25</v>
      </c>
      <c r="D104" s="3" t="s">
        <v>10</v>
      </c>
      <c r="E104" s="7" t="s">
        <v>160</v>
      </c>
      <c r="H104" s="4" t="s">
        <v>145</v>
      </c>
      <c r="L104" s="10">
        <f t="shared" si="36"/>
        <v>0.25</v>
      </c>
      <c r="M104" s="10">
        <f t="shared" si="37"/>
        <v>0.25</v>
      </c>
      <c r="N104" s="10">
        <f t="shared" si="37"/>
        <v>0.25</v>
      </c>
      <c r="O104" s="10">
        <f t="shared" si="37"/>
        <v>0.25</v>
      </c>
      <c r="P104" s="10">
        <f t="shared" si="37"/>
        <v>0.25</v>
      </c>
      <c r="Q104" s="10">
        <f t="shared" si="37"/>
        <v>0.25</v>
      </c>
      <c r="R104" s="10">
        <f t="shared" si="37"/>
        <v>0.25</v>
      </c>
      <c r="S104" s="10">
        <f t="shared" si="37"/>
        <v>0.25</v>
      </c>
      <c r="T104" s="10">
        <f t="shared" si="37"/>
        <v>0.25</v>
      </c>
      <c r="U104" s="10">
        <f t="shared" si="37"/>
        <v>0.25</v>
      </c>
      <c r="V104" s="10">
        <f t="shared" si="37"/>
        <v>0.25</v>
      </c>
      <c r="W104" s="10">
        <f t="shared" si="37"/>
        <v>0.25</v>
      </c>
      <c r="X104" s="10">
        <f t="shared" si="37"/>
        <v>0.25</v>
      </c>
      <c r="Y104" s="10">
        <f t="shared" si="37"/>
        <v>0.25</v>
      </c>
      <c r="Z104" s="10">
        <f t="shared" si="37"/>
        <v>0.25</v>
      </c>
      <c r="AA104" s="10">
        <f t="shared" si="37"/>
        <v>0.25</v>
      </c>
      <c r="AE104" s="379">
        <f t="shared" si="30"/>
        <v>0</v>
      </c>
    </row>
    <row r="105" spans="2:31" ht="15" customHeight="1">
      <c r="B105" s="7" t="s">
        <v>161</v>
      </c>
      <c r="C105" s="11">
        <f>Ducts!D13</f>
        <v>0.45</v>
      </c>
      <c r="D105" s="3" t="s">
        <v>10</v>
      </c>
      <c r="E105" s="7" t="s">
        <v>687</v>
      </c>
      <c r="H105" s="4" t="s">
        <v>145</v>
      </c>
      <c r="J105" s="182"/>
      <c r="L105" s="10">
        <f t="shared" si="36"/>
        <v>0.45</v>
      </c>
      <c r="M105" s="10">
        <f t="shared" si="37"/>
        <v>0.45</v>
      </c>
      <c r="N105" s="10">
        <f t="shared" si="37"/>
        <v>0.45</v>
      </c>
      <c r="O105" s="10">
        <f t="shared" si="37"/>
        <v>0.45</v>
      </c>
      <c r="P105" s="10">
        <f t="shared" si="37"/>
        <v>0.45</v>
      </c>
      <c r="Q105" s="10">
        <f t="shared" si="37"/>
        <v>0.45</v>
      </c>
      <c r="R105" s="10">
        <f t="shared" si="37"/>
        <v>0.45</v>
      </c>
      <c r="S105" s="10">
        <f t="shared" si="37"/>
        <v>0.45</v>
      </c>
      <c r="T105" s="10">
        <f t="shared" si="37"/>
        <v>0.45</v>
      </c>
      <c r="U105" s="10">
        <f t="shared" si="37"/>
        <v>0.45</v>
      </c>
      <c r="V105" s="10">
        <f t="shared" si="37"/>
        <v>0.45</v>
      </c>
      <c r="W105" s="10">
        <f t="shared" si="37"/>
        <v>0.45</v>
      </c>
      <c r="X105" s="10">
        <f t="shared" si="37"/>
        <v>0.45</v>
      </c>
      <c r="Y105" s="10">
        <f t="shared" si="37"/>
        <v>0.45</v>
      </c>
      <c r="Z105" s="10">
        <f t="shared" si="37"/>
        <v>0.45</v>
      </c>
      <c r="AA105" s="10">
        <f t="shared" si="37"/>
        <v>0.45</v>
      </c>
      <c r="AE105" s="379">
        <f t="shared" si="30"/>
        <v>0</v>
      </c>
    </row>
    <row r="106" spans="2:31" ht="15" customHeight="1">
      <c r="B106" s="7" t="s">
        <v>162</v>
      </c>
      <c r="C106" s="13">
        <f>'Heat - Cool'!C21</f>
        <v>1.1012107008000001</v>
      </c>
      <c r="D106" s="3" t="s">
        <v>10</v>
      </c>
      <c r="E106" s="7" t="s">
        <v>909</v>
      </c>
      <c r="F106" s="7" t="str">
        <f>"q=" &amp;TEXT(C106*3600,"0")&amp; "m3/h"</f>
        <v>q=3964m3/h</v>
      </c>
      <c r="H106" s="4" t="s">
        <v>163</v>
      </c>
      <c r="I106" s="7" t="s">
        <v>164</v>
      </c>
      <c r="L106" s="398">
        <f>'Heat - Cool'!C21</f>
        <v>1.1012107008000001</v>
      </c>
      <c r="M106" s="398">
        <f>'Heat - Cool'!D21</f>
        <v>0.63712904832000006</v>
      </c>
      <c r="N106" s="398">
        <f>'Heat - Cool'!E21</f>
        <v>1.0146870028800001</v>
      </c>
      <c r="O106" s="398">
        <f>'Heat - Cool'!F21</f>
        <v>0.61353167615999993</v>
      </c>
      <c r="P106" s="398">
        <f>'Heat - Cool'!G21</f>
        <v>0.7079211648</v>
      </c>
      <c r="Q106" s="398">
        <f>'Heat - Cool'!H21</f>
        <v>0.25642477747200004</v>
      </c>
      <c r="R106" s="398">
        <f>'Heat - Cool'!I21</f>
        <v>0.50970323865600009</v>
      </c>
      <c r="S106" s="398">
        <f>'Heat - Cool'!J21</f>
        <v>0.50970323865600009</v>
      </c>
      <c r="T106" s="398">
        <f>'Heat - Cool'!K21</f>
        <v>0.34609479168000001</v>
      </c>
      <c r="U106" s="398">
        <f>'Heat - Cool'!L21</f>
        <v>0.41531375001600002</v>
      </c>
      <c r="V106" s="398">
        <f>'Heat - Cool'!M21</f>
        <v>0.47824007577600003</v>
      </c>
      <c r="W106" s="398">
        <f>'Heat - Cool'!N21</f>
        <v>0.35238742425600006</v>
      </c>
      <c r="X106" s="398">
        <f>'Heat - Cool'!O21</f>
        <v>0.43733796403200004</v>
      </c>
      <c r="Y106" s="398">
        <f>'Heat - Cool'!P21</f>
        <v>0.31777794508800006</v>
      </c>
      <c r="Z106" s="398">
        <f>'Heat - Cool'!Q21</f>
        <v>0.31777794508800006</v>
      </c>
      <c r="AA106" s="398">
        <f>'Heat - Cool'!R21</f>
        <v>0</v>
      </c>
      <c r="AE106" s="379">
        <f t="shared" si="30"/>
        <v>1</v>
      </c>
    </row>
    <row r="107" spans="2:31" ht="15" customHeight="1">
      <c r="B107" s="7" t="s">
        <v>165</v>
      </c>
      <c r="C107" s="13">
        <f>'Heat - Cool'!C22</f>
        <v>0.39627727794708484</v>
      </c>
      <c r="D107" s="3" t="s">
        <v>10</v>
      </c>
      <c r="E107" s="7" t="s">
        <v>166</v>
      </c>
      <c r="F107" s="7" t="str">
        <f>"q=" &amp;TEXT(C107*3600,"0")&amp; "m3/h"</f>
        <v>q=1427m3/h</v>
      </c>
      <c r="H107" s="4" t="s">
        <v>163</v>
      </c>
      <c r="I107" s="7" t="s">
        <v>164</v>
      </c>
      <c r="L107" s="399">
        <f>'Heat - Cool'!C22</f>
        <v>0.39627727794708484</v>
      </c>
      <c r="M107" s="399">
        <f>'Heat - Cool'!D22</f>
        <v>0.3964358522880001</v>
      </c>
      <c r="N107" s="399">
        <f>'Heat - Cool'!E22</f>
        <v>0.3964358522880001</v>
      </c>
      <c r="O107" s="399">
        <f>'Heat - Cool'!F22</f>
        <v>0.59465377843200018</v>
      </c>
      <c r="P107" s="399">
        <f>'Heat - Cool'!G22</f>
        <v>0.3964358522880001</v>
      </c>
      <c r="Q107" s="399">
        <f>'Heat - Cool'!H22</f>
        <v>0.28543381364736009</v>
      </c>
      <c r="R107" s="399">
        <f>'Heat - Cool'!I22</f>
        <v>0.3964358522880001</v>
      </c>
      <c r="S107" s="399">
        <f>'Heat - Cool'!J22</f>
        <v>0.3964358522880001</v>
      </c>
      <c r="T107" s="399">
        <f>'Heat - Cool'!K22</f>
        <v>0.3964358522880001</v>
      </c>
      <c r="U107" s="399">
        <f>'Heat - Cool'!L22</f>
        <v>0.59465377843200018</v>
      </c>
      <c r="V107" s="399">
        <f>'Heat - Cool'!M22</f>
        <v>0.59465377843200018</v>
      </c>
      <c r="W107" s="399">
        <f>'Heat - Cool'!N22</f>
        <v>0.59465377843200018</v>
      </c>
      <c r="X107" s="399">
        <f>'Heat - Cool'!O22</f>
        <v>0.7928717045760002</v>
      </c>
      <c r="Y107" s="399">
        <f>'Heat - Cool'!P22</f>
        <v>0.7928717045760002</v>
      </c>
      <c r="Z107" s="399">
        <f>'Heat - Cool'!Q22</f>
        <v>0.99108963072000011</v>
      </c>
      <c r="AA107" s="399">
        <f>'Heat - Cool'!R22</f>
        <v>0</v>
      </c>
      <c r="AE107" s="379">
        <f t="shared" si="30"/>
        <v>1</v>
      </c>
    </row>
    <row r="108" spans="2:31" ht="15" customHeight="1">
      <c r="B108" s="7" t="s">
        <v>167</v>
      </c>
      <c r="C108" s="11">
        <v>0.60000000000000009</v>
      </c>
      <c r="D108" s="3" t="s">
        <v>10</v>
      </c>
      <c r="E108" s="7" t="s">
        <v>168</v>
      </c>
      <c r="H108" s="4" t="s">
        <v>17</v>
      </c>
      <c r="L108" s="16">
        <f>C108</f>
        <v>0.60000000000000009</v>
      </c>
      <c r="M108" s="16">
        <f>L108</f>
        <v>0.60000000000000009</v>
      </c>
      <c r="N108" s="16">
        <f t="shared" si="37"/>
        <v>0.60000000000000009</v>
      </c>
      <c r="O108" s="16">
        <f t="shared" si="37"/>
        <v>0.60000000000000009</v>
      </c>
      <c r="P108" s="16">
        <f t="shared" si="37"/>
        <v>0.60000000000000009</v>
      </c>
      <c r="Q108" s="16">
        <f t="shared" si="37"/>
        <v>0.60000000000000009</v>
      </c>
      <c r="R108" s="16">
        <f t="shared" si="37"/>
        <v>0.60000000000000009</v>
      </c>
      <c r="S108" s="16">
        <f t="shared" si="37"/>
        <v>0.60000000000000009</v>
      </c>
      <c r="T108" s="16">
        <f t="shared" si="37"/>
        <v>0.60000000000000009</v>
      </c>
      <c r="U108" s="16">
        <f t="shared" si="37"/>
        <v>0.60000000000000009</v>
      </c>
      <c r="V108" s="16">
        <f t="shared" si="37"/>
        <v>0.60000000000000009</v>
      </c>
      <c r="W108" s="16">
        <f t="shared" si="37"/>
        <v>0.60000000000000009</v>
      </c>
      <c r="X108" s="16">
        <f t="shared" si="37"/>
        <v>0.60000000000000009</v>
      </c>
      <c r="Y108" s="16">
        <f t="shared" si="37"/>
        <v>0.60000000000000009</v>
      </c>
      <c r="Z108" s="16">
        <f t="shared" si="37"/>
        <v>0.60000000000000009</v>
      </c>
      <c r="AA108" s="16">
        <f t="shared" si="37"/>
        <v>0.60000000000000009</v>
      </c>
      <c r="AE108" s="379">
        <f t="shared" si="30"/>
        <v>0</v>
      </c>
    </row>
    <row r="109" spans="2:31" ht="15" customHeight="1">
      <c r="B109" s="7" t="s">
        <v>169</v>
      </c>
      <c r="C109" s="11">
        <v>0.60000000000000009</v>
      </c>
      <c r="D109" s="3" t="s">
        <v>10</v>
      </c>
      <c r="E109" s="7" t="s">
        <v>170</v>
      </c>
      <c r="H109" s="4" t="s">
        <v>17</v>
      </c>
      <c r="L109" s="16">
        <f>C109</f>
        <v>0.60000000000000009</v>
      </c>
      <c r="M109" s="16">
        <f>L109</f>
        <v>0.60000000000000009</v>
      </c>
      <c r="N109" s="16">
        <f t="shared" si="37"/>
        <v>0.60000000000000009</v>
      </c>
      <c r="O109" s="16">
        <f t="shared" si="37"/>
        <v>0.60000000000000009</v>
      </c>
      <c r="P109" s="16">
        <f t="shared" si="37"/>
        <v>0.60000000000000009</v>
      </c>
      <c r="Q109" s="16">
        <f t="shared" si="37"/>
        <v>0.60000000000000009</v>
      </c>
      <c r="R109" s="16">
        <f t="shared" si="37"/>
        <v>0.60000000000000009</v>
      </c>
      <c r="S109" s="16">
        <f t="shared" si="37"/>
        <v>0.60000000000000009</v>
      </c>
      <c r="T109" s="16">
        <f t="shared" si="37"/>
        <v>0.60000000000000009</v>
      </c>
      <c r="U109" s="16">
        <f t="shared" si="37"/>
        <v>0.60000000000000009</v>
      </c>
      <c r="V109" s="16">
        <f t="shared" si="37"/>
        <v>0.60000000000000009</v>
      </c>
      <c r="W109" s="16">
        <f t="shared" si="37"/>
        <v>0.60000000000000009</v>
      </c>
      <c r="X109" s="16">
        <f t="shared" si="37"/>
        <v>0.60000000000000009</v>
      </c>
      <c r="Y109" s="16">
        <f t="shared" si="37"/>
        <v>0.60000000000000009</v>
      </c>
      <c r="Z109" s="16">
        <f t="shared" si="37"/>
        <v>0.60000000000000009</v>
      </c>
      <c r="AA109" s="16">
        <f t="shared" si="37"/>
        <v>0.60000000000000009</v>
      </c>
      <c r="AE109" s="379">
        <f t="shared" si="30"/>
        <v>0</v>
      </c>
    </row>
    <row r="110" spans="2:31" ht="15" customHeight="1">
      <c r="B110" s="7" t="s">
        <v>171</v>
      </c>
      <c r="C110" s="12">
        <f>'Heat - Cool'!C25</f>
        <v>4.7888107281846204E-3</v>
      </c>
      <c r="D110" s="3" t="s">
        <v>10</v>
      </c>
      <c r="E110" s="7" t="s">
        <v>172</v>
      </c>
      <c r="H110" s="4" t="s">
        <v>163</v>
      </c>
      <c r="L110" s="25">
        <f>'Heat - Cool'!C25</f>
        <v>4.7888107281846204E-3</v>
      </c>
      <c r="M110" s="25">
        <f>'Heat - Cool'!D25</f>
        <v>2.7706690641639583E-3</v>
      </c>
      <c r="N110" s="25">
        <f>'Heat - Cool'!E25</f>
        <v>4.4125470281129713E-3</v>
      </c>
      <c r="O110" s="25">
        <f>'Heat - Cool'!F25</f>
        <v>2.6680516914171447E-3</v>
      </c>
      <c r="P110" s="25">
        <f>'Heat - Cool'!G25</f>
        <v>3.0785211824043979E-3</v>
      </c>
      <c r="Q110" s="25">
        <f>'Heat - Cool'!H25</f>
        <v>1.1151087838487043E-3</v>
      </c>
      <c r="R110" s="25">
        <f>'Heat - Cool'!I25</f>
        <v>2.2165352513311672E-3</v>
      </c>
      <c r="S110" s="25">
        <f>'Heat - Cool'!J25</f>
        <v>2.2165352513311672E-3</v>
      </c>
      <c r="T110" s="25">
        <f>'Heat - Cool'!K25</f>
        <v>1.5050548002865948E-3</v>
      </c>
      <c r="U110" s="25">
        <f>'Heat - Cool'!L25</f>
        <v>1.8060657603439138E-3</v>
      </c>
      <c r="V110" s="25">
        <f>'Heat - Cool'!M25</f>
        <v>2.0797120876687491E-3</v>
      </c>
      <c r="W110" s="25">
        <f>'Heat - Cool'!N25</f>
        <v>1.5324194330190784E-3</v>
      </c>
      <c r="X110" s="25">
        <f>'Heat - Cool'!O25</f>
        <v>1.9018419749076063E-3</v>
      </c>
      <c r="Y110" s="25">
        <f>'Heat - Cool'!P25</f>
        <v>1.381913952990419E-3</v>
      </c>
      <c r="Z110" s="25">
        <f>'Heat - Cool'!Q25</f>
        <v>1.381913952990419E-3</v>
      </c>
      <c r="AA110" s="25">
        <f>'Heat - Cool'!R25</f>
        <v>0</v>
      </c>
      <c r="AE110" s="379">
        <f t="shared" si="30"/>
        <v>1</v>
      </c>
    </row>
    <row r="111" spans="2:31" ht="15" customHeight="1">
      <c r="B111" s="7" t="s">
        <v>173</v>
      </c>
      <c r="C111" s="12">
        <f>'Heat - Cool'!C26</f>
        <v>4.7888107281846204E-3</v>
      </c>
      <c r="D111" s="3" t="s">
        <v>10</v>
      </c>
      <c r="E111" s="7" t="s">
        <v>174</v>
      </c>
      <c r="H111" s="4" t="s">
        <v>163</v>
      </c>
      <c r="L111" s="25">
        <f>'Heat - Cool'!C26</f>
        <v>4.7888107281846204E-3</v>
      </c>
      <c r="M111" s="25">
        <f>'Heat - Cool'!D26</f>
        <v>2.7706690641639583E-3</v>
      </c>
      <c r="N111" s="25">
        <f>'Heat - Cool'!E26</f>
        <v>4.4125470281129713E-3</v>
      </c>
      <c r="O111" s="25">
        <f>'Heat - Cool'!F26</f>
        <v>2.6680516914171447E-3</v>
      </c>
      <c r="P111" s="25">
        <f>'Heat - Cool'!G26</f>
        <v>3.0785211824043979E-3</v>
      </c>
      <c r="Q111" s="25">
        <f>'Heat - Cool'!H26</f>
        <v>1.1151087838487043E-3</v>
      </c>
      <c r="R111" s="25">
        <f>'Heat - Cool'!I26</f>
        <v>2.2165352513311672E-3</v>
      </c>
      <c r="S111" s="25">
        <f>'Heat - Cool'!J26</f>
        <v>2.2165352513311672E-3</v>
      </c>
      <c r="T111" s="25">
        <f>'Heat - Cool'!K26</f>
        <v>1.5050548002865948E-3</v>
      </c>
      <c r="U111" s="25">
        <f>'Heat - Cool'!L26</f>
        <v>1.8060657603439138E-3</v>
      </c>
      <c r="V111" s="25">
        <f>'Heat - Cool'!M26</f>
        <v>2.0797120876687491E-3</v>
      </c>
      <c r="W111" s="25">
        <f>'Heat - Cool'!N26</f>
        <v>1.5324194330190784E-3</v>
      </c>
      <c r="X111" s="25">
        <f>'Heat - Cool'!O26</f>
        <v>1.9018419749076063E-3</v>
      </c>
      <c r="Y111" s="25">
        <f>'Heat - Cool'!P26</f>
        <v>1.381913952990419E-3</v>
      </c>
      <c r="Z111" s="25">
        <f>'Heat - Cool'!Q26</f>
        <v>1.381913952990419E-3</v>
      </c>
      <c r="AA111" s="25">
        <f>'Heat - Cool'!R26</f>
        <v>0</v>
      </c>
      <c r="AE111" s="379">
        <f t="shared" si="30"/>
        <v>1</v>
      </c>
    </row>
    <row r="112" spans="2:31" ht="15" customHeight="1">
      <c r="B112" s="126" t="s">
        <v>175</v>
      </c>
      <c r="C112" s="157">
        <v>0</v>
      </c>
      <c r="D112" s="158" t="s">
        <v>10</v>
      </c>
      <c r="E112" s="126" t="s">
        <v>176</v>
      </c>
      <c r="H112" s="4" t="s">
        <v>17</v>
      </c>
      <c r="L112" s="16">
        <f>C112</f>
        <v>0</v>
      </c>
      <c r="M112" s="16">
        <f>L112</f>
        <v>0</v>
      </c>
      <c r="N112" s="16">
        <f t="shared" si="37"/>
        <v>0</v>
      </c>
      <c r="O112" s="16">
        <f t="shared" si="37"/>
        <v>0</v>
      </c>
      <c r="P112" s="16">
        <f t="shared" si="37"/>
        <v>0</v>
      </c>
      <c r="Q112" s="16">
        <f t="shared" si="37"/>
        <v>0</v>
      </c>
      <c r="R112" s="16">
        <f t="shared" si="37"/>
        <v>0</v>
      </c>
      <c r="S112" s="16">
        <f t="shared" si="37"/>
        <v>0</v>
      </c>
      <c r="T112" s="16">
        <f t="shared" si="37"/>
        <v>0</v>
      </c>
      <c r="U112" s="16">
        <f t="shared" si="37"/>
        <v>0</v>
      </c>
      <c r="V112" s="16">
        <f t="shared" si="37"/>
        <v>0</v>
      </c>
      <c r="W112" s="16">
        <f t="shared" si="37"/>
        <v>0</v>
      </c>
      <c r="X112" s="16">
        <f t="shared" si="37"/>
        <v>0</v>
      </c>
      <c r="Y112" s="16">
        <f t="shared" si="37"/>
        <v>0</v>
      </c>
      <c r="Z112" s="16">
        <f t="shared" si="37"/>
        <v>0</v>
      </c>
      <c r="AA112" s="16">
        <f t="shared" si="37"/>
        <v>0</v>
      </c>
      <c r="AE112" s="379">
        <f t="shared" si="30"/>
        <v>0</v>
      </c>
    </row>
    <row r="113" spans="1:31" ht="15" customHeight="1">
      <c r="A113" s="139" t="s">
        <v>688</v>
      </c>
      <c r="B113" s="7" t="s">
        <v>578</v>
      </c>
      <c r="C113" s="11">
        <f>'Heat - Cool'!C18</f>
        <v>6</v>
      </c>
      <c r="D113" s="3" t="s">
        <v>10</v>
      </c>
      <c r="E113" s="7" t="s">
        <v>177</v>
      </c>
      <c r="F113" s="7" t="str">
        <f>"= "&amp;TEXT(C113*12*1055/1000,"0.0")&amp;"kJ"</f>
        <v>= 76.0kJ</v>
      </c>
      <c r="H113" s="4" t="s">
        <v>163</v>
      </c>
      <c r="I113" s="7" t="s">
        <v>178</v>
      </c>
      <c r="J113" s="91" t="s">
        <v>996</v>
      </c>
      <c r="L113" s="20">
        <f>'Heat - Cool'!C18</f>
        <v>6</v>
      </c>
      <c r="M113" s="20">
        <f>'Heat - Cool'!D18</f>
        <v>3.5</v>
      </c>
      <c r="N113" s="20">
        <f>'Heat - Cool'!E18</f>
        <v>5.5</v>
      </c>
      <c r="O113" s="20">
        <f>'Heat - Cool'!F18</f>
        <v>3.5</v>
      </c>
      <c r="P113" s="20">
        <f>'Heat - Cool'!G18</f>
        <v>4</v>
      </c>
      <c r="Q113" s="20">
        <f>'Heat - Cool'!H18</f>
        <v>1.5</v>
      </c>
      <c r="R113" s="20">
        <f>'Heat - Cool'!I18</f>
        <v>2.5</v>
      </c>
      <c r="S113" s="20">
        <f>'Heat - Cool'!J18</f>
        <v>2.5</v>
      </c>
      <c r="T113" s="20">
        <f>'Heat - Cool'!K18</f>
        <v>2</v>
      </c>
      <c r="U113" s="20">
        <f>'Heat - Cool'!L18</f>
        <v>2</v>
      </c>
      <c r="V113" s="20">
        <f>'Heat - Cool'!M18</f>
        <v>2.5</v>
      </c>
      <c r="W113" s="20">
        <f>'Heat - Cool'!N18</f>
        <v>2</v>
      </c>
      <c r="X113" s="20">
        <f>'Heat - Cool'!O18</f>
        <v>2.5</v>
      </c>
      <c r="Y113" s="20">
        <f>'Heat - Cool'!P18</f>
        <v>1.5</v>
      </c>
      <c r="Z113" s="20">
        <f>'Heat - Cool'!Q18</f>
        <v>1.5</v>
      </c>
      <c r="AA113" s="20">
        <f>'Heat - Cool'!R18</f>
        <v>0</v>
      </c>
      <c r="AE113" s="379">
        <f t="shared" si="30"/>
        <v>1</v>
      </c>
    </row>
    <row r="114" spans="1:31" ht="15" customHeight="1">
      <c r="B114" s="7" t="s">
        <v>579</v>
      </c>
      <c r="C114" s="11">
        <f>'Heat - Cool'!C19</f>
        <v>72</v>
      </c>
      <c r="D114" s="3" t="s">
        <v>10</v>
      </c>
      <c r="E114" s="7" t="s">
        <v>179</v>
      </c>
      <c r="F114" s="7" t="str">
        <f>"= "&amp;TEXT(C114*1055*1000/(3600)/1000,"0.0")&amp;"kW"</f>
        <v>= 21.1kW</v>
      </c>
      <c r="H114" s="4" t="s">
        <v>163</v>
      </c>
      <c r="J114" s="91"/>
      <c r="L114" s="18">
        <f>'Heat - Cool'!C19</f>
        <v>72</v>
      </c>
      <c r="M114" s="18">
        <f>'Heat - Cool'!D19</f>
        <v>42</v>
      </c>
      <c r="N114" s="18">
        <f>'Heat - Cool'!E19</f>
        <v>66</v>
      </c>
      <c r="O114" s="18">
        <f>'Heat - Cool'!F19</f>
        <v>42</v>
      </c>
      <c r="P114" s="18">
        <f>'Heat - Cool'!G19</f>
        <v>48</v>
      </c>
      <c r="Q114" s="18">
        <f>'Heat - Cool'!H19</f>
        <v>18</v>
      </c>
      <c r="R114" s="18">
        <f>'Heat - Cool'!I19</f>
        <v>30</v>
      </c>
      <c r="S114" s="18">
        <f>'Heat - Cool'!J19</f>
        <v>30</v>
      </c>
      <c r="T114" s="18">
        <f>'Heat - Cool'!K19</f>
        <v>24</v>
      </c>
      <c r="U114" s="18">
        <f>'Heat - Cool'!L19</f>
        <v>24</v>
      </c>
      <c r="V114" s="18">
        <f>'Heat - Cool'!M19</f>
        <v>30</v>
      </c>
      <c r="W114" s="18">
        <f>'Heat - Cool'!N19</f>
        <v>24</v>
      </c>
      <c r="X114" s="18">
        <f>'Heat - Cool'!O19</f>
        <v>30</v>
      </c>
      <c r="Y114" s="18">
        <f>'Heat - Cool'!P19</f>
        <v>18</v>
      </c>
      <c r="Z114" s="18">
        <f>'Heat - Cool'!Q19</f>
        <v>18</v>
      </c>
      <c r="AA114" s="18">
        <f>'Heat - Cool'!R19</f>
        <v>0</v>
      </c>
      <c r="AE114" s="379">
        <f t="shared" si="30"/>
        <v>1</v>
      </c>
    </row>
    <row r="115" spans="1:31" ht="15" customHeight="1">
      <c r="B115" s="7" t="s">
        <v>576</v>
      </c>
      <c r="C115" s="17">
        <f>'Heat - Cool'!B8</f>
        <v>11</v>
      </c>
      <c r="D115" s="3" t="s">
        <v>10</v>
      </c>
      <c r="E115" s="7" t="s">
        <v>180</v>
      </c>
      <c r="F115" s="7" t="s">
        <v>181</v>
      </c>
      <c r="H115" s="4" t="s">
        <v>163</v>
      </c>
      <c r="J115" s="91"/>
      <c r="L115" s="188">
        <f>C115</f>
        <v>11</v>
      </c>
      <c r="M115" s="188">
        <f t="shared" ref="M115:AA115" si="38">L115</f>
        <v>11</v>
      </c>
      <c r="N115" s="188">
        <f t="shared" si="38"/>
        <v>11</v>
      </c>
      <c r="O115" s="188">
        <f t="shared" si="38"/>
        <v>11</v>
      </c>
      <c r="P115" s="188">
        <f t="shared" si="38"/>
        <v>11</v>
      </c>
      <c r="Q115" s="188">
        <f t="shared" si="38"/>
        <v>11</v>
      </c>
      <c r="R115" s="188">
        <f t="shared" si="38"/>
        <v>11</v>
      </c>
      <c r="S115" s="188">
        <f t="shared" si="38"/>
        <v>11</v>
      </c>
      <c r="T115" s="188">
        <f t="shared" si="38"/>
        <v>11</v>
      </c>
      <c r="U115" s="188">
        <f t="shared" si="38"/>
        <v>11</v>
      </c>
      <c r="V115" s="188">
        <f t="shared" si="38"/>
        <v>11</v>
      </c>
      <c r="W115" s="188">
        <f t="shared" si="38"/>
        <v>11</v>
      </c>
      <c r="X115" s="188">
        <f t="shared" si="38"/>
        <v>11</v>
      </c>
      <c r="Y115" s="188">
        <f t="shared" si="38"/>
        <v>11</v>
      </c>
      <c r="Z115" s="188">
        <f t="shared" si="38"/>
        <v>11</v>
      </c>
      <c r="AA115" s="188">
        <f t="shared" si="38"/>
        <v>11</v>
      </c>
      <c r="AE115" s="379">
        <f t="shared" si="30"/>
        <v>0</v>
      </c>
    </row>
    <row r="116" spans="1:31" ht="15" customHeight="1">
      <c r="B116" s="7" t="s">
        <v>577</v>
      </c>
      <c r="C116" s="17">
        <f>'Heat - Cool'!E20</f>
        <v>50</v>
      </c>
      <c r="D116" s="3" t="s">
        <v>10</v>
      </c>
      <c r="E116" s="7" t="s">
        <v>182</v>
      </c>
      <c r="F116" s="7" t="str">
        <f>"= "&amp;TEXT(C116*1055*1000/(3600)/1000,"0.0")&amp;"kW"</f>
        <v>= 14.7kW</v>
      </c>
      <c r="H116" s="4" t="s">
        <v>163</v>
      </c>
      <c r="I116" s="7" t="s">
        <v>164</v>
      </c>
      <c r="J116" s="91"/>
      <c r="L116" s="18">
        <f>'Heat - Cool'!C20</f>
        <v>49.98</v>
      </c>
      <c r="M116" s="18">
        <f>'Heat - Cool'!D20</f>
        <v>50</v>
      </c>
      <c r="N116" s="18">
        <f>'Heat - Cool'!E20</f>
        <v>50</v>
      </c>
      <c r="O116" s="18">
        <f>'Heat - Cool'!F20</f>
        <v>75</v>
      </c>
      <c r="P116" s="18">
        <f>'Heat - Cool'!G20</f>
        <v>50</v>
      </c>
      <c r="Q116" s="18">
        <f>'Heat - Cool'!H20</f>
        <v>36</v>
      </c>
      <c r="R116" s="18">
        <f>'Heat - Cool'!I20</f>
        <v>50</v>
      </c>
      <c r="S116" s="18">
        <f>'Heat - Cool'!J20</f>
        <v>50</v>
      </c>
      <c r="T116" s="18">
        <f>'Heat - Cool'!K20</f>
        <v>50</v>
      </c>
      <c r="U116" s="18">
        <f>'Heat - Cool'!L20</f>
        <v>75</v>
      </c>
      <c r="V116" s="18">
        <f>'Heat - Cool'!M20</f>
        <v>75</v>
      </c>
      <c r="W116" s="18">
        <f>'Heat - Cool'!N20</f>
        <v>75</v>
      </c>
      <c r="X116" s="18">
        <f>'Heat - Cool'!O20</f>
        <v>100</v>
      </c>
      <c r="Y116" s="18">
        <f>'Heat - Cool'!P20</f>
        <v>100</v>
      </c>
      <c r="Z116" s="18">
        <f>'Heat - Cool'!Q20</f>
        <v>124.99999999999999</v>
      </c>
      <c r="AA116" s="18">
        <f>'Heat - Cool'!R20</f>
        <v>0</v>
      </c>
      <c r="AE116" s="379">
        <f t="shared" si="30"/>
        <v>1</v>
      </c>
    </row>
    <row r="117" spans="1:31" ht="15" customHeight="1">
      <c r="B117" s="7" t="s">
        <v>183</v>
      </c>
      <c r="C117" s="17">
        <f>'Heat - Cool'!E24</f>
        <v>84.000000000000028</v>
      </c>
      <c r="D117" s="3" t="s">
        <v>10</v>
      </c>
      <c r="E117" s="7" t="s">
        <v>637</v>
      </c>
      <c r="H117" s="4" t="s">
        <v>163</v>
      </c>
      <c r="I117" s="7" t="s">
        <v>164</v>
      </c>
      <c r="J117" s="91"/>
      <c r="L117" s="396">
        <f>'Heat - Cool'!C24</f>
        <v>83.966400000000007</v>
      </c>
      <c r="M117" s="396">
        <f>'Heat - Cool'!D24</f>
        <v>84.000000000000028</v>
      </c>
      <c r="N117" s="396">
        <f>'Heat - Cool'!E24</f>
        <v>84.000000000000028</v>
      </c>
      <c r="O117" s="396">
        <f>'Heat - Cool'!F24</f>
        <v>126.00000000000003</v>
      </c>
      <c r="P117" s="396">
        <f>'Heat - Cool'!G24</f>
        <v>84.000000000000028</v>
      </c>
      <c r="Q117" s="396">
        <f>'Heat - Cool'!H24</f>
        <v>302.40000000000003</v>
      </c>
      <c r="R117" s="396">
        <f>'Heat - Cool'!I24</f>
        <v>84.000000000000028</v>
      </c>
      <c r="S117" s="396">
        <f>'Heat - Cool'!J24</f>
        <v>84.000000000000028</v>
      </c>
      <c r="T117" s="396">
        <f>'Heat - Cool'!K24</f>
        <v>420</v>
      </c>
      <c r="U117" s="396">
        <f>'Heat - Cool'!L24</f>
        <v>630</v>
      </c>
      <c r="V117" s="396">
        <f>'Heat - Cool'!M24</f>
        <v>630</v>
      </c>
      <c r="W117" s="396">
        <f>'Heat - Cool'!N24</f>
        <v>630</v>
      </c>
      <c r="X117" s="396">
        <f>'Heat - Cool'!O24</f>
        <v>840</v>
      </c>
      <c r="Y117" s="396">
        <f>'Heat - Cool'!P24</f>
        <v>840</v>
      </c>
      <c r="Z117" s="396">
        <f>'Heat - Cool'!Q24</f>
        <v>1050</v>
      </c>
      <c r="AA117" s="396">
        <f>'Heat - Cool'!R24</f>
        <v>0</v>
      </c>
      <c r="AE117" s="379">
        <f t="shared" si="30"/>
        <v>1</v>
      </c>
    </row>
    <row r="118" spans="1:31" ht="15" customHeight="1">
      <c r="B118" s="7" t="s">
        <v>184</v>
      </c>
      <c r="C118" s="17">
        <f>'Heat - Cool'!E23</f>
        <v>1075</v>
      </c>
      <c r="D118" s="3" t="s">
        <v>10</v>
      </c>
      <c r="E118" s="7" t="s">
        <v>638</v>
      </c>
      <c r="H118" s="4" t="s">
        <v>163</v>
      </c>
      <c r="I118" s="7" t="s">
        <v>164</v>
      </c>
      <c r="J118" s="91"/>
      <c r="L118" s="397">
        <f>'Heat - Cool'!C23</f>
        <v>1166.6666666666665</v>
      </c>
      <c r="M118" s="397">
        <f>'Heat - Cool'!D23</f>
        <v>674.99999999999989</v>
      </c>
      <c r="N118" s="397">
        <f>'Heat - Cool'!E23</f>
        <v>1075</v>
      </c>
      <c r="O118" s="397">
        <f>'Heat - Cool'!F23</f>
        <v>649.99999999999989</v>
      </c>
      <c r="P118" s="397">
        <f>'Heat - Cool'!G23</f>
        <v>749.99999999999989</v>
      </c>
      <c r="Q118" s="397">
        <f>'Heat - Cool'!H23</f>
        <v>54.333333333333336</v>
      </c>
      <c r="R118" s="397">
        <f>'Heat - Cool'!I23</f>
        <v>540</v>
      </c>
      <c r="S118" s="397">
        <f>'Heat - Cool'!J23</f>
        <v>540</v>
      </c>
      <c r="T118" s="397">
        <f>'Heat - Cool'!K23</f>
        <v>73.333333333333329</v>
      </c>
      <c r="U118" s="397">
        <f>'Heat - Cool'!L23</f>
        <v>87.999999999999986</v>
      </c>
      <c r="V118" s="397">
        <f>'Heat - Cool'!M23</f>
        <v>101.33333333333333</v>
      </c>
      <c r="W118" s="397">
        <f>'Heat - Cool'!N23</f>
        <v>74.666666666666657</v>
      </c>
      <c r="X118" s="397">
        <f>'Heat - Cool'!O23</f>
        <v>92.666666666666657</v>
      </c>
      <c r="Y118" s="397">
        <f>'Heat - Cool'!P23</f>
        <v>67.333333333333329</v>
      </c>
      <c r="Z118" s="397">
        <f>'Heat - Cool'!Q23</f>
        <v>67.333333333333329</v>
      </c>
      <c r="AA118" s="397">
        <f>'Heat - Cool'!R23</f>
        <v>0</v>
      </c>
      <c r="AE118" s="379">
        <f t="shared" si="30"/>
        <v>1</v>
      </c>
    </row>
    <row r="119" spans="1:31" ht="15" customHeight="1">
      <c r="B119" s="7" t="s">
        <v>580</v>
      </c>
      <c r="C119" s="11">
        <v>1</v>
      </c>
      <c r="D119" s="236" t="s">
        <v>10</v>
      </c>
      <c r="E119" s="7" t="s">
        <v>639</v>
      </c>
      <c r="H119" s="4" t="s">
        <v>17</v>
      </c>
      <c r="J119" s="91"/>
      <c r="L119" s="16">
        <f>C119</f>
        <v>1</v>
      </c>
      <c r="M119" s="16">
        <f t="shared" ref="M119:AA119" si="39">L119</f>
        <v>1</v>
      </c>
      <c r="N119" s="16">
        <f t="shared" si="39"/>
        <v>1</v>
      </c>
      <c r="O119" s="16">
        <f t="shared" si="39"/>
        <v>1</v>
      </c>
      <c r="P119" s="16">
        <f t="shared" si="39"/>
        <v>1</v>
      </c>
      <c r="Q119" s="16">
        <f t="shared" si="39"/>
        <v>1</v>
      </c>
      <c r="R119" s="16">
        <f t="shared" si="39"/>
        <v>1</v>
      </c>
      <c r="S119" s="16">
        <f t="shared" si="39"/>
        <v>1</v>
      </c>
      <c r="T119" s="16">
        <f t="shared" si="39"/>
        <v>1</v>
      </c>
      <c r="U119" s="16">
        <f t="shared" si="39"/>
        <v>1</v>
      </c>
      <c r="V119" s="16">
        <f t="shared" si="39"/>
        <v>1</v>
      </c>
      <c r="W119" s="16">
        <f t="shared" si="39"/>
        <v>1</v>
      </c>
      <c r="X119" s="16">
        <f t="shared" si="39"/>
        <v>1</v>
      </c>
      <c r="Y119" s="16">
        <f t="shared" si="39"/>
        <v>1</v>
      </c>
      <c r="Z119" s="16">
        <f t="shared" si="39"/>
        <v>1</v>
      </c>
      <c r="AA119" s="16">
        <f t="shared" si="39"/>
        <v>1</v>
      </c>
      <c r="AE119" s="379">
        <f t="shared" si="30"/>
        <v>0</v>
      </c>
    </row>
    <row r="120" spans="1:31" ht="15" customHeight="1">
      <c r="A120" s="263" t="s">
        <v>470</v>
      </c>
      <c r="B120" s="232" t="s">
        <v>634</v>
      </c>
      <c r="C120" s="233">
        <f>'Heat - Cool'!B12</f>
        <v>0.8</v>
      </c>
      <c r="D120" s="234" t="str">
        <f>IF(AND(C120&gt;0,C120&lt;=1), "ok", "check")</f>
        <v>ok</v>
      </c>
      <c r="E120" s="232" t="s">
        <v>635</v>
      </c>
      <c r="L120" s="26">
        <f t="shared" ref="L120:AA120" si="40">$C$120</f>
        <v>0.8</v>
      </c>
      <c r="M120" s="26">
        <f t="shared" si="40"/>
        <v>0.8</v>
      </c>
      <c r="N120" s="26">
        <f t="shared" si="40"/>
        <v>0.8</v>
      </c>
      <c r="O120" s="26">
        <f t="shared" si="40"/>
        <v>0.8</v>
      </c>
      <c r="P120" s="26">
        <f t="shared" si="40"/>
        <v>0.8</v>
      </c>
      <c r="Q120" s="26">
        <f t="shared" si="40"/>
        <v>0.8</v>
      </c>
      <c r="R120" s="26">
        <f t="shared" si="40"/>
        <v>0.8</v>
      </c>
      <c r="S120" s="26">
        <f t="shared" si="40"/>
        <v>0.8</v>
      </c>
      <c r="T120" s="26">
        <f t="shared" si="40"/>
        <v>0.8</v>
      </c>
      <c r="U120" s="26">
        <f t="shared" si="40"/>
        <v>0.8</v>
      </c>
      <c r="V120" s="26">
        <f t="shared" si="40"/>
        <v>0.8</v>
      </c>
      <c r="W120" s="26">
        <f t="shared" si="40"/>
        <v>0.8</v>
      </c>
      <c r="X120" s="26">
        <f t="shared" si="40"/>
        <v>0.8</v>
      </c>
      <c r="Y120" s="26">
        <f t="shared" si="40"/>
        <v>0.8</v>
      </c>
      <c r="Z120" s="26">
        <f t="shared" si="40"/>
        <v>0.8</v>
      </c>
      <c r="AA120" s="26">
        <f t="shared" si="40"/>
        <v>0.8</v>
      </c>
      <c r="AE120" s="379">
        <f t="shared" si="30"/>
        <v>0</v>
      </c>
    </row>
    <row r="121" spans="1:31" ht="15" customHeight="1">
      <c r="A121" s="263" t="s">
        <v>714</v>
      </c>
      <c r="B121" s="232" t="s">
        <v>840</v>
      </c>
      <c r="C121" s="233">
        <v>2</v>
      </c>
      <c r="D121" s="234" t="str">
        <f>IF(AND(C121&gt;=0,C121&lt;=3), "ok", "check")</f>
        <v>ok</v>
      </c>
      <c r="E121" s="232" t="s">
        <v>841</v>
      </c>
      <c r="L121" s="26">
        <f>$C$121</f>
        <v>2</v>
      </c>
      <c r="M121" s="26">
        <f t="shared" ref="M121:AA121" si="41">$C$121</f>
        <v>2</v>
      </c>
      <c r="N121" s="26">
        <f t="shared" si="41"/>
        <v>2</v>
      </c>
      <c r="O121" s="26">
        <f t="shared" si="41"/>
        <v>2</v>
      </c>
      <c r="P121" s="26">
        <f t="shared" si="41"/>
        <v>2</v>
      </c>
      <c r="Q121" s="26">
        <f t="shared" si="41"/>
        <v>2</v>
      </c>
      <c r="R121" s="26">
        <f t="shared" si="41"/>
        <v>2</v>
      </c>
      <c r="S121" s="26">
        <f t="shared" si="41"/>
        <v>2</v>
      </c>
      <c r="T121" s="26">
        <f t="shared" si="41"/>
        <v>2</v>
      </c>
      <c r="U121" s="26">
        <f t="shared" si="41"/>
        <v>2</v>
      </c>
      <c r="V121" s="26">
        <f t="shared" si="41"/>
        <v>2</v>
      </c>
      <c r="W121" s="26">
        <f t="shared" si="41"/>
        <v>2</v>
      </c>
      <c r="X121" s="26">
        <f t="shared" si="41"/>
        <v>2</v>
      </c>
      <c r="Y121" s="26">
        <f t="shared" si="41"/>
        <v>2</v>
      </c>
      <c r="Z121" s="26">
        <f t="shared" si="41"/>
        <v>2</v>
      </c>
      <c r="AA121" s="26">
        <f t="shared" si="41"/>
        <v>2</v>
      </c>
      <c r="AE121" s="379">
        <f t="shared" si="30"/>
        <v>0</v>
      </c>
    </row>
    <row r="122" spans="1:31" ht="15" customHeight="1">
      <c r="A122" s="263" t="s">
        <v>842</v>
      </c>
      <c r="B122" s="232" t="s">
        <v>843</v>
      </c>
      <c r="C122" s="233">
        <v>3</v>
      </c>
      <c r="D122" s="234"/>
      <c r="E122" s="232" t="s">
        <v>844</v>
      </c>
      <c r="L122" s="26">
        <f>$C$122</f>
        <v>3</v>
      </c>
      <c r="M122" s="26">
        <f t="shared" ref="M122:AA122" si="42">$C$122</f>
        <v>3</v>
      </c>
      <c r="N122" s="26">
        <f t="shared" si="42"/>
        <v>3</v>
      </c>
      <c r="O122" s="26">
        <f t="shared" si="42"/>
        <v>3</v>
      </c>
      <c r="P122" s="26">
        <f t="shared" si="42"/>
        <v>3</v>
      </c>
      <c r="Q122" s="26">
        <f t="shared" si="42"/>
        <v>3</v>
      </c>
      <c r="R122" s="26">
        <f t="shared" si="42"/>
        <v>3</v>
      </c>
      <c r="S122" s="26">
        <f t="shared" si="42"/>
        <v>3</v>
      </c>
      <c r="T122" s="26">
        <f t="shared" si="42"/>
        <v>3</v>
      </c>
      <c r="U122" s="26">
        <f t="shared" si="42"/>
        <v>3</v>
      </c>
      <c r="V122" s="26">
        <f t="shared" si="42"/>
        <v>3</v>
      </c>
      <c r="W122" s="26">
        <f t="shared" si="42"/>
        <v>3</v>
      </c>
      <c r="X122" s="26">
        <f t="shared" si="42"/>
        <v>3</v>
      </c>
      <c r="Y122" s="26">
        <f t="shared" si="42"/>
        <v>3</v>
      </c>
      <c r="Z122" s="26">
        <f t="shared" si="42"/>
        <v>3</v>
      </c>
      <c r="AA122" s="26">
        <f t="shared" si="42"/>
        <v>3</v>
      </c>
      <c r="AE122" s="379">
        <f t="shared" si="30"/>
        <v>0</v>
      </c>
    </row>
    <row r="123" spans="1:31" ht="15" customHeight="1">
      <c r="A123" s="264" t="s">
        <v>845</v>
      </c>
      <c r="B123" s="77" t="s">
        <v>916</v>
      </c>
      <c r="C123" s="26">
        <v>1</v>
      </c>
      <c r="E123" s="77" t="s">
        <v>917</v>
      </c>
      <c r="L123" s="26">
        <f>C123</f>
        <v>1</v>
      </c>
      <c r="M123" s="26">
        <f>L123</f>
        <v>1</v>
      </c>
      <c r="N123" s="26">
        <f t="shared" ref="N123:AA123" si="43">M123</f>
        <v>1</v>
      </c>
      <c r="O123" s="26">
        <f t="shared" si="43"/>
        <v>1</v>
      </c>
      <c r="P123" s="26">
        <f t="shared" si="43"/>
        <v>1</v>
      </c>
      <c r="Q123" s="26">
        <f t="shared" si="43"/>
        <v>1</v>
      </c>
      <c r="R123" s="26">
        <f t="shared" si="43"/>
        <v>1</v>
      </c>
      <c r="S123" s="26">
        <f t="shared" si="43"/>
        <v>1</v>
      </c>
      <c r="T123" s="26">
        <f t="shared" si="43"/>
        <v>1</v>
      </c>
      <c r="U123" s="26">
        <f t="shared" si="43"/>
        <v>1</v>
      </c>
      <c r="V123" s="26">
        <f t="shared" si="43"/>
        <v>1</v>
      </c>
      <c r="W123" s="26">
        <f t="shared" si="43"/>
        <v>1</v>
      </c>
      <c r="X123" s="26">
        <f t="shared" si="43"/>
        <v>1</v>
      </c>
      <c r="Y123" s="26">
        <f t="shared" si="43"/>
        <v>1</v>
      </c>
      <c r="Z123" s="26">
        <f t="shared" si="43"/>
        <v>1</v>
      </c>
      <c r="AA123" s="26">
        <f t="shared" si="43"/>
        <v>1</v>
      </c>
      <c r="AE123" s="379">
        <f t="shared" si="30"/>
        <v>0</v>
      </c>
    </row>
    <row r="124" spans="1:31" ht="15" customHeight="1">
      <c r="A124" s="183" t="s">
        <v>846</v>
      </c>
      <c r="B124" s="182" t="s">
        <v>847</v>
      </c>
      <c r="C124" s="221">
        <f>L124</f>
        <v>0.43</v>
      </c>
      <c r="E124" s="182" t="s">
        <v>848</v>
      </c>
      <c r="L124" s="221">
        <f>Weather!B5</f>
        <v>0.43</v>
      </c>
      <c r="M124" s="221">
        <f>Weather!C5</f>
        <v>0.44</v>
      </c>
      <c r="N124" s="221">
        <f>Weather!D5</f>
        <v>0.46</v>
      </c>
      <c r="O124" s="221">
        <f>Weather!E5</f>
        <v>0.48</v>
      </c>
      <c r="P124" s="221">
        <f>Weather!F5</f>
        <v>0.6</v>
      </c>
      <c r="Q124" s="221">
        <f>Weather!G5</f>
        <v>0.49</v>
      </c>
      <c r="R124" s="221">
        <f>Weather!H5</f>
        <v>0.55000000000000004</v>
      </c>
      <c r="S124" s="221">
        <f>Weather!I5</f>
        <v>0.55000000000000004</v>
      </c>
      <c r="T124" s="221">
        <f>Weather!J5</f>
        <v>0.6</v>
      </c>
      <c r="U124" s="221">
        <f>Weather!K5</f>
        <v>0.56000000000000005</v>
      </c>
      <c r="V124" s="221">
        <f>Weather!L5</f>
        <v>0.53</v>
      </c>
      <c r="W124" s="221">
        <f>Weather!M5</f>
        <v>0.62</v>
      </c>
      <c r="X124" s="221">
        <f>Weather!N5</f>
        <v>0.71</v>
      </c>
      <c r="Y124" s="221">
        <f>Weather!O5</f>
        <v>0</v>
      </c>
      <c r="Z124" s="221">
        <f>Weather!P5</f>
        <v>0</v>
      </c>
      <c r="AA124" s="221">
        <f>Weather!Q5</f>
        <v>0</v>
      </c>
      <c r="AE124" s="379">
        <f t="shared" si="30"/>
        <v>1</v>
      </c>
    </row>
    <row r="128" spans="1:31" ht="15" customHeight="1">
      <c r="K128" s="183" t="s">
        <v>999</v>
      </c>
      <c r="L128" s="336" t="s">
        <v>883</v>
      </c>
      <c r="M128" s="388" t="s">
        <v>824</v>
      </c>
      <c r="N128" s="388" t="s">
        <v>825</v>
      </c>
      <c r="O128" s="388" t="s">
        <v>826</v>
      </c>
      <c r="P128" s="388" t="s">
        <v>827</v>
      </c>
      <c r="Q128" s="388" t="s">
        <v>828</v>
      </c>
      <c r="R128" s="388" t="s">
        <v>829</v>
      </c>
      <c r="S128" s="388" t="s">
        <v>830</v>
      </c>
      <c r="T128" s="388" t="s">
        <v>831</v>
      </c>
      <c r="U128" s="388" t="s">
        <v>832</v>
      </c>
      <c r="V128" s="388" t="s">
        <v>833</v>
      </c>
      <c r="W128" s="388" t="s">
        <v>834</v>
      </c>
      <c r="X128" s="388" t="s">
        <v>835</v>
      </c>
      <c r="Y128" s="388">
        <v>7</v>
      </c>
      <c r="Z128" s="336">
        <v>8</v>
      </c>
    </row>
  </sheetData>
  <conditionalFormatting sqref="AE3:AE124">
    <cfRule type="cellIs" dxfId="0" priority="1" operator="greaterThan">
      <formula>0</formula>
    </cfRule>
  </conditionalFormatting>
  <hyperlinks>
    <hyperlink ref="G28" r:id="rId1"/>
  </hyperlinks>
  <pageMargins left="0.7" right="0.7" top="0.75" bottom="0.75" header="0.51180555555555551" footer="0.51180555555555551"/>
  <pageSetup firstPageNumber="0" orientation="portrait" horizontalDpi="300" verticalDpi="3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M36"/>
  <sheetViews>
    <sheetView zoomScale="85" zoomScaleNormal="85" workbookViewId="0">
      <selection activeCell="K16" sqref="K16"/>
    </sheetView>
  </sheetViews>
  <sheetFormatPr defaultRowHeight="15" customHeight="1"/>
  <cols>
    <col min="1" max="1" width="18.7109375" style="7" customWidth="1"/>
    <col min="2" max="2" width="8" style="7" customWidth="1"/>
    <col min="3" max="3" width="3.42578125" style="7" customWidth="1"/>
    <col min="4" max="4" width="6.85546875" style="7" customWidth="1"/>
    <col min="5" max="5" width="8.140625" style="7" bestFit="1" customWidth="1"/>
    <col min="6" max="6" width="29.28515625" style="7" bestFit="1" customWidth="1"/>
    <col min="7" max="7" width="27.42578125" style="7" bestFit="1" customWidth="1"/>
    <col min="8" max="8" width="5.7109375" style="7" customWidth="1"/>
    <col min="9" max="9" width="3.140625" style="7" customWidth="1"/>
    <col min="10" max="10" width="6.85546875" style="7" customWidth="1"/>
    <col min="11" max="11" width="8.140625" style="7" customWidth="1"/>
    <col min="12" max="16384" width="9.140625" style="7"/>
  </cols>
  <sheetData>
    <row r="1" spans="1:13" ht="15" customHeight="1">
      <c r="A1" s="183" t="s">
        <v>185</v>
      </c>
      <c r="B1" s="5"/>
      <c r="C1" s="5"/>
      <c r="D1" s="5"/>
      <c r="E1" s="5"/>
      <c r="G1" s="5" t="s">
        <v>186</v>
      </c>
      <c r="M1" s="5"/>
    </row>
    <row r="2" spans="1:13" ht="15" customHeight="1">
      <c r="A2" s="184" t="s">
        <v>708</v>
      </c>
    </row>
    <row r="3" spans="1:13" ht="15" customHeight="1">
      <c r="A3" s="185" t="s">
        <v>709</v>
      </c>
    </row>
    <row r="4" spans="1:13" ht="15" customHeight="1">
      <c r="A4" s="130" t="s">
        <v>187</v>
      </c>
      <c r="B4" s="131" t="s">
        <v>188</v>
      </c>
      <c r="C4" s="131" t="s">
        <v>189</v>
      </c>
      <c r="D4" s="131" t="s">
        <v>190</v>
      </c>
      <c r="E4" s="131" t="s">
        <v>189</v>
      </c>
      <c r="F4" s="7" t="s">
        <v>5</v>
      </c>
      <c r="G4" s="111"/>
      <c r="H4" s="131" t="s">
        <v>188</v>
      </c>
      <c r="I4" s="131" t="s">
        <v>189</v>
      </c>
      <c r="J4" s="131" t="s">
        <v>190</v>
      </c>
      <c r="K4" s="131" t="s">
        <v>189</v>
      </c>
    </row>
    <row r="5" spans="1:13" ht="15" customHeight="1">
      <c r="A5" s="116" t="s">
        <v>798</v>
      </c>
      <c r="B5" s="401">
        <v>2</v>
      </c>
      <c r="C5" s="359"/>
      <c r="D5" s="402">
        <v>2</v>
      </c>
      <c r="E5" s="7" t="s">
        <v>17</v>
      </c>
      <c r="G5" s="190" t="s">
        <v>610</v>
      </c>
      <c r="H5" s="77">
        <v>200</v>
      </c>
      <c r="I5" s="77" t="s">
        <v>196</v>
      </c>
      <c r="J5" s="237">
        <f>H5*0.3048^2</f>
        <v>18.580608000000002</v>
      </c>
      <c r="K5" s="77" t="s">
        <v>702</v>
      </c>
    </row>
    <row r="6" spans="1:13" ht="15" customHeight="1">
      <c r="A6" s="116" t="s">
        <v>191</v>
      </c>
      <c r="B6" s="402">
        <v>35</v>
      </c>
      <c r="C6" s="360" t="s">
        <v>192</v>
      </c>
      <c r="D6" s="403">
        <v>10.668000000000001</v>
      </c>
      <c r="E6" s="77" t="s">
        <v>193</v>
      </c>
      <c r="F6" s="182" t="s">
        <v>706</v>
      </c>
      <c r="G6" s="190" t="s">
        <v>611</v>
      </c>
      <c r="H6" s="77">
        <v>240</v>
      </c>
      <c r="I6" s="77" t="s">
        <v>196</v>
      </c>
      <c r="J6" s="237">
        <f>H6*0.3048^2</f>
        <v>22.296729600000003</v>
      </c>
      <c r="K6" s="77" t="s">
        <v>702</v>
      </c>
    </row>
    <row r="7" spans="1:13" ht="15" customHeight="1">
      <c r="A7" s="116" t="s">
        <v>194</v>
      </c>
      <c r="B7" s="402">
        <v>30</v>
      </c>
      <c r="C7" s="360" t="s">
        <v>192</v>
      </c>
      <c r="D7" s="403">
        <v>9.1440000000000001</v>
      </c>
      <c r="E7" s="77" t="s">
        <v>193</v>
      </c>
      <c r="F7" s="181"/>
      <c r="G7" s="77"/>
      <c r="H7" s="77"/>
      <c r="I7" s="77"/>
      <c r="J7" s="77"/>
      <c r="K7" s="77"/>
    </row>
    <row r="8" spans="1:13" ht="15" customHeight="1">
      <c r="A8" s="116" t="s">
        <v>195</v>
      </c>
      <c r="B8" s="361">
        <f>B5*B6*B7</f>
        <v>2100</v>
      </c>
      <c r="C8" s="360" t="s">
        <v>703</v>
      </c>
      <c r="D8" s="361">
        <f>L_houseSI*W_houseSI*storeys</f>
        <v>195.09638400000003</v>
      </c>
      <c r="E8" s="77" t="s">
        <v>702</v>
      </c>
      <c r="F8" s="181"/>
      <c r="G8" s="190" t="s">
        <v>720</v>
      </c>
      <c r="H8" s="387">
        <f>H9+1</f>
        <v>4</v>
      </c>
      <c r="I8" s="77"/>
      <c r="J8" s="77"/>
      <c r="K8" s="77"/>
    </row>
    <row r="9" spans="1:13" ht="15" customHeight="1">
      <c r="A9" s="116" t="s">
        <v>701</v>
      </c>
      <c r="B9" s="402">
        <f>IF(B5=1,A_houseFT,A_houseFT/B5)</f>
        <v>1050</v>
      </c>
      <c r="C9" s="360" t="s">
        <v>703</v>
      </c>
      <c r="D9" s="404">
        <f>IF(storeys=1,A_houseSI,A_houseSI/storeys)</f>
        <v>97.548192000000014</v>
      </c>
      <c r="E9" s="77" t="s">
        <v>702</v>
      </c>
      <c r="F9" s="181"/>
      <c r="G9" s="190" t="s">
        <v>743</v>
      </c>
      <c r="H9" s="402">
        <v>3</v>
      </c>
      <c r="I9" s="77"/>
      <c r="J9" s="77"/>
      <c r="K9" s="77"/>
    </row>
    <row r="10" spans="1:13" ht="15" customHeight="1">
      <c r="A10" s="116" t="s">
        <v>198</v>
      </c>
      <c r="B10" s="402">
        <f>IF(B5=2,A_houseFT/B5,0)</f>
        <v>1050</v>
      </c>
      <c r="C10" s="360" t="s">
        <v>703</v>
      </c>
      <c r="D10" s="404">
        <f>IF(storeys=2,A_houseSI/storeys,0)</f>
        <v>97.548192000000014</v>
      </c>
      <c r="E10" s="77" t="s">
        <v>702</v>
      </c>
      <c r="F10" s="181"/>
    </row>
    <row r="11" spans="1:13" ht="15" customHeight="1">
      <c r="A11" s="116" t="s">
        <v>199</v>
      </c>
      <c r="B11" s="362">
        <f>2*B6+2*B7</f>
        <v>130</v>
      </c>
      <c r="C11" s="360" t="s">
        <v>192</v>
      </c>
      <c r="D11" s="363">
        <f>2*L_houseSI+2*W_houseSI</f>
        <v>39.624000000000002</v>
      </c>
      <c r="E11" s="77" t="s">
        <v>193</v>
      </c>
      <c r="F11" s="181"/>
    </row>
    <row r="12" spans="1:13" ht="15" customHeight="1">
      <c r="A12" s="116" t="s">
        <v>200</v>
      </c>
      <c r="B12" s="402"/>
      <c r="C12" s="360"/>
      <c r="D12" s="402">
        <v>0.30000000000000004</v>
      </c>
      <c r="E12" s="77" t="s">
        <v>193</v>
      </c>
      <c r="F12" s="181"/>
    </row>
    <row r="13" spans="1:13" ht="15" customHeight="1">
      <c r="A13" s="116" t="s">
        <v>201</v>
      </c>
      <c r="B13" s="402"/>
      <c r="C13" s="360"/>
      <c r="D13" s="402">
        <v>2.5</v>
      </c>
      <c r="E13" s="77" t="s">
        <v>193</v>
      </c>
      <c r="F13" s="181"/>
    </row>
    <row r="14" spans="1:13" ht="15" customHeight="1">
      <c r="A14" s="116" t="s">
        <v>202</v>
      </c>
      <c r="B14" s="402"/>
      <c r="C14" s="360"/>
      <c r="D14" s="402">
        <v>0.15</v>
      </c>
      <c r="E14" s="77" t="s">
        <v>193</v>
      </c>
      <c r="F14" s="181"/>
    </row>
    <row r="15" spans="1:13" ht="15" customHeight="1">
      <c r="A15" s="116" t="s">
        <v>203</v>
      </c>
      <c r="B15" s="387"/>
      <c r="C15" s="360"/>
      <c r="D15" s="387">
        <f>D12+(D13*storeys)+D14</f>
        <v>5.45</v>
      </c>
      <c r="E15" s="77" t="s">
        <v>193</v>
      </c>
      <c r="F15" s="181"/>
      <c r="G15" s="7" t="s">
        <v>204</v>
      </c>
    </row>
    <row r="16" spans="1:13" ht="15" customHeight="1">
      <c r="A16" s="116" t="s">
        <v>205</v>
      </c>
      <c r="B16" s="403">
        <f>0.2*A_houseSI</f>
        <v>39.019276800000007</v>
      </c>
      <c r="C16" s="360"/>
      <c r="D16" s="403">
        <f>0.2*A_houseSI</f>
        <v>39.019276800000007</v>
      </c>
      <c r="E16" s="77" t="s">
        <v>197</v>
      </c>
      <c r="F16" s="182" t="s">
        <v>707</v>
      </c>
      <c r="G16" s="7" t="s">
        <v>206</v>
      </c>
    </row>
    <row r="17" spans="1:8" ht="15" customHeight="1">
      <c r="A17" s="116" t="s">
        <v>207</v>
      </c>
      <c r="B17" s="402"/>
      <c r="C17" s="360"/>
      <c r="D17" s="402">
        <v>1.54</v>
      </c>
      <c r="E17" s="77" t="s">
        <v>17</v>
      </c>
      <c r="F17" s="431" t="s">
        <v>1001</v>
      </c>
      <c r="H17"/>
    </row>
    <row r="18" spans="1:8" ht="15" customHeight="1">
      <c r="A18" s="116" t="s">
        <v>208</v>
      </c>
      <c r="B18" s="401"/>
      <c r="C18" s="359"/>
      <c r="D18" s="403">
        <v>261.42915456000003</v>
      </c>
      <c r="E18" s="7" t="s">
        <v>197</v>
      </c>
      <c r="F18" s="431" t="s">
        <v>1001</v>
      </c>
      <c r="G18" s="7">
        <f>((D11*D13*storeys))-A_windowSI</f>
        <v>159.1007232</v>
      </c>
    </row>
    <row r="19" spans="1:8" ht="15" customHeight="1">
      <c r="A19" s="116" t="s">
        <v>209</v>
      </c>
      <c r="B19" s="405"/>
      <c r="C19" s="359"/>
      <c r="D19" s="361">
        <f>A_houseSI*D13</f>
        <v>487.74096000000009</v>
      </c>
      <c r="E19" s="7" t="s">
        <v>210</v>
      </c>
      <c r="F19" s="181"/>
    </row>
    <row r="20" spans="1:8" ht="15" customHeight="1">
      <c r="B20" s="387"/>
    </row>
    <row r="21" spans="1:8" ht="15" customHeight="1">
      <c r="A21" s="130" t="s">
        <v>211</v>
      </c>
      <c r="B21" s="131" t="s">
        <v>188</v>
      </c>
      <c r="C21" s="131" t="s">
        <v>189</v>
      </c>
      <c r="D21" s="131" t="s">
        <v>190</v>
      </c>
      <c r="E21" s="131" t="s">
        <v>189</v>
      </c>
      <c r="F21" s="181"/>
    </row>
    <row r="22" spans="1:8" ht="15" customHeight="1">
      <c r="A22" s="116" t="s">
        <v>212</v>
      </c>
      <c r="B22" s="366">
        <v>0.17500000000000004</v>
      </c>
      <c r="C22" s="365" t="s">
        <v>17</v>
      </c>
      <c r="D22" s="403">
        <v>18.43494882292201</v>
      </c>
      <c r="E22" s="7" t="s">
        <v>213</v>
      </c>
      <c r="F22" s="182" t="s">
        <v>755</v>
      </c>
    </row>
    <row r="23" spans="1:8" ht="15" customHeight="1">
      <c r="A23" s="116" t="s">
        <v>214</v>
      </c>
      <c r="B23" s="364"/>
      <c r="C23" s="364"/>
      <c r="D23" s="7">
        <f>TAN(RADIANS(D22))*(D7/2)</f>
        <v>1.524</v>
      </c>
      <c r="E23" s="7" t="s">
        <v>193</v>
      </c>
    </row>
    <row r="24" spans="1:8" ht="15" customHeight="1">
      <c r="A24" s="116" t="s">
        <v>215</v>
      </c>
      <c r="B24" s="364"/>
      <c r="C24" s="364"/>
      <c r="D24" s="363">
        <f>0.5*(W_houseSI/2)*D23*2*L_houseSI</f>
        <v>74.33172230400001</v>
      </c>
      <c r="E24" s="7" t="s">
        <v>704</v>
      </c>
      <c r="F24" s="7">
        <v>49.6</v>
      </c>
    </row>
    <row r="25" spans="1:8" ht="15" customHeight="1">
      <c r="A25" s="116" t="s">
        <v>216</v>
      </c>
      <c r="B25" s="364"/>
      <c r="C25" s="364"/>
      <c r="D25" s="363">
        <f>H_soffitSI+D23</f>
        <v>6.9740000000000002</v>
      </c>
      <c r="E25" s="7" t="s">
        <v>193</v>
      </c>
    </row>
    <row r="26" spans="1:8" ht="15" customHeight="1">
      <c r="A26" s="116" t="s">
        <v>217</v>
      </c>
      <c r="B26" s="364"/>
      <c r="C26" s="364"/>
      <c r="D26" s="363">
        <f>H_soffitSI+(0.5*D23)</f>
        <v>6.2119999999999997</v>
      </c>
      <c r="E26" s="7" t="s">
        <v>193</v>
      </c>
      <c r="F26" s="7" t="s">
        <v>717</v>
      </c>
      <c r="H26" s="46"/>
    </row>
    <row r="27" spans="1:8" ht="15" customHeight="1">
      <c r="A27" s="116" t="s">
        <v>218</v>
      </c>
      <c r="B27" s="364"/>
      <c r="C27" s="364"/>
      <c r="D27" s="402">
        <v>0.3</v>
      </c>
      <c r="E27" s="7" t="s">
        <v>193</v>
      </c>
      <c r="F27" s="7" t="s">
        <v>219</v>
      </c>
      <c r="G27" s="7" t="s">
        <v>220</v>
      </c>
    </row>
    <row r="28" spans="1:8" ht="15" customHeight="1">
      <c r="A28" s="116" t="s">
        <v>221</v>
      </c>
      <c r="B28" s="364"/>
      <c r="C28" s="364"/>
      <c r="D28" s="363">
        <f>H_peak</f>
        <v>6.9740000000000002</v>
      </c>
      <c r="E28" s="7" t="s">
        <v>193</v>
      </c>
      <c r="G28" s="7" t="s">
        <v>222</v>
      </c>
    </row>
    <row r="29" spans="1:8" ht="15" customHeight="1">
      <c r="A29" s="116" t="s">
        <v>582</v>
      </c>
      <c r="B29" s="364"/>
      <c r="C29" s="364"/>
      <c r="D29" s="402">
        <v>0.5</v>
      </c>
      <c r="E29" s="7" t="s">
        <v>193</v>
      </c>
    </row>
    <row r="30" spans="1:8" ht="15" customHeight="1">
      <c r="A30" s="182" t="s">
        <v>757</v>
      </c>
      <c r="B30" s="365"/>
      <c r="C30" s="364"/>
      <c r="D30" s="7">
        <f>(((W_houseSI/2+overhang)^2+(D23^2))^0.5)*(L_houseSI+2*overhang)*2</f>
        <v>123.58777325639039</v>
      </c>
      <c r="E30" s="179" t="s">
        <v>702</v>
      </c>
      <c r="F30" s="182" t="s">
        <v>756</v>
      </c>
      <c r="G30" s="379" t="s">
        <v>584</v>
      </c>
    </row>
    <row r="31" spans="1:8" ht="15" customHeight="1">
      <c r="A31" s="182"/>
      <c r="B31" s="182"/>
    </row>
    <row r="32" spans="1:8" ht="15" customHeight="1">
      <c r="A32" s="182"/>
      <c r="B32" s="182"/>
      <c r="D32" s="28"/>
    </row>
    <row r="35" spans="1:4" ht="15" customHeight="1">
      <c r="A35" s="7" t="s">
        <v>705</v>
      </c>
      <c r="D35" s="7">
        <f>W_houseSI/(W_houseSI+L_houseSI)</f>
        <v>0.46153846153846151</v>
      </c>
    </row>
    <row r="36" spans="1:4" ht="15" customHeight="1">
      <c r="A36" s="7" t="s">
        <v>594</v>
      </c>
    </row>
  </sheetData>
  <hyperlinks>
    <hyperlink ref="A3" r:id="rId1"/>
  </hyperlinks>
  <pageMargins left="0.7" right="0.7" top="0.75" bottom="0.75" header="0.51180555555555551" footer="0.51180555555555551"/>
  <pageSetup firstPageNumber="0" orientation="portrait" horizontalDpi="300" verticalDpi="300" r:id="rId2"/>
  <headerFooter alignWithMargins="0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F27"/>
  <sheetViews>
    <sheetView zoomScale="85" zoomScaleNormal="85" workbookViewId="0">
      <selection activeCell="AD17" sqref="AD17"/>
    </sheetView>
  </sheetViews>
  <sheetFormatPr defaultColWidth="8.7109375" defaultRowHeight="15" customHeight="1"/>
  <cols>
    <col min="1" max="1" width="14.140625" style="1" customWidth="1"/>
    <col min="2" max="2" width="8" style="1" customWidth="1"/>
    <col min="3" max="4" width="8.85546875" style="1" customWidth="1"/>
    <col min="5" max="5" width="11.85546875" style="1" customWidth="1"/>
    <col min="6" max="6" width="9.7109375" style="1" customWidth="1"/>
    <col min="7" max="7" width="16.140625" style="1" customWidth="1"/>
    <col min="8" max="8" width="18.7109375" style="1" customWidth="1"/>
    <col min="9" max="10" width="8.42578125" style="1" customWidth="1"/>
    <col min="11" max="11" width="7.28515625" style="1" customWidth="1"/>
    <col min="12" max="12" width="10.28515625" style="1" customWidth="1"/>
    <col min="13" max="13" width="5" style="1" customWidth="1"/>
    <col min="14" max="14" width="3.140625" style="1" customWidth="1"/>
    <col min="15" max="15" width="8.7109375" style="1"/>
    <col min="16" max="16" width="12.140625" style="1" customWidth="1"/>
    <col min="17" max="18" width="8.7109375" style="1"/>
    <col min="19" max="19" width="4.7109375" style="1" customWidth="1"/>
    <col min="20" max="20" width="11.5703125" style="1" customWidth="1"/>
    <col min="21" max="21" width="8.7109375" style="1"/>
    <col min="22" max="22" width="8.7109375" style="1" customWidth="1"/>
    <col min="23" max="23" width="2" style="1" customWidth="1"/>
    <col min="24" max="24" width="12" style="1" customWidth="1"/>
    <col min="25" max="16384" width="8.7109375" style="1"/>
  </cols>
  <sheetData>
    <row r="1" spans="1:32" s="5" customFormat="1" ht="15" customHeight="1">
      <c r="A1" s="5" t="s">
        <v>223</v>
      </c>
      <c r="G1" s="5" t="s">
        <v>224</v>
      </c>
      <c r="L1" s="95" t="s">
        <v>225</v>
      </c>
      <c r="M1" s="95"/>
      <c r="N1" s="95"/>
    </row>
    <row r="2" spans="1:32" ht="15" customHeight="1">
      <c r="A2" s="27" t="s">
        <v>12</v>
      </c>
      <c r="G2" s="27" t="s">
        <v>226</v>
      </c>
      <c r="L2" s="92" t="s">
        <v>609</v>
      </c>
      <c r="M2" s="92"/>
      <c r="N2" s="92"/>
    </row>
    <row r="3" spans="1:32" ht="15" customHeight="1">
      <c r="A3" s="27" t="s">
        <v>227</v>
      </c>
      <c r="L3" s="92"/>
      <c r="M3" s="92"/>
      <c r="N3" s="92"/>
    </row>
    <row r="4" spans="1:32" ht="15" customHeight="1">
      <c r="A4" s="27" t="s">
        <v>228</v>
      </c>
      <c r="G4" s="146"/>
      <c r="H4" s="131" t="s">
        <v>229</v>
      </c>
      <c r="I4" s="131" t="s">
        <v>230</v>
      </c>
      <c r="J4" s="114" t="s">
        <v>231</v>
      </c>
      <c r="L4" s="96"/>
      <c r="M4" s="92" t="s">
        <v>232</v>
      </c>
      <c r="N4" s="92" t="s">
        <v>189</v>
      </c>
      <c r="P4" s="154" t="s">
        <v>606</v>
      </c>
      <c r="Q4" s="153"/>
      <c r="R4" s="153"/>
      <c r="T4" s="154" t="s">
        <v>607</v>
      </c>
      <c r="U4" s="153"/>
      <c r="V4" s="153"/>
      <c r="X4" s="154" t="s">
        <v>608</v>
      </c>
      <c r="Y4" s="153"/>
      <c r="Z4" s="153"/>
      <c r="AB4" s="1" t="s">
        <v>918</v>
      </c>
      <c r="AC4" s="1" t="s">
        <v>919</v>
      </c>
      <c r="AD4" s="1" t="s">
        <v>920</v>
      </c>
      <c r="AE4" s="1" t="s">
        <v>921</v>
      </c>
      <c r="AF4" s="1" t="s">
        <v>922</v>
      </c>
    </row>
    <row r="5" spans="1:32" ht="15" customHeight="1">
      <c r="A5" s="27" t="s">
        <v>233</v>
      </c>
      <c r="G5" s="122" t="s">
        <v>22</v>
      </c>
      <c r="H5" s="1">
        <v>0.65</v>
      </c>
      <c r="I5" s="1">
        <v>0.60000000000000009</v>
      </c>
      <c r="J5" s="265">
        <v>0.5</v>
      </c>
      <c r="L5" s="92" t="s">
        <v>234</v>
      </c>
      <c r="M5" s="92">
        <f>H23</f>
        <v>0.26923076923076922</v>
      </c>
      <c r="N5" s="92" t="s">
        <v>17</v>
      </c>
      <c r="P5" s="155" t="s">
        <v>604</v>
      </c>
      <c r="Q5" s="97">
        <v>4.8</v>
      </c>
      <c r="R5" s="97"/>
      <c r="T5" s="155" t="s">
        <v>604</v>
      </c>
      <c r="U5" s="97">
        <v>5.2</v>
      </c>
      <c r="V5" s="97"/>
      <c r="X5" s="155" t="s">
        <v>604</v>
      </c>
      <c r="Y5" s="97">
        <v>8.6</v>
      </c>
      <c r="Z5" s="97"/>
      <c r="AB5" s="97">
        <v>12</v>
      </c>
      <c r="AC5" s="97">
        <v>5</v>
      </c>
      <c r="AD5" s="97">
        <v>3</v>
      </c>
      <c r="AE5" s="97">
        <v>1</v>
      </c>
      <c r="AF5" s="97">
        <v>0.6</v>
      </c>
    </row>
    <row r="6" spans="1:32" ht="15" customHeight="1">
      <c r="G6" s="122" t="s">
        <v>26</v>
      </c>
      <c r="H6" s="1">
        <v>0.35</v>
      </c>
      <c r="I6" s="1">
        <v>0.4</v>
      </c>
      <c r="J6" s="266">
        <v>0</v>
      </c>
      <c r="L6" s="92" t="s">
        <v>235</v>
      </c>
      <c r="M6" s="92">
        <f>H22</f>
        <v>0.23076923076923075</v>
      </c>
      <c r="N6" s="92" t="s">
        <v>17</v>
      </c>
      <c r="P6" s="150" t="s">
        <v>605</v>
      </c>
      <c r="Q6" s="98">
        <f>V_houseSI</f>
        <v>487.74096000000009</v>
      </c>
      <c r="R6" s="97" t="s">
        <v>210</v>
      </c>
      <c r="T6" s="150" t="s">
        <v>605</v>
      </c>
      <c r="U6" s="98">
        <f>V_houseSI</f>
        <v>487.74096000000009</v>
      </c>
      <c r="V6" s="97" t="s">
        <v>210</v>
      </c>
      <c r="X6" s="150" t="s">
        <v>605</v>
      </c>
      <c r="Y6" s="98">
        <f>V_houseSI</f>
        <v>487.74096000000009</v>
      </c>
      <c r="Z6" s="97" t="s">
        <v>210</v>
      </c>
      <c r="AB6" s="98">
        <f>V_houseSI</f>
        <v>487.74096000000009</v>
      </c>
      <c r="AC6" s="98">
        <f>V_houseSI</f>
        <v>487.74096000000009</v>
      </c>
      <c r="AD6" s="98">
        <f>V_houseSI</f>
        <v>487.74096000000009</v>
      </c>
      <c r="AE6" s="98">
        <f>V_houseSI</f>
        <v>487.74096000000009</v>
      </c>
      <c r="AF6" s="98">
        <f>V_houseSI</f>
        <v>487.74096000000009</v>
      </c>
    </row>
    <row r="7" spans="1:32" ht="15" customHeight="1">
      <c r="A7" s="146"/>
      <c r="B7" s="131" t="s">
        <v>188</v>
      </c>
      <c r="C7" s="131" t="s">
        <v>189</v>
      </c>
      <c r="D7" s="131" t="s">
        <v>190</v>
      </c>
      <c r="E7" s="131" t="s">
        <v>189</v>
      </c>
      <c r="L7" s="92" t="s">
        <v>236</v>
      </c>
      <c r="M7" s="92">
        <f>M5*2+M6*2</f>
        <v>1</v>
      </c>
      <c r="N7" s="92"/>
      <c r="P7" s="150" t="s">
        <v>265</v>
      </c>
      <c r="Q7" s="99">
        <f>(Q5*Q6)/3600/14</f>
        <v>4.645152000000001E-2</v>
      </c>
      <c r="R7" s="97" t="s">
        <v>197</v>
      </c>
      <c r="T7" s="150" t="s">
        <v>265</v>
      </c>
      <c r="U7" s="99">
        <f>(U5*U6)/3600/14</f>
        <v>5.032248000000001E-2</v>
      </c>
      <c r="V7" s="97" t="s">
        <v>197</v>
      </c>
      <c r="X7" s="150" t="s">
        <v>265</v>
      </c>
      <c r="Y7" s="99">
        <f>(Y5*Y6)/3600/14</f>
        <v>8.3225640000000004E-2</v>
      </c>
      <c r="Z7" s="97" t="s">
        <v>197</v>
      </c>
      <c r="AB7" s="99">
        <f>(AB5*AB6)/3600/14</f>
        <v>0.11612880000000002</v>
      </c>
      <c r="AC7" s="99">
        <f>(AC5*AC6)/3600/14</f>
        <v>4.8387000000000006E-2</v>
      </c>
      <c r="AD7" s="99">
        <f>(AD5*AD6)/3600/14</f>
        <v>2.9032200000000005E-2</v>
      </c>
      <c r="AE7" s="99">
        <f>(AE5*AE6)/3600/14</f>
        <v>9.6774000000000027E-3</v>
      </c>
      <c r="AF7" s="99">
        <f>(AF5*AF6)/3600/14</f>
        <v>5.8064400000000013E-3</v>
      </c>
    </row>
    <row r="8" spans="1:32" ht="15" customHeight="1">
      <c r="A8" s="148" t="s">
        <v>237</v>
      </c>
      <c r="B8" s="286"/>
      <c r="C8" s="93"/>
      <c r="D8" s="93"/>
      <c r="E8" s="93"/>
      <c r="P8" s="150" t="s">
        <v>237</v>
      </c>
      <c r="Q8" s="101">
        <f>10000*(Q7/A_houseSI)</f>
        <v>2.3809523809523814</v>
      </c>
      <c r="R8" s="100" t="s">
        <v>17</v>
      </c>
      <c r="T8" s="150" t="s">
        <v>237</v>
      </c>
      <c r="U8" s="101">
        <f>10000*(U7/A_houseSI)</f>
        <v>2.5793650793650795</v>
      </c>
      <c r="V8" s="100" t="s">
        <v>17</v>
      </c>
      <c r="X8" s="150" t="s">
        <v>237</v>
      </c>
      <c r="Y8" s="101">
        <f>10000*(Y7/A_houseSI)</f>
        <v>4.2658730158730158</v>
      </c>
      <c r="Z8" s="100" t="s">
        <v>17</v>
      </c>
      <c r="AB8" s="101">
        <f>10000*(AB7/A_houseSI)</f>
        <v>5.9523809523809526</v>
      </c>
      <c r="AC8" s="101">
        <f>10000*(AC7/A_houseSI)</f>
        <v>2.4801587301587302</v>
      </c>
      <c r="AD8" s="101">
        <f>10000*(AD7/A_houseSI)</f>
        <v>1.4880952380952381</v>
      </c>
      <c r="AE8" s="101">
        <f>10000*(AE7/A_houseSI)</f>
        <v>0.4960317460317461</v>
      </c>
      <c r="AF8" s="101">
        <f>10000*(AF7/A_houseSI)</f>
        <v>0.29761904761904767</v>
      </c>
    </row>
    <row r="9" spans="1:32" ht="15" customHeight="1">
      <c r="A9" s="122" t="s">
        <v>238</v>
      </c>
      <c r="B9" s="31"/>
      <c r="D9" s="400">
        <v>0.05</v>
      </c>
      <c r="E9" s="1" t="s">
        <v>197</v>
      </c>
      <c r="G9" s="130" t="s">
        <v>13</v>
      </c>
      <c r="H9" s="131" t="s">
        <v>232</v>
      </c>
      <c r="I9" s="131" t="s">
        <v>189</v>
      </c>
      <c r="L9" s="36" t="s">
        <v>821</v>
      </c>
    </row>
    <row r="10" spans="1:32" ht="15" customHeight="1">
      <c r="A10" s="122" t="s">
        <v>239</v>
      </c>
      <c r="D10" s="1">
        <v>1</v>
      </c>
      <c r="E10" s="1" t="s">
        <v>17</v>
      </c>
      <c r="G10" s="122" t="s">
        <v>240</v>
      </c>
      <c r="H10" s="1">
        <v>0.5</v>
      </c>
      <c r="I10" s="1" t="s">
        <v>17</v>
      </c>
      <c r="L10" s="1" t="s">
        <v>234</v>
      </c>
      <c r="M10" s="1">
        <v>0.5</v>
      </c>
    </row>
    <row r="11" spans="1:32" ht="15" customHeight="1">
      <c r="A11" s="122" t="s">
        <v>241</v>
      </c>
      <c r="D11" s="31">
        <v>1.2</v>
      </c>
      <c r="E11" s="1" t="s">
        <v>242</v>
      </c>
      <c r="G11" s="122" t="s">
        <v>243</v>
      </c>
      <c r="H11" s="1">
        <v>0</v>
      </c>
      <c r="I11" s="1" t="s">
        <v>17</v>
      </c>
      <c r="L11" s="1" t="s">
        <v>235</v>
      </c>
      <c r="M11" s="1">
        <v>0</v>
      </c>
    </row>
    <row r="12" spans="1:32" ht="15" customHeight="1">
      <c r="A12" s="149" t="s">
        <v>244</v>
      </c>
      <c r="B12" s="92"/>
      <c r="C12" s="92"/>
      <c r="D12" s="199">
        <v>4</v>
      </c>
      <c r="E12" s="92" t="s">
        <v>591</v>
      </c>
      <c r="G12" s="122"/>
      <c r="L12" s="92" t="s">
        <v>236</v>
      </c>
      <c r="M12" s="92">
        <f>M10*2+M11*2</f>
        <v>1</v>
      </c>
    </row>
    <row r="13" spans="1:32" ht="15" customHeight="1">
      <c r="A13" s="149" t="s">
        <v>9</v>
      </c>
      <c r="B13" s="92"/>
      <c r="C13" s="92"/>
      <c r="D13" s="94">
        <f>D9*D10/(SQRT(rho_air/2)*D12^(n-0.5))</f>
        <v>5.2430666733412769E-2</v>
      </c>
      <c r="E13" s="92" t="s">
        <v>612</v>
      </c>
      <c r="G13" s="122" t="s">
        <v>245</v>
      </c>
      <c r="H13" s="33">
        <f>(H10-H11)/2</f>
        <v>0.25</v>
      </c>
      <c r="I13" s="1" t="s">
        <v>17</v>
      </c>
      <c r="L13" s="34"/>
      <c r="M13" s="34"/>
      <c r="N13" s="34"/>
      <c r="O13" s="34"/>
    </row>
    <row r="14" spans="1:32" ht="15" customHeight="1">
      <c r="A14" s="148" t="s">
        <v>14</v>
      </c>
      <c r="B14" s="93"/>
      <c r="C14" s="93"/>
      <c r="D14" s="238">
        <v>0.65</v>
      </c>
      <c r="G14" s="122" t="s">
        <v>246</v>
      </c>
      <c r="H14" s="33">
        <f>1-H13-H15</f>
        <v>0.25</v>
      </c>
      <c r="I14" s="1" t="s">
        <v>17</v>
      </c>
      <c r="P14" s="36" t="s">
        <v>247</v>
      </c>
      <c r="T14" s="36" t="s">
        <v>248</v>
      </c>
    </row>
    <row r="15" spans="1:32" ht="15" customHeight="1">
      <c r="A15" s="36" t="s">
        <v>249</v>
      </c>
      <c r="G15" s="151" t="s">
        <v>250</v>
      </c>
      <c r="H15" s="37">
        <f>1-H10</f>
        <v>0.5</v>
      </c>
      <c r="I15" s="147" t="s">
        <v>17</v>
      </c>
      <c r="P15" s="1">
        <v>62.2</v>
      </c>
      <c r="Q15" s="34">
        <f>0.05*86+3.5*3</f>
        <v>14.8</v>
      </c>
      <c r="R15" s="1" t="s">
        <v>251</v>
      </c>
      <c r="T15" s="1" t="s">
        <v>252</v>
      </c>
      <c r="U15" s="1">
        <v>1.5</v>
      </c>
      <c r="V15" s="1" t="s">
        <v>253</v>
      </c>
    </row>
    <row r="16" spans="1:32" ht="15" customHeight="1">
      <c r="A16" s="130" t="s">
        <v>254</v>
      </c>
      <c r="B16" s="131" t="s">
        <v>255</v>
      </c>
      <c r="C16" s="131" t="s">
        <v>256</v>
      </c>
      <c r="D16" s="131" t="s">
        <v>257</v>
      </c>
      <c r="E16" s="131" t="s">
        <v>258</v>
      </c>
      <c r="G16" s="122" t="s">
        <v>236</v>
      </c>
      <c r="H16" s="1">
        <f>SUM(H13:H15)</f>
        <v>1</v>
      </c>
      <c r="I16" s="1" t="s">
        <v>17</v>
      </c>
      <c r="P16" s="1" t="s">
        <v>259</v>
      </c>
      <c r="Q16" s="1">
        <f>Q15+10/100*86</f>
        <v>23.4</v>
      </c>
      <c r="R16" s="1" t="s">
        <v>251</v>
      </c>
      <c r="T16" s="1" t="s">
        <v>260</v>
      </c>
      <c r="U16" s="1">
        <f>U15/1000*3600/2.5</f>
        <v>2.16</v>
      </c>
      <c r="V16" s="1" t="s">
        <v>261</v>
      </c>
    </row>
    <row r="17" spans="1:22" ht="15" customHeight="1">
      <c r="A17" s="122">
        <v>1000</v>
      </c>
      <c r="B17" s="1">
        <v>3.8</v>
      </c>
      <c r="C17" s="31">
        <f>B17*A17*144/10000</f>
        <v>54.72</v>
      </c>
      <c r="D17" s="38">
        <f>C17*(0.3048/12)^2</f>
        <v>3.5303155200000005E-2</v>
      </c>
      <c r="E17" s="32">
        <f>D17/(SQRT(1.2/2)*4^(0.65-0.5))</f>
        <v>3.7019359298582966E-2</v>
      </c>
      <c r="P17" s="1" t="s">
        <v>262</v>
      </c>
      <c r="Q17" s="1">
        <v>86</v>
      </c>
      <c r="R17" s="1" t="s">
        <v>210</v>
      </c>
      <c r="T17" s="1" t="s">
        <v>237</v>
      </c>
      <c r="U17" s="1">
        <f>U16/2</f>
        <v>1.08</v>
      </c>
      <c r="V17" s="1" t="s">
        <v>17</v>
      </c>
    </row>
    <row r="18" spans="1:22" ht="15" customHeight="1">
      <c r="A18" s="122">
        <v>2000</v>
      </c>
      <c r="B18" s="1">
        <v>3.8</v>
      </c>
      <c r="C18" s="31">
        <f>B18*A18*144/10000</f>
        <v>109.44</v>
      </c>
      <c r="D18" s="38">
        <f>C18*(0.3048/12)^2</f>
        <v>7.0606310400000011E-2</v>
      </c>
      <c r="E18" s="32">
        <f>D18/(SQRT(1.2/2)*4^(0.65-0.5))</f>
        <v>7.4038718597165931E-2</v>
      </c>
      <c r="P18" s="1" t="s">
        <v>209</v>
      </c>
      <c r="Q18" s="34">
        <f>Q17*2.5</f>
        <v>215</v>
      </c>
      <c r="R18" s="1" t="s">
        <v>210</v>
      </c>
      <c r="T18" s="27" t="s">
        <v>263</v>
      </c>
    </row>
    <row r="19" spans="1:22" ht="15" customHeight="1">
      <c r="A19" s="122">
        <v>2700</v>
      </c>
      <c r="B19" s="1">
        <v>3.8</v>
      </c>
      <c r="C19" s="31">
        <f>B19*A19*144/10000</f>
        <v>147.744</v>
      </c>
      <c r="D19" s="38">
        <f>C19*(0.3048/12)^2</f>
        <v>9.5318519040000008E-2</v>
      </c>
      <c r="E19" s="32">
        <f>D19/(SQRT(1.2/2)*4^(0.65-0.5))</f>
        <v>9.9952270106173996E-2</v>
      </c>
      <c r="G19" s="36" t="s">
        <v>596</v>
      </c>
      <c r="P19" s="1" t="s">
        <v>260</v>
      </c>
      <c r="Q19" s="35">
        <f>Q16/1000*3600/Q18</f>
        <v>0.39181395348837206</v>
      </c>
      <c r="R19" s="1" t="s">
        <v>261</v>
      </c>
    </row>
    <row r="20" spans="1:22" ht="15" customHeight="1">
      <c r="A20" s="122">
        <v>4000</v>
      </c>
      <c r="B20" s="1">
        <v>3.8</v>
      </c>
      <c r="C20" s="31">
        <f>B20*A20*144/10000</f>
        <v>218.88</v>
      </c>
      <c r="D20" s="38">
        <f>C20*(0.3048/12)^2</f>
        <v>0.14121262080000002</v>
      </c>
      <c r="E20" s="32">
        <f>D20/(SQRT(1.2/2)*4^(0.65-0.5))</f>
        <v>0.14807743719433186</v>
      </c>
      <c r="G20" s="122" t="s">
        <v>614</v>
      </c>
      <c r="H20" s="38">
        <f>W_houseSI</f>
        <v>9.1440000000000001</v>
      </c>
      <c r="P20" s="1" t="s">
        <v>264</v>
      </c>
      <c r="Q20" s="1">
        <v>3.5</v>
      </c>
      <c r="R20" s="1" t="s">
        <v>261</v>
      </c>
    </row>
    <row r="21" spans="1:22" ht="15" customHeight="1">
      <c r="G21" s="122" t="s">
        <v>615</v>
      </c>
      <c r="H21" s="38">
        <f>L_houseSI</f>
        <v>10.668000000000001</v>
      </c>
      <c r="L21" s="34"/>
      <c r="M21" s="34"/>
      <c r="N21" s="34"/>
      <c r="O21" s="34"/>
      <c r="P21" s="1" t="s">
        <v>265</v>
      </c>
      <c r="Q21" s="32">
        <f>Q20*Q17*2.5/3600/14</f>
        <v>1.4930555555555556E-2</v>
      </c>
      <c r="R21" s="1" t="s">
        <v>197</v>
      </c>
    </row>
    <row r="22" spans="1:22" ht="15" customHeight="1">
      <c r="A22" s="36" t="s">
        <v>249</v>
      </c>
      <c r="B22" s="5"/>
      <c r="G22" s="122" t="s">
        <v>616</v>
      </c>
      <c r="H22" s="38">
        <f>H20/(2*H21+2*H20)</f>
        <v>0.23076923076923075</v>
      </c>
      <c r="P22" s="1" t="s">
        <v>266</v>
      </c>
      <c r="Q22" s="39">
        <f>PI()*(0.1/2)^2</f>
        <v>7.8539816339744835E-3</v>
      </c>
      <c r="R22" s="1" t="s">
        <v>197</v>
      </c>
      <c r="S22" s="40">
        <f>Q22/($Q$21+Q22)</f>
        <v>0.3447066564768122</v>
      </c>
    </row>
    <row r="23" spans="1:22" ht="15.75" customHeight="1">
      <c r="A23" s="130" t="s">
        <v>254</v>
      </c>
      <c r="B23" s="131" t="s">
        <v>255</v>
      </c>
      <c r="C23" s="131" t="s">
        <v>256</v>
      </c>
      <c r="D23" s="131" t="s">
        <v>257</v>
      </c>
      <c r="E23" s="131" t="s">
        <v>258</v>
      </c>
      <c r="G23" s="152" t="s">
        <v>617</v>
      </c>
      <c r="H23" s="38">
        <f>H21/(2*H20+2*H21)</f>
        <v>0.26923076923076922</v>
      </c>
      <c r="M23" s="38"/>
      <c r="N23" s="38"/>
      <c r="P23" s="1" t="s">
        <v>267</v>
      </c>
      <c r="Q23" s="39">
        <f>PI()*(0.2/2)^2</f>
        <v>3.1415926535897934E-2</v>
      </c>
      <c r="R23" s="1" t="s">
        <v>197</v>
      </c>
      <c r="S23" s="40">
        <f>Q23/($Q$21+Q23)</f>
        <v>0.67784921569465095</v>
      </c>
    </row>
    <row r="24" spans="1:22" ht="15" customHeight="1">
      <c r="A24" s="122">
        <v>1000</v>
      </c>
      <c r="B24" s="1">
        <v>2.7</v>
      </c>
      <c r="C24" s="31">
        <f>B24*A24*144/10000</f>
        <v>38.880000000000003</v>
      </c>
      <c r="D24" s="38">
        <f>C24*(0.3048/12)^2</f>
        <v>2.5083820800000003E-2</v>
      </c>
      <c r="E24" s="32">
        <f>D24/(SQRT(1.2/2)*4^(0.65-0.5))</f>
        <v>2.630322897530895E-2</v>
      </c>
      <c r="G24" s="33"/>
      <c r="H24" s="33"/>
      <c r="P24" s="1" t="s">
        <v>237</v>
      </c>
      <c r="Q24" s="1">
        <f>Q20/2</f>
        <v>1.75</v>
      </c>
      <c r="R24" s="1" t="s">
        <v>17</v>
      </c>
    </row>
    <row r="25" spans="1:22" ht="15" customHeight="1">
      <c r="A25" s="122">
        <v>2100</v>
      </c>
      <c r="B25" s="1">
        <f>B24</f>
        <v>2.7</v>
      </c>
      <c r="C25" s="31">
        <f>B25*A25*144/10000</f>
        <v>81.647999999999996</v>
      </c>
      <c r="D25" s="38">
        <f>C25*(0.3048/12)^2</f>
        <v>5.2676023680000003E-2</v>
      </c>
      <c r="E25" s="32">
        <f>D25/(SQRT(1.2/2)*4^(0.65-0.5))</f>
        <v>5.5236780848148787E-2</v>
      </c>
      <c r="G25" s="33"/>
      <c r="H25" s="33"/>
      <c r="P25" s="27" t="s">
        <v>268</v>
      </c>
    </row>
    <row r="26" spans="1:22" ht="15" customHeight="1">
      <c r="A26" s="122">
        <v>2700</v>
      </c>
      <c r="B26" s="1">
        <f>B25</f>
        <v>2.7</v>
      </c>
      <c r="C26" s="31">
        <f>B26*A26*144/10000</f>
        <v>104.97600000000003</v>
      </c>
      <c r="D26" s="38">
        <f>C26*(0.3048/12)^2</f>
        <v>6.7726316160000022E-2</v>
      </c>
      <c r="E26" s="32">
        <f>D26/(SQRT(1.2/2)*4^(0.65-0.5))</f>
        <v>7.101871823333418E-2</v>
      </c>
      <c r="G26" s="33"/>
      <c r="H26" s="33"/>
    </row>
    <row r="27" spans="1:22" ht="15" customHeight="1">
      <c r="A27" s="122">
        <v>4000</v>
      </c>
      <c r="B27" s="1">
        <f>B26</f>
        <v>2.7</v>
      </c>
      <c r="C27" s="31">
        <f>B27*A27*144/10000</f>
        <v>155.52000000000001</v>
      </c>
      <c r="D27" s="38">
        <f>C27*(0.3048/12)^2</f>
        <v>0.10033528320000001</v>
      </c>
      <c r="E27" s="32">
        <f>D27/(SQRT(1.2/2)*4^(0.65-0.5))</f>
        <v>0.1052129159012358</v>
      </c>
      <c r="G27" s="33"/>
      <c r="H27" s="33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S30"/>
  <sheetViews>
    <sheetView workbookViewId="0">
      <selection activeCell="F9" sqref="F9"/>
    </sheetView>
  </sheetViews>
  <sheetFormatPr defaultColWidth="8.7109375" defaultRowHeight="15" customHeight="1"/>
  <cols>
    <col min="1" max="1" width="14.42578125" style="7" customWidth="1"/>
    <col min="2" max="2" width="6.5703125" style="7" bestFit="1" customWidth="1"/>
    <col min="3" max="3" width="9.28515625" style="7" customWidth="1"/>
    <col min="4" max="12" width="10.5703125" style="7" bestFit="1" customWidth="1"/>
    <col min="13" max="13" width="9.28515625" style="7" customWidth="1"/>
    <col min="14" max="14" width="10.5703125" style="7" bestFit="1" customWidth="1"/>
    <col min="15" max="20" width="8.7109375" style="7"/>
    <col min="21" max="21" width="17.28515625" style="7" bestFit="1" customWidth="1"/>
    <col min="22" max="22" width="9.28515625" style="7" bestFit="1" customWidth="1"/>
    <col min="23" max="23" width="8.7109375" style="7"/>
    <col min="24" max="24" width="12.7109375" style="7" bestFit="1" customWidth="1"/>
    <col min="25" max="16384" width="8.7109375" style="7"/>
  </cols>
  <sheetData>
    <row r="1" spans="1:19" ht="15" customHeight="1">
      <c r="A1" s="5" t="s">
        <v>33</v>
      </c>
      <c r="Q1" s="41" t="s">
        <v>269</v>
      </c>
      <c r="R1" s="41"/>
      <c r="S1" s="41"/>
    </row>
    <row r="2" spans="1:19" ht="15" customHeight="1">
      <c r="A2" s="187" t="s">
        <v>270</v>
      </c>
      <c r="H2" s="131" t="s">
        <v>271</v>
      </c>
      <c r="I2" s="126"/>
      <c r="J2" s="126"/>
      <c r="K2" s="126"/>
      <c r="L2" s="126"/>
      <c r="M2" s="126"/>
      <c r="N2" s="126"/>
      <c r="Q2" s="41" t="s">
        <v>272</v>
      </c>
      <c r="R2" s="41"/>
      <c r="S2" s="41"/>
    </row>
    <row r="3" spans="1:19" ht="15" customHeight="1">
      <c r="A3" s="116" t="s">
        <v>273</v>
      </c>
      <c r="B3" s="30"/>
      <c r="D3" s="7">
        <v>3</v>
      </c>
      <c r="E3" s="7" t="s">
        <v>193</v>
      </c>
      <c r="H3" s="116" t="s">
        <v>274</v>
      </c>
      <c r="I3" s="7">
        <v>6</v>
      </c>
      <c r="J3" s="7" t="s">
        <v>193</v>
      </c>
      <c r="K3"/>
      <c r="Q3" s="41" t="s">
        <v>273</v>
      </c>
      <c r="R3" s="41">
        <v>4.5</v>
      </c>
      <c r="S3" s="41" t="s">
        <v>193</v>
      </c>
    </row>
    <row r="4" spans="1:19" ht="15" customHeight="1">
      <c r="A4" s="116" t="s">
        <v>275</v>
      </c>
      <c r="B4" s="30"/>
      <c r="D4" s="42">
        <v>0.15</v>
      </c>
      <c r="E4" s="7" t="s">
        <v>193</v>
      </c>
      <c r="H4" s="116" t="s">
        <v>277</v>
      </c>
      <c r="I4" s="42">
        <f>D4</f>
        <v>0.15</v>
      </c>
      <c r="J4" s="7" t="s">
        <v>193</v>
      </c>
      <c r="Q4" s="41" t="s">
        <v>275</v>
      </c>
      <c r="R4" s="41">
        <v>0.15</v>
      </c>
      <c r="S4" s="41" t="s">
        <v>193</v>
      </c>
    </row>
    <row r="5" spans="1:19" ht="15" customHeight="1">
      <c r="A5" s="116" t="s">
        <v>278</v>
      </c>
      <c r="D5" s="43">
        <f>PI()*(D4/2)^2</f>
        <v>1.7671458676442587E-2</v>
      </c>
      <c r="E5" s="7" t="s">
        <v>197</v>
      </c>
      <c r="H5" s="116" t="s">
        <v>279</v>
      </c>
      <c r="I5" s="7">
        <v>1.3700000000000002E-2</v>
      </c>
      <c r="Q5" s="41" t="s">
        <v>280</v>
      </c>
      <c r="R5" s="41">
        <v>5.4000000000000006E-2</v>
      </c>
      <c r="S5" s="41"/>
    </row>
    <row r="6" spans="1:19" ht="15" customHeight="1">
      <c r="A6" s="116" t="s">
        <v>281</v>
      </c>
      <c r="D6" s="42">
        <f>I8</f>
        <v>2.0000406200209989E-2</v>
      </c>
      <c r="E6" s="7" t="s">
        <v>17</v>
      </c>
      <c r="H6" s="116" t="s">
        <v>282</v>
      </c>
      <c r="I6" s="43">
        <f>PI()*(I4/2)^2</f>
        <v>1.7671458676442587E-2</v>
      </c>
      <c r="J6" s="7" t="s">
        <v>197</v>
      </c>
      <c r="L6" s="7" t="s">
        <v>869</v>
      </c>
      <c r="Q6" s="41" t="s">
        <v>278</v>
      </c>
      <c r="R6" s="41">
        <f>PI()*(R4/2)^2</f>
        <v>1.7671458676442587E-2</v>
      </c>
      <c r="S6" s="41" t="s">
        <v>197</v>
      </c>
    </row>
    <row r="7" spans="1:19" ht="15" customHeight="1">
      <c r="A7" s="116" t="s">
        <v>283</v>
      </c>
      <c r="D7" s="7">
        <v>1</v>
      </c>
      <c r="E7" s="7" t="s">
        <v>284</v>
      </c>
      <c r="H7" s="116" t="s">
        <v>285</v>
      </c>
      <c r="I7" s="7">
        <v>1.9730000000000001</v>
      </c>
      <c r="J7" s="7" t="s">
        <v>17</v>
      </c>
      <c r="L7" s="7">
        <v>2</v>
      </c>
      <c r="Q7" s="41"/>
      <c r="R7" s="41">
        <f>(2/1.2*(R6/R5)^2-1)*R4/R3</f>
        <v>-2.7383774353124182E-2</v>
      </c>
      <c r="S7" s="41"/>
    </row>
    <row r="8" spans="1:19" ht="15" customHeight="1">
      <c r="A8" s="144" t="s">
        <v>286</v>
      </c>
      <c r="B8" s="44"/>
      <c r="C8" s="44"/>
      <c r="D8" s="45">
        <f>SQRT(2*D5^2/(1.2*(1+D6*D3/D4)))*D7</f>
        <v>1.9281086206186945E-2</v>
      </c>
      <c r="E8" s="44" t="s">
        <v>590</v>
      </c>
      <c r="H8" s="116" t="s">
        <v>287</v>
      </c>
      <c r="I8" s="42">
        <f>(2/1.2*(I6/I5)^2-I7)*I4/I3</f>
        <v>2.0000406200209989E-2</v>
      </c>
      <c r="L8" s="7">
        <v>0.02</v>
      </c>
      <c r="Q8" s="41"/>
      <c r="R8" s="41">
        <f>SQRT(2*R6^2/(1.2*(1+R7*R3/R4)))</f>
        <v>5.4000000000000006E-2</v>
      </c>
      <c r="S8" s="41"/>
    </row>
    <row r="9" spans="1:19" ht="15" customHeight="1">
      <c r="H9" s="145" t="s">
        <v>288</v>
      </c>
    </row>
    <row r="10" spans="1:19" ht="15" customHeight="1">
      <c r="H10" s="116" t="s">
        <v>9</v>
      </c>
      <c r="I10" s="7">
        <f>SQRT(2*I6^2/(1.2*(I7+I8*I3/I4)))</f>
        <v>1.37E-2</v>
      </c>
    </row>
    <row r="12" spans="1:19" ht="15" customHeight="1">
      <c r="A12" s="131" t="s">
        <v>289</v>
      </c>
      <c r="B12" s="126"/>
      <c r="C12" s="126"/>
      <c r="D12" s="126"/>
      <c r="E12" s="126"/>
      <c r="F12" s="126"/>
      <c r="G12" s="126"/>
      <c r="H12" s="126"/>
      <c r="I12" s="126"/>
      <c r="J12" s="126"/>
      <c r="K12" s="126"/>
      <c r="L12" s="126"/>
      <c r="M12" s="126"/>
      <c r="N12" s="126" t="s">
        <v>290</v>
      </c>
    </row>
    <row r="13" spans="1:19" ht="15" customHeight="1">
      <c r="A13" s="116" t="s">
        <v>291</v>
      </c>
      <c r="B13" s="7">
        <v>6</v>
      </c>
      <c r="C13" s="7">
        <v>5</v>
      </c>
      <c r="D13" s="7">
        <v>4</v>
      </c>
      <c r="E13" s="7">
        <v>3</v>
      </c>
      <c r="F13" s="7">
        <v>6</v>
      </c>
      <c r="G13" s="7">
        <v>4</v>
      </c>
      <c r="H13" s="46">
        <v>3</v>
      </c>
      <c r="I13" s="46">
        <v>2</v>
      </c>
      <c r="J13" s="7">
        <v>6</v>
      </c>
      <c r="K13" s="7">
        <v>5</v>
      </c>
      <c r="L13" s="7">
        <v>4</v>
      </c>
      <c r="M13" s="7">
        <v>3</v>
      </c>
      <c r="N13" s="7">
        <v>5.95</v>
      </c>
      <c r="P13" s="7" t="s">
        <v>292</v>
      </c>
    </row>
    <row r="14" spans="1:19" ht="15" customHeight="1">
      <c r="A14" s="116" t="s">
        <v>293</v>
      </c>
      <c r="B14" s="7">
        <v>0.15</v>
      </c>
      <c r="C14" s="7">
        <v>0.15</v>
      </c>
      <c r="D14" s="7">
        <v>0.15</v>
      </c>
      <c r="E14" s="7">
        <v>0.15</v>
      </c>
      <c r="F14" s="7">
        <v>0.2</v>
      </c>
      <c r="G14" s="7">
        <v>0.2</v>
      </c>
      <c r="H14" s="46">
        <v>0.2</v>
      </c>
      <c r="I14" s="46">
        <v>0.2</v>
      </c>
      <c r="J14" s="7">
        <v>0.1</v>
      </c>
      <c r="K14" s="7">
        <v>0.1</v>
      </c>
      <c r="L14" s="7">
        <v>0.1</v>
      </c>
      <c r="M14" s="7">
        <v>0.1</v>
      </c>
      <c r="N14" s="7">
        <v>0.16</v>
      </c>
      <c r="P14" s="7" t="s">
        <v>294</v>
      </c>
    </row>
    <row r="15" spans="1:19" ht="15" customHeight="1">
      <c r="A15" s="116" t="s">
        <v>295</v>
      </c>
      <c r="B15" s="180">
        <f>B13/B14</f>
        <v>40</v>
      </c>
      <c r="C15" s="180">
        <f t="shared" ref="C15:M15" si="0">C13/C14</f>
        <v>33.333333333333336</v>
      </c>
      <c r="D15" s="180">
        <f t="shared" si="0"/>
        <v>26.666666666666668</v>
      </c>
      <c r="E15" s="180">
        <f t="shared" si="0"/>
        <v>20</v>
      </c>
      <c r="F15" s="180">
        <f t="shared" si="0"/>
        <v>30</v>
      </c>
      <c r="G15" s="180">
        <f t="shared" si="0"/>
        <v>20</v>
      </c>
      <c r="H15" s="180">
        <f t="shared" si="0"/>
        <v>15</v>
      </c>
      <c r="I15" s="180">
        <f t="shared" si="0"/>
        <v>10</v>
      </c>
      <c r="J15" s="180">
        <f t="shared" si="0"/>
        <v>60</v>
      </c>
      <c r="K15" s="180">
        <f t="shared" si="0"/>
        <v>50</v>
      </c>
      <c r="L15" s="180">
        <f t="shared" si="0"/>
        <v>40</v>
      </c>
      <c r="M15" s="180">
        <f t="shared" si="0"/>
        <v>30</v>
      </c>
      <c r="N15" s="180">
        <f>N13/N14</f>
        <v>37.1875</v>
      </c>
      <c r="P15" s="7" t="s">
        <v>296</v>
      </c>
    </row>
    <row r="16" spans="1:19" ht="15" customHeight="1">
      <c r="A16" s="116" t="s">
        <v>297</v>
      </c>
      <c r="B16" s="42">
        <f>SQRT(1/($L$8*B15+$L$7))</f>
        <v>0.59761430466719678</v>
      </c>
      <c r="C16" s="42">
        <f t="shared" ref="C16:N16" si="1">SQRT(1/($L$8*C15+$L$7))</f>
        <v>0.61237243569579447</v>
      </c>
      <c r="D16" s="42">
        <f t="shared" si="1"/>
        <v>0.62828086243754322</v>
      </c>
      <c r="E16" s="42">
        <f t="shared" si="1"/>
        <v>0.6454972243679028</v>
      </c>
      <c r="F16" s="42">
        <f t="shared" si="1"/>
        <v>0.6201736729460422</v>
      </c>
      <c r="G16" s="42">
        <f t="shared" si="1"/>
        <v>0.6454972243679028</v>
      </c>
      <c r="H16" s="42">
        <f t="shared" si="1"/>
        <v>0.65938047339578709</v>
      </c>
      <c r="I16" s="42">
        <f t="shared" si="1"/>
        <v>0.67419986246324204</v>
      </c>
      <c r="J16" s="42">
        <f t="shared" si="1"/>
        <v>0.55901699437494745</v>
      </c>
      <c r="K16" s="42">
        <f t="shared" si="1"/>
        <v>0.57735026918962573</v>
      </c>
      <c r="L16" s="42">
        <f t="shared" si="1"/>
        <v>0.59761430466719678</v>
      </c>
      <c r="M16" s="42">
        <f t="shared" si="1"/>
        <v>0.6201736729460422</v>
      </c>
      <c r="N16" s="42">
        <f t="shared" si="1"/>
        <v>0.60370911247298209</v>
      </c>
    </row>
    <row r="17" spans="1:16" ht="15" customHeight="1">
      <c r="A17" s="116" t="s">
        <v>299</v>
      </c>
      <c r="B17" s="43">
        <f>B16*(PI()*(B14/2)^2)*(2/1.2)^0.5</f>
        <v>1.3633826362458829E-2</v>
      </c>
      <c r="C17" s="43">
        <f t="shared" ref="C17:M17" si="2">C16*(PI()*(C14/2)^2)*(2/1.2)^0.5</f>
        <v>1.3970514748775767E-2</v>
      </c>
      <c r="D17" s="43">
        <f t="shared" si="2"/>
        <v>1.4333445699730302E-2</v>
      </c>
      <c r="E17" s="43">
        <f>E16*(PI()*(E14/2)^2)*(2/1.2)^0.5</f>
        <v>1.4726215563702155E-2</v>
      </c>
      <c r="F17" s="43">
        <f t="shared" si="2"/>
        <v>2.5152871581347911E-2</v>
      </c>
      <c r="G17" s="43">
        <f t="shared" si="2"/>
        <v>2.6179938779914945E-2</v>
      </c>
      <c r="H17" s="43">
        <f t="shared" si="2"/>
        <v>2.6743012633520188E-2</v>
      </c>
      <c r="I17" s="43">
        <f t="shared" si="2"/>
        <v>2.7344054255227592E-2</v>
      </c>
      <c r="J17" s="43">
        <f t="shared" si="2"/>
        <v>5.6681230132319309E-3</v>
      </c>
      <c r="K17" s="43">
        <f t="shared" si="2"/>
        <v>5.8540122758672713E-3</v>
      </c>
      <c r="L17" s="43">
        <f t="shared" si="2"/>
        <v>6.059478383315036E-3</v>
      </c>
      <c r="M17" s="43">
        <f t="shared" si="2"/>
        <v>6.2882178953369778E-3</v>
      </c>
      <c r="N17" s="43">
        <f>N16*(PI()*(N14/2)^2)*(2/1.2)^0.5</f>
        <v>1.5670467487096804E-2</v>
      </c>
      <c r="P17" s="7" t="s">
        <v>298</v>
      </c>
    </row>
    <row r="18" spans="1:16" ht="15" customHeight="1">
      <c r="A18" s="116" t="s">
        <v>300</v>
      </c>
      <c r="B18" s="43">
        <f>SQRT(2*(PI()*(B14/2)^2)^2/(1.2*($I$7+$D$6*B13/B14)))</f>
        <v>1.37E-2</v>
      </c>
      <c r="C18" s="43">
        <f t="shared" ref="C18:N18" si="3">SQRT(2*(PI()*(C14/2)^2)^2/(1.2*($I$7+$D$6*C13/C14)))</f>
        <v>1.4041746112196262E-2</v>
      </c>
      <c r="D18" s="43">
        <f t="shared" si="3"/>
        <v>1.4410412766318437E-2</v>
      </c>
      <c r="E18" s="43">
        <f t="shared" si="3"/>
        <v>1.4809730713123625E-2</v>
      </c>
      <c r="F18" s="43">
        <f t="shared" si="3"/>
        <v>2.5284439222750501E-2</v>
      </c>
      <c r="G18" s="43">
        <f t="shared" si="3"/>
        <v>2.6328410156664223E-2</v>
      </c>
      <c r="H18" s="43">
        <f t="shared" si="3"/>
        <v>2.6901342111746464E-2</v>
      </c>
      <c r="I18" s="43">
        <f t="shared" si="3"/>
        <v>2.7513382025945641E-2</v>
      </c>
      <c r="J18" s="43">
        <f t="shared" si="3"/>
        <v>5.6921659388000255E-3</v>
      </c>
      <c r="K18" s="43">
        <f t="shared" si="3"/>
        <v>5.8805144046425355E-3</v>
      </c>
      <c r="L18" s="43">
        <f t="shared" si="3"/>
        <v>6.0888888888888893E-3</v>
      </c>
      <c r="M18" s="43">
        <f t="shared" si="3"/>
        <v>6.3211098056876252E-3</v>
      </c>
      <c r="N18" s="43">
        <f t="shared" si="3"/>
        <v>1.5748100448352707E-2</v>
      </c>
    </row>
    <row r="20" spans="1:16" ht="15" customHeight="1">
      <c r="A20" s="27" t="s">
        <v>301</v>
      </c>
    </row>
    <row r="21" spans="1:16" ht="15" customHeight="1">
      <c r="A21" s="27" t="s">
        <v>302</v>
      </c>
    </row>
    <row r="22" spans="1:16" ht="15" customHeight="1">
      <c r="A22" s="27" t="s">
        <v>303</v>
      </c>
    </row>
    <row r="25" spans="1:16" ht="15" customHeight="1">
      <c r="A25" s="5" t="s">
        <v>537</v>
      </c>
    </row>
    <row r="26" spans="1:16" ht="15" customHeight="1">
      <c r="A26" s="130"/>
      <c r="B26" s="131" t="s">
        <v>538</v>
      </c>
      <c r="C26" s="131" t="s">
        <v>539</v>
      </c>
      <c r="D26" s="131" t="s">
        <v>536</v>
      </c>
      <c r="E26" s="131"/>
    </row>
    <row r="27" spans="1:16" ht="15" customHeight="1">
      <c r="A27" s="116" t="s">
        <v>534</v>
      </c>
      <c r="C27" s="42">
        <f>Leakage!D9</f>
        <v>0.05</v>
      </c>
    </row>
    <row r="28" spans="1:16" ht="15" customHeight="1">
      <c r="A28" s="116" t="s">
        <v>535</v>
      </c>
      <c r="B28" s="7">
        <v>0.1</v>
      </c>
      <c r="C28" s="42">
        <f>PI()*(B28/2)^2</f>
        <v>7.8539816339744835E-3</v>
      </c>
      <c r="D28" s="87">
        <f>C28/($C$27+C28)</f>
        <v>0.13575524816363321</v>
      </c>
    </row>
    <row r="29" spans="1:16" ht="15" customHeight="1">
      <c r="A29" s="116" t="s">
        <v>535</v>
      </c>
      <c r="B29" s="7">
        <v>0.2</v>
      </c>
      <c r="C29" s="42">
        <f>PI()*(B29/2)^2</f>
        <v>3.1415926535897934E-2</v>
      </c>
      <c r="D29" s="87">
        <f>C29/($C$27+C29)</f>
        <v>0.38586954509503757</v>
      </c>
    </row>
    <row r="30" spans="1:16" ht="15" customHeight="1">
      <c r="A30" s="116" t="s">
        <v>535</v>
      </c>
      <c r="B30" s="7">
        <v>0.3</v>
      </c>
      <c r="C30" s="42">
        <f>PI()*(B30/2)^2</f>
        <v>7.0685834705770348E-2</v>
      </c>
      <c r="D30" s="87">
        <f>C30/($C$27+C30)</f>
        <v>0.58570117096261542</v>
      </c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L151"/>
  <sheetViews>
    <sheetView tabSelected="1" topLeftCell="A118" zoomScale="85" zoomScaleNormal="85" workbookViewId="0">
      <selection activeCell="C144" sqref="C144"/>
    </sheetView>
  </sheetViews>
  <sheetFormatPr defaultColWidth="8.7109375" defaultRowHeight="15" customHeight="1"/>
  <cols>
    <col min="1" max="1" width="12.28515625" style="7" customWidth="1"/>
    <col min="2" max="2" width="11.5703125" style="7" bestFit="1" customWidth="1"/>
    <col min="3" max="3" width="10.28515625" style="3" customWidth="1"/>
    <col min="4" max="4" width="16.140625" style="3" customWidth="1"/>
    <col min="5" max="5" width="16.7109375" style="3" customWidth="1"/>
    <col min="6" max="6" width="8" style="3" customWidth="1"/>
    <col min="7" max="8" width="5.7109375" style="3" bestFit="1" customWidth="1"/>
    <col min="9" max="9" width="7.5703125" style="3" bestFit="1" customWidth="1"/>
    <col min="10" max="10" width="5.5703125" style="3" bestFit="1" customWidth="1"/>
    <col min="11" max="11" width="5.85546875" style="3" customWidth="1"/>
    <col min="12" max="15" width="5.5703125" style="3" bestFit="1" customWidth="1"/>
    <col min="16" max="21" width="5.5703125" style="7" bestFit="1" customWidth="1"/>
    <col min="22" max="22" width="37.42578125" style="7" customWidth="1"/>
    <col min="23" max="38" width="6.140625" style="7" customWidth="1"/>
    <col min="39" max="16384" width="8.7109375" style="7"/>
  </cols>
  <sheetData>
    <row r="1" spans="1:38" ht="15" customHeight="1">
      <c r="A1" s="36" t="s">
        <v>304</v>
      </c>
      <c r="E1" s="433" t="s">
        <v>1024</v>
      </c>
      <c r="V1" s="7">
        <f>1/0.102</f>
        <v>9.8039215686274517</v>
      </c>
    </row>
    <row r="2" spans="1:38" ht="15" customHeight="1">
      <c r="A2" s="27" t="s">
        <v>633</v>
      </c>
      <c r="C2" s="7"/>
      <c r="F2" s="7"/>
      <c r="P2" s="3"/>
    </row>
    <row r="3" spans="1:38" ht="15" customHeight="1">
      <c r="A3" s="27" t="s">
        <v>749</v>
      </c>
      <c r="C3" s="7"/>
      <c r="F3" s="47"/>
      <c r="P3" s="3"/>
      <c r="W3" s="36" t="s">
        <v>307</v>
      </c>
    </row>
    <row r="4" spans="1:38" ht="15" customHeight="1">
      <c r="A4" s="27"/>
      <c r="C4" s="7"/>
      <c r="F4" s="47" t="s">
        <v>308</v>
      </c>
      <c r="P4" s="3"/>
      <c r="W4" s="47" t="s">
        <v>308</v>
      </c>
    </row>
    <row r="5" spans="1:38" s="27" customFormat="1" ht="15" customHeight="1">
      <c r="A5" s="114" t="s">
        <v>309</v>
      </c>
      <c r="B5" s="112" t="s">
        <v>603</v>
      </c>
      <c r="C5" s="113" t="s">
        <v>310</v>
      </c>
      <c r="D5" s="103" t="s">
        <v>311</v>
      </c>
      <c r="E5" s="104" t="s">
        <v>232</v>
      </c>
      <c r="F5" s="336" t="s">
        <v>883</v>
      </c>
      <c r="G5" s="102" t="s">
        <v>824</v>
      </c>
      <c r="H5" s="102" t="s">
        <v>825</v>
      </c>
      <c r="I5" s="102" t="s">
        <v>826</v>
      </c>
      <c r="J5" s="102" t="s">
        <v>827</v>
      </c>
      <c r="K5" s="102" t="s">
        <v>828</v>
      </c>
      <c r="L5" s="102" t="s">
        <v>829</v>
      </c>
      <c r="M5" s="102" t="s">
        <v>830</v>
      </c>
      <c r="N5" s="102" t="s">
        <v>831</v>
      </c>
      <c r="O5" s="102" t="s">
        <v>832</v>
      </c>
      <c r="P5" s="102" t="s">
        <v>833</v>
      </c>
      <c r="Q5" s="102" t="s">
        <v>834</v>
      </c>
      <c r="R5" s="102" t="s">
        <v>835</v>
      </c>
      <c r="S5" s="102">
        <v>7</v>
      </c>
      <c r="T5" s="336">
        <v>8</v>
      </c>
      <c r="U5" s="317"/>
      <c r="V5" s="36" t="s">
        <v>4</v>
      </c>
      <c r="W5" s="102">
        <v>1</v>
      </c>
      <c r="X5" s="102">
        <v>2</v>
      </c>
      <c r="Y5" s="102">
        <v>3</v>
      </c>
      <c r="Z5" s="102">
        <v>4</v>
      </c>
      <c r="AA5" s="102">
        <v>5</v>
      </c>
      <c r="AB5" s="102">
        <v>6</v>
      </c>
      <c r="AC5" s="102">
        <v>7</v>
      </c>
      <c r="AD5" s="102">
        <v>8</v>
      </c>
      <c r="AE5" s="102">
        <v>9</v>
      </c>
      <c r="AF5" s="102">
        <v>10</v>
      </c>
      <c r="AG5" s="102">
        <v>11</v>
      </c>
      <c r="AH5" s="102">
        <v>12</v>
      </c>
      <c r="AI5" s="102">
        <v>13</v>
      </c>
      <c r="AJ5" s="102">
        <v>14</v>
      </c>
      <c r="AK5" s="102">
        <v>15</v>
      </c>
      <c r="AL5" s="102">
        <v>16</v>
      </c>
    </row>
    <row r="6" spans="1:38" ht="15" customHeight="1">
      <c r="A6" s="115" t="s">
        <v>312</v>
      </c>
      <c r="B6" s="109">
        <f>IF(B9=1, 1.05, 1.19)</f>
        <v>1.19</v>
      </c>
      <c r="C6" s="110">
        <f>A_wall</f>
        <v>261.42915456000003</v>
      </c>
      <c r="D6" s="3" t="s">
        <v>313</v>
      </c>
      <c r="E6" s="105" t="s">
        <v>314</v>
      </c>
      <c r="F6" s="358">
        <v>13</v>
      </c>
      <c r="G6" s="345">
        <v>13</v>
      </c>
      <c r="H6" s="345">
        <v>13</v>
      </c>
      <c r="I6" s="345">
        <v>13</v>
      </c>
      <c r="J6" s="345">
        <v>13</v>
      </c>
      <c r="K6" s="345">
        <v>13</v>
      </c>
      <c r="L6" s="345">
        <v>13</v>
      </c>
      <c r="M6" s="345">
        <v>13</v>
      </c>
      <c r="N6" s="345">
        <v>20</v>
      </c>
      <c r="O6" s="345">
        <v>20</v>
      </c>
      <c r="P6" s="345">
        <v>20</v>
      </c>
      <c r="Q6" s="345">
        <v>20</v>
      </c>
      <c r="R6" s="345">
        <v>20</v>
      </c>
      <c r="S6" s="345">
        <v>21</v>
      </c>
      <c r="T6" s="358">
        <v>21</v>
      </c>
      <c r="U6" s="318">
        <v>21</v>
      </c>
      <c r="V6" s="27" t="s">
        <v>748</v>
      </c>
      <c r="W6" s="49">
        <v>29</v>
      </c>
      <c r="X6" s="49">
        <v>29</v>
      </c>
      <c r="Y6" s="49">
        <v>25</v>
      </c>
      <c r="Z6" s="49">
        <v>25</v>
      </c>
      <c r="AA6" s="49">
        <v>25</v>
      </c>
      <c r="AB6" s="49">
        <v>21</v>
      </c>
      <c r="AC6" s="49">
        <v>21</v>
      </c>
      <c r="AD6" s="49">
        <v>21</v>
      </c>
      <c r="AE6" s="49">
        <f>AD6</f>
        <v>21</v>
      </c>
      <c r="AF6" s="49">
        <v>25</v>
      </c>
      <c r="AG6" s="49">
        <f>X6</f>
        <v>29</v>
      </c>
      <c r="AH6" s="49">
        <f>X6</f>
        <v>29</v>
      </c>
      <c r="AI6" s="49">
        <f>X6</f>
        <v>29</v>
      </c>
      <c r="AJ6" s="49">
        <v>29</v>
      </c>
      <c r="AK6" s="49">
        <v>29</v>
      </c>
      <c r="AL6" s="49">
        <f>W6</f>
        <v>29</v>
      </c>
    </row>
    <row r="7" spans="1:38" ht="15" customHeight="1">
      <c r="A7" s="115" t="s">
        <v>315</v>
      </c>
      <c r="B7" s="109">
        <v>1</v>
      </c>
      <c r="C7" s="110">
        <f>A_windowSI</f>
        <v>39.019276800000007</v>
      </c>
      <c r="D7" s="3" t="s">
        <v>316</v>
      </c>
      <c r="E7" s="105" t="s">
        <v>314</v>
      </c>
      <c r="F7" s="358">
        <v>1.5</v>
      </c>
      <c r="G7" s="346">
        <v>1.5384615384615383</v>
      </c>
      <c r="H7" s="346">
        <v>1.5384615384615383</v>
      </c>
      <c r="I7" s="346">
        <v>2</v>
      </c>
      <c r="J7" s="346">
        <v>2</v>
      </c>
      <c r="K7" s="346">
        <v>2</v>
      </c>
      <c r="L7" s="346">
        <v>2.8571428571428572</v>
      </c>
      <c r="M7" s="346">
        <v>2.8571428571428572</v>
      </c>
      <c r="N7" s="346">
        <v>2.8571428571428572</v>
      </c>
      <c r="O7" s="346">
        <v>2.8571428571428572</v>
      </c>
      <c r="P7" s="346">
        <v>2.8571428571428572</v>
      </c>
      <c r="Q7" s="346">
        <v>2.8571428571428572</v>
      </c>
      <c r="R7" s="346">
        <v>2.8571428571428572</v>
      </c>
      <c r="S7" s="346">
        <v>2.8571428571428572</v>
      </c>
      <c r="T7" s="358">
        <v>2.9</v>
      </c>
      <c r="U7" s="318">
        <f t="shared" ref="U7" si="0">1/0.4</f>
        <v>2.5</v>
      </c>
      <c r="V7" s="27" t="s">
        <v>746</v>
      </c>
      <c r="W7" s="50">
        <f>1/0.38</f>
        <v>2.6315789473684212</v>
      </c>
      <c r="X7" s="50">
        <f>W7</f>
        <v>2.6315789473684212</v>
      </c>
      <c r="Y7" s="50">
        <f>X7</f>
        <v>2.6315789473684212</v>
      </c>
      <c r="Z7" s="50">
        <f>Y7</f>
        <v>2.6315789473684212</v>
      </c>
      <c r="AA7" s="50">
        <f t="shared" ref="AA7:AL7" si="1">Z7</f>
        <v>2.6315789473684212</v>
      </c>
      <c r="AB7" s="50">
        <f t="shared" si="1"/>
        <v>2.6315789473684212</v>
      </c>
      <c r="AC7" s="50">
        <f t="shared" si="1"/>
        <v>2.6315789473684212</v>
      </c>
      <c r="AD7" s="50">
        <f t="shared" si="1"/>
        <v>2.6315789473684212</v>
      </c>
      <c r="AE7" s="50">
        <f t="shared" si="1"/>
        <v>2.6315789473684212</v>
      </c>
      <c r="AF7" s="50">
        <f t="shared" si="1"/>
        <v>2.6315789473684212</v>
      </c>
      <c r="AG7" s="50">
        <f t="shared" si="1"/>
        <v>2.6315789473684212</v>
      </c>
      <c r="AH7" s="50">
        <f t="shared" si="1"/>
        <v>2.6315789473684212</v>
      </c>
      <c r="AI7" s="50">
        <f t="shared" si="1"/>
        <v>2.6315789473684212</v>
      </c>
      <c r="AJ7" s="50">
        <f t="shared" si="1"/>
        <v>2.6315789473684212</v>
      </c>
      <c r="AK7" s="50">
        <f t="shared" si="1"/>
        <v>2.6315789473684212</v>
      </c>
      <c r="AL7" s="50">
        <f t="shared" si="1"/>
        <v>2.6315789473684212</v>
      </c>
    </row>
    <row r="8" spans="1:38" ht="15" customHeight="1">
      <c r="A8" s="115" t="s">
        <v>317</v>
      </c>
      <c r="B8" s="109">
        <v>1</v>
      </c>
      <c r="C8" s="110">
        <f>Geometry!D9</f>
        <v>97.548192000000014</v>
      </c>
      <c r="D8" s="3" t="s">
        <v>318</v>
      </c>
      <c r="E8" s="105" t="s">
        <v>314</v>
      </c>
      <c r="F8" s="358">
        <v>13</v>
      </c>
      <c r="G8" s="345">
        <v>13</v>
      </c>
      <c r="H8" s="345">
        <v>13</v>
      </c>
      <c r="I8" s="345">
        <v>19</v>
      </c>
      <c r="J8" s="345">
        <v>19</v>
      </c>
      <c r="K8" s="345">
        <v>19</v>
      </c>
      <c r="L8" s="345">
        <v>19</v>
      </c>
      <c r="M8" s="345">
        <v>19</v>
      </c>
      <c r="N8" s="345">
        <v>19</v>
      </c>
      <c r="O8" s="345">
        <v>30</v>
      </c>
      <c r="P8" s="345">
        <v>30</v>
      </c>
      <c r="Q8" s="345">
        <v>30</v>
      </c>
      <c r="R8" s="345">
        <v>30</v>
      </c>
      <c r="S8" s="345">
        <v>38</v>
      </c>
      <c r="T8" s="358">
        <v>38</v>
      </c>
      <c r="U8" s="318">
        <v>19</v>
      </c>
      <c r="V8" s="27" t="s">
        <v>747</v>
      </c>
      <c r="W8" s="49">
        <v>30</v>
      </c>
      <c r="X8" s="49">
        <v>30</v>
      </c>
      <c r="Y8" s="49">
        <v>30</v>
      </c>
      <c r="Z8" s="49">
        <v>30</v>
      </c>
      <c r="AA8" s="49">
        <v>30</v>
      </c>
      <c r="AB8" s="49">
        <v>21</v>
      </c>
      <c r="AC8" s="49">
        <v>21</v>
      </c>
      <c r="AD8" s="49">
        <v>21</v>
      </c>
      <c r="AE8" s="49">
        <f>AD8</f>
        <v>21</v>
      </c>
      <c r="AF8" s="49">
        <v>30</v>
      </c>
      <c r="AG8" s="49">
        <f>X8</f>
        <v>30</v>
      </c>
      <c r="AH8" s="49">
        <f>X8</f>
        <v>30</v>
      </c>
      <c r="AI8" s="49">
        <f>X8</f>
        <v>30</v>
      </c>
      <c r="AJ8" s="49">
        <v>30</v>
      </c>
      <c r="AK8" s="49">
        <v>21</v>
      </c>
      <c r="AL8" s="49">
        <f>W8</f>
        <v>30</v>
      </c>
    </row>
    <row r="9" spans="1:38" ht="15" customHeight="1">
      <c r="A9" s="230" t="s">
        <v>618</v>
      </c>
      <c r="B9" s="174">
        <v>0</v>
      </c>
      <c r="C9" s="111"/>
      <c r="D9" s="3" t="s">
        <v>820</v>
      </c>
      <c r="E9" s="105" t="s">
        <v>320</v>
      </c>
      <c r="F9" s="337">
        <f>$B$13*$K$59</f>
        <v>57.454799999999999</v>
      </c>
      <c r="G9" s="188">
        <f>$B$13*$K$59</f>
        <v>57.454799999999999</v>
      </c>
      <c r="H9" s="188">
        <f>$B$13*$K$59</f>
        <v>57.454799999999999</v>
      </c>
      <c r="I9" s="188">
        <f>$B$13*$K$59</f>
        <v>57.454799999999999</v>
      </c>
      <c r="J9" s="188">
        <f>$B$13*$K$59</f>
        <v>57.454799999999999</v>
      </c>
      <c r="K9" s="188">
        <f>$B$13*$K$59</f>
        <v>57.454799999999999</v>
      </c>
      <c r="L9" s="188">
        <f>$B$13*$K$59</f>
        <v>57.454799999999999</v>
      </c>
      <c r="M9" s="188">
        <f>$B$13*$K$59</f>
        <v>57.454799999999999</v>
      </c>
      <c r="N9" s="188">
        <f>$B$13*$K$59</f>
        <v>57.454799999999999</v>
      </c>
      <c r="O9" s="188">
        <f>$B$13*$K$59</f>
        <v>57.454799999999999</v>
      </c>
      <c r="P9" s="188">
        <f>$B$13*$K$59</f>
        <v>57.454799999999999</v>
      </c>
      <c r="Q9" s="188">
        <f>$B$13*$K$59</f>
        <v>57.454799999999999</v>
      </c>
      <c r="R9" s="188">
        <f>$B$13*$K$59</f>
        <v>57.454799999999999</v>
      </c>
      <c r="S9" s="188">
        <f>$B$13*$K$59</f>
        <v>57.454799999999999</v>
      </c>
      <c r="T9" s="337">
        <f>$B$13*$K$59</f>
        <v>57.454799999999999</v>
      </c>
      <c r="U9" s="319">
        <f>$B$13*$K$60</f>
        <v>33.680399999999999</v>
      </c>
      <c r="V9" s="186" t="s">
        <v>745</v>
      </c>
      <c r="W9" s="51">
        <f t="shared" ref="W9:AL9" si="2">1/W6*$B$6*5.678*$C$6</f>
        <v>60.911370348762041</v>
      </c>
      <c r="X9" s="51">
        <f t="shared" si="2"/>
        <v>60.911370348762041</v>
      </c>
      <c r="Y9" s="51">
        <f t="shared" si="2"/>
        <v>70.657189604563968</v>
      </c>
      <c r="Z9" s="51">
        <f t="shared" si="2"/>
        <v>70.657189604563968</v>
      </c>
      <c r="AA9" s="51">
        <f t="shared" si="2"/>
        <v>70.657189604563968</v>
      </c>
      <c r="AB9" s="51">
        <f t="shared" si="2"/>
        <v>84.115701910195213</v>
      </c>
      <c r="AC9" s="51">
        <f t="shared" si="2"/>
        <v>84.115701910195213</v>
      </c>
      <c r="AD9" s="51">
        <f t="shared" si="2"/>
        <v>84.115701910195213</v>
      </c>
      <c r="AE9" s="51">
        <f t="shared" si="2"/>
        <v>84.115701910195213</v>
      </c>
      <c r="AF9" s="51">
        <f t="shared" si="2"/>
        <v>70.657189604563968</v>
      </c>
      <c r="AG9" s="51">
        <f t="shared" si="2"/>
        <v>60.911370348762041</v>
      </c>
      <c r="AH9" s="51">
        <f t="shared" si="2"/>
        <v>60.911370348762041</v>
      </c>
      <c r="AI9" s="51">
        <f t="shared" si="2"/>
        <v>60.911370348762041</v>
      </c>
      <c r="AJ9" s="51">
        <f t="shared" si="2"/>
        <v>60.911370348762041</v>
      </c>
      <c r="AK9" s="51">
        <f t="shared" si="2"/>
        <v>60.911370348762041</v>
      </c>
      <c r="AL9" s="51">
        <f t="shared" si="2"/>
        <v>60.911370348762041</v>
      </c>
    </row>
    <row r="10" spans="1:38" ht="15" customHeight="1">
      <c r="A10" s="186" t="s">
        <v>1002</v>
      </c>
      <c r="C10" s="7"/>
      <c r="D10" s="3" t="s">
        <v>319</v>
      </c>
      <c r="E10" s="106" t="s">
        <v>320</v>
      </c>
      <c r="F10" s="344">
        <f>(1/F6)*$B$6*5.6783*$C$6</f>
        <v>135.88639002479056</v>
      </c>
      <c r="G10" s="51">
        <f t="shared" ref="G10:U10" si="3">1/G6*$B$6*5.678*$C$6</f>
        <v>135.87921077800766</v>
      </c>
      <c r="H10" s="51">
        <f>1/H6*$B$6*5.678*$C$6</f>
        <v>135.87921077800766</v>
      </c>
      <c r="I10" s="51">
        <f t="shared" si="3"/>
        <v>135.87921077800766</v>
      </c>
      <c r="J10" s="51">
        <f t="shared" si="3"/>
        <v>135.87921077800766</v>
      </c>
      <c r="K10" s="51">
        <f t="shared" si="3"/>
        <v>135.87921077800766</v>
      </c>
      <c r="L10" s="51">
        <f t="shared" si="3"/>
        <v>135.87921077800766</v>
      </c>
      <c r="M10" s="51">
        <f t="shared" si="3"/>
        <v>135.87921077800766</v>
      </c>
      <c r="N10" s="51">
        <f t="shared" si="3"/>
        <v>88.321487005704967</v>
      </c>
      <c r="O10" s="51">
        <f t="shared" si="3"/>
        <v>88.321487005704967</v>
      </c>
      <c r="P10" s="51">
        <f t="shared" si="3"/>
        <v>88.321487005704967</v>
      </c>
      <c r="Q10" s="51">
        <f t="shared" si="3"/>
        <v>88.321487005704967</v>
      </c>
      <c r="R10" s="51">
        <f t="shared" si="3"/>
        <v>88.321487005704967</v>
      </c>
      <c r="S10" s="51">
        <f t="shared" si="3"/>
        <v>84.115701910195213</v>
      </c>
      <c r="T10" s="344">
        <f t="shared" si="3"/>
        <v>84.115701910195213</v>
      </c>
      <c r="U10" s="320">
        <f t="shared" si="3"/>
        <v>84.115701910195213</v>
      </c>
      <c r="W10" s="51">
        <f t="shared" ref="W10:AL10" si="4">1/W7*$B$7*5.678*$C$7</f>
        <v>84.189552394752013</v>
      </c>
      <c r="X10" s="51">
        <f t="shared" si="4"/>
        <v>84.189552394752013</v>
      </c>
      <c r="Y10" s="51">
        <f t="shared" si="4"/>
        <v>84.189552394752013</v>
      </c>
      <c r="Z10" s="51">
        <f t="shared" si="4"/>
        <v>84.189552394752013</v>
      </c>
      <c r="AA10" s="51">
        <f t="shared" si="4"/>
        <v>84.189552394752013</v>
      </c>
      <c r="AB10" s="51">
        <f t="shared" si="4"/>
        <v>84.189552394752013</v>
      </c>
      <c r="AC10" s="51">
        <f t="shared" si="4"/>
        <v>84.189552394752013</v>
      </c>
      <c r="AD10" s="51">
        <f t="shared" si="4"/>
        <v>84.189552394752013</v>
      </c>
      <c r="AE10" s="51">
        <f t="shared" si="4"/>
        <v>84.189552394752013</v>
      </c>
      <c r="AF10" s="51">
        <f t="shared" si="4"/>
        <v>84.189552394752013</v>
      </c>
      <c r="AG10" s="51">
        <f t="shared" si="4"/>
        <v>84.189552394752013</v>
      </c>
      <c r="AH10" s="51">
        <f t="shared" si="4"/>
        <v>84.189552394752013</v>
      </c>
      <c r="AI10" s="51">
        <f t="shared" si="4"/>
        <v>84.189552394752013</v>
      </c>
      <c r="AJ10" s="51">
        <f t="shared" si="4"/>
        <v>84.189552394752013</v>
      </c>
      <c r="AK10" s="51">
        <f t="shared" si="4"/>
        <v>84.189552394752013</v>
      </c>
      <c r="AL10" s="51">
        <f t="shared" si="4"/>
        <v>84.189552394752013</v>
      </c>
    </row>
    <row r="11" spans="1:38" ht="15" customHeight="1">
      <c r="C11" s="7"/>
      <c r="D11" s="3" t="s">
        <v>321</v>
      </c>
      <c r="E11" s="106" t="s">
        <v>320</v>
      </c>
      <c r="F11" s="344">
        <f t="shared" ref="F11:U11" si="5">1/F7*$B$7*5.678*$C$7</f>
        <v>147.70096911360002</v>
      </c>
      <c r="G11" s="51">
        <f t="shared" si="5"/>
        <v>144.00844488576004</v>
      </c>
      <c r="H11" s="51">
        <f t="shared" si="5"/>
        <v>144.00844488576004</v>
      </c>
      <c r="I11" s="51">
        <f t="shared" si="5"/>
        <v>110.77572683520002</v>
      </c>
      <c r="J11" s="51">
        <f t="shared" si="5"/>
        <v>110.77572683520002</v>
      </c>
      <c r="K11" s="51">
        <f t="shared" si="5"/>
        <v>110.77572683520002</v>
      </c>
      <c r="L11" s="51">
        <f t="shared" si="5"/>
        <v>77.543008784640008</v>
      </c>
      <c r="M11" s="51">
        <f t="shared" si="5"/>
        <v>77.543008784640008</v>
      </c>
      <c r="N11" s="51">
        <f t="shared" si="5"/>
        <v>77.543008784640008</v>
      </c>
      <c r="O11" s="51">
        <f t="shared" si="5"/>
        <v>77.543008784640008</v>
      </c>
      <c r="P11" s="51">
        <f t="shared" si="5"/>
        <v>77.543008784640008</v>
      </c>
      <c r="Q11" s="51">
        <f t="shared" si="5"/>
        <v>77.543008784640008</v>
      </c>
      <c r="R11" s="51">
        <f t="shared" si="5"/>
        <v>77.543008784640008</v>
      </c>
      <c r="S11" s="51">
        <f t="shared" si="5"/>
        <v>77.543008784640008</v>
      </c>
      <c r="T11" s="344">
        <f t="shared" si="5"/>
        <v>76.397052989793124</v>
      </c>
      <c r="U11" s="320">
        <f t="shared" si="5"/>
        <v>88.620581468160012</v>
      </c>
      <c r="V11"/>
      <c r="W11" s="51">
        <f t="shared" ref="W11:AL11" si="6">1/W8*$B$8*5.678*$C$8</f>
        <v>18.462621139200003</v>
      </c>
      <c r="X11" s="51">
        <f t="shared" si="6"/>
        <v>18.462621139200003</v>
      </c>
      <c r="Y11" s="51">
        <f t="shared" si="6"/>
        <v>18.462621139200003</v>
      </c>
      <c r="Z11" s="51">
        <f t="shared" si="6"/>
        <v>18.462621139200003</v>
      </c>
      <c r="AA11" s="51">
        <f t="shared" si="6"/>
        <v>18.462621139200003</v>
      </c>
      <c r="AB11" s="51">
        <f t="shared" si="6"/>
        <v>26.375173056000005</v>
      </c>
      <c r="AC11" s="51">
        <f t="shared" si="6"/>
        <v>26.375173056000005</v>
      </c>
      <c r="AD11" s="51">
        <f t="shared" si="6"/>
        <v>26.375173056000005</v>
      </c>
      <c r="AE11" s="51">
        <f t="shared" si="6"/>
        <v>26.375173056000005</v>
      </c>
      <c r="AF11" s="51">
        <f t="shared" si="6"/>
        <v>18.462621139200003</v>
      </c>
      <c r="AG11" s="51">
        <f t="shared" si="6"/>
        <v>18.462621139200003</v>
      </c>
      <c r="AH11" s="51">
        <f t="shared" si="6"/>
        <v>18.462621139200003</v>
      </c>
      <c r="AI11" s="51">
        <f t="shared" si="6"/>
        <v>18.462621139200003</v>
      </c>
      <c r="AJ11" s="51">
        <f t="shared" si="6"/>
        <v>18.462621139200003</v>
      </c>
      <c r="AK11" s="51">
        <f t="shared" si="6"/>
        <v>26.375173056000005</v>
      </c>
      <c r="AL11" s="51">
        <f t="shared" si="6"/>
        <v>18.462621139200003</v>
      </c>
    </row>
    <row r="12" spans="1:38" ht="15" customHeight="1">
      <c r="A12" s="200" t="s">
        <v>758</v>
      </c>
      <c r="B12" s="201">
        <v>1</v>
      </c>
      <c r="C12" s="7"/>
      <c r="D12" s="3" t="s">
        <v>322</v>
      </c>
      <c r="E12" s="106" t="s">
        <v>320</v>
      </c>
      <c r="F12" s="344">
        <f t="shared" ref="F12:U12" si="7">1/F8*$B$8*5.678*$C$8</f>
        <v>42.606048782769243</v>
      </c>
      <c r="G12" s="51">
        <f t="shared" si="7"/>
        <v>42.606048782769243</v>
      </c>
      <c r="H12" s="51">
        <f t="shared" si="7"/>
        <v>42.606048782769243</v>
      </c>
      <c r="I12" s="51">
        <f t="shared" si="7"/>
        <v>29.151507061894737</v>
      </c>
      <c r="J12" s="51">
        <f t="shared" si="7"/>
        <v>29.151507061894737</v>
      </c>
      <c r="K12" s="51">
        <f t="shared" si="7"/>
        <v>29.151507061894737</v>
      </c>
      <c r="L12" s="51">
        <f t="shared" si="7"/>
        <v>29.151507061894737</v>
      </c>
      <c r="M12" s="51">
        <f t="shared" si="7"/>
        <v>29.151507061894737</v>
      </c>
      <c r="N12" s="51">
        <f t="shared" si="7"/>
        <v>29.151507061894737</v>
      </c>
      <c r="O12" s="51">
        <f t="shared" si="7"/>
        <v>18.462621139200003</v>
      </c>
      <c r="P12" s="51">
        <f t="shared" si="7"/>
        <v>18.462621139200003</v>
      </c>
      <c r="Q12" s="51">
        <f t="shared" si="7"/>
        <v>18.462621139200003</v>
      </c>
      <c r="R12" s="51">
        <f t="shared" si="7"/>
        <v>18.462621139200003</v>
      </c>
      <c r="S12" s="51">
        <f t="shared" si="7"/>
        <v>14.575753530947368</v>
      </c>
      <c r="T12" s="344">
        <f t="shared" si="7"/>
        <v>14.575753530947368</v>
      </c>
      <c r="U12" s="320">
        <f t="shared" si="7"/>
        <v>29.151507061894737</v>
      </c>
      <c r="V12" s="27" t="s">
        <v>325</v>
      </c>
      <c r="W12" s="51">
        <f>20*5.678*0.3048^2</f>
        <v>10.550069222400001</v>
      </c>
      <c r="X12" s="51">
        <f t="shared" ref="X12:AL12" si="8">20*5.678*0.3048^2</f>
        <v>10.550069222400001</v>
      </c>
      <c r="Y12" s="51">
        <f t="shared" si="8"/>
        <v>10.550069222400001</v>
      </c>
      <c r="Z12" s="51">
        <f t="shared" si="8"/>
        <v>10.550069222400001</v>
      </c>
      <c r="AA12" s="51">
        <f t="shared" si="8"/>
        <v>10.550069222400001</v>
      </c>
      <c r="AB12" s="51">
        <f t="shared" si="8"/>
        <v>10.550069222400001</v>
      </c>
      <c r="AC12" s="51">
        <f t="shared" si="8"/>
        <v>10.550069222400001</v>
      </c>
      <c r="AD12" s="51">
        <f t="shared" si="8"/>
        <v>10.550069222400001</v>
      </c>
      <c r="AE12" s="51">
        <f t="shared" si="8"/>
        <v>10.550069222400001</v>
      </c>
      <c r="AF12" s="51">
        <f t="shared" si="8"/>
        <v>10.550069222400001</v>
      </c>
      <c r="AG12" s="51">
        <f t="shared" si="8"/>
        <v>10.550069222400001</v>
      </c>
      <c r="AH12" s="51">
        <f t="shared" si="8"/>
        <v>10.550069222400001</v>
      </c>
      <c r="AI12" s="51">
        <f t="shared" si="8"/>
        <v>10.550069222400001</v>
      </c>
      <c r="AJ12" s="51">
        <f t="shared" si="8"/>
        <v>10.550069222400001</v>
      </c>
      <c r="AK12" s="51">
        <f t="shared" si="8"/>
        <v>10.550069222400001</v>
      </c>
      <c r="AL12" s="51">
        <f t="shared" si="8"/>
        <v>10.550069222400001</v>
      </c>
    </row>
    <row r="13" spans="1:38" ht="15" customHeight="1">
      <c r="A13" s="201" t="s">
        <v>787</v>
      </c>
      <c r="B13" s="217">
        <f>Geometry!D11</f>
        <v>39.624000000000002</v>
      </c>
      <c r="C13" s="7" t="s">
        <v>193</v>
      </c>
      <c r="D13" s="3" t="s">
        <v>323</v>
      </c>
      <c r="E13" s="106" t="s">
        <v>320</v>
      </c>
      <c r="F13" s="344">
        <f>20*5.678*0.3048^2</f>
        <v>10.550069222400001</v>
      </c>
      <c r="G13" s="51">
        <f t="shared" ref="G13:U13" si="9">20*5.678*0.3048^2</f>
        <v>10.550069222400001</v>
      </c>
      <c r="H13" s="51">
        <f t="shared" si="9"/>
        <v>10.550069222400001</v>
      </c>
      <c r="I13" s="51">
        <f t="shared" si="9"/>
        <v>10.550069222400001</v>
      </c>
      <c r="J13" s="51">
        <f t="shared" si="9"/>
        <v>10.550069222400001</v>
      </c>
      <c r="K13" s="51">
        <f t="shared" si="9"/>
        <v>10.550069222400001</v>
      </c>
      <c r="L13" s="51">
        <f t="shared" si="9"/>
        <v>10.550069222400001</v>
      </c>
      <c r="M13" s="51">
        <f t="shared" si="9"/>
        <v>10.550069222400001</v>
      </c>
      <c r="N13" s="51">
        <f t="shared" si="9"/>
        <v>10.550069222400001</v>
      </c>
      <c r="O13" s="51">
        <f t="shared" si="9"/>
        <v>10.550069222400001</v>
      </c>
      <c r="P13" s="51">
        <f t="shared" si="9"/>
        <v>10.550069222400001</v>
      </c>
      <c r="Q13" s="51">
        <f t="shared" si="9"/>
        <v>10.550069222400001</v>
      </c>
      <c r="R13" s="51">
        <f t="shared" si="9"/>
        <v>10.550069222400001</v>
      </c>
      <c r="S13" s="51">
        <f t="shared" si="9"/>
        <v>10.550069222400001</v>
      </c>
      <c r="T13" s="344">
        <f t="shared" si="9"/>
        <v>10.550069222400001</v>
      </c>
      <c r="U13" s="320">
        <f t="shared" si="9"/>
        <v>10.550069222400001</v>
      </c>
      <c r="V13" s="27" t="s">
        <v>797</v>
      </c>
      <c r="W13" s="53">
        <f>SUM(W9:W12)</f>
        <v>174.11361310511404</v>
      </c>
      <c r="X13" s="53">
        <f t="shared" ref="X13:AL13" si="10">SUM(X9:X12)</f>
        <v>174.11361310511404</v>
      </c>
      <c r="Y13" s="53">
        <f t="shared" si="10"/>
        <v>183.85943236091597</v>
      </c>
      <c r="Z13" s="53">
        <f t="shared" si="10"/>
        <v>183.85943236091597</v>
      </c>
      <c r="AA13" s="53">
        <f t="shared" si="10"/>
        <v>183.85943236091597</v>
      </c>
      <c r="AB13" s="53">
        <f t="shared" si="10"/>
        <v>205.23049658334722</v>
      </c>
      <c r="AC13" s="53">
        <f t="shared" si="10"/>
        <v>205.23049658334722</v>
      </c>
      <c r="AD13" s="53">
        <f t="shared" si="10"/>
        <v>205.23049658334722</v>
      </c>
      <c r="AE13" s="53">
        <f t="shared" si="10"/>
        <v>205.23049658334722</v>
      </c>
      <c r="AF13" s="53">
        <f t="shared" si="10"/>
        <v>183.85943236091597</v>
      </c>
      <c r="AG13" s="53">
        <f t="shared" si="10"/>
        <v>174.11361310511404</v>
      </c>
      <c r="AH13" s="53">
        <f t="shared" si="10"/>
        <v>174.11361310511404</v>
      </c>
      <c r="AI13" s="53">
        <f t="shared" si="10"/>
        <v>174.11361310511404</v>
      </c>
      <c r="AJ13" s="53">
        <f t="shared" si="10"/>
        <v>174.11361310511404</v>
      </c>
      <c r="AK13" s="53">
        <f t="shared" si="10"/>
        <v>182.02616502191404</v>
      </c>
      <c r="AL13" s="53">
        <f t="shared" si="10"/>
        <v>174.11361310511404</v>
      </c>
    </row>
    <row r="14" spans="1:38" ht="15" customHeight="1">
      <c r="A14" s="109"/>
      <c r="B14" s="109"/>
      <c r="D14" s="52" t="s">
        <v>324</v>
      </c>
      <c r="E14" s="107" t="s">
        <v>320</v>
      </c>
      <c r="F14" s="368">
        <f>IF($B$12=0,SUM(F10:F13),SUM(F9,F10,F11,F13))</f>
        <v>351.59222836079061</v>
      </c>
      <c r="G14" s="53">
        <f t="shared" ref="G14:U14" si="11">IF($B$12=0,SUM(G10:G13),SUM(G9,G10,G11,G13))</f>
        <v>347.89252488616773</v>
      </c>
      <c r="H14" s="53">
        <f t="shared" si="11"/>
        <v>347.89252488616773</v>
      </c>
      <c r="I14" s="53">
        <f t="shared" si="11"/>
        <v>314.6598068356077</v>
      </c>
      <c r="J14" s="53">
        <f t="shared" si="11"/>
        <v>314.6598068356077</v>
      </c>
      <c r="K14" s="53">
        <f t="shared" si="11"/>
        <v>314.6598068356077</v>
      </c>
      <c r="L14" s="53">
        <f t="shared" si="11"/>
        <v>281.42708878504766</v>
      </c>
      <c r="M14" s="53">
        <f t="shared" si="11"/>
        <v>281.42708878504766</v>
      </c>
      <c r="N14" s="53">
        <f t="shared" si="11"/>
        <v>233.86936501274499</v>
      </c>
      <c r="O14" s="53">
        <f t="shared" si="11"/>
        <v>233.86936501274499</v>
      </c>
      <c r="P14" s="53">
        <f t="shared" si="11"/>
        <v>233.86936501274499</v>
      </c>
      <c r="Q14" s="53">
        <f t="shared" si="11"/>
        <v>233.86936501274499</v>
      </c>
      <c r="R14" s="53">
        <f t="shared" si="11"/>
        <v>233.86936501274499</v>
      </c>
      <c r="S14" s="53">
        <f t="shared" si="11"/>
        <v>229.66357991723521</v>
      </c>
      <c r="T14" s="368">
        <f t="shared" si="11"/>
        <v>228.51762412238833</v>
      </c>
      <c r="U14" s="321">
        <f t="shared" si="11"/>
        <v>216.96675260075523</v>
      </c>
      <c r="V14" s="36" t="s">
        <v>1000</v>
      </c>
      <c r="W14" s="53">
        <f>W13-W11</f>
        <v>155.65099196591405</v>
      </c>
      <c r="X14" s="53">
        <f t="shared" ref="X14:AL14" si="12">X13-X11</f>
        <v>155.65099196591405</v>
      </c>
      <c r="Y14" s="53">
        <f t="shared" si="12"/>
        <v>165.39681122171598</v>
      </c>
      <c r="Z14" s="53">
        <f t="shared" si="12"/>
        <v>165.39681122171598</v>
      </c>
      <c r="AA14" s="53">
        <f t="shared" si="12"/>
        <v>165.39681122171598</v>
      </c>
      <c r="AB14" s="53">
        <f t="shared" si="12"/>
        <v>178.85532352734722</v>
      </c>
      <c r="AC14" s="53">
        <f t="shared" si="12"/>
        <v>178.85532352734722</v>
      </c>
      <c r="AD14" s="53">
        <f t="shared" si="12"/>
        <v>178.85532352734722</v>
      </c>
      <c r="AE14" s="53">
        <f t="shared" si="12"/>
        <v>178.85532352734722</v>
      </c>
      <c r="AF14" s="53">
        <f t="shared" si="12"/>
        <v>165.39681122171598</v>
      </c>
      <c r="AG14" s="53">
        <f t="shared" si="12"/>
        <v>155.65099196591405</v>
      </c>
      <c r="AH14" s="53">
        <f t="shared" si="12"/>
        <v>155.65099196591405</v>
      </c>
      <c r="AI14" s="53">
        <f t="shared" si="12"/>
        <v>155.65099196591405</v>
      </c>
      <c r="AJ14" s="53">
        <f t="shared" si="12"/>
        <v>155.65099196591405</v>
      </c>
      <c r="AK14" s="53">
        <f t="shared" si="12"/>
        <v>155.65099196591405</v>
      </c>
      <c r="AL14" s="53">
        <f t="shared" si="12"/>
        <v>155.65099196591405</v>
      </c>
    </row>
    <row r="15" spans="1:38" ht="15" customHeight="1">
      <c r="C15" s="7"/>
      <c r="D15" s="52" t="s">
        <v>326</v>
      </c>
      <c r="E15" s="107" t="s">
        <v>320</v>
      </c>
      <c r="F15" s="368">
        <f>SUM(F10,F11,F13)</f>
        <v>294.13742836079058</v>
      </c>
      <c r="G15" s="53">
        <f t="shared" ref="G15:U15" si="13">SUM(G10,G11,G13)</f>
        <v>290.4377248861677</v>
      </c>
      <c r="H15" s="53">
        <f t="shared" si="13"/>
        <v>290.4377248861677</v>
      </c>
      <c r="I15" s="53">
        <f t="shared" si="13"/>
        <v>257.20500683560766</v>
      </c>
      <c r="J15" s="53">
        <f t="shared" si="13"/>
        <v>257.20500683560766</v>
      </c>
      <c r="K15" s="53">
        <f t="shared" si="13"/>
        <v>257.20500683560766</v>
      </c>
      <c r="L15" s="53">
        <f t="shared" si="13"/>
        <v>223.97228878504768</v>
      </c>
      <c r="M15" s="53">
        <f t="shared" si="13"/>
        <v>223.97228878504768</v>
      </c>
      <c r="N15" s="53">
        <f t="shared" si="13"/>
        <v>176.41456501274496</v>
      </c>
      <c r="O15" s="53">
        <f t="shared" si="13"/>
        <v>176.41456501274496</v>
      </c>
      <c r="P15" s="53">
        <f t="shared" si="13"/>
        <v>176.41456501274496</v>
      </c>
      <c r="Q15" s="53">
        <f t="shared" si="13"/>
        <v>176.41456501274496</v>
      </c>
      <c r="R15" s="53">
        <f t="shared" si="13"/>
        <v>176.41456501274496</v>
      </c>
      <c r="S15" s="53">
        <f t="shared" si="13"/>
        <v>172.20877991723523</v>
      </c>
      <c r="T15" s="368">
        <f t="shared" si="13"/>
        <v>171.06282412238835</v>
      </c>
      <c r="U15" s="321">
        <f t="shared" si="13"/>
        <v>183.28635260075521</v>
      </c>
      <c r="V15" s="36" t="s">
        <v>1000</v>
      </c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</row>
    <row r="16" spans="1:38" ht="15" customHeight="1">
      <c r="A16" s="36" t="s">
        <v>327</v>
      </c>
      <c r="C16" s="7"/>
      <c r="F16" s="374"/>
      <c r="P16" s="3"/>
      <c r="Q16" s="3"/>
      <c r="R16" s="3"/>
      <c r="S16" s="3"/>
      <c r="T16" s="374"/>
      <c r="U16" s="322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</row>
    <row r="17" spans="1:38" ht="15" customHeight="1">
      <c r="A17" s="27" t="s">
        <v>305</v>
      </c>
      <c r="C17" s="7"/>
      <c r="F17" s="374"/>
      <c r="P17" s="3"/>
      <c r="Q17" s="3"/>
      <c r="R17" s="3"/>
      <c r="S17" s="3"/>
      <c r="T17" s="374"/>
      <c r="U17" s="322"/>
    </row>
    <row r="18" spans="1:38" ht="15" customHeight="1">
      <c r="A18" s="114" t="s">
        <v>328</v>
      </c>
      <c r="B18" s="112" t="s">
        <v>329</v>
      </c>
      <c r="C18" s="113" t="s">
        <v>330</v>
      </c>
      <c r="F18" s="338" t="s">
        <v>308</v>
      </c>
      <c r="P18" s="3"/>
      <c r="Q18" s="3"/>
      <c r="R18" s="3"/>
      <c r="S18" s="3"/>
      <c r="T18" s="374"/>
      <c r="U18" s="322"/>
      <c r="W18" s="47" t="s">
        <v>308</v>
      </c>
      <c r="X18" s="3"/>
      <c r="Y18" s="3"/>
      <c r="Z18" s="3"/>
      <c r="AA18" s="3"/>
      <c r="AB18" s="3"/>
      <c r="AC18" s="3"/>
      <c r="AD18" s="3"/>
      <c r="AE18" s="3"/>
      <c r="AF18" s="3"/>
    </row>
    <row r="19" spans="1:38" ht="15" customHeight="1">
      <c r="A19" s="115" t="s">
        <v>331</v>
      </c>
      <c r="B19" s="109" t="s">
        <v>17</v>
      </c>
      <c r="C19" s="105" t="s">
        <v>17</v>
      </c>
      <c r="D19" s="103" t="s">
        <v>311</v>
      </c>
      <c r="E19" s="104" t="s">
        <v>232</v>
      </c>
      <c r="F19" s="336" t="s">
        <v>883</v>
      </c>
      <c r="G19" s="371" t="s">
        <v>824</v>
      </c>
      <c r="H19" s="371" t="s">
        <v>825</v>
      </c>
      <c r="I19" s="371" t="s">
        <v>826</v>
      </c>
      <c r="J19" s="371" t="s">
        <v>827</v>
      </c>
      <c r="K19" s="371" t="s">
        <v>828</v>
      </c>
      <c r="L19" s="371" t="s">
        <v>829</v>
      </c>
      <c r="M19" s="371" t="s">
        <v>830</v>
      </c>
      <c r="N19" s="371" t="s">
        <v>831</v>
      </c>
      <c r="O19" s="371" t="s">
        <v>832</v>
      </c>
      <c r="P19" s="371" t="s">
        <v>833</v>
      </c>
      <c r="Q19" s="371" t="s">
        <v>834</v>
      </c>
      <c r="R19" s="371" t="s">
        <v>835</v>
      </c>
      <c r="S19" s="371">
        <v>7</v>
      </c>
      <c r="T19" s="336">
        <v>8</v>
      </c>
      <c r="U19" s="317">
        <v>8</v>
      </c>
      <c r="W19" s="103">
        <v>1</v>
      </c>
      <c r="X19" s="103">
        <v>2</v>
      </c>
      <c r="Y19" s="103">
        <v>3</v>
      </c>
      <c r="Z19" s="103">
        <v>4</v>
      </c>
      <c r="AA19" s="103">
        <v>5</v>
      </c>
      <c r="AB19" s="103">
        <v>6</v>
      </c>
      <c r="AC19" s="103">
        <v>7</v>
      </c>
      <c r="AD19" s="103">
        <v>8</v>
      </c>
      <c r="AE19" s="103">
        <v>9</v>
      </c>
      <c r="AF19" s="103">
        <v>10</v>
      </c>
      <c r="AG19" s="103">
        <v>11</v>
      </c>
      <c r="AH19" s="103">
        <v>12</v>
      </c>
      <c r="AI19" s="103">
        <v>13</v>
      </c>
      <c r="AJ19" s="103">
        <v>14</v>
      </c>
      <c r="AK19" s="103">
        <v>15</v>
      </c>
      <c r="AL19" s="103">
        <v>16</v>
      </c>
    </row>
    <row r="20" spans="1:38" ht="15" customHeight="1">
      <c r="A20" s="231">
        <v>0</v>
      </c>
      <c r="B20" s="175">
        <f>IF(A20=1,0.01,0.02)</f>
        <v>0.02</v>
      </c>
      <c r="C20" s="116"/>
      <c r="D20" s="15" t="s">
        <v>332</v>
      </c>
      <c r="E20" s="105" t="s">
        <v>314</v>
      </c>
      <c r="F20" s="235">
        <v>30</v>
      </c>
      <c r="G20" s="347">
        <v>30</v>
      </c>
      <c r="H20" s="347">
        <v>30</v>
      </c>
      <c r="I20" s="347">
        <v>30</v>
      </c>
      <c r="J20" s="347">
        <v>30</v>
      </c>
      <c r="K20" s="347">
        <v>30</v>
      </c>
      <c r="L20" s="347">
        <v>38</v>
      </c>
      <c r="M20" s="347">
        <v>38</v>
      </c>
      <c r="N20" s="347">
        <v>38</v>
      </c>
      <c r="O20" s="347">
        <v>38</v>
      </c>
      <c r="P20" s="347">
        <v>38</v>
      </c>
      <c r="Q20" s="347">
        <v>49</v>
      </c>
      <c r="R20" s="347">
        <v>49</v>
      </c>
      <c r="S20" s="347">
        <v>49</v>
      </c>
      <c r="T20" s="235">
        <v>49</v>
      </c>
      <c r="U20" s="323">
        <v>38</v>
      </c>
      <c r="W20" s="3">
        <v>49</v>
      </c>
      <c r="X20" s="3">
        <v>49</v>
      </c>
      <c r="Y20" s="3">
        <v>38</v>
      </c>
      <c r="Z20" s="3">
        <v>38</v>
      </c>
      <c r="AA20" s="3">
        <v>38</v>
      </c>
      <c r="AB20" s="3">
        <v>38</v>
      </c>
      <c r="AC20" s="3">
        <v>38</v>
      </c>
      <c r="AD20" s="3">
        <v>38</v>
      </c>
      <c r="AE20" s="3">
        <v>38</v>
      </c>
      <c r="AF20" s="3">
        <v>49</v>
      </c>
      <c r="AG20" s="3">
        <v>49</v>
      </c>
      <c r="AH20" s="3">
        <v>49</v>
      </c>
      <c r="AI20" s="3">
        <v>49</v>
      </c>
      <c r="AJ20" s="3">
        <v>49</v>
      </c>
      <c r="AK20" s="3">
        <v>49</v>
      </c>
      <c r="AL20" s="3">
        <v>49</v>
      </c>
    </row>
    <row r="21" spans="1:38" ht="15" customHeight="1">
      <c r="A21" s="230">
        <v>0</v>
      </c>
      <c r="B21" s="174">
        <f>IF(A21=1,0.02,0.005)</f>
        <v>5.0000000000000001E-3</v>
      </c>
      <c r="C21" s="111"/>
      <c r="D21" s="52" t="s">
        <v>333</v>
      </c>
      <c r="E21" s="108" t="s">
        <v>750</v>
      </c>
      <c r="F21" s="343">
        <f>(1/F20+$B$20)^-1/5.678</f>
        <v>3.3022190912293063</v>
      </c>
      <c r="G21" s="222">
        <f t="shared" ref="G21:U21" si="14">(1/G20+$B$20)^-1/5.678</f>
        <v>3.3022190912293063</v>
      </c>
      <c r="H21" s="222">
        <f t="shared" si="14"/>
        <v>3.3022190912293063</v>
      </c>
      <c r="I21" s="222">
        <f t="shared" si="14"/>
        <v>3.3022190912293063</v>
      </c>
      <c r="J21" s="222">
        <f t="shared" si="14"/>
        <v>3.3022190912293063</v>
      </c>
      <c r="K21" s="222">
        <f t="shared" si="14"/>
        <v>3.3022190912293063</v>
      </c>
      <c r="L21" s="222">
        <f t="shared" si="14"/>
        <v>3.8025553171731401</v>
      </c>
      <c r="M21" s="222">
        <f t="shared" si="14"/>
        <v>3.8025553171731401</v>
      </c>
      <c r="N21" s="222">
        <f t="shared" si="14"/>
        <v>3.8025553171731401</v>
      </c>
      <c r="O21" s="222">
        <f t="shared" si="14"/>
        <v>3.8025553171731401</v>
      </c>
      <c r="P21" s="222">
        <f t="shared" si="14"/>
        <v>3.8025553171731401</v>
      </c>
      <c r="Q21" s="222">
        <f t="shared" si="14"/>
        <v>4.358484457110734</v>
      </c>
      <c r="R21" s="222">
        <f t="shared" si="14"/>
        <v>4.358484457110734</v>
      </c>
      <c r="S21" s="222">
        <f t="shared" si="14"/>
        <v>4.358484457110734</v>
      </c>
      <c r="T21" s="373">
        <f t="shared" si="14"/>
        <v>4.358484457110734</v>
      </c>
      <c r="U21" s="324">
        <f t="shared" si="14"/>
        <v>3.8025553171731401</v>
      </c>
      <c r="W21" s="54">
        <f>(1/W20+$B$20)^-1/5.678</f>
        <v>4.358484457110734</v>
      </c>
      <c r="X21" s="54">
        <f t="shared" ref="X21:AL21" si="15">(1/X20+$B$20)^-1/5.678</f>
        <v>4.358484457110734</v>
      </c>
      <c r="Y21" s="54">
        <f t="shared" si="15"/>
        <v>3.8025553171731401</v>
      </c>
      <c r="Z21" s="54">
        <f t="shared" si="15"/>
        <v>3.8025553171731401</v>
      </c>
      <c r="AA21" s="54">
        <f t="shared" si="15"/>
        <v>3.8025553171731401</v>
      </c>
      <c r="AB21" s="54">
        <f t="shared" si="15"/>
        <v>3.8025553171731401</v>
      </c>
      <c r="AC21" s="54">
        <f t="shared" si="15"/>
        <v>3.8025553171731401</v>
      </c>
      <c r="AD21" s="54">
        <f t="shared" si="15"/>
        <v>3.8025553171731401</v>
      </c>
      <c r="AE21" s="54">
        <f t="shared" si="15"/>
        <v>3.8025553171731401</v>
      </c>
      <c r="AF21" s="54">
        <f t="shared" si="15"/>
        <v>4.358484457110734</v>
      </c>
      <c r="AG21" s="54">
        <f t="shared" si="15"/>
        <v>4.358484457110734</v>
      </c>
      <c r="AH21" s="54">
        <f t="shared" si="15"/>
        <v>4.358484457110734</v>
      </c>
      <c r="AI21" s="54">
        <f t="shared" si="15"/>
        <v>4.358484457110734</v>
      </c>
      <c r="AJ21" s="54">
        <f t="shared" si="15"/>
        <v>4.358484457110734</v>
      </c>
      <c r="AK21" s="54">
        <f t="shared" si="15"/>
        <v>4.358484457110734</v>
      </c>
      <c r="AL21" s="54">
        <f t="shared" si="15"/>
        <v>4.358484457110734</v>
      </c>
    </row>
    <row r="22" spans="1:38" ht="15" customHeight="1">
      <c r="C22" s="7"/>
      <c r="D22" s="52" t="s">
        <v>334</v>
      </c>
      <c r="E22" s="108" t="s">
        <v>750</v>
      </c>
      <c r="F22" s="343">
        <f>(1/F20+$B$21)^-1/5.678</f>
        <v>4.5943917791016435</v>
      </c>
      <c r="G22" s="222">
        <f t="shared" ref="G22:U22" si="16">(1/G20+$B$21)^-1/5.678</f>
        <v>4.5943917791016435</v>
      </c>
      <c r="H22" s="222">
        <f t="shared" si="16"/>
        <v>4.5943917791016435</v>
      </c>
      <c r="I22" s="222">
        <f t="shared" si="16"/>
        <v>4.5943917791016435</v>
      </c>
      <c r="J22" s="222">
        <f t="shared" si="16"/>
        <v>4.5943917791016435</v>
      </c>
      <c r="K22" s="222">
        <f t="shared" si="16"/>
        <v>4.5943917791016435</v>
      </c>
      <c r="L22" s="222">
        <f t="shared" si="16"/>
        <v>5.6239473598527123</v>
      </c>
      <c r="M22" s="222">
        <f t="shared" si="16"/>
        <v>5.6239473598527123</v>
      </c>
      <c r="N22" s="222">
        <f t="shared" si="16"/>
        <v>5.6239473598527123</v>
      </c>
      <c r="O22" s="222">
        <f t="shared" si="16"/>
        <v>5.6239473598527123</v>
      </c>
      <c r="P22" s="222">
        <f t="shared" si="16"/>
        <v>5.6239473598527123</v>
      </c>
      <c r="Q22" s="222">
        <f t="shared" si="16"/>
        <v>6.931565642633938</v>
      </c>
      <c r="R22" s="222">
        <f t="shared" si="16"/>
        <v>6.931565642633938</v>
      </c>
      <c r="S22" s="222">
        <f t="shared" si="16"/>
        <v>6.931565642633938</v>
      </c>
      <c r="T22" s="373">
        <f t="shared" si="16"/>
        <v>6.931565642633938</v>
      </c>
      <c r="U22" s="324">
        <f t="shared" si="16"/>
        <v>5.6239473598527123</v>
      </c>
      <c r="W22" s="54">
        <f>(1/W20+$B$21)^-1/5.678</f>
        <v>6.931565642633938</v>
      </c>
      <c r="X22" s="54">
        <f t="shared" ref="X22:AL22" si="17">(1/X20+$B$21)^-1/5.678</f>
        <v>6.931565642633938</v>
      </c>
      <c r="Y22" s="54">
        <f t="shared" si="17"/>
        <v>5.6239473598527123</v>
      </c>
      <c r="Z22" s="54">
        <f t="shared" si="17"/>
        <v>5.6239473598527123</v>
      </c>
      <c r="AA22" s="54">
        <f t="shared" si="17"/>
        <v>5.6239473598527123</v>
      </c>
      <c r="AB22" s="54">
        <f t="shared" si="17"/>
        <v>5.6239473598527123</v>
      </c>
      <c r="AC22" s="54">
        <f t="shared" si="17"/>
        <v>5.6239473598527123</v>
      </c>
      <c r="AD22" s="54">
        <f t="shared" si="17"/>
        <v>5.6239473598527123</v>
      </c>
      <c r="AE22" s="54">
        <f t="shared" si="17"/>
        <v>5.6239473598527123</v>
      </c>
      <c r="AF22" s="54">
        <f t="shared" si="17"/>
        <v>6.931565642633938</v>
      </c>
      <c r="AG22" s="54">
        <f t="shared" si="17"/>
        <v>6.931565642633938</v>
      </c>
      <c r="AH22" s="54">
        <f t="shared" si="17"/>
        <v>6.931565642633938</v>
      </c>
      <c r="AI22" s="54">
        <f t="shared" si="17"/>
        <v>6.931565642633938</v>
      </c>
      <c r="AJ22" s="54">
        <f t="shared" si="17"/>
        <v>6.931565642633938</v>
      </c>
      <c r="AK22" s="54">
        <f t="shared" si="17"/>
        <v>6.931565642633938</v>
      </c>
      <c r="AL22" s="54">
        <f t="shared" si="17"/>
        <v>6.931565642633938</v>
      </c>
    </row>
    <row r="23" spans="1:38" ht="15" customHeight="1">
      <c r="A23" s="27" t="s">
        <v>335</v>
      </c>
      <c r="F23" s="374"/>
      <c r="P23" s="3"/>
      <c r="Q23" s="3"/>
      <c r="R23" s="3"/>
      <c r="S23" s="3"/>
      <c r="T23" s="374"/>
      <c r="U23" s="322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8" ht="15" customHeight="1">
      <c r="A24" s="55" t="s">
        <v>336</v>
      </c>
      <c r="F24" s="374"/>
      <c r="P24" s="3"/>
      <c r="Q24" s="3"/>
      <c r="R24" s="3"/>
      <c r="S24" s="3"/>
      <c r="T24" s="374"/>
      <c r="U24" s="322"/>
      <c r="W24" s="3"/>
      <c r="X24" s="3"/>
      <c r="Y24" s="3"/>
      <c r="Z24" s="3"/>
      <c r="AA24" s="3"/>
      <c r="AB24" s="3"/>
      <c r="AC24" s="3"/>
      <c r="AD24" s="27"/>
      <c r="AE24" s="3"/>
      <c r="AF24" s="3"/>
      <c r="AG24" s="3"/>
      <c r="AH24" s="3"/>
      <c r="AI24" s="3"/>
      <c r="AJ24" s="3"/>
      <c r="AK24" s="3"/>
    </row>
    <row r="25" spans="1:38" ht="15" customHeight="1">
      <c r="F25" s="374"/>
      <c r="P25" s="3"/>
      <c r="Q25" s="3"/>
      <c r="R25" s="3"/>
      <c r="S25" s="3"/>
      <c r="T25" s="374"/>
      <c r="U25" s="322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56"/>
      <c r="AH25" s="57"/>
      <c r="AI25" s="57"/>
      <c r="AJ25" s="58"/>
      <c r="AK25" s="58"/>
    </row>
    <row r="26" spans="1:38" ht="15" customHeight="1">
      <c r="A26" s="5" t="s">
        <v>337</v>
      </c>
      <c r="F26" s="338" t="s">
        <v>308</v>
      </c>
      <c r="P26" s="3"/>
      <c r="Q26" s="3"/>
      <c r="R26" s="3"/>
      <c r="S26" s="3"/>
      <c r="T26" s="374"/>
      <c r="U26" s="322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57"/>
      <c r="AI26" s="57"/>
      <c r="AJ26" s="58"/>
      <c r="AK26" s="58"/>
    </row>
    <row r="27" spans="1:38" ht="15" customHeight="1">
      <c r="A27" s="116"/>
      <c r="B27" s="36" t="s">
        <v>790</v>
      </c>
      <c r="D27" s="103" t="s">
        <v>311</v>
      </c>
      <c r="E27" s="104"/>
      <c r="F27" s="336" t="s">
        <v>883</v>
      </c>
      <c r="G27" s="371" t="s">
        <v>824</v>
      </c>
      <c r="H27" s="371" t="s">
        <v>825</v>
      </c>
      <c r="I27" s="371" t="s">
        <v>826</v>
      </c>
      <c r="J27" s="371" t="s">
        <v>827</v>
      </c>
      <c r="K27" s="371" t="s">
        <v>828</v>
      </c>
      <c r="L27" s="371" t="s">
        <v>829</v>
      </c>
      <c r="M27" s="371" t="s">
        <v>830</v>
      </c>
      <c r="N27" s="371" t="s">
        <v>831</v>
      </c>
      <c r="O27" s="371" t="s">
        <v>832</v>
      </c>
      <c r="P27" s="371" t="s">
        <v>833</v>
      </c>
      <c r="Q27" s="371" t="s">
        <v>834</v>
      </c>
      <c r="R27" s="371" t="s">
        <v>835</v>
      </c>
      <c r="S27" s="371">
        <v>7</v>
      </c>
      <c r="T27" s="336">
        <v>8</v>
      </c>
      <c r="U27" s="325">
        <v>16</v>
      </c>
    </row>
    <row r="28" spans="1:38" ht="15" customHeight="1">
      <c r="A28" s="219" t="s">
        <v>788</v>
      </c>
      <c r="B28" s="220">
        <v>25.6</v>
      </c>
      <c r="C28" s="7"/>
      <c r="D28" s="3" t="s">
        <v>338</v>
      </c>
      <c r="E28" s="117" t="s">
        <v>17</v>
      </c>
      <c r="F28" s="339">
        <v>0.3</v>
      </c>
      <c r="G28" s="354">
        <v>0.3</v>
      </c>
      <c r="H28" s="353">
        <v>0.3</v>
      </c>
      <c r="I28" s="353">
        <v>0.3</v>
      </c>
      <c r="J28" s="353">
        <v>0.3</v>
      </c>
      <c r="K28" s="353">
        <v>0.3</v>
      </c>
      <c r="L28" s="353">
        <v>0.3</v>
      </c>
      <c r="M28" s="353">
        <v>0.3</v>
      </c>
      <c r="N28" s="353">
        <v>0.3</v>
      </c>
      <c r="O28" s="353">
        <v>0.3</v>
      </c>
      <c r="P28" s="353">
        <v>0.3</v>
      </c>
      <c r="Q28" s="353">
        <v>0.3</v>
      </c>
      <c r="R28" s="353">
        <v>0.3</v>
      </c>
      <c r="S28" s="353">
        <v>0.3</v>
      </c>
      <c r="T28" s="332">
        <v>0.35</v>
      </c>
      <c r="U28" s="326">
        <v>0.4</v>
      </c>
      <c r="W28" s="47" t="s">
        <v>308</v>
      </c>
      <c r="X28" s="3"/>
      <c r="Y28" s="3"/>
      <c r="Z28" s="3"/>
      <c r="AA28" s="3"/>
      <c r="AB28" s="3"/>
      <c r="AC28" s="3"/>
      <c r="AD28" s="3"/>
      <c r="AE28" s="3"/>
      <c r="AF28" s="3"/>
    </row>
    <row r="29" spans="1:38" ht="15" customHeight="1">
      <c r="A29" s="116" t="s">
        <v>789</v>
      </c>
      <c r="B29" s="58">
        <v>20.7</v>
      </c>
      <c r="D29" s="223" t="s">
        <v>791</v>
      </c>
      <c r="E29" s="105"/>
      <c r="F29" s="340">
        <v>47</v>
      </c>
      <c r="G29" s="349">
        <v>32</v>
      </c>
      <c r="H29" s="349">
        <v>40</v>
      </c>
      <c r="I29" s="349">
        <v>21</v>
      </c>
      <c r="J29" s="349">
        <v>26</v>
      </c>
      <c r="K29" s="349">
        <v>40</v>
      </c>
      <c r="L29" s="349">
        <v>17</v>
      </c>
      <c r="M29" s="349">
        <v>20</v>
      </c>
      <c r="N29" s="349">
        <v>25</v>
      </c>
      <c r="O29" s="349">
        <v>1</v>
      </c>
      <c r="P29" s="349">
        <v>9</v>
      </c>
      <c r="Q29" s="349">
        <v>-4</v>
      </c>
      <c r="R29" s="349">
        <v>-10</v>
      </c>
      <c r="S29" s="349">
        <v>-15</v>
      </c>
      <c r="T29" s="340">
        <v>-47</v>
      </c>
      <c r="U29" s="327">
        <v>17</v>
      </c>
      <c r="W29" s="103">
        <v>1</v>
      </c>
      <c r="X29" s="103">
        <v>2</v>
      </c>
      <c r="Y29" s="103">
        <v>3</v>
      </c>
      <c r="Z29" s="103">
        <v>4</v>
      </c>
      <c r="AA29" s="103">
        <v>5</v>
      </c>
      <c r="AB29" s="103">
        <v>6</v>
      </c>
      <c r="AC29" s="103">
        <v>7</v>
      </c>
      <c r="AD29" s="103">
        <v>8</v>
      </c>
      <c r="AE29" s="103">
        <v>9</v>
      </c>
      <c r="AF29" s="103">
        <v>10</v>
      </c>
      <c r="AG29" s="103">
        <v>11</v>
      </c>
      <c r="AH29" s="103">
        <v>12</v>
      </c>
      <c r="AI29" s="103">
        <v>13</v>
      </c>
      <c r="AJ29" s="103">
        <v>14</v>
      </c>
      <c r="AK29" s="103">
        <v>15</v>
      </c>
      <c r="AL29" s="103">
        <v>16</v>
      </c>
    </row>
    <row r="30" spans="1:38" s="182" customFormat="1" ht="15" customHeight="1">
      <c r="A30" s="109"/>
      <c r="B30" s="58"/>
      <c r="C30" s="3"/>
      <c r="D30" s="223" t="s">
        <v>792</v>
      </c>
      <c r="E30" s="224"/>
      <c r="F30" s="334">
        <f t="shared" ref="F30:U30" si="18">(5/9)*(F29-32)</f>
        <v>8.3333333333333339</v>
      </c>
      <c r="G30" s="348">
        <v>0</v>
      </c>
      <c r="H30" s="348">
        <v>4.4444444444444446</v>
      </c>
      <c r="I30" s="352">
        <v>-6.1111111111111116</v>
      </c>
      <c r="J30" s="352">
        <v>-3.3333333333333335</v>
      </c>
      <c r="K30" s="352">
        <v>4.4444444444444446</v>
      </c>
      <c r="L30" s="352">
        <v>-8.3333333333333339</v>
      </c>
      <c r="M30" s="352">
        <v>-6.666666666666667</v>
      </c>
      <c r="N30" s="352">
        <v>-3.8888888888888893</v>
      </c>
      <c r="O30" s="352">
        <v>-17.222222222222221</v>
      </c>
      <c r="P30" s="352">
        <v>-12.777777777777779</v>
      </c>
      <c r="Q30" s="352">
        <v>-20</v>
      </c>
      <c r="R30" s="352">
        <v>-23.333333333333336</v>
      </c>
      <c r="S30" s="352">
        <v>-26.111111111111111</v>
      </c>
      <c r="T30" s="334">
        <f t="shared" si="18"/>
        <v>-43.888888888888893</v>
      </c>
      <c r="U30" s="328">
        <f t="shared" si="18"/>
        <v>-8.3333333333333339</v>
      </c>
      <c r="W30" s="225"/>
      <c r="X30" s="225"/>
      <c r="Y30" s="225"/>
      <c r="Z30" s="225"/>
      <c r="AA30" s="225"/>
      <c r="AB30" s="225"/>
      <c r="AC30" s="225"/>
      <c r="AD30" s="225"/>
      <c r="AE30" s="225"/>
      <c r="AF30" s="225"/>
      <c r="AG30" s="225"/>
      <c r="AH30" s="225"/>
      <c r="AI30" s="225"/>
      <c r="AJ30" s="225"/>
      <c r="AK30" s="225"/>
      <c r="AL30" s="225"/>
    </row>
    <row r="31" spans="1:38" ht="15" customHeight="1">
      <c r="A31" s="218"/>
      <c r="B31" s="3"/>
      <c r="D31" s="226" t="s">
        <v>793</v>
      </c>
      <c r="E31" s="227"/>
      <c r="F31" s="341">
        <f t="shared" ref="F31:U31" si="19">$B$29-F30</f>
        <v>12.366666666666665</v>
      </c>
      <c r="G31" s="351">
        <v>20.740738888888892</v>
      </c>
      <c r="H31" s="351">
        <v>16.296294444444449</v>
      </c>
      <c r="I31" s="351">
        <v>26.851850000000002</v>
      </c>
      <c r="J31" s="351">
        <v>24.074072222222224</v>
      </c>
      <c r="K31" s="351">
        <v>16.296294444444449</v>
      </c>
      <c r="L31" s="351">
        <v>29.074072222222227</v>
      </c>
      <c r="M31" s="351">
        <v>27.40740555555556</v>
      </c>
      <c r="N31" s="351">
        <v>24.629627777777781</v>
      </c>
      <c r="O31" s="351">
        <v>37.962961111111113</v>
      </c>
      <c r="P31" s="351">
        <v>33.51851666666667</v>
      </c>
      <c r="Q31" s="351">
        <v>40.740738888888892</v>
      </c>
      <c r="R31" s="351">
        <v>44.074072222222227</v>
      </c>
      <c r="S31" s="351">
        <v>46.851849999999999</v>
      </c>
      <c r="T31" s="341">
        <f t="shared" si="19"/>
        <v>64.588888888888889</v>
      </c>
      <c r="U31" s="329">
        <f t="shared" si="19"/>
        <v>29.033333333333331</v>
      </c>
      <c r="W31" s="59">
        <v>0.4</v>
      </c>
      <c r="X31" s="59">
        <v>0.4</v>
      </c>
      <c r="Y31" s="59">
        <v>0.4</v>
      </c>
      <c r="Z31" s="59">
        <v>0.4</v>
      </c>
      <c r="AA31" s="59">
        <v>0.4</v>
      </c>
      <c r="AB31" s="59">
        <v>0.4</v>
      </c>
      <c r="AC31" s="59">
        <v>0.4</v>
      </c>
      <c r="AD31" s="59">
        <v>0.4</v>
      </c>
      <c r="AE31" s="59">
        <v>0.4</v>
      </c>
      <c r="AF31" s="59">
        <v>0.4</v>
      </c>
      <c r="AG31" s="59">
        <v>0.4</v>
      </c>
      <c r="AH31" s="59">
        <v>0.4</v>
      </c>
      <c r="AI31" s="59">
        <v>0.4</v>
      </c>
      <c r="AJ31" s="59">
        <v>0.4</v>
      </c>
      <c r="AK31" s="59">
        <v>0.4</v>
      </c>
      <c r="AL31" s="59">
        <v>0.4</v>
      </c>
    </row>
    <row r="32" spans="1:38" s="182" customFormat="1" ht="15" customHeight="1">
      <c r="A32" s="218" t="s">
        <v>328</v>
      </c>
      <c r="B32" s="309" t="s">
        <v>968</v>
      </c>
      <c r="C32" s="309" t="s">
        <v>330</v>
      </c>
      <c r="D32" s="223" t="s">
        <v>794</v>
      </c>
      <c r="E32" s="228"/>
      <c r="F32" s="333">
        <v>90</v>
      </c>
      <c r="G32" s="350">
        <v>95</v>
      </c>
      <c r="H32" s="350">
        <v>108</v>
      </c>
      <c r="I32" s="350">
        <v>94</v>
      </c>
      <c r="J32" s="350">
        <v>99</v>
      </c>
      <c r="K32" s="350">
        <v>78</v>
      </c>
      <c r="L32" s="350">
        <v>91</v>
      </c>
      <c r="M32" s="350">
        <v>94</v>
      </c>
      <c r="N32" s="350">
        <v>87</v>
      </c>
      <c r="O32" s="350">
        <v>89</v>
      </c>
      <c r="P32" s="350">
        <v>94</v>
      </c>
      <c r="Q32" s="350">
        <v>85</v>
      </c>
      <c r="R32" s="350">
        <v>88</v>
      </c>
      <c r="S32" s="350">
        <v>81</v>
      </c>
      <c r="T32" s="333">
        <v>78</v>
      </c>
      <c r="U32" s="330">
        <v>92</v>
      </c>
      <c r="W32" s="59"/>
      <c r="X32" s="59"/>
      <c r="Y32" s="59"/>
      <c r="Z32" s="59"/>
      <c r="AA32" s="59"/>
      <c r="AB32" s="59"/>
      <c r="AC32" s="59"/>
      <c r="AD32" s="59"/>
      <c r="AE32" s="59"/>
      <c r="AF32" s="59"/>
      <c r="AG32" s="59"/>
      <c r="AH32" s="59"/>
      <c r="AI32" s="59"/>
      <c r="AJ32" s="59"/>
      <c r="AK32" s="59"/>
      <c r="AL32" s="59"/>
    </row>
    <row r="33" spans="1:21" ht="15" customHeight="1">
      <c r="A33" s="379" t="s">
        <v>1004</v>
      </c>
      <c r="D33" s="223" t="s">
        <v>795</v>
      </c>
      <c r="E33" s="116"/>
      <c r="F33" s="334">
        <f t="shared" ref="F33:U33" si="20">(5/9)*(F32-32)</f>
        <v>32.222222222222221</v>
      </c>
      <c r="G33" s="348">
        <v>35</v>
      </c>
      <c r="H33" s="348">
        <v>42.222222222222221</v>
      </c>
      <c r="I33" s="348">
        <v>34.444444444444443</v>
      </c>
      <c r="J33" s="348">
        <v>37.222222222222221</v>
      </c>
      <c r="K33" s="348">
        <v>25.555555555555557</v>
      </c>
      <c r="L33" s="348">
        <v>32.777777777777779</v>
      </c>
      <c r="M33" s="348">
        <v>34.444444444444443</v>
      </c>
      <c r="N33" s="348">
        <v>30.555555555555557</v>
      </c>
      <c r="O33" s="348">
        <v>31.666666666666668</v>
      </c>
      <c r="P33" s="348">
        <v>34.444444444444443</v>
      </c>
      <c r="Q33" s="348">
        <v>29.444444444444446</v>
      </c>
      <c r="R33" s="348">
        <v>31.111111111111114</v>
      </c>
      <c r="S33" s="348">
        <v>27.222222222222225</v>
      </c>
      <c r="T33" s="334">
        <f t="shared" si="20"/>
        <v>25.555555555555557</v>
      </c>
      <c r="U33" s="328">
        <f t="shared" si="20"/>
        <v>33.333333333333336</v>
      </c>
    </row>
    <row r="34" spans="1:21" s="182" customFormat="1" ht="15" customHeight="1">
      <c r="C34" s="3"/>
      <c r="D34" s="226" t="s">
        <v>793</v>
      </c>
      <c r="E34" s="111"/>
      <c r="F34" s="341">
        <f>ABS($B$28-F33)</f>
        <v>6.62222222222222</v>
      </c>
      <c r="G34" s="351">
        <v>9.375</v>
      </c>
      <c r="H34" s="351">
        <v>16.597222222222221</v>
      </c>
      <c r="I34" s="351">
        <v>8.8194444444444429</v>
      </c>
      <c r="J34" s="351">
        <v>11.597222222222221</v>
      </c>
      <c r="K34" s="351">
        <v>6.9444444444442865E-2</v>
      </c>
      <c r="L34" s="351">
        <v>7.1527777777777786</v>
      </c>
      <c r="M34" s="351">
        <v>8.8194444444444429</v>
      </c>
      <c r="N34" s="351">
        <v>4.9305555555555571</v>
      </c>
      <c r="O34" s="351">
        <v>6.0416666666666679</v>
      </c>
      <c r="P34" s="351">
        <v>8.8194444444444429</v>
      </c>
      <c r="Q34" s="351">
        <v>3.8194444444444464</v>
      </c>
      <c r="R34" s="351">
        <v>5.4861111111111143</v>
      </c>
      <c r="S34" s="351">
        <v>1.597222222222225</v>
      </c>
      <c r="T34" s="341">
        <f t="shared" ref="T34:U34" si="21">ABS($B$28-T33)</f>
        <v>4.4444444444444287E-2</v>
      </c>
      <c r="U34" s="329">
        <f t="shared" si="21"/>
        <v>7.7333333333333343</v>
      </c>
    </row>
    <row r="35" spans="1:21" s="182" customFormat="1" ht="15" customHeight="1">
      <c r="C35" s="3"/>
      <c r="D35" s="223" t="s">
        <v>796</v>
      </c>
      <c r="E35" s="105"/>
      <c r="F35" s="342">
        <f>$B$13*$K$59*F31</f>
        <v>710.52435999999989</v>
      </c>
      <c r="G35" s="229">
        <f>$B$13*$K$59*G31</f>
        <v>1191.6550047133335</v>
      </c>
      <c r="H35" s="229">
        <f>$B$13*$K$59*H31</f>
        <v>936.30033804666687</v>
      </c>
      <c r="I35" s="229">
        <f>$B$13*$K$59*I31</f>
        <v>1542.7676713800001</v>
      </c>
      <c r="J35" s="229">
        <f>$B$13*$K$59*J31</f>
        <v>1383.1710047133333</v>
      </c>
      <c r="K35" s="229">
        <f>$B$13*$K$59*K31</f>
        <v>936.30033804666687</v>
      </c>
      <c r="L35" s="229">
        <f>$B$13*$K$59*L31</f>
        <v>1670.4450047133337</v>
      </c>
      <c r="M35" s="229">
        <f>$B$13*$K$59*M31</f>
        <v>1574.6870047133336</v>
      </c>
      <c r="N35" s="229">
        <f>$B$13*$K$59*N31</f>
        <v>1415.0903380466668</v>
      </c>
      <c r="O35" s="229">
        <f>$B$13*$K$59*O31</f>
        <v>2181.1543380466669</v>
      </c>
      <c r="P35" s="229">
        <f>$B$13*$K$59*P31</f>
        <v>1925.7996713800001</v>
      </c>
      <c r="Q35" s="229">
        <f>$B$13*$K$59*Q31</f>
        <v>2340.7510047133333</v>
      </c>
      <c r="R35" s="229">
        <f>$B$13*$K$59*R31</f>
        <v>2532.2670047133338</v>
      </c>
      <c r="S35" s="229">
        <f>$B$13*$K$59*S31</f>
        <v>2691.8636713799997</v>
      </c>
      <c r="T35" s="342">
        <f>$B$13*$K$59*T31</f>
        <v>3710.9416933333332</v>
      </c>
      <c r="U35" s="331">
        <f>$B$13*$K$59*U31</f>
        <v>1668.1043599999998</v>
      </c>
    </row>
    <row r="36" spans="1:21" s="182" customFormat="1" ht="15" customHeight="1">
      <c r="C36" s="3"/>
      <c r="D36" s="223"/>
      <c r="E36" s="105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</row>
    <row r="37" spans="1:21" s="182" customFormat="1" ht="15" customHeight="1">
      <c r="A37" s="182" t="e">
        <f>(1/3.5*(C33*B33)+(1/F6*((1-B33)*C32)))</f>
        <v>#VALUE!</v>
      </c>
      <c r="C37" s="3"/>
      <c r="D37" s="3"/>
      <c r="E37" s="3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</row>
    <row r="39" spans="1:21" ht="15" customHeight="1">
      <c r="D39" s="372" t="s">
        <v>311</v>
      </c>
      <c r="E39" s="104" t="s">
        <v>232</v>
      </c>
      <c r="F39" s="336" t="s">
        <v>883</v>
      </c>
      <c r="G39" s="388" t="s">
        <v>824</v>
      </c>
      <c r="H39" s="388" t="s">
        <v>825</v>
      </c>
      <c r="I39" s="388" t="s">
        <v>826</v>
      </c>
      <c r="J39" s="388" t="s">
        <v>827</v>
      </c>
      <c r="K39" s="388" t="s">
        <v>828</v>
      </c>
      <c r="L39" s="388" t="s">
        <v>829</v>
      </c>
      <c r="M39" s="388" t="s">
        <v>830</v>
      </c>
      <c r="N39" s="388" t="s">
        <v>831</v>
      </c>
      <c r="O39" s="388" t="s">
        <v>832</v>
      </c>
      <c r="P39" s="388" t="s">
        <v>833</v>
      </c>
      <c r="Q39" s="388" t="s">
        <v>834</v>
      </c>
      <c r="R39" s="388" t="s">
        <v>835</v>
      </c>
      <c r="S39" s="388">
        <v>7</v>
      </c>
      <c r="T39" s="336">
        <v>8</v>
      </c>
    </row>
    <row r="40" spans="1:21" ht="15" customHeight="1">
      <c r="D40" s="309" t="s">
        <v>313</v>
      </c>
      <c r="E40" s="105" t="s">
        <v>314</v>
      </c>
      <c r="F40" s="358">
        <v>13</v>
      </c>
      <c r="G40" s="345">
        <v>13</v>
      </c>
      <c r="H40" s="345">
        <v>13</v>
      </c>
      <c r="I40" s="345">
        <v>13</v>
      </c>
      <c r="J40" s="345">
        <v>13</v>
      </c>
      <c r="K40" s="345">
        <v>13</v>
      </c>
      <c r="L40" s="345">
        <v>13</v>
      </c>
      <c r="M40" s="345">
        <v>13</v>
      </c>
      <c r="N40" s="345">
        <v>20</v>
      </c>
      <c r="O40" s="345">
        <v>20</v>
      </c>
      <c r="P40" s="345">
        <v>20</v>
      </c>
      <c r="Q40" s="345">
        <v>20</v>
      </c>
      <c r="R40" s="345">
        <v>20</v>
      </c>
      <c r="S40" s="345">
        <v>21</v>
      </c>
      <c r="T40" s="358">
        <v>21</v>
      </c>
    </row>
    <row r="41" spans="1:21" ht="15" customHeight="1">
      <c r="D41" s="309" t="s">
        <v>316</v>
      </c>
      <c r="E41" s="105" t="s">
        <v>314</v>
      </c>
      <c r="F41" s="358">
        <v>1.5</v>
      </c>
      <c r="G41" s="346">
        <v>1.5384615384615383</v>
      </c>
      <c r="H41" s="346">
        <v>1.5384615384615383</v>
      </c>
      <c r="I41" s="346">
        <v>2</v>
      </c>
      <c r="J41" s="346">
        <v>2</v>
      </c>
      <c r="K41" s="346">
        <v>2</v>
      </c>
      <c r="L41" s="346">
        <v>2.8571428571428572</v>
      </c>
      <c r="M41" s="346">
        <v>2.8571428571428572</v>
      </c>
      <c r="N41" s="346">
        <v>2.8571428571428572</v>
      </c>
      <c r="O41" s="346">
        <v>2.8571428571428572</v>
      </c>
      <c r="P41" s="346">
        <v>2.8571428571428572</v>
      </c>
      <c r="Q41" s="346">
        <v>2.8571428571428572</v>
      </c>
      <c r="R41" s="346">
        <v>2.8571428571428572</v>
      </c>
      <c r="S41" s="346">
        <v>2.8571428571428572</v>
      </c>
      <c r="T41" s="358">
        <v>2.9</v>
      </c>
    </row>
    <row r="42" spans="1:21" ht="15" customHeight="1">
      <c r="D42" s="309" t="s">
        <v>318</v>
      </c>
      <c r="E42" s="105" t="s">
        <v>314</v>
      </c>
      <c r="F42" s="358">
        <v>13</v>
      </c>
      <c r="G42" s="345">
        <v>13</v>
      </c>
      <c r="H42" s="345">
        <v>13</v>
      </c>
      <c r="I42" s="345">
        <v>19</v>
      </c>
      <c r="J42" s="345">
        <v>19</v>
      </c>
      <c r="K42" s="345">
        <v>19</v>
      </c>
      <c r="L42" s="345">
        <v>19</v>
      </c>
      <c r="M42" s="345">
        <v>19</v>
      </c>
      <c r="N42" s="345">
        <v>19</v>
      </c>
      <c r="O42" s="345">
        <v>30</v>
      </c>
      <c r="P42" s="345">
        <v>30</v>
      </c>
      <c r="Q42" s="345">
        <v>30</v>
      </c>
      <c r="R42" s="345">
        <v>30</v>
      </c>
      <c r="S42" s="345">
        <v>38</v>
      </c>
      <c r="T42" s="358">
        <v>38</v>
      </c>
    </row>
    <row r="43" spans="1:21" ht="15" customHeight="1">
      <c r="D43" s="309" t="s">
        <v>820</v>
      </c>
      <c r="E43" s="105" t="s">
        <v>320</v>
      </c>
      <c r="F43" s="337">
        <f>$B$13*$K$59</f>
        <v>57.454799999999999</v>
      </c>
      <c r="G43" s="188">
        <f>$B$13*$K$59</f>
        <v>57.454799999999999</v>
      </c>
      <c r="H43" s="188">
        <f>$B$13*$K$59</f>
        <v>57.454799999999999</v>
      </c>
      <c r="I43" s="188">
        <f>$B$13*$K$59</f>
        <v>57.454799999999999</v>
      </c>
      <c r="J43" s="188">
        <f>$B$13*$K$59</f>
        <v>57.454799999999999</v>
      </c>
      <c r="K43" s="188">
        <f>$B$13*$K$59</f>
        <v>57.454799999999999</v>
      </c>
      <c r="L43" s="188">
        <f>$B$13*$K$59</f>
        <v>57.454799999999999</v>
      </c>
      <c r="M43" s="188">
        <f>$B$13*$K$59</f>
        <v>57.454799999999999</v>
      </c>
      <c r="N43" s="188">
        <f>$B$13*$K$59</f>
        <v>57.454799999999999</v>
      </c>
      <c r="O43" s="188">
        <f>$B$13*$K$59</f>
        <v>57.454799999999999</v>
      </c>
      <c r="P43" s="188">
        <f>$B$13*$K$59</f>
        <v>57.454799999999999</v>
      </c>
      <c r="Q43" s="188">
        <f>$B$13*$K$59</f>
        <v>57.454799999999999</v>
      </c>
      <c r="R43" s="188">
        <f>$B$13*$K$59</f>
        <v>57.454799999999999</v>
      </c>
      <c r="S43" s="188">
        <f>$B$13*$K$59</f>
        <v>57.454799999999999</v>
      </c>
      <c r="T43" s="337">
        <f>$B$13*$K$59</f>
        <v>57.454799999999999</v>
      </c>
    </row>
    <row r="44" spans="1:21" ht="15" customHeight="1">
      <c r="D44" s="309" t="s">
        <v>319</v>
      </c>
      <c r="E44" s="106" t="s">
        <v>320</v>
      </c>
      <c r="F44" s="344">
        <f>(1/F40)*$B$6*5.6783*$C$6</f>
        <v>135.88639002479056</v>
      </c>
      <c r="G44" s="51">
        <f t="shared" ref="G44:T44" si="22">1/G40*$B$6*5.678*$C$6</f>
        <v>135.87921077800766</v>
      </c>
      <c r="H44" s="51">
        <f>1/H40*$B$6*5.678*$C$6</f>
        <v>135.87921077800766</v>
      </c>
      <c r="I44" s="51">
        <f t="shared" ref="I44:T44" si="23">1/I40*$B$6*5.678*$C$6</f>
        <v>135.87921077800766</v>
      </c>
      <c r="J44" s="51">
        <f t="shared" si="23"/>
        <v>135.87921077800766</v>
      </c>
      <c r="K44" s="51">
        <f t="shared" si="23"/>
        <v>135.87921077800766</v>
      </c>
      <c r="L44" s="51">
        <f t="shared" si="23"/>
        <v>135.87921077800766</v>
      </c>
      <c r="M44" s="51">
        <f t="shared" si="23"/>
        <v>135.87921077800766</v>
      </c>
      <c r="N44" s="51">
        <f t="shared" si="23"/>
        <v>88.321487005704967</v>
      </c>
      <c r="O44" s="51">
        <f t="shared" si="23"/>
        <v>88.321487005704967</v>
      </c>
      <c r="P44" s="51">
        <f t="shared" si="23"/>
        <v>88.321487005704967</v>
      </c>
      <c r="Q44" s="51">
        <f t="shared" si="23"/>
        <v>88.321487005704967</v>
      </c>
      <c r="R44" s="51">
        <f t="shared" si="23"/>
        <v>88.321487005704967</v>
      </c>
      <c r="S44" s="51">
        <f t="shared" si="23"/>
        <v>84.115701910195213</v>
      </c>
      <c r="T44" s="344">
        <f t="shared" si="23"/>
        <v>84.115701910195213</v>
      </c>
    </row>
    <row r="45" spans="1:21" ht="15" customHeight="1">
      <c r="D45" s="309" t="s">
        <v>321</v>
      </c>
      <c r="E45" s="106" t="s">
        <v>320</v>
      </c>
      <c r="F45" s="344">
        <f t="shared" ref="F45:T45" si="24">1/F41*$B$7*5.678*$C$7</f>
        <v>147.70096911360002</v>
      </c>
      <c r="G45" s="51">
        <f t="shared" si="24"/>
        <v>144.00844488576004</v>
      </c>
      <c r="H45" s="51">
        <f t="shared" si="24"/>
        <v>144.00844488576004</v>
      </c>
      <c r="I45" s="51">
        <f t="shared" si="24"/>
        <v>110.77572683520002</v>
      </c>
      <c r="J45" s="51">
        <f t="shared" si="24"/>
        <v>110.77572683520002</v>
      </c>
      <c r="K45" s="51">
        <f t="shared" si="24"/>
        <v>110.77572683520002</v>
      </c>
      <c r="L45" s="51">
        <f t="shared" si="24"/>
        <v>77.543008784640008</v>
      </c>
      <c r="M45" s="51">
        <f t="shared" si="24"/>
        <v>77.543008784640008</v>
      </c>
      <c r="N45" s="51">
        <f t="shared" si="24"/>
        <v>77.543008784640008</v>
      </c>
      <c r="O45" s="51">
        <f t="shared" si="24"/>
        <v>77.543008784640008</v>
      </c>
      <c r="P45" s="51">
        <f t="shared" si="24"/>
        <v>77.543008784640008</v>
      </c>
      <c r="Q45" s="51">
        <f t="shared" si="24"/>
        <v>77.543008784640008</v>
      </c>
      <c r="R45" s="51">
        <f t="shared" si="24"/>
        <v>77.543008784640008</v>
      </c>
      <c r="S45" s="51">
        <f t="shared" si="24"/>
        <v>77.543008784640008</v>
      </c>
      <c r="T45" s="344">
        <f t="shared" si="24"/>
        <v>76.397052989793124</v>
      </c>
    </row>
    <row r="46" spans="1:21" ht="15" customHeight="1">
      <c r="D46" s="309" t="s">
        <v>322</v>
      </c>
      <c r="E46" s="106" t="s">
        <v>320</v>
      </c>
      <c r="F46" s="344">
        <f t="shared" ref="F46:T46" si="25">1/F42*$B$8*5.678*$C$8</f>
        <v>42.606048782769243</v>
      </c>
      <c r="G46" s="51">
        <f t="shared" si="25"/>
        <v>42.606048782769243</v>
      </c>
      <c r="H46" s="51">
        <f t="shared" si="25"/>
        <v>42.606048782769243</v>
      </c>
      <c r="I46" s="51">
        <f t="shared" si="25"/>
        <v>29.151507061894737</v>
      </c>
      <c r="J46" s="51">
        <f t="shared" si="25"/>
        <v>29.151507061894737</v>
      </c>
      <c r="K46" s="51">
        <f t="shared" si="25"/>
        <v>29.151507061894737</v>
      </c>
      <c r="L46" s="51">
        <f t="shared" si="25"/>
        <v>29.151507061894737</v>
      </c>
      <c r="M46" s="51">
        <f t="shared" si="25"/>
        <v>29.151507061894737</v>
      </c>
      <c r="N46" s="51">
        <f t="shared" si="25"/>
        <v>29.151507061894737</v>
      </c>
      <c r="O46" s="51">
        <f t="shared" si="25"/>
        <v>18.462621139200003</v>
      </c>
      <c r="P46" s="51">
        <f t="shared" si="25"/>
        <v>18.462621139200003</v>
      </c>
      <c r="Q46" s="51">
        <f t="shared" si="25"/>
        <v>18.462621139200003</v>
      </c>
      <c r="R46" s="51">
        <f t="shared" si="25"/>
        <v>18.462621139200003</v>
      </c>
      <c r="S46" s="51">
        <f t="shared" si="25"/>
        <v>14.575753530947368</v>
      </c>
      <c r="T46" s="344">
        <f t="shared" si="25"/>
        <v>14.575753530947368</v>
      </c>
    </row>
    <row r="47" spans="1:21" ht="15" customHeight="1">
      <c r="D47" s="309" t="s">
        <v>323</v>
      </c>
      <c r="E47" s="106" t="s">
        <v>320</v>
      </c>
      <c r="F47" s="344">
        <f>20*5.678*0.3048^2</f>
        <v>10.550069222400001</v>
      </c>
      <c r="G47" s="51">
        <f t="shared" ref="G47:T47" si="26">20*5.678*0.3048^2</f>
        <v>10.550069222400001</v>
      </c>
      <c r="H47" s="51">
        <f t="shared" si="26"/>
        <v>10.550069222400001</v>
      </c>
      <c r="I47" s="51">
        <f t="shared" si="26"/>
        <v>10.550069222400001</v>
      </c>
      <c r="J47" s="51">
        <f t="shared" si="26"/>
        <v>10.550069222400001</v>
      </c>
      <c r="K47" s="51">
        <f t="shared" si="26"/>
        <v>10.550069222400001</v>
      </c>
      <c r="L47" s="51">
        <f t="shared" si="26"/>
        <v>10.550069222400001</v>
      </c>
      <c r="M47" s="51">
        <f t="shared" si="26"/>
        <v>10.550069222400001</v>
      </c>
      <c r="N47" s="51">
        <f t="shared" si="26"/>
        <v>10.550069222400001</v>
      </c>
      <c r="O47" s="51">
        <f t="shared" si="26"/>
        <v>10.550069222400001</v>
      </c>
      <c r="P47" s="51">
        <f t="shared" si="26"/>
        <v>10.550069222400001</v>
      </c>
      <c r="Q47" s="51">
        <f t="shared" si="26"/>
        <v>10.550069222400001</v>
      </c>
      <c r="R47" s="51">
        <f t="shared" si="26"/>
        <v>10.550069222400001</v>
      </c>
      <c r="S47" s="51">
        <f t="shared" si="26"/>
        <v>10.550069222400001</v>
      </c>
      <c r="T47" s="344">
        <f t="shared" si="26"/>
        <v>10.550069222400001</v>
      </c>
    </row>
    <row r="48" spans="1:21" ht="15" customHeight="1">
      <c r="D48" s="52" t="s">
        <v>324</v>
      </c>
      <c r="E48" s="107" t="s">
        <v>320</v>
      </c>
      <c r="F48" s="368">
        <f>IF($B$12=0,SUM(F44:F47),SUM(F43,F44,F45,F47))</f>
        <v>351.59222836079061</v>
      </c>
      <c r="G48" s="368">
        <f t="shared" ref="G48:T48" si="27">IF($B$12=0,SUM(G44:G47),SUM(G43,G44,G45,G47))</f>
        <v>347.89252488616773</v>
      </c>
      <c r="H48" s="368">
        <f t="shared" si="27"/>
        <v>347.89252488616773</v>
      </c>
      <c r="I48" s="368">
        <f t="shared" si="27"/>
        <v>314.6598068356077</v>
      </c>
      <c r="J48" s="368">
        <f t="shared" si="27"/>
        <v>314.6598068356077</v>
      </c>
      <c r="K48" s="368">
        <f t="shared" si="27"/>
        <v>314.6598068356077</v>
      </c>
      <c r="L48" s="368">
        <f t="shared" si="27"/>
        <v>281.42708878504766</v>
      </c>
      <c r="M48" s="368">
        <f t="shared" si="27"/>
        <v>281.42708878504766</v>
      </c>
      <c r="N48" s="368">
        <f t="shared" si="27"/>
        <v>233.86936501274499</v>
      </c>
      <c r="O48" s="368">
        <f t="shared" si="27"/>
        <v>233.86936501274499</v>
      </c>
      <c r="P48" s="368">
        <f t="shared" si="27"/>
        <v>233.86936501274499</v>
      </c>
      <c r="Q48" s="368">
        <f t="shared" si="27"/>
        <v>233.86936501274499</v>
      </c>
      <c r="R48" s="368">
        <f t="shared" si="27"/>
        <v>233.86936501274499</v>
      </c>
      <c r="S48" s="368">
        <f t="shared" si="27"/>
        <v>229.66357991723521</v>
      </c>
      <c r="T48" s="368">
        <f t="shared" si="27"/>
        <v>228.51762412238833</v>
      </c>
    </row>
    <row r="49" spans="2:21" ht="15" customHeight="1">
      <c r="D49" s="52" t="s">
        <v>326</v>
      </c>
      <c r="E49" s="107" t="s">
        <v>320</v>
      </c>
      <c r="F49" s="368">
        <f>SUM(F44,F45,F47)</f>
        <v>294.13742836079058</v>
      </c>
      <c r="G49" s="368">
        <f t="shared" ref="G49:T49" si="28">SUM(G44,G45,G47)</f>
        <v>290.4377248861677</v>
      </c>
      <c r="H49" s="368">
        <f t="shared" si="28"/>
        <v>290.4377248861677</v>
      </c>
      <c r="I49" s="368">
        <f t="shared" si="28"/>
        <v>257.20500683560766</v>
      </c>
      <c r="J49" s="368">
        <f t="shared" si="28"/>
        <v>257.20500683560766</v>
      </c>
      <c r="K49" s="368">
        <f t="shared" si="28"/>
        <v>257.20500683560766</v>
      </c>
      <c r="L49" s="368">
        <f t="shared" si="28"/>
        <v>223.97228878504768</v>
      </c>
      <c r="M49" s="368">
        <f t="shared" si="28"/>
        <v>223.97228878504768</v>
      </c>
      <c r="N49" s="368">
        <f t="shared" si="28"/>
        <v>176.41456501274496</v>
      </c>
      <c r="O49" s="368">
        <f t="shared" si="28"/>
        <v>176.41456501274496</v>
      </c>
      <c r="P49" s="368">
        <f t="shared" si="28"/>
        <v>176.41456501274496</v>
      </c>
      <c r="Q49" s="368">
        <f t="shared" si="28"/>
        <v>176.41456501274496</v>
      </c>
      <c r="R49" s="368">
        <f t="shared" si="28"/>
        <v>176.41456501274496</v>
      </c>
      <c r="S49" s="368">
        <f t="shared" si="28"/>
        <v>172.20877991723523</v>
      </c>
      <c r="T49" s="368">
        <f t="shared" si="28"/>
        <v>171.06282412238835</v>
      </c>
    </row>
    <row r="55" spans="2:21" ht="15" customHeight="1">
      <c r="H55" s="213"/>
      <c r="I55" s="213"/>
      <c r="J55" s="213"/>
      <c r="S55" s="30"/>
      <c r="T55" s="30"/>
    </row>
    <row r="56" spans="2:21" ht="15" customHeight="1">
      <c r="D56" s="406" t="s">
        <v>785</v>
      </c>
      <c r="E56" s="407"/>
      <c r="F56" s="408"/>
      <c r="G56" s="412" t="s">
        <v>778</v>
      </c>
      <c r="H56" s="407"/>
      <c r="I56" s="413"/>
      <c r="J56" s="414"/>
      <c r="K56" s="214" t="s">
        <v>776</v>
      </c>
      <c r="L56" s="215"/>
      <c r="N56" s="257" t="s">
        <v>812</v>
      </c>
      <c r="O56" s="103"/>
      <c r="P56" s="131"/>
      <c r="Q56" s="130"/>
      <c r="R56" s="260" t="s">
        <v>813</v>
      </c>
      <c r="S56" s="259"/>
      <c r="T56" s="259"/>
      <c r="U56" s="131" t="s">
        <v>817</v>
      </c>
    </row>
    <row r="57" spans="2:21" ht="15" customHeight="1">
      <c r="D57" s="409" t="s">
        <v>777</v>
      </c>
      <c r="E57" s="410"/>
      <c r="F57" s="411"/>
      <c r="G57" s="415" t="s">
        <v>779</v>
      </c>
      <c r="H57" s="410"/>
      <c r="I57" s="416"/>
      <c r="J57" s="411"/>
      <c r="K57" s="417">
        <v>1.17</v>
      </c>
      <c r="L57" s="417"/>
      <c r="N57" s="223" t="s">
        <v>814</v>
      </c>
      <c r="Q57" s="116"/>
      <c r="R57" s="7">
        <v>0.1</v>
      </c>
      <c r="S57" s="30" t="s">
        <v>816</v>
      </c>
      <c r="T57" s="30"/>
      <c r="U57" s="7">
        <f>1/(R57+0.12)</f>
        <v>4.5454545454545459</v>
      </c>
    </row>
    <row r="58" spans="2:21" ht="15" customHeight="1">
      <c r="D58" s="409"/>
      <c r="E58" s="410"/>
      <c r="F58" s="411"/>
      <c r="G58" s="415" t="s">
        <v>780</v>
      </c>
      <c r="H58" s="410"/>
      <c r="I58" s="416"/>
      <c r="J58" s="411"/>
      <c r="K58" s="417">
        <v>0.86</v>
      </c>
      <c r="L58" s="417"/>
      <c r="N58" s="258" t="s">
        <v>815</v>
      </c>
      <c r="S58" s="30"/>
      <c r="T58" s="30"/>
    </row>
    <row r="59" spans="2:21" ht="15" customHeight="1">
      <c r="D59" s="409" t="s">
        <v>781</v>
      </c>
      <c r="E59" s="410"/>
      <c r="F59" s="411"/>
      <c r="G59" s="415" t="s">
        <v>779</v>
      </c>
      <c r="H59" s="410"/>
      <c r="I59" s="416"/>
      <c r="J59" s="411"/>
      <c r="K59" s="417">
        <v>1.45</v>
      </c>
      <c r="L59" s="417"/>
      <c r="S59" s="30"/>
      <c r="T59" s="30"/>
    </row>
    <row r="60" spans="2:21" ht="15" customHeight="1">
      <c r="D60" s="409"/>
      <c r="E60" s="410"/>
      <c r="F60" s="411"/>
      <c r="G60" s="415" t="s">
        <v>780</v>
      </c>
      <c r="H60" s="410"/>
      <c r="I60" s="416"/>
      <c r="J60" s="411"/>
      <c r="K60" s="417">
        <v>0.85</v>
      </c>
      <c r="L60" s="417"/>
      <c r="S60" s="30"/>
      <c r="T60" s="30"/>
    </row>
    <row r="61" spans="2:21" ht="15" customHeight="1">
      <c r="D61" s="409" t="s">
        <v>782</v>
      </c>
      <c r="E61" s="410"/>
      <c r="F61" s="411"/>
      <c r="G61" s="415" t="s">
        <v>779</v>
      </c>
      <c r="H61" s="410"/>
      <c r="I61" s="416"/>
      <c r="J61" s="411"/>
      <c r="K61" s="417">
        <v>2.0699999999999998</v>
      </c>
      <c r="L61" s="417"/>
      <c r="S61" s="30"/>
      <c r="T61" s="30"/>
    </row>
    <row r="62" spans="2:21" ht="15" customHeight="1">
      <c r="B62" s="3"/>
      <c r="D62" s="409"/>
      <c r="E62" s="410"/>
      <c r="F62" s="411"/>
      <c r="G62" s="415" t="s">
        <v>780</v>
      </c>
      <c r="H62" s="410"/>
      <c r="I62" s="416"/>
      <c r="J62" s="411"/>
      <c r="K62" s="417">
        <v>0.92</v>
      </c>
      <c r="L62" s="417"/>
      <c r="S62" s="30"/>
      <c r="T62" s="30"/>
    </row>
    <row r="63" spans="2:21" ht="15" customHeight="1">
      <c r="D63" s="409" t="s">
        <v>783</v>
      </c>
      <c r="E63" s="410"/>
      <c r="F63" s="411"/>
      <c r="G63" s="415" t="s">
        <v>779</v>
      </c>
      <c r="H63" s="410"/>
      <c r="I63" s="416"/>
      <c r="J63" s="411"/>
      <c r="K63" s="417">
        <v>3.67</v>
      </c>
      <c r="L63" s="417"/>
      <c r="S63" s="30"/>
      <c r="T63" s="30"/>
    </row>
    <row r="64" spans="2:21" ht="15" customHeight="1">
      <c r="D64" s="409" t="s">
        <v>784</v>
      </c>
      <c r="E64" s="410"/>
      <c r="F64" s="411"/>
      <c r="G64" s="415" t="s">
        <v>780</v>
      </c>
      <c r="H64" s="410"/>
      <c r="I64" s="416"/>
      <c r="J64" s="411"/>
      <c r="K64" s="417">
        <v>1.24</v>
      </c>
      <c r="L64" s="417"/>
    </row>
    <row r="65" spans="4:22" ht="15" customHeight="1">
      <c r="D65" s="216" t="s">
        <v>786</v>
      </c>
    </row>
    <row r="69" spans="4:22" ht="15" customHeight="1">
      <c r="V69" s="379" t="s">
        <v>956</v>
      </c>
    </row>
    <row r="71" spans="4:22" ht="15" customHeight="1">
      <c r="D71" s="423" t="s">
        <v>923</v>
      </c>
      <c r="F71" s="336" t="s">
        <v>883</v>
      </c>
      <c r="G71" s="388" t="s">
        <v>824</v>
      </c>
      <c r="H71" s="388" t="s">
        <v>825</v>
      </c>
      <c r="I71" s="388" t="s">
        <v>826</v>
      </c>
      <c r="J71" s="388" t="s">
        <v>827</v>
      </c>
      <c r="K71" s="388" t="s">
        <v>828</v>
      </c>
      <c r="L71" s="388" t="s">
        <v>829</v>
      </c>
      <c r="M71" s="388" t="s">
        <v>830</v>
      </c>
      <c r="N71" s="388" t="s">
        <v>831</v>
      </c>
      <c r="O71" s="388" t="s">
        <v>832</v>
      </c>
      <c r="P71" s="388" t="s">
        <v>833</v>
      </c>
      <c r="Q71" s="388" t="s">
        <v>834</v>
      </c>
      <c r="R71" s="388" t="s">
        <v>835</v>
      </c>
      <c r="S71" s="388">
        <v>7</v>
      </c>
      <c r="T71" s="336">
        <v>8</v>
      </c>
      <c r="V71" s="379" t="s">
        <v>948</v>
      </c>
    </row>
    <row r="72" spans="4:22" ht="15" customHeight="1">
      <c r="E72" s="309" t="s">
        <v>924</v>
      </c>
      <c r="F72" s="3">
        <v>0.65</v>
      </c>
      <c r="G72" s="3">
        <v>0.4</v>
      </c>
      <c r="H72" s="3">
        <v>0.35</v>
      </c>
      <c r="I72" s="309">
        <v>0.35</v>
      </c>
      <c r="J72" s="309">
        <v>0.35</v>
      </c>
      <c r="K72" s="309">
        <v>0.35</v>
      </c>
      <c r="L72" s="309">
        <v>0.35</v>
      </c>
      <c r="M72" s="309">
        <v>0.35</v>
      </c>
      <c r="N72" s="3">
        <v>0.32</v>
      </c>
      <c r="O72" s="3">
        <v>0.32</v>
      </c>
      <c r="P72" s="309">
        <v>0.32</v>
      </c>
      <c r="Q72" s="309">
        <v>0.32</v>
      </c>
      <c r="R72" s="309">
        <v>0.32</v>
      </c>
      <c r="S72" s="309">
        <v>0.32</v>
      </c>
      <c r="T72" s="309">
        <v>0.32</v>
      </c>
    </row>
    <row r="73" spans="4:22" ht="15" customHeight="1">
      <c r="E73" s="309" t="s">
        <v>925</v>
      </c>
      <c r="F73" s="3">
        <v>0.25</v>
      </c>
      <c r="G73" s="309">
        <v>0.25</v>
      </c>
      <c r="H73" s="309">
        <v>0.25</v>
      </c>
      <c r="I73" s="309">
        <v>0.25</v>
      </c>
      <c r="J73" s="309">
        <v>0.25</v>
      </c>
      <c r="K73" s="309">
        <v>0.25</v>
      </c>
      <c r="L73" s="3">
        <v>0.4</v>
      </c>
      <c r="M73" s="309">
        <v>0.4</v>
      </c>
      <c r="N73" s="309" t="s">
        <v>926</v>
      </c>
      <c r="O73" s="309" t="s">
        <v>926</v>
      </c>
      <c r="P73" s="309" t="s">
        <v>926</v>
      </c>
      <c r="Q73" s="309" t="s">
        <v>926</v>
      </c>
      <c r="R73" s="309" t="s">
        <v>926</v>
      </c>
      <c r="S73" s="309" t="s">
        <v>926</v>
      </c>
      <c r="T73" s="309" t="s">
        <v>926</v>
      </c>
    </row>
    <row r="74" spans="4:22" ht="15" customHeight="1">
      <c r="E74" s="309" t="s">
        <v>331</v>
      </c>
      <c r="F74" s="3">
        <v>30</v>
      </c>
      <c r="G74" s="3">
        <v>38</v>
      </c>
      <c r="H74" s="309">
        <v>38</v>
      </c>
      <c r="I74" s="309">
        <v>38</v>
      </c>
      <c r="J74" s="309">
        <v>38</v>
      </c>
      <c r="K74" s="309">
        <v>38</v>
      </c>
      <c r="L74" s="3">
        <v>49</v>
      </c>
      <c r="M74" s="309">
        <v>49</v>
      </c>
      <c r="N74" s="309">
        <v>49</v>
      </c>
      <c r="O74" s="309">
        <v>49</v>
      </c>
      <c r="P74" s="309">
        <v>49</v>
      </c>
      <c r="Q74" s="309">
        <v>49</v>
      </c>
      <c r="R74" s="309">
        <v>49</v>
      </c>
      <c r="S74" s="309">
        <v>49</v>
      </c>
      <c r="T74" s="309">
        <v>49</v>
      </c>
    </row>
    <row r="75" spans="4:22" ht="15" customHeight="1">
      <c r="E75" s="309" t="s">
        <v>927</v>
      </c>
      <c r="F75" s="3">
        <v>13</v>
      </c>
      <c r="G75" s="3">
        <v>13</v>
      </c>
      <c r="H75" s="3">
        <v>13</v>
      </c>
      <c r="I75" s="309" t="s">
        <v>928</v>
      </c>
      <c r="J75" s="309" t="s">
        <v>928</v>
      </c>
      <c r="K75" s="309" t="s">
        <v>928</v>
      </c>
      <c r="L75" s="309" t="s">
        <v>928</v>
      </c>
      <c r="M75" s="309" t="s">
        <v>928</v>
      </c>
      <c r="N75" s="309" t="s">
        <v>928</v>
      </c>
      <c r="O75" s="309" t="s">
        <v>928</v>
      </c>
      <c r="P75" s="309" t="s">
        <v>928</v>
      </c>
      <c r="Q75" s="379" t="s">
        <v>929</v>
      </c>
      <c r="R75" s="379" t="s">
        <v>929</v>
      </c>
      <c r="S75" s="379" t="s">
        <v>929</v>
      </c>
      <c r="T75" s="379" t="s">
        <v>929</v>
      </c>
    </row>
    <row r="76" spans="4:22" ht="15" customHeight="1">
      <c r="E76" s="309" t="s">
        <v>317</v>
      </c>
      <c r="F76" s="3">
        <v>13</v>
      </c>
      <c r="G76" s="3">
        <v>13</v>
      </c>
      <c r="H76" s="3">
        <v>13</v>
      </c>
      <c r="I76" s="3">
        <v>19</v>
      </c>
      <c r="J76" s="309">
        <v>19</v>
      </c>
      <c r="K76" s="309">
        <v>19</v>
      </c>
      <c r="L76" s="309">
        <v>19</v>
      </c>
      <c r="M76" s="309">
        <v>19</v>
      </c>
      <c r="N76" s="3">
        <v>30</v>
      </c>
      <c r="O76" s="309">
        <v>30</v>
      </c>
      <c r="P76" s="309">
        <v>30</v>
      </c>
      <c r="Q76" s="309">
        <v>30</v>
      </c>
      <c r="R76" s="309">
        <v>30</v>
      </c>
      <c r="S76" s="7">
        <v>38</v>
      </c>
      <c r="T76" s="379">
        <v>38</v>
      </c>
    </row>
    <row r="77" spans="4:22" ht="15" customHeight="1">
      <c r="E77" s="309" t="s">
        <v>930</v>
      </c>
      <c r="F77" s="3">
        <v>0</v>
      </c>
      <c r="G77" s="309">
        <v>0</v>
      </c>
      <c r="H77" s="309">
        <v>0</v>
      </c>
      <c r="I77" s="309">
        <v>0</v>
      </c>
      <c r="J77" s="309">
        <v>0</v>
      </c>
      <c r="K77" s="309">
        <v>0</v>
      </c>
      <c r="L77" s="309" t="s">
        <v>931</v>
      </c>
      <c r="M77" s="309" t="s">
        <v>931</v>
      </c>
      <c r="N77" s="309" t="s">
        <v>931</v>
      </c>
      <c r="O77" s="309" t="s">
        <v>931</v>
      </c>
      <c r="P77" s="309" t="s">
        <v>931</v>
      </c>
      <c r="Q77" s="379" t="s">
        <v>932</v>
      </c>
      <c r="R77" s="379" t="s">
        <v>932</v>
      </c>
      <c r="S77" s="379" t="s">
        <v>932</v>
      </c>
      <c r="T77" s="379" t="s">
        <v>932</v>
      </c>
    </row>
    <row r="78" spans="4:22" ht="15" customHeight="1">
      <c r="E78" s="309" t="s">
        <v>933</v>
      </c>
      <c r="F78" s="3">
        <v>0</v>
      </c>
      <c r="G78" s="3">
        <v>0</v>
      </c>
      <c r="H78" s="3">
        <v>0</v>
      </c>
      <c r="I78" s="422" t="s">
        <v>934</v>
      </c>
      <c r="J78" s="422" t="s">
        <v>935</v>
      </c>
      <c r="K78" s="422" t="s">
        <v>936</v>
      </c>
      <c r="L78" s="309" t="s">
        <v>937</v>
      </c>
      <c r="M78" s="309" t="s">
        <v>938</v>
      </c>
      <c r="N78" s="309" t="s">
        <v>939</v>
      </c>
      <c r="O78" s="309" t="s">
        <v>940</v>
      </c>
      <c r="P78" s="309" t="s">
        <v>941</v>
      </c>
      <c r="Q78" s="309" t="s">
        <v>942</v>
      </c>
      <c r="R78" s="309" t="s">
        <v>943</v>
      </c>
      <c r="S78" s="309" t="s">
        <v>944</v>
      </c>
      <c r="T78" s="309" t="s">
        <v>945</v>
      </c>
    </row>
    <row r="79" spans="4:22" ht="15" customHeight="1">
      <c r="E79" s="309" t="s">
        <v>946</v>
      </c>
      <c r="F79" s="3">
        <v>4</v>
      </c>
      <c r="G79" s="309">
        <v>4</v>
      </c>
      <c r="H79" s="309">
        <v>4</v>
      </c>
      <c r="I79" s="309">
        <v>4</v>
      </c>
      <c r="J79" s="309">
        <v>4</v>
      </c>
      <c r="K79" s="309">
        <v>4</v>
      </c>
      <c r="L79" s="309">
        <v>4</v>
      </c>
      <c r="M79" s="309">
        <v>4</v>
      </c>
      <c r="N79" s="309">
        <v>4</v>
      </c>
      <c r="O79" s="309">
        <v>4</v>
      </c>
      <c r="P79" s="309">
        <v>4</v>
      </c>
      <c r="Q79" s="309">
        <v>4</v>
      </c>
      <c r="R79" s="309">
        <v>4</v>
      </c>
      <c r="S79" s="309">
        <v>4</v>
      </c>
      <c r="T79" s="309">
        <v>4</v>
      </c>
    </row>
    <row r="80" spans="4:22" ht="15" customHeight="1">
      <c r="E80" s="309" t="s">
        <v>947</v>
      </c>
      <c r="F80" s="3">
        <v>5</v>
      </c>
      <c r="G80" s="3">
        <v>5</v>
      </c>
      <c r="H80" s="3">
        <v>5</v>
      </c>
      <c r="I80" s="3">
        <v>3</v>
      </c>
      <c r="J80" s="309">
        <v>3</v>
      </c>
      <c r="K80" s="309">
        <v>3</v>
      </c>
      <c r="L80" s="309">
        <v>3</v>
      </c>
      <c r="M80" s="309">
        <v>3</v>
      </c>
      <c r="N80" s="309">
        <v>3</v>
      </c>
      <c r="O80" s="309">
        <v>3</v>
      </c>
      <c r="P80" s="309">
        <v>3</v>
      </c>
      <c r="Q80" s="309">
        <v>3</v>
      </c>
      <c r="R80" s="309">
        <v>3</v>
      </c>
      <c r="S80" s="309">
        <v>3</v>
      </c>
      <c r="T80" s="309">
        <v>3</v>
      </c>
    </row>
    <row r="82" spans="4:22" ht="15" customHeight="1">
      <c r="D82" s="423" t="s">
        <v>953</v>
      </c>
      <c r="E82" s="309" t="s">
        <v>952</v>
      </c>
      <c r="F82" s="3">
        <v>1.4</v>
      </c>
      <c r="G82" s="309">
        <v>1.4</v>
      </c>
      <c r="H82" s="309">
        <v>1.4</v>
      </c>
      <c r="I82" s="309">
        <v>1.4</v>
      </c>
      <c r="J82" s="309">
        <v>1.4</v>
      </c>
      <c r="K82" s="309">
        <v>1.4</v>
      </c>
      <c r="L82" s="309">
        <v>1.4</v>
      </c>
      <c r="M82" s="309">
        <v>1.4</v>
      </c>
      <c r="N82" s="3">
        <v>1.2</v>
      </c>
      <c r="O82" s="309">
        <v>1.2</v>
      </c>
      <c r="P82" s="309">
        <v>1.2</v>
      </c>
      <c r="Q82" s="309">
        <v>1.2</v>
      </c>
      <c r="R82" s="309">
        <v>1.2</v>
      </c>
      <c r="S82" s="309">
        <v>1.2</v>
      </c>
      <c r="T82" s="309">
        <v>1.2</v>
      </c>
      <c r="V82" s="379" t="s">
        <v>955</v>
      </c>
    </row>
    <row r="83" spans="4:22" ht="15" customHeight="1">
      <c r="E83" s="309" t="s">
        <v>947</v>
      </c>
      <c r="F83" s="3">
        <v>3</v>
      </c>
      <c r="G83" s="309">
        <v>3</v>
      </c>
      <c r="H83" s="309">
        <v>3</v>
      </c>
      <c r="I83" s="3">
        <v>2.5</v>
      </c>
      <c r="J83" s="309">
        <v>2.5</v>
      </c>
      <c r="K83" s="309">
        <v>2.5</v>
      </c>
      <c r="L83" s="309">
        <v>2.5</v>
      </c>
      <c r="M83" s="309">
        <v>2.5</v>
      </c>
      <c r="N83" s="309">
        <v>2.5</v>
      </c>
      <c r="O83" s="3">
        <v>2</v>
      </c>
      <c r="P83" s="309">
        <v>2</v>
      </c>
      <c r="Q83" s="309">
        <v>2</v>
      </c>
      <c r="R83" s="309">
        <v>2</v>
      </c>
      <c r="S83" s="309">
        <v>2</v>
      </c>
      <c r="T83" s="7">
        <v>1.5</v>
      </c>
    </row>
    <row r="84" spans="4:22" ht="15" customHeight="1">
      <c r="E84" s="309" t="s">
        <v>924</v>
      </c>
      <c r="F84" s="3">
        <v>0.4</v>
      </c>
      <c r="G84" s="309">
        <v>0.4</v>
      </c>
      <c r="H84" s="309">
        <v>0.4</v>
      </c>
      <c r="I84" s="3">
        <v>0.3</v>
      </c>
      <c r="J84" s="309">
        <v>0.3</v>
      </c>
      <c r="K84" s="309">
        <v>0.3</v>
      </c>
      <c r="L84" s="309">
        <v>0.3</v>
      </c>
      <c r="M84" s="309">
        <v>0.3</v>
      </c>
      <c r="N84" s="3">
        <v>0.27</v>
      </c>
      <c r="O84" s="309">
        <v>0.27</v>
      </c>
      <c r="P84" s="309">
        <v>0.27</v>
      </c>
      <c r="Q84" s="309">
        <v>0.27</v>
      </c>
      <c r="R84" s="309">
        <v>0.27</v>
      </c>
      <c r="S84" s="309">
        <v>0.27</v>
      </c>
      <c r="T84" s="309">
        <v>0.27</v>
      </c>
    </row>
    <row r="85" spans="4:22" ht="15" customHeight="1">
      <c r="E85" s="309" t="s">
        <v>925</v>
      </c>
      <c r="F85" s="3">
        <v>0.25</v>
      </c>
      <c r="G85" s="309">
        <v>0.25</v>
      </c>
      <c r="H85" s="309">
        <v>0.25</v>
      </c>
      <c r="I85" s="3">
        <v>0.27</v>
      </c>
      <c r="J85" s="309">
        <v>0.27</v>
      </c>
      <c r="K85" s="309">
        <v>0.27</v>
      </c>
      <c r="L85" s="309">
        <v>0.27</v>
      </c>
      <c r="M85" s="309">
        <v>0.27</v>
      </c>
      <c r="N85" s="309" t="s">
        <v>926</v>
      </c>
      <c r="O85" s="309" t="s">
        <v>926</v>
      </c>
      <c r="P85" s="309" t="s">
        <v>926</v>
      </c>
      <c r="Q85" s="309" t="s">
        <v>926</v>
      </c>
      <c r="R85" s="309" t="s">
        <v>926</v>
      </c>
      <c r="S85" s="309" t="s">
        <v>926</v>
      </c>
      <c r="T85" s="309" t="s">
        <v>926</v>
      </c>
    </row>
    <row r="86" spans="4:22" ht="15" customHeight="1">
      <c r="E86" s="309" t="s">
        <v>954</v>
      </c>
      <c r="F86" s="3">
        <v>15</v>
      </c>
      <c r="G86" s="309">
        <v>15</v>
      </c>
      <c r="H86" s="309">
        <v>15</v>
      </c>
      <c r="I86" s="309">
        <v>15</v>
      </c>
      <c r="J86" s="309">
        <v>15</v>
      </c>
      <c r="K86" s="309">
        <v>15</v>
      </c>
      <c r="L86" s="309">
        <v>15</v>
      </c>
      <c r="M86" s="309">
        <v>15</v>
      </c>
      <c r="N86" s="309">
        <v>15</v>
      </c>
      <c r="O86" s="309">
        <v>15</v>
      </c>
      <c r="P86" s="309">
        <v>15</v>
      </c>
      <c r="Q86" s="309">
        <v>15</v>
      </c>
      <c r="R86" s="309">
        <v>15</v>
      </c>
      <c r="S86" s="309">
        <v>15</v>
      </c>
      <c r="T86" s="309">
        <v>15</v>
      </c>
    </row>
    <row r="87" spans="4:22" ht="15" customHeight="1">
      <c r="E87" s="309" t="s">
        <v>957</v>
      </c>
    </row>
    <row r="92" spans="4:22" ht="15" customHeight="1">
      <c r="D92" s="423" t="s">
        <v>958</v>
      </c>
    </row>
    <row r="93" spans="4:22" ht="15" customHeight="1">
      <c r="D93" s="423" t="s">
        <v>960</v>
      </c>
      <c r="V93" s="309" t="s">
        <v>959</v>
      </c>
    </row>
    <row r="94" spans="4:22" ht="15" customHeight="1">
      <c r="E94" s="309" t="s">
        <v>961</v>
      </c>
      <c r="F94" s="3">
        <v>0</v>
      </c>
      <c r="G94" s="309">
        <v>0</v>
      </c>
      <c r="H94" s="309">
        <v>0</v>
      </c>
      <c r="I94" s="309">
        <v>0</v>
      </c>
      <c r="J94" s="309">
        <v>0</v>
      </c>
      <c r="K94" s="309">
        <v>0</v>
      </c>
      <c r="L94" s="309">
        <v>0</v>
      </c>
      <c r="M94" s="309">
        <v>0</v>
      </c>
      <c r="N94" s="309">
        <v>0</v>
      </c>
      <c r="O94" s="309">
        <v>0</v>
      </c>
      <c r="P94" s="309">
        <v>0</v>
      </c>
      <c r="Q94" s="309">
        <v>0</v>
      </c>
      <c r="R94" s="309">
        <v>0</v>
      </c>
      <c r="S94" s="309">
        <v>0</v>
      </c>
      <c r="T94" s="309">
        <v>0</v>
      </c>
    </row>
    <row r="95" spans="4:22" ht="15" customHeight="1">
      <c r="E95" s="309" t="s">
        <v>962</v>
      </c>
      <c r="F95" s="3">
        <v>0.91</v>
      </c>
      <c r="G95" s="309">
        <v>0.91</v>
      </c>
      <c r="H95" s="309">
        <v>0.91</v>
      </c>
      <c r="I95" s="309">
        <v>0.91</v>
      </c>
      <c r="J95" s="309">
        <v>0.91</v>
      </c>
      <c r="K95" s="309">
        <v>0.91</v>
      </c>
      <c r="L95" s="309">
        <v>0.91</v>
      </c>
      <c r="M95" s="309">
        <v>0.91</v>
      </c>
      <c r="N95" s="309">
        <v>0.91</v>
      </c>
      <c r="O95" s="309">
        <v>0.91</v>
      </c>
      <c r="P95" s="309">
        <v>0.91</v>
      </c>
      <c r="Q95" s="309">
        <v>0.91</v>
      </c>
      <c r="R95" s="309">
        <v>0.91</v>
      </c>
      <c r="S95" s="309">
        <v>0.91</v>
      </c>
      <c r="T95" s="309">
        <v>0.91</v>
      </c>
    </row>
    <row r="96" spans="4:22" ht="15" customHeight="1">
      <c r="E96" s="309" t="s">
        <v>963</v>
      </c>
      <c r="F96" s="3">
        <v>0.7</v>
      </c>
      <c r="G96" s="309">
        <v>0.7</v>
      </c>
      <c r="H96" s="309">
        <v>0.7</v>
      </c>
      <c r="I96" s="309">
        <v>0.7</v>
      </c>
      <c r="J96" s="309">
        <v>0.7</v>
      </c>
      <c r="K96" s="309">
        <v>0.7</v>
      </c>
      <c r="L96" s="309">
        <v>0.7</v>
      </c>
      <c r="M96" s="309">
        <v>0.7</v>
      </c>
      <c r="N96" s="309">
        <v>0.7</v>
      </c>
      <c r="O96" s="309">
        <v>0.7</v>
      </c>
      <c r="P96" s="309">
        <v>0.7</v>
      </c>
      <c r="Q96" s="309">
        <v>0.7</v>
      </c>
      <c r="R96" s="309">
        <v>0.7</v>
      </c>
      <c r="S96" s="309">
        <v>0.7</v>
      </c>
      <c r="T96" s="309">
        <v>0.7</v>
      </c>
    </row>
    <row r="101" spans="1:34" ht="15" customHeight="1">
      <c r="D101" s="309" t="s">
        <v>971</v>
      </c>
      <c r="E101" s="423" t="s">
        <v>970</v>
      </c>
      <c r="F101" s="309" t="s">
        <v>969</v>
      </c>
      <c r="G101" s="309" t="s">
        <v>968</v>
      </c>
      <c r="V101" s="379" t="s">
        <v>959</v>
      </c>
    </row>
    <row r="102" spans="1:34" ht="15" customHeight="1">
      <c r="E102" s="309" t="s">
        <v>964</v>
      </c>
      <c r="F102" s="3">
        <v>16</v>
      </c>
      <c r="G102" s="3">
        <v>0.23</v>
      </c>
    </row>
    <row r="103" spans="1:34" ht="15" customHeight="1">
      <c r="E103" s="309" t="s">
        <v>965</v>
      </c>
      <c r="F103" s="309">
        <v>16</v>
      </c>
      <c r="G103" s="3">
        <v>0.18</v>
      </c>
    </row>
    <row r="104" spans="1:34" ht="15" customHeight="1">
      <c r="E104" s="309" t="s">
        <v>966</v>
      </c>
      <c r="F104" s="309">
        <v>16</v>
      </c>
      <c r="G104" s="3">
        <v>0.13</v>
      </c>
    </row>
    <row r="105" spans="1:34" ht="15" customHeight="1">
      <c r="E105" s="309" t="s">
        <v>967</v>
      </c>
      <c r="F105" s="3">
        <v>24</v>
      </c>
      <c r="G105" s="3">
        <v>0.11</v>
      </c>
    </row>
    <row r="107" spans="1:34" s="379" customFormat="1" ht="15" customHeight="1">
      <c r="A107" s="7"/>
      <c r="B107" s="7"/>
      <c r="C107" s="3"/>
      <c r="D107" s="309" t="s">
        <v>980</v>
      </c>
      <c r="E107" s="423" t="s">
        <v>972</v>
      </c>
      <c r="F107" s="309" t="s">
        <v>470</v>
      </c>
      <c r="G107" s="309" t="s">
        <v>978</v>
      </c>
      <c r="H107" s="309" t="s">
        <v>979</v>
      </c>
      <c r="I107" s="3"/>
      <c r="J107" s="345" t="s">
        <v>988</v>
      </c>
      <c r="K107" s="3"/>
      <c r="L107" s="3"/>
      <c r="M107" s="3"/>
      <c r="N107" s="3"/>
      <c r="O107" s="3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</row>
    <row r="108" spans="1:34" ht="15" customHeight="1">
      <c r="E108" s="309" t="s">
        <v>973</v>
      </c>
      <c r="F108" s="3">
        <v>90</v>
      </c>
      <c r="G108" s="425">
        <v>5.0000000000000001E-3</v>
      </c>
      <c r="H108" s="425">
        <v>1.4999999999999999E-2</v>
      </c>
    </row>
    <row r="109" spans="1:34" ht="15" customHeight="1">
      <c r="E109" s="309" t="s">
        <v>974</v>
      </c>
      <c r="F109" s="3">
        <v>80</v>
      </c>
      <c r="G109" s="425">
        <v>5.0000000000000001E-3</v>
      </c>
      <c r="H109" s="425">
        <v>1.4999999999999999E-2</v>
      </c>
    </row>
    <row r="110" spans="1:34" s="379" customFormat="1" ht="15" customHeight="1">
      <c r="A110" s="7"/>
      <c r="B110" s="7"/>
      <c r="C110" s="3"/>
      <c r="D110" s="3"/>
      <c r="E110" s="309" t="s">
        <v>975</v>
      </c>
      <c r="F110" s="3">
        <v>78</v>
      </c>
      <c r="G110" s="425">
        <v>5.0000000000000001E-3</v>
      </c>
      <c r="H110" s="425">
        <v>1.4999999999999999E-2</v>
      </c>
      <c r="I110" s="3"/>
      <c r="J110" s="3"/>
      <c r="K110" s="3"/>
      <c r="L110" s="3"/>
      <c r="M110" s="3"/>
      <c r="N110" s="3"/>
      <c r="O110" s="3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</row>
    <row r="111" spans="1:34" ht="15" customHeight="1">
      <c r="E111" s="424" t="s">
        <v>976</v>
      </c>
      <c r="F111" s="3">
        <v>75</v>
      </c>
      <c r="G111" s="425">
        <v>5.0000000000000001E-3</v>
      </c>
      <c r="H111" s="425">
        <v>1.4999999999999999E-2</v>
      </c>
    </row>
    <row r="112" spans="1:34" ht="15" customHeight="1">
      <c r="E112" s="424" t="s">
        <v>977</v>
      </c>
      <c r="F112" s="3">
        <v>64</v>
      </c>
      <c r="G112" s="425">
        <v>5.0000000000000001E-3</v>
      </c>
      <c r="H112" s="425">
        <v>1.4999999999999999E-2</v>
      </c>
    </row>
    <row r="113" spans="1:34" ht="15" customHeight="1">
      <c r="E113" s="424"/>
    </row>
    <row r="114" spans="1:34" ht="15" customHeight="1">
      <c r="D114" s="309" t="s">
        <v>987</v>
      </c>
      <c r="E114" s="426" t="s">
        <v>981</v>
      </c>
      <c r="F114" s="309" t="s">
        <v>982</v>
      </c>
      <c r="G114" s="309" t="s">
        <v>983</v>
      </c>
      <c r="H114" s="309" t="s">
        <v>984</v>
      </c>
      <c r="I114" s="309" t="s">
        <v>978</v>
      </c>
      <c r="J114" s="309" t="s">
        <v>979</v>
      </c>
    </row>
    <row r="115" spans="1:34" s="379" customFormat="1" ht="15" customHeight="1">
      <c r="A115" s="7"/>
      <c r="B115" s="7"/>
      <c r="C115" s="3"/>
      <c r="D115" s="3"/>
      <c r="E115" s="424" t="s">
        <v>985</v>
      </c>
      <c r="F115" s="3">
        <v>6.5</v>
      </c>
      <c r="G115" s="3">
        <v>6.4</v>
      </c>
      <c r="H115" s="3"/>
      <c r="I115" s="3">
        <v>0.01</v>
      </c>
      <c r="J115" s="3">
        <v>0.03</v>
      </c>
      <c r="K115" s="3"/>
      <c r="L115" s="3"/>
      <c r="M115" s="3"/>
      <c r="N115" s="3"/>
      <c r="O115" s="3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</row>
    <row r="116" spans="1:34" ht="15" customHeight="1">
      <c r="E116" s="424" t="s">
        <v>986</v>
      </c>
      <c r="F116" s="3">
        <v>6.5</v>
      </c>
      <c r="G116" s="3">
        <v>6.4</v>
      </c>
      <c r="H116" s="3">
        <v>6</v>
      </c>
      <c r="I116" s="309">
        <v>0.01</v>
      </c>
      <c r="J116" s="309">
        <v>0.03</v>
      </c>
    </row>
    <row r="118" spans="1:34" s="379" customFormat="1" ht="15" customHeight="1">
      <c r="A118" s="7"/>
      <c r="B118" s="7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</row>
    <row r="119" spans="1:34" ht="15" customHeight="1">
      <c r="E119" s="424"/>
      <c r="F119" s="336" t="s">
        <v>883</v>
      </c>
      <c r="G119" s="388" t="s">
        <v>824</v>
      </c>
      <c r="H119" s="388" t="s">
        <v>825</v>
      </c>
      <c r="I119" s="388" t="s">
        <v>826</v>
      </c>
      <c r="J119" s="388" t="s">
        <v>827</v>
      </c>
      <c r="K119" s="388" t="s">
        <v>828</v>
      </c>
      <c r="L119" s="388" t="s">
        <v>829</v>
      </c>
      <c r="M119" s="388" t="s">
        <v>830</v>
      </c>
      <c r="N119" s="388" t="s">
        <v>831</v>
      </c>
      <c r="O119" s="388" t="s">
        <v>832</v>
      </c>
      <c r="P119" s="388" t="s">
        <v>833</v>
      </c>
      <c r="Q119" s="388" t="s">
        <v>834</v>
      </c>
      <c r="R119" s="388" t="s">
        <v>835</v>
      </c>
      <c r="S119" s="388">
        <v>7</v>
      </c>
      <c r="T119" s="336">
        <v>8</v>
      </c>
      <c r="V119" s="379" t="s">
        <v>989</v>
      </c>
    </row>
    <row r="120" spans="1:34" ht="15" customHeight="1">
      <c r="E120" s="424" t="s">
        <v>990</v>
      </c>
      <c r="F120" s="3">
        <v>21</v>
      </c>
      <c r="G120" s="3">
        <v>21</v>
      </c>
      <c r="H120" s="3">
        <v>12</v>
      </c>
      <c r="I120" s="3">
        <v>16</v>
      </c>
      <c r="J120" s="3">
        <v>12</v>
      </c>
      <c r="K120" s="3">
        <v>13</v>
      </c>
      <c r="L120" s="3">
        <v>18</v>
      </c>
      <c r="M120" s="3">
        <v>12</v>
      </c>
      <c r="N120" s="3">
        <v>16</v>
      </c>
      <c r="O120" s="3">
        <v>14</v>
      </c>
      <c r="P120" s="7">
        <v>12</v>
      </c>
      <c r="Q120" s="7">
        <v>13</v>
      </c>
      <c r="R120" s="7">
        <v>13</v>
      </c>
      <c r="S120" s="7">
        <v>13</v>
      </c>
      <c r="T120" s="7">
        <v>13</v>
      </c>
    </row>
    <row r="121" spans="1:34" ht="15" customHeight="1">
      <c r="E121" s="424"/>
    </row>
    <row r="122" spans="1:34" ht="15" customHeight="1">
      <c r="A122" s="379" t="s">
        <v>1021</v>
      </c>
      <c r="B122" s="7">
        <v>0</v>
      </c>
      <c r="E122" s="432" t="s">
        <v>1020</v>
      </c>
    </row>
    <row r="123" spans="1:34" ht="15" customHeight="1">
      <c r="B123" s="379" t="s">
        <v>1015</v>
      </c>
      <c r="C123" s="7"/>
      <c r="D123" s="379" t="s">
        <v>968</v>
      </c>
      <c r="E123" s="424"/>
    </row>
    <row r="124" spans="1:34" ht="15" customHeight="1">
      <c r="A124" s="379"/>
      <c r="B124" s="105" t="s">
        <v>314</v>
      </c>
      <c r="C124" s="379"/>
      <c r="D124" s="105" t="s">
        <v>314</v>
      </c>
      <c r="E124" s="424"/>
      <c r="F124" s="309"/>
      <c r="G124" s="309"/>
      <c r="H124" s="309"/>
      <c r="I124" s="309"/>
      <c r="J124" s="309"/>
      <c r="K124" s="309"/>
      <c r="L124" s="309"/>
      <c r="M124" s="309"/>
      <c r="N124" s="309"/>
      <c r="O124" s="309"/>
      <c r="P124" s="379"/>
      <c r="Q124" s="379"/>
      <c r="R124" s="379"/>
      <c r="S124" s="379"/>
      <c r="T124" s="379"/>
      <c r="U124" s="379"/>
      <c r="V124" s="379"/>
      <c r="W124" s="379"/>
      <c r="X124" s="379"/>
      <c r="Y124" s="379"/>
      <c r="Z124" s="379"/>
      <c r="AA124" s="379"/>
      <c r="AB124" s="379"/>
      <c r="AC124" s="379"/>
      <c r="AD124" s="379"/>
      <c r="AE124" s="379"/>
      <c r="AF124" s="379"/>
      <c r="AG124" s="379"/>
      <c r="AH124" s="379"/>
    </row>
    <row r="125" spans="1:34" ht="15" customHeight="1">
      <c r="A125" s="379" t="s">
        <v>1018</v>
      </c>
      <c r="B125" s="7">
        <v>0.17</v>
      </c>
      <c r="C125" s="379" t="s">
        <v>1014</v>
      </c>
      <c r="D125" s="7">
        <f>B125</f>
        <v>0.17</v>
      </c>
      <c r="E125" s="424"/>
    </row>
    <row r="126" spans="1:34" ht="15" customHeight="1">
      <c r="A126" s="379" t="s">
        <v>1005</v>
      </c>
      <c r="B126" s="7">
        <v>0.67</v>
      </c>
      <c r="C126" s="379" t="s">
        <v>1011</v>
      </c>
      <c r="D126" s="379">
        <f>B126</f>
        <v>0.67</v>
      </c>
      <c r="E126" s="105"/>
    </row>
    <row r="127" spans="1:34" ht="15" customHeight="1">
      <c r="A127" s="379" t="s">
        <v>1016</v>
      </c>
      <c r="B127" s="379">
        <v>5</v>
      </c>
      <c r="C127" s="379" t="s">
        <v>1016</v>
      </c>
      <c r="D127" s="379">
        <f>B127</f>
        <v>5</v>
      </c>
      <c r="E127" s="424"/>
      <c r="F127" s="309"/>
      <c r="G127" s="309"/>
      <c r="H127" s="309"/>
      <c r="I127" s="309"/>
      <c r="J127" s="309"/>
      <c r="K127" s="309"/>
      <c r="L127" s="309"/>
      <c r="M127" s="309"/>
      <c r="N127" s="309"/>
      <c r="O127" s="309"/>
      <c r="P127" s="379"/>
      <c r="Q127" s="379"/>
      <c r="R127" s="379"/>
      <c r="S127" s="379"/>
      <c r="T127" s="379"/>
      <c r="U127" s="379"/>
      <c r="V127" s="379"/>
      <c r="W127" s="379"/>
      <c r="X127" s="379"/>
      <c r="Y127" s="379"/>
      <c r="Z127" s="379"/>
      <c r="AA127" s="379"/>
      <c r="AB127" s="379"/>
      <c r="AC127" s="379"/>
      <c r="AD127" s="379"/>
      <c r="AE127" s="379"/>
      <c r="AF127" s="379"/>
      <c r="AG127" s="379"/>
      <c r="AH127" s="379"/>
    </row>
    <row r="128" spans="1:34" ht="15" customHeight="1">
      <c r="A128" s="379" t="s">
        <v>1006</v>
      </c>
      <c r="B128" s="7">
        <v>0.79</v>
      </c>
      <c r="C128" s="379" t="s">
        <v>1009</v>
      </c>
      <c r="D128" s="379">
        <f t="shared" ref="D128" si="29">B128</f>
        <v>0.79</v>
      </c>
      <c r="E128" s="424"/>
    </row>
    <row r="129" spans="1:34" ht="15" customHeight="1">
      <c r="A129" s="379" t="s">
        <v>1007</v>
      </c>
      <c r="B129" s="7">
        <v>20</v>
      </c>
      <c r="C129" s="379" t="s">
        <v>1012</v>
      </c>
      <c r="D129" s="7">
        <f>0.95*5.5</f>
        <v>5.2249999999999996</v>
      </c>
      <c r="E129" s="424"/>
    </row>
    <row r="130" spans="1:34" ht="15" customHeight="1">
      <c r="A130" s="379" t="s">
        <v>1008</v>
      </c>
      <c r="B130" s="7">
        <v>0.55000000000000004</v>
      </c>
      <c r="C130" s="379" t="s">
        <v>1010</v>
      </c>
      <c r="D130" s="379">
        <v>0.55000000000000004</v>
      </c>
      <c r="E130" s="424"/>
    </row>
    <row r="131" spans="1:34" ht="15" customHeight="1">
      <c r="A131" s="379" t="s">
        <v>1017</v>
      </c>
      <c r="B131" s="7">
        <v>0.68</v>
      </c>
      <c r="C131" s="379" t="s">
        <v>1013</v>
      </c>
      <c r="D131" s="379">
        <v>0.68</v>
      </c>
      <c r="E131" s="424"/>
    </row>
    <row r="132" spans="1:34" ht="15" customHeight="1">
      <c r="A132" s="379"/>
      <c r="B132" s="379"/>
      <c r="C132" s="379"/>
      <c r="D132" s="379"/>
      <c r="E132" s="424"/>
      <c r="F132" s="309"/>
      <c r="G132" s="309"/>
      <c r="H132" s="309"/>
      <c r="I132" s="309"/>
      <c r="J132" s="309"/>
      <c r="K132" s="309"/>
      <c r="L132" s="309"/>
      <c r="M132" s="309"/>
      <c r="N132" s="309"/>
      <c r="O132" s="309"/>
      <c r="P132" s="379"/>
      <c r="Q132" s="379"/>
      <c r="R132" s="379"/>
      <c r="S132" s="379"/>
      <c r="T132" s="379"/>
      <c r="U132" s="379"/>
      <c r="V132" s="379"/>
      <c r="W132" s="379"/>
      <c r="X132" s="379"/>
      <c r="Y132" s="379"/>
      <c r="Z132" s="379"/>
      <c r="AA132" s="379"/>
      <c r="AB132" s="379"/>
      <c r="AC132" s="379"/>
      <c r="AD132" s="379"/>
      <c r="AE132" s="379"/>
      <c r="AF132" s="379"/>
      <c r="AG132" s="379"/>
      <c r="AH132" s="379"/>
    </row>
    <row r="133" spans="1:34" ht="15" customHeight="1">
      <c r="A133" s="379" t="s">
        <v>447</v>
      </c>
      <c r="B133" s="7">
        <f>IF(B122=0,SUM(B125:B131),((1-0.19)*B129)+SUM(B125:B128,B130:B131))</f>
        <v>27.86</v>
      </c>
      <c r="D133" s="379">
        <f>SUM(D125:D131)</f>
        <v>13.085000000000001</v>
      </c>
      <c r="E133" s="424"/>
    </row>
    <row r="134" spans="1:34" ht="15" customHeight="1">
      <c r="A134" s="379" t="s">
        <v>1019</v>
      </c>
      <c r="B134" s="7">
        <f>1/B133</f>
        <v>3.5893754486719311E-2</v>
      </c>
      <c r="D134" s="379">
        <f>1/D133</f>
        <v>7.642338555598012E-2</v>
      </c>
      <c r="E134" s="424"/>
    </row>
    <row r="135" spans="1:34" ht="15" customHeight="1">
      <c r="A135" s="379"/>
      <c r="C135" s="309"/>
      <c r="D135" s="379"/>
      <c r="E135" s="424"/>
      <c r="F135" s="309"/>
      <c r="G135" s="309"/>
      <c r="H135" s="309"/>
      <c r="I135" s="309"/>
      <c r="J135" s="309"/>
      <c r="K135" s="309"/>
      <c r="L135" s="309"/>
      <c r="M135" s="309"/>
      <c r="N135" s="309"/>
      <c r="O135" s="309"/>
      <c r="P135" s="379"/>
      <c r="Q135" s="379"/>
      <c r="R135" s="379"/>
      <c r="S135" s="379"/>
      <c r="T135" s="379"/>
      <c r="U135" s="379"/>
      <c r="V135" s="379"/>
      <c r="W135" s="379"/>
      <c r="X135" s="379"/>
      <c r="Y135" s="379"/>
      <c r="Z135" s="379"/>
      <c r="AA135" s="379"/>
      <c r="AB135" s="379"/>
      <c r="AC135" s="379"/>
      <c r="AD135" s="379"/>
      <c r="AE135" s="379"/>
      <c r="AF135" s="379"/>
      <c r="AG135" s="379"/>
      <c r="AH135" s="379"/>
    </row>
    <row r="136" spans="1:34" ht="15" customHeight="1">
      <c r="A136" s="379" t="s">
        <v>968</v>
      </c>
      <c r="B136" s="7">
        <v>0.23</v>
      </c>
      <c r="E136" s="424"/>
    </row>
    <row r="137" spans="1:34" ht="15" customHeight="1">
      <c r="A137" s="379" t="s">
        <v>1027</v>
      </c>
      <c r="B137" s="379">
        <f>(B134*(1-B136))+(D134*B136)</f>
        <v>4.5215569632649298E-2</v>
      </c>
      <c r="E137" s="424"/>
    </row>
    <row r="138" spans="1:34" s="379" customFormat="1" ht="15" customHeight="1">
      <c r="C138" s="309"/>
      <c r="D138" s="309"/>
      <c r="E138" s="424"/>
      <c r="F138" s="309"/>
      <c r="G138" s="309"/>
      <c r="H138" s="309"/>
      <c r="I138" s="309"/>
      <c r="J138" s="309"/>
      <c r="K138" s="309"/>
      <c r="L138" s="309"/>
      <c r="M138" s="309"/>
      <c r="N138" s="309"/>
      <c r="O138" s="309"/>
    </row>
    <row r="139" spans="1:34" s="379" customFormat="1" ht="15" customHeight="1">
      <c r="A139" s="379" t="s">
        <v>1022</v>
      </c>
      <c r="B139" s="7">
        <v>261.39999999999998</v>
      </c>
      <c r="C139" s="309"/>
      <c r="D139" s="309"/>
      <c r="E139" s="424"/>
      <c r="F139" s="309"/>
      <c r="G139" s="309"/>
      <c r="H139" s="309"/>
      <c r="I139" s="309"/>
      <c r="J139" s="309"/>
      <c r="K139" s="309"/>
      <c r="L139" s="309"/>
      <c r="M139" s="309"/>
      <c r="N139" s="309"/>
      <c r="O139" s="309"/>
    </row>
    <row r="140" spans="1:34" ht="15" customHeight="1">
      <c r="A140" s="379" t="s">
        <v>1023</v>
      </c>
      <c r="B140" s="3">
        <f>B137*B139*5.6783</f>
        <v>67.113814548381953</v>
      </c>
      <c r="E140" s="424"/>
    </row>
    <row r="141" spans="1:34" ht="15" customHeight="1">
      <c r="E141" s="424"/>
    </row>
    <row r="142" spans="1:34" ht="15" customHeight="1">
      <c r="E142" s="424"/>
    </row>
    <row r="143" spans="1:34" ht="15" customHeight="1">
      <c r="E143" s="424"/>
    </row>
    <row r="144" spans="1:34" ht="15" customHeight="1">
      <c r="A144" s="379" t="s">
        <v>1031</v>
      </c>
      <c r="B144" s="379" t="s">
        <v>1032</v>
      </c>
      <c r="C144" s="379" t="s">
        <v>1033</v>
      </c>
      <c r="E144" s="424"/>
    </row>
    <row r="145" spans="1:5" ht="15" customHeight="1">
      <c r="A145" s="379" t="s">
        <v>1028</v>
      </c>
      <c r="B145" s="379">
        <v>8.5736552962920293E-2</v>
      </c>
      <c r="E145" s="424"/>
    </row>
    <row r="146" spans="1:5" ht="15" customHeight="1">
      <c r="A146" s="379" t="s">
        <v>1025</v>
      </c>
      <c r="B146" s="7">
        <v>5.7476006036368224E-2</v>
      </c>
      <c r="E146" s="424"/>
    </row>
    <row r="147" spans="1:5" ht="15" customHeight="1">
      <c r="A147" s="379" t="s">
        <v>1026</v>
      </c>
      <c r="B147" s="7">
        <v>6.2131032322258431E-2</v>
      </c>
      <c r="E147" s="424"/>
    </row>
    <row r="148" spans="1:5" ht="15" customHeight="1">
      <c r="A148" s="379" t="s">
        <v>1029</v>
      </c>
      <c r="B148" s="7">
        <v>3.5893754486719311E-2</v>
      </c>
      <c r="E148" s="424"/>
    </row>
    <row r="149" spans="1:5" ht="15" customHeight="1">
      <c r="A149" s="379" t="s">
        <v>1030</v>
      </c>
      <c r="B149" s="7">
        <v>4.3986404300048673E-2</v>
      </c>
      <c r="E149" s="424"/>
    </row>
    <row r="150" spans="1:5" ht="15" customHeight="1">
      <c r="E150" s="424"/>
    </row>
    <row r="151" spans="1:5" ht="15" customHeight="1">
      <c r="E151" s="424"/>
    </row>
  </sheetData>
  <mergeCells count="26"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  <mergeCell ref="G56:J56"/>
    <mergeCell ref="G57:J57"/>
    <mergeCell ref="G58:J58"/>
    <mergeCell ref="G59:J59"/>
    <mergeCell ref="G60:J60"/>
    <mergeCell ref="D56:F56"/>
    <mergeCell ref="D57:F57"/>
    <mergeCell ref="D58:F58"/>
    <mergeCell ref="D59:F59"/>
    <mergeCell ref="D60:F60"/>
  </mergeCells>
  <hyperlinks>
    <hyperlink ref="A24" r:id="rId1"/>
  </hyperlinks>
  <pageMargins left="0.7" right="0.7" top="0.75" bottom="0.75" header="0.51180555555555551" footer="0.51180555555555551"/>
  <pageSetup firstPageNumber="0" orientation="portrait" horizontalDpi="300" verticalDpi="300" r:id="rId2"/>
  <headerFooter alignWithMargins="0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T51"/>
  <sheetViews>
    <sheetView zoomScale="85" zoomScaleNormal="85" workbookViewId="0">
      <selection activeCell="I28" sqref="I28"/>
    </sheetView>
  </sheetViews>
  <sheetFormatPr defaultRowHeight="15" customHeight="1"/>
  <cols>
    <col min="1" max="1" width="28.42578125" style="1" customWidth="1"/>
    <col min="2" max="2" width="9" style="15" customWidth="1"/>
    <col min="3" max="3" width="9" style="290" customWidth="1"/>
    <col min="4" max="4" width="5.7109375" style="15" customWidth="1"/>
    <col min="5" max="5" width="7.140625" style="15" customWidth="1"/>
    <col min="6" max="6" width="5.7109375" style="15" customWidth="1"/>
    <col min="7" max="7" width="25.7109375" style="15" customWidth="1"/>
    <col min="8" max="8" width="12.28515625" style="15" bestFit="1" customWidth="1"/>
    <col min="9" max="9" width="9.42578125" style="15" customWidth="1"/>
    <col min="10" max="10" width="7.42578125" style="15" customWidth="1"/>
    <col min="11" max="11" width="9.140625" style="15"/>
    <col min="12" max="12" width="13.85546875" style="15" bestFit="1" customWidth="1"/>
    <col min="13" max="13" width="15.42578125" style="15" customWidth="1"/>
    <col min="14" max="14" width="5.7109375" style="15" customWidth="1"/>
    <col min="15" max="17" width="9.140625" style="15"/>
    <col min="18" max="18" width="94.140625" style="1" bestFit="1" customWidth="1"/>
    <col min="19" max="19" width="10.5703125" style="1" bestFit="1" customWidth="1"/>
    <col min="20" max="21" width="119.7109375" style="1" bestFit="1" customWidth="1"/>
    <col min="22" max="16384" width="9.140625" style="1"/>
  </cols>
  <sheetData>
    <row r="1" spans="1:18" ht="15" customHeight="1">
      <c r="A1" s="5" t="s">
        <v>78</v>
      </c>
      <c r="H1" s="239" t="s">
        <v>799</v>
      </c>
      <c r="I1" s="103">
        <v>25</v>
      </c>
      <c r="J1" s="103">
        <v>50</v>
      </c>
      <c r="K1" s="103">
        <v>75</v>
      </c>
      <c r="L1" s="103">
        <v>100</v>
      </c>
      <c r="M1" s="372">
        <v>125</v>
      </c>
      <c r="N1" s="103">
        <v>200</v>
      </c>
      <c r="O1" s="103">
        <v>300</v>
      </c>
    </row>
    <row r="2" spans="1:18" ht="15" customHeight="1">
      <c r="A2" s="27" t="s">
        <v>619</v>
      </c>
      <c r="H2" s="106" t="s">
        <v>800</v>
      </c>
      <c r="I2" s="64">
        <f>L2*0.25</f>
        <v>5.9387048</v>
      </c>
      <c r="J2" s="64">
        <f>L2*0.5</f>
        <v>11.8774096</v>
      </c>
      <c r="K2" s="64">
        <f>L2*0.75</f>
        <v>17.8161144</v>
      </c>
      <c r="L2" s="64">
        <f>0.05*A_houseSI+3.5*(B5+1)</f>
        <v>23.7548192</v>
      </c>
      <c r="M2" s="370">
        <f>1.25*L2</f>
        <v>29.693524</v>
      </c>
      <c r="N2" s="64">
        <f>L2*2</f>
        <v>47.5096384</v>
      </c>
      <c r="O2" s="64">
        <f>L2*3</f>
        <v>71.2644576</v>
      </c>
    </row>
    <row r="3" spans="1:18" ht="15" customHeight="1">
      <c r="A3" s="27" t="s">
        <v>339</v>
      </c>
      <c r="B3" s="60"/>
      <c r="C3" s="291"/>
      <c r="H3" s="3" t="s">
        <v>851</v>
      </c>
      <c r="I3" s="277">
        <f>L3*0.25</f>
        <v>12.75</v>
      </c>
      <c r="J3" s="64">
        <f>L3*0.5</f>
        <v>25.5</v>
      </c>
      <c r="K3" s="64">
        <f>L3*0.75</f>
        <v>38.25</v>
      </c>
      <c r="L3" s="64">
        <f>0.01*A_houseFT+7.5*(B5+1)</f>
        <v>51</v>
      </c>
      <c r="M3" s="370">
        <f>1.25*L3</f>
        <v>63.75</v>
      </c>
      <c r="N3" s="64">
        <f>L3*2</f>
        <v>102</v>
      </c>
      <c r="O3" s="64">
        <f>L3*3</f>
        <v>153</v>
      </c>
    </row>
    <row r="4" spans="1:18" ht="15" customHeight="1">
      <c r="A4" s="27"/>
      <c r="B4" s="60"/>
      <c r="C4" s="291"/>
      <c r="H4" s="3"/>
    </row>
    <row r="5" spans="1:18" ht="15" customHeight="1">
      <c r="A5" s="27" t="s">
        <v>744</v>
      </c>
      <c r="B5" s="60">
        <f>Nbedrooms</f>
        <v>3</v>
      </c>
      <c r="C5" s="291"/>
      <c r="H5" s="3"/>
    </row>
    <row r="6" spans="1:18" ht="15" customHeight="1">
      <c r="H6" s="3"/>
      <c r="K6" s="60"/>
    </row>
    <row r="7" spans="1:18" ht="15" customHeight="1">
      <c r="A7" s="113" t="s">
        <v>340</v>
      </c>
      <c r="B7" s="312" t="s">
        <v>881</v>
      </c>
      <c r="C7" s="312" t="s">
        <v>882</v>
      </c>
      <c r="D7" s="118" t="s">
        <v>189</v>
      </c>
      <c r="E7" s="118" t="s">
        <v>342</v>
      </c>
      <c r="F7" s="118" t="s">
        <v>189</v>
      </c>
      <c r="G7" s="118" t="s">
        <v>343</v>
      </c>
      <c r="H7" s="118" t="s">
        <v>716</v>
      </c>
      <c r="I7" s="118" t="s">
        <v>344</v>
      </c>
      <c r="J7" s="118"/>
      <c r="K7" s="118" t="s">
        <v>587</v>
      </c>
      <c r="L7" s="118" t="s">
        <v>588</v>
      </c>
      <c r="M7" s="118" t="s">
        <v>345</v>
      </c>
      <c r="N7" s="118"/>
      <c r="O7" s="118" t="s">
        <v>346</v>
      </c>
      <c r="P7" s="118" t="s">
        <v>347</v>
      </c>
      <c r="Q7" s="118" t="s">
        <v>348</v>
      </c>
      <c r="R7" s="118" t="s">
        <v>3</v>
      </c>
    </row>
    <row r="8" spans="1:18" ht="15" customHeight="1">
      <c r="A8" s="122" t="s">
        <v>349</v>
      </c>
      <c r="B8" s="310">
        <v>50</v>
      </c>
      <c r="C8" s="296">
        <f>E8/1000*-1</f>
        <v>-2.3596035865974516E-2</v>
      </c>
      <c r="D8" s="15" t="s">
        <v>350</v>
      </c>
      <c r="E8" s="64">
        <f>B8/2.119</f>
        <v>23.596035865974514</v>
      </c>
      <c r="F8" s="15" t="s">
        <v>251</v>
      </c>
      <c r="G8" s="15">
        <v>1</v>
      </c>
      <c r="H8" s="64">
        <f>E8*G8</f>
        <v>23.596035865974514</v>
      </c>
      <c r="I8" s="15">
        <f>F20*G8</f>
        <v>10.199999999999999</v>
      </c>
      <c r="K8" s="57">
        <f>E8*10^-3*3600/V_houseSI</f>
        <v>0.17416156542913319</v>
      </c>
      <c r="L8" s="59">
        <f>E8*10^-3*3600/V_houseSI+10/100*A_houseSI*3600/1000/V_houseSI</f>
        <v>0.31816156542913321</v>
      </c>
      <c r="M8" s="61">
        <v>31</v>
      </c>
      <c r="N8" s="62">
        <v>0.25</v>
      </c>
      <c r="O8" s="63">
        <f t="shared" ref="O8:O14" si="0">$H$10*(1+N8)</f>
        <v>41.293062765455403</v>
      </c>
      <c r="P8" s="63">
        <f t="shared" ref="P8:P14" si="1">O8*10^-3/(0.3048^3)*60</f>
        <v>87.495044968294053</v>
      </c>
      <c r="Q8" s="63">
        <f t="shared" ref="Q8:Q14" si="2">$F$41</f>
        <v>16.2</v>
      </c>
    </row>
    <row r="9" spans="1:18" ht="15" customHeight="1">
      <c r="A9" s="122" t="s">
        <v>351</v>
      </c>
      <c r="B9" s="310">
        <v>100</v>
      </c>
      <c r="C9" s="296">
        <f t="shared" ref="C9:C11" si="3">E9/1000*-1</f>
        <v>-4.7192071731949031E-2</v>
      </c>
      <c r="D9" s="15" t="s">
        <v>350</v>
      </c>
      <c r="E9" s="64">
        <f t="shared" ref="E9:E11" si="4">B9/2.119</f>
        <v>47.192071731949028</v>
      </c>
      <c r="F9" s="15" t="s">
        <v>251</v>
      </c>
      <c r="G9" s="15">
        <v>1</v>
      </c>
      <c r="H9" s="64">
        <f>E9*G9</f>
        <v>47.192071731949028</v>
      </c>
      <c r="I9" s="15">
        <f>F15*G9</f>
        <v>37.200000000000003</v>
      </c>
      <c r="K9" s="57">
        <f>E9*10^-3*3600/V_houseSI</f>
        <v>0.34832313085826638</v>
      </c>
      <c r="L9" s="59">
        <f>E9*10^-3*3600/V_houseSI+10/100*A_houseSI*3600/1000/V_houseSI</f>
        <v>0.4923231308582664</v>
      </c>
      <c r="M9" s="61">
        <v>32</v>
      </c>
      <c r="N9" s="62">
        <v>0.25</v>
      </c>
      <c r="O9" s="63">
        <f t="shared" si="0"/>
        <v>41.293062765455403</v>
      </c>
      <c r="P9" s="63">
        <f t="shared" si="1"/>
        <v>87.495044968294053</v>
      </c>
      <c r="Q9" s="63">
        <f t="shared" si="2"/>
        <v>16.2</v>
      </c>
    </row>
    <row r="10" spans="1:18" ht="15" customHeight="1">
      <c r="A10" s="122" t="s">
        <v>352</v>
      </c>
      <c r="B10" s="309">
        <v>70</v>
      </c>
      <c r="C10" s="300">
        <f t="shared" si="3"/>
        <v>-3.303445021236432E-2</v>
      </c>
      <c r="D10" s="3" t="s">
        <v>350</v>
      </c>
      <c r="E10" s="64">
        <f t="shared" si="4"/>
        <v>33.03445021236432</v>
      </c>
      <c r="F10" s="15" t="s">
        <v>251</v>
      </c>
      <c r="G10" s="15">
        <v>1</v>
      </c>
      <c r="H10" s="64">
        <f>E10*G10</f>
        <v>33.03445021236432</v>
      </c>
      <c r="I10" s="15">
        <f>F33</f>
        <v>11.8</v>
      </c>
      <c r="K10" s="57">
        <f>E10*10^-3*3600/V_houseSI</f>
        <v>0.24382619160078647</v>
      </c>
      <c r="L10" s="59">
        <f>E10*10^-3*3600/V_houseSI+10/100*A_houseSI*3600/1000/V_houseSI</f>
        <v>0.38782619160078646</v>
      </c>
      <c r="M10" s="61">
        <v>33</v>
      </c>
      <c r="N10" s="62">
        <v>0.25</v>
      </c>
      <c r="O10" s="63">
        <f t="shared" si="0"/>
        <v>41.293062765455403</v>
      </c>
      <c r="P10" s="63">
        <f t="shared" si="1"/>
        <v>87.495044968294053</v>
      </c>
      <c r="Q10" s="63">
        <f t="shared" si="2"/>
        <v>16.2</v>
      </c>
    </row>
    <row r="11" spans="1:18" ht="15" customHeight="1">
      <c r="A11" s="122" t="s">
        <v>87</v>
      </c>
      <c r="B11" s="310">
        <v>150</v>
      </c>
      <c r="C11" s="296">
        <f t="shared" si="3"/>
        <v>-7.0788107597923547E-2</v>
      </c>
      <c r="D11" s="15" t="s">
        <v>350</v>
      </c>
      <c r="E11" s="64">
        <f t="shared" si="4"/>
        <v>70.788107597923542</v>
      </c>
      <c r="F11" s="15" t="s">
        <v>251</v>
      </c>
      <c r="G11" s="15">
        <v>1</v>
      </c>
      <c r="H11" s="64">
        <f>E11*G11</f>
        <v>70.788107597923542</v>
      </c>
      <c r="I11" s="64">
        <v>0</v>
      </c>
      <c r="K11" s="57">
        <f>E11*10^-3*3600/V_houseSI</f>
        <v>0.52248469628739969</v>
      </c>
      <c r="L11" s="59">
        <f>E11*10^-3*3600/V_houseSI+10/100*A_houseSI*3600/1000/V_houseSI</f>
        <v>0.6664846962873997</v>
      </c>
      <c r="M11" s="61">
        <v>34</v>
      </c>
      <c r="N11" s="62">
        <v>0.25</v>
      </c>
      <c r="O11" s="63">
        <f t="shared" si="0"/>
        <v>41.293062765455403</v>
      </c>
      <c r="P11" s="63">
        <f t="shared" si="1"/>
        <v>87.495044968294053</v>
      </c>
      <c r="Q11" s="63">
        <f t="shared" si="2"/>
        <v>16.2</v>
      </c>
    </row>
    <row r="12" spans="1:18" ht="15" customHeight="1">
      <c r="M12" s="61">
        <v>35</v>
      </c>
      <c r="N12" s="62">
        <v>0.25</v>
      </c>
      <c r="O12" s="63">
        <f t="shared" si="0"/>
        <v>41.293062765455403</v>
      </c>
      <c r="P12" s="63">
        <f t="shared" si="1"/>
        <v>87.495044968294053</v>
      </c>
      <c r="Q12" s="63">
        <f t="shared" si="2"/>
        <v>16.2</v>
      </c>
    </row>
    <row r="13" spans="1:18" ht="15" customHeight="1">
      <c r="A13" s="5" t="s">
        <v>353</v>
      </c>
      <c r="M13" s="61">
        <v>36</v>
      </c>
      <c r="N13" s="62">
        <v>0.25</v>
      </c>
      <c r="O13" s="63">
        <f t="shared" si="0"/>
        <v>41.293062765455403</v>
      </c>
      <c r="P13" s="63">
        <f t="shared" si="1"/>
        <v>87.495044968294053</v>
      </c>
      <c r="Q13" s="61">
        <f t="shared" si="2"/>
        <v>16.2</v>
      </c>
    </row>
    <row r="14" spans="1:18" ht="15" customHeight="1">
      <c r="A14" s="119" t="s">
        <v>354</v>
      </c>
      <c r="B14" s="307" t="s">
        <v>881</v>
      </c>
      <c r="C14" s="308" t="s">
        <v>882</v>
      </c>
      <c r="D14" s="48" t="s">
        <v>355</v>
      </c>
      <c r="E14" s="48" t="s">
        <v>356</v>
      </c>
      <c r="F14" s="48" t="s">
        <v>45</v>
      </c>
      <c r="G14" s="103" t="s">
        <v>357</v>
      </c>
      <c r="H14" s="298" t="s">
        <v>251</v>
      </c>
      <c r="M14" s="61">
        <v>37</v>
      </c>
      <c r="N14" s="62">
        <v>0.25</v>
      </c>
      <c r="O14" s="63">
        <f t="shared" si="0"/>
        <v>41.293062765455403</v>
      </c>
      <c r="P14" s="63">
        <f t="shared" si="1"/>
        <v>87.495044968294053</v>
      </c>
      <c r="Q14" s="61">
        <f t="shared" si="2"/>
        <v>16.2</v>
      </c>
    </row>
    <row r="15" spans="1:18" ht="15" customHeight="1">
      <c r="A15" s="120" t="s">
        <v>358</v>
      </c>
      <c r="B15" s="65">
        <v>100</v>
      </c>
      <c r="C15" s="296">
        <f>H15/1000*-1</f>
        <v>-4.7192071731949031E-2</v>
      </c>
      <c r="D15" s="65">
        <v>0.8</v>
      </c>
      <c r="E15" s="65">
        <v>0.02</v>
      </c>
      <c r="F15" s="65">
        <v>37.200000000000003</v>
      </c>
      <c r="G15" s="125" t="s">
        <v>622</v>
      </c>
      <c r="H15" s="297">
        <f>B15/2.119</f>
        <v>47.192071731949028</v>
      </c>
      <c r="M15" s="61">
        <v>38</v>
      </c>
      <c r="N15" s="62"/>
      <c r="O15" s="63"/>
      <c r="P15" s="63"/>
      <c r="Q15" s="61"/>
    </row>
    <row r="16" spans="1:18" ht="15" customHeight="1">
      <c r="A16" s="122" t="s">
        <v>359</v>
      </c>
      <c r="B16" s="66">
        <v>100</v>
      </c>
      <c r="C16" s="296">
        <f>H16/1000*-1</f>
        <v>-4.7192071731949031E-2</v>
      </c>
      <c r="D16" s="66">
        <v>0.9</v>
      </c>
      <c r="E16" s="66">
        <v>0.02</v>
      </c>
      <c r="F16" s="66">
        <v>36.700000000000003</v>
      </c>
      <c r="G16" s="125" t="s">
        <v>360</v>
      </c>
      <c r="H16" s="297">
        <f t="shared" ref="H16" si="5">B16/2.119</f>
        <v>47.192071731949028</v>
      </c>
      <c r="M16" s="61">
        <v>39</v>
      </c>
      <c r="N16" s="62"/>
      <c r="O16" s="63"/>
      <c r="P16" s="63"/>
      <c r="Q16" s="61"/>
    </row>
    <row r="17" spans="1:20" ht="15" customHeight="1">
      <c r="M17" s="61">
        <v>40</v>
      </c>
      <c r="N17" s="62">
        <v>0.25</v>
      </c>
      <c r="O17" s="63">
        <f>$H$10*(1+N17)</f>
        <v>41.293062765455403</v>
      </c>
      <c r="P17" s="63">
        <f>O17*10^-3/(0.3048^3)*60</f>
        <v>87.495044968294053</v>
      </c>
      <c r="Q17" s="61">
        <f>$F$41</f>
        <v>16.2</v>
      </c>
    </row>
    <row r="18" spans="1:20" ht="15" customHeight="1">
      <c r="M18" s="61">
        <v>41</v>
      </c>
      <c r="N18" s="62">
        <v>0.25</v>
      </c>
      <c r="O18" s="63">
        <f>$H$10*(1+N18)</f>
        <v>41.293062765455403</v>
      </c>
      <c r="P18" s="63">
        <f>O18*10^-3/(0.3048^3)*60</f>
        <v>87.495044968294053</v>
      </c>
      <c r="Q18" s="61">
        <f>$F$41</f>
        <v>16.2</v>
      </c>
    </row>
    <row r="19" spans="1:20" ht="15" customHeight="1">
      <c r="A19" s="119" t="s">
        <v>361</v>
      </c>
      <c r="B19" s="305" t="s">
        <v>881</v>
      </c>
      <c r="C19" s="306" t="s">
        <v>882</v>
      </c>
      <c r="D19" s="48" t="s">
        <v>355</v>
      </c>
      <c r="E19" s="48" t="s">
        <v>356</v>
      </c>
      <c r="F19" s="48" t="s">
        <v>45</v>
      </c>
      <c r="G19" s="48" t="s">
        <v>357</v>
      </c>
      <c r="H19" s="298" t="s">
        <v>251</v>
      </c>
      <c r="M19" s="61">
        <v>42</v>
      </c>
      <c r="N19" s="62"/>
      <c r="O19" s="63"/>
      <c r="P19" s="63"/>
      <c r="Q19" s="61"/>
    </row>
    <row r="20" spans="1:20" ht="15" customHeight="1">
      <c r="A20" s="120" t="s">
        <v>362</v>
      </c>
      <c r="B20" s="65">
        <v>50</v>
      </c>
      <c r="C20" s="296">
        <f>H20/1000*-1</f>
        <v>-2.3596035865974516E-2</v>
      </c>
      <c r="D20" s="65" t="s">
        <v>363</v>
      </c>
      <c r="E20" s="65">
        <v>0.25</v>
      </c>
      <c r="F20" s="65">
        <v>10.199999999999999</v>
      </c>
      <c r="G20" s="65" t="s">
        <v>364</v>
      </c>
      <c r="H20" s="297">
        <f>B20/2.119</f>
        <v>23.596035865974514</v>
      </c>
      <c r="I20" s="64"/>
      <c r="J20" s="64"/>
      <c r="K20" s="64"/>
      <c r="M20" s="61">
        <v>43</v>
      </c>
      <c r="N20" s="62"/>
      <c r="O20" s="63"/>
      <c r="P20" s="63"/>
      <c r="Q20" s="61"/>
    </row>
    <row r="21" spans="1:20" ht="15" customHeight="1">
      <c r="A21" s="122" t="s">
        <v>365</v>
      </c>
      <c r="B21" s="66">
        <v>50</v>
      </c>
      <c r="C21" s="296">
        <f>H21/1000*-1</f>
        <v>-2.3596035865974516E-2</v>
      </c>
      <c r="D21" s="66" t="s">
        <v>363</v>
      </c>
      <c r="E21" s="66">
        <v>0.25</v>
      </c>
      <c r="F21" s="66">
        <v>10.199999999999999</v>
      </c>
      <c r="G21" s="66" t="s">
        <v>366</v>
      </c>
      <c r="H21" s="297">
        <f t="shared" ref="H21:H25" si="6">B21/2.119</f>
        <v>23.596035865974514</v>
      </c>
      <c r="I21" s="64"/>
      <c r="J21" s="64"/>
      <c r="K21" s="64"/>
      <c r="M21" s="61">
        <v>44</v>
      </c>
      <c r="N21" s="62"/>
      <c r="O21" s="63"/>
      <c r="P21" s="63"/>
      <c r="Q21" s="61"/>
    </row>
    <row r="22" spans="1:20" ht="15" customHeight="1">
      <c r="A22" s="122" t="s">
        <v>367</v>
      </c>
      <c r="B22" s="15">
        <v>50</v>
      </c>
      <c r="C22" s="296">
        <f t="shared" ref="C22:C25" si="7">H22/1000*-1</f>
        <v>-2.3596035865974516E-2</v>
      </c>
      <c r="D22" s="15" t="s">
        <v>363</v>
      </c>
      <c r="E22" s="15">
        <v>0.25</v>
      </c>
      <c r="F22" s="15">
        <v>11.2</v>
      </c>
      <c r="G22" s="15" t="s">
        <v>364</v>
      </c>
      <c r="H22" s="297">
        <f t="shared" si="6"/>
        <v>23.596035865974514</v>
      </c>
      <c r="I22" s="64"/>
      <c r="J22" s="64"/>
      <c r="K22" s="64"/>
      <c r="M22" s="61">
        <v>45</v>
      </c>
      <c r="N22" s="62"/>
      <c r="O22" s="63"/>
      <c r="P22" s="63"/>
      <c r="Q22" s="61"/>
    </row>
    <row r="23" spans="1:20" ht="15" customHeight="1">
      <c r="A23" s="124" t="s">
        <v>368</v>
      </c>
      <c r="B23" s="15">
        <v>50</v>
      </c>
      <c r="C23" s="296">
        <f t="shared" si="7"/>
        <v>-2.3596035865974516E-2</v>
      </c>
      <c r="D23" s="3" t="s">
        <v>363</v>
      </c>
      <c r="E23" s="15">
        <v>0.1</v>
      </c>
      <c r="F23" s="15">
        <v>19.7</v>
      </c>
      <c r="G23" s="3" t="s">
        <v>369</v>
      </c>
      <c r="H23" s="297">
        <f t="shared" si="6"/>
        <v>23.596035865974514</v>
      </c>
      <c r="M23" s="61">
        <v>46</v>
      </c>
      <c r="N23" s="62"/>
      <c r="O23" s="63"/>
      <c r="P23" s="63"/>
      <c r="Q23" s="61"/>
    </row>
    <row r="24" spans="1:20" ht="15" customHeight="1">
      <c r="A24" s="122" t="s">
        <v>370</v>
      </c>
      <c r="B24" s="67">
        <v>50</v>
      </c>
      <c r="C24" s="296">
        <f t="shared" si="7"/>
        <v>-2.3596035865974516E-2</v>
      </c>
      <c r="D24" s="3" t="s">
        <v>363</v>
      </c>
      <c r="E24" s="15">
        <v>0.25</v>
      </c>
      <c r="F24" s="15">
        <v>11.8</v>
      </c>
      <c r="G24" s="3" t="s">
        <v>371</v>
      </c>
      <c r="H24" s="297">
        <f t="shared" si="6"/>
        <v>23.596035865974514</v>
      </c>
      <c r="M24" s="61">
        <v>47</v>
      </c>
      <c r="N24" s="62"/>
      <c r="O24" s="63"/>
      <c r="P24" s="63"/>
      <c r="Q24" s="61"/>
    </row>
    <row r="25" spans="1:20" ht="15" customHeight="1">
      <c r="A25" s="122" t="s">
        <v>621</v>
      </c>
      <c r="B25" s="15">
        <v>50</v>
      </c>
      <c r="C25" s="296">
        <f t="shared" si="7"/>
        <v>-2.3596035865974516E-2</v>
      </c>
      <c r="F25" s="15">
        <v>55</v>
      </c>
      <c r="G25" s="15" t="s">
        <v>620</v>
      </c>
      <c r="H25" s="297">
        <f t="shared" si="6"/>
        <v>23.596035865974514</v>
      </c>
      <c r="M25" s="61">
        <v>48</v>
      </c>
      <c r="N25" s="62"/>
      <c r="O25" s="63"/>
      <c r="P25" s="63"/>
      <c r="Q25" s="61"/>
    </row>
    <row r="26" spans="1:20" ht="15" customHeight="1">
      <c r="M26" s="61">
        <v>49</v>
      </c>
      <c r="N26" s="62"/>
      <c r="O26" s="63"/>
      <c r="P26" s="63"/>
      <c r="Q26" s="61"/>
      <c r="R26" s="193" t="s">
        <v>642</v>
      </c>
      <c r="S26" s="194" t="s">
        <v>643</v>
      </c>
      <c r="T26" s="193" t="s">
        <v>644</v>
      </c>
    </row>
    <row r="27" spans="1:20" ht="15" customHeight="1">
      <c r="A27" s="119" t="s">
        <v>372</v>
      </c>
      <c r="B27" s="304" t="s">
        <v>881</v>
      </c>
      <c r="C27" s="311" t="s">
        <v>882</v>
      </c>
      <c r="D27" s="48" t="s">
        <v>355</v>
      </c>
      <c r="E27" s="48" t="s">
        <v>356</v>
      </c>
      <c r="F27" s="48" t="s">
        <v>45</v>
      </c>
      <c r="G27" s="48" t="s">
        <v>357</v>
      </c>
      <c r="H27" s="298" t="s">
        <v>251</v>
      </c>
      <c r="M27" s="61">
        <v>50</v>
      </c>
      <c r="N27" s="62">
        <v>0.25</v>
      </c>
      <c r="O27" s="63">
        <f>$H$10*(1+N27)</f>
        <v>41.293062765455403</v>
      </c>
      <c r="P27" s="63">
        <f>O27*10^-3/(0.3048^3)*60</f>
        <v>87.495044968294053</v>
      </c>
      <c r="Q27" s="61">
        <f>$F$41</f>
        <v>16.2</v>
      </c>
      <c r="R27" s="192" t="s">
        <v>645</v>
      </c>
      <c r="S27" s="195" t="s">
        <v>646</v>
      </c>
      <c r="T27" s="192" t="s">
        <v>647</v>
      </c>
    </row>
    <row r="28" spans="1:20" ht="15" customHeight="1">
      <c r="A28" s="123" t="s">
        <v>373</v>
      </c>
      <c r="B28" s="68">
        <v>70</v>
      </c>
      <c r="C28" s="296">
        <f>H28/1000*-1</f>
        <v>-3.303445021236432E-2</v>
      </c>
      <c r="D28" s="68">
        <v>0.60000000000000009</v>
      </c>
      <c r="E28" s="68" t="s">
        <v>374</v>
      </c>
      <c r="F28" s="68">
        <v>19.399999999999999</v>
      </c>
      <c r="G28" s="68" t="s">
        <v>375</v>
      </c>
      <c r="H28" s="297">
        <f>B28/2.119</f>
        <v>33.03445021236432</v>
      </c>
      <c r="R28" s="192" t="s">
        <v>648</v>
      </c>
      <c r="S28" s="195" t="s">
        <v>649</v>
      </c>
      <c r="T28" s="192" t="s">
        <v>650</v>
      </c>
    </row>
    <row r="29" spans="1:20" ht="15" customHeight="1">
      <c r="A29" s="121" t="s">
        <v>376</v>
      </c>
      <c r="B29" s="69">
        <v>72</v>
      </c>
      <c r="C29" s="296">
        <f>H29/1000*-1</f>
        <v>-3.3978291647003306E-2</v>
      </c>
      <c r="D29" s="69">
        <v>0.64</v>
      </c>
      <c r="E29" s="69" t="s">
        <v>374</v>
      </c>
      <c r="F29" s="69">
        <v>20</v>
      </c>
      <c r="G29" s="69" t="s">
        <v>377</v>
      </c>
      <c r="H29" s="297">
        <f t="shared" ref="H29:H33" si="8">B29/2.119</f>
        <v>33.978291647003303</v>
      </c>
      <c r="R29" s="192" t="s">
        <v>651</v>
      </c>
      <c r="S29" s="195" t="s">
        <v>649</v>
      </c>
      <c r="T29" s="192" t="s">
        <v>650</v>
      </c>
    </row>
    <row r="30" spans="1:20" ht="15" customHeight="1">
      <c r="A30" s="121" t="s">
        <v>378</v>
      </c>
      <c r="B30" s="69">
        <v>68</v>
      </c>
      <c r="C30" s="296">
        <f t="shared" ref="C30:C33" si="9">H30/1000*-1</f>
        <v>-3.2090608777725335E-2</v>
      </c>
      <c r="D30" s="69">
        <v>0.9</v>
      </c>
      <c r="E30" s="69" t="s">
        <v>374</v>
      </c>
      <c r="F30" s="69">
        <v>28.3</v>
      </c>
      <c r="G30" s="69" t="s">
        <v>379</v>
      </c>
      <c r="H30" s="297">
        <f t="shared" si="8"/>
        <v>32.090608777725336</v>
      </c>
      <c r="R30" s="192" t="s">
        <v>652</v>
      </c>
      <c r="S30" s="195">
        <v>3</v>
      </c>
      <c r="T30" s="192" t="s">
        <v>650</v>
      </c>
    </row>
    <row r="31" spans="1:20" ht="15" customHeight="1">
      <c r="A31" s="121" t="s">
        <v>380</v>
      </c>
      <c r="B31" s="69">
        <v>70</v>
      </c>
      <c r="C31" s="296">
        <f t="shared" si="9"/>
        <v>-3.303445021236432E-2</v>
      </c>
      <c r="D31" s="69">
        <v>0.25</v>
      </c>
      <c r="E31" s="69" t="s">
        <v>374</v>
      </c>
      <c r="F31" s="69">
        <v>24.5</v>
      </c>
      <c r="G31" s="69" t="s">
        <v>381</v>
      </c>
      <c r="H31" s="297">
        <f t="shared" si="8"/>
        <v>33.03445021236432</v>
      </c>
      <c r="R31" s="192" t="s">
        <v>653</v>
      </c>
      <c r="S31" s="195"/>
      <c r="T31" s="192"/>
    </row>
    <row r="32" spans="1:20" ht="15" customHeight="1">
      <c r="A32" s="122" t="s">
        <v>382</v>
      </c>
      <c r="B32" s="3">
        <v>70</v>
      </c>
      <c r="C32" s="296">
        <f t="shared" si="9"/>
        <v>-3.303445021236432E-2</v>
      </c>
      <c r="D32" s="3">
        <v>0.30000000000000004</v>
      </c>
      <c r="E32" s="3">
        <v>0.25</v>
      </c>
      <c r="F32" s="3">
        <v>14</v>
      </c>
      <c r="G32" s="3" t="s">
        <v>383</v>
      </c>
      <c r="H32" s="297">
        <f t="shared" si="8"/>
        <v>33.03445021236432</v>
      </c>
      <c r="R32" s="192" t="s">
        <v>654</v>
      </c>
      <c r="S32" s="195" t="s">
        <v>655</v>
      </c>
      <c r="T32" s="192" t="s">
        <v>656</v>
      </c>
    </row>
    <row r="33" spans="1:20" ht="15" customHeight="1">
      <c r="A33" s="122" t="s">
        <v>382</v>
      </c>
      <c r="B33" s="15">
        <v>60</v>
      </c>
      <c r="C33" s="296">
        <f t="shared" si="9"/>
        <v>-2.8315243039169418E-2</v>
      </c>
      <c r="D33" s="15">
        <v>0.30000000000000004</v>
      </c>
      <c r="E33" s="15">
        <v>0.25</v>
      </c>
      <c r="F33" s="15">
        <v>11.8</v>
      </c>
      <c r="G33" s="3" t="s">
        <v>383</v>
      </c>
      <c r="H33" s="297">
        <f t="shared" si="8"/>
        <v>28.315243039169417</v>
      </c>
      <c r="R33" s="192" t="s">
        <v>657</v>
      </c>
      <c r="S33" s="195">
        <v>7</v>
      </c>
      <c r="T33" s="192" t="s">
        <v>658</v>
      </c>
    </row>
    <row r="34" spans="1:20" ht="15" customHeight="1">
      <c r="R34" s="192" t="s">
        <v>659</v>
      </c>
      <c r="S34" s="195">
        <v>8</v>
      </c>
      <c r="T34" s="192" t="s">
        <v>660</v>
      </c>
    </row>
    <row r="35" spans="1:20" ht="15" customHeight="1">
      <c r="A35" s="119" t="s">
        <v>384</v>
      </c>
      <c r="B35" s="301" t="s">
        <v>881</v>
      </c>
      <c r="C35" s="302" t="s">
        <v>882</v>
      </c>
      <c r="D35" s="48" t="s">
        <v>355</v>
      </c>
      <c r="E35" s="48" t="s">
        <v>356</v>
      </c>
      <c r="F35" s="48" t="s">
        <v>45</v>
      </c>
      <c r="G35" s="48" t="s">
        <v>357</v>
      </c>
      <c r="H35" s="298" t="s">
        <v>251</v>
      </c>
      <c r="R35" s="192" t="s">
        <v>661</v>
      </c>
      <c r="S35" s="195"/>
      <c r="T35" s="192"/>
    </row>
    <row r="36" spans="1:20" ht="15" customHeight="1">
      <c r="A36" s="120" t="s">
        <v>385</v>
      </c>
      <c r="B36" s="70">
        <v>83</v>
      </c>
      <c r="C36" s="289">
        <f>H36/1000*-1</f>
        <v>-3.9169419537517687E-2</v>
      </c>
      <c r="D36" s="71">
        <v>0.30000000000000004</v>
      </c>
      <c r="E36" s="65">
        <v>0.25</v>
      </c>
      <c r="F36" s="65">
        <v>16.3</v>
      </c>
      <c r="G36" s="71" t="s">
        <v>386</v>
      </c>
      <c r="H36" s="297">
        <f>B36/2.119</f>
        <v>39.16941953751769</v>
      </c>
      <c r="R36" s="192" t="s">
        <v>662</v>
      </c>
      <c r="S36" s="195">
        <v>5</v>
      </c>
      <c r="T36" s="192" t="s">
        <v>663</v>
      </c>
    </row>
    <row r="37" spans="1:20" ht="15" customHeight="1">
      <c r="A37" s="121" t="s">
        <v>387</v>
      </c>
      <c r="B37" s="69">
        <v>80</v>
      </c>
      <c r="C37" s="289">
        <f t="shared" ref="C37:C43" si="10">H37/1000*-1</f>
        <v>-3.7753657385559219E-2</v>
      </c>
      <c r="D37" s="69">
        <v>0.7</v>
      </c>
      <c r="E37" s="69" t="s">
        <v>374</v>
      </c>
      <c r="F37" s="69">
        <v>23.6</v>
      </c>
      <c r="G37" s="69" t="s">
        <v>388</v>
      </c>
      <c r="H37" s="297">
        <f t="shared" ref="H37:H43" si="11">B37/2.119</f>
        <v>37.753657385559222</v>
      </c>
      <c r="R37" s="192" t="s">
        <v>664</v>
      </c>
      <c r="S37" s="195" t="s">
        <v>665</v>
      </c>
      <c r="T37" s="192" t="s">
        <v>650</v>
      </c>
    </row>
    <row r="38" spans="1:20" ht="15" customHeight="1">
      <c r="A38" s="121" t="s">
        <v>389</v>
      </c>
      <c r="B38" s="69">
        <v>80</v>
      </c>
      <c r="C38" s="289">
        <f t="shared" si="10"/>
        <v>-3.7753657385559219E-2</v>
      </c>
      <c r="D38" s="69">
        <v>1</v>
      </c>
      <c r="E38" s="69" t="s">
        <v>374</v>
      </c>
      <c r="F38" s="69">
        <v>27.2</v>
      </c>
      <c r="G38" s="69" t="s">
        <v>390</v>
      </c>
      <c r="H38" s="297">
        <f t="shared" si="11"/>
        <v>37.753657385559222</v>
      </c>
      <c r="R38" s="192" t="s">
        <v>666</v>
      </c>
      <c r="S38" s="195" t="s">
        <v>667</v>
      </c>
      <c r="T38" s="192" t="s">
        <v>650</v>
      </c>
    </row>
    <row r="39" spans="1:20" ht="15" customHeight="1">
      <c r="A39" s="122" t="s">
        <v>391</v>
      </c>
      <c r="B39" s="15">
        <v>83</v>
      </c>
      <c r="C39" s="289">
        <f t="shared" si="10"/>
        <v>-3.9169419537517687E-2</v>
      </c>
      <c r="D39" s="15">
        <v>0.7</v>
      </c>
      <c r="E39" s="3" t="s">
        <v>392</v>
      </c>
      <c r="F39" s="15">
        <v>24.11</v>
      </c>
      <c r="G39" s="3" t="s">
        <v>393</v>
      </c>
      <c r="H39" s="297">
        <f t="shared" si="11"/>
        <v>39.16941953751769</v>
      </c>
      <c r="R39" s="192" t="s">
        <v>668</v>
      </c>
      <c r="S39" s="195" t="s">
        <v>669</v>
      </c>
      <c r="T39" s="192" t="s">
        <v>656</v>
      </c>
    </row>
    <row r="40" spans="1:20" ht="15" customHeight="1">
      <c r="A40" s="122" t="s">
        <v>394</v>
      </c>
      <c r="B40" s="15">
        <v>80</v>
      </c>
      <c r="C40" s="289">
        <f t="shared" si="10"/>
        <v>-3.7753657385559219E-2</v>
      </c>
      <c r="D40" s="15">
        <v>0.8</v>
      </c>
      <c r="E40" s="3" t="s">
        <v>392</v>
      </c>
      <c r="F40" s="15">
        <v>28.6</v>
      </c>
      <c r="G40" s="3" t="s">
        <v>395</v>
      </c>
      <c r="H40" s="297">
        <f t="shared" si="11"/>
        <v>37.753657385559222</v>
      </c>
      <c r="R40" s="192" t="s">
        <v>670</v>
      </c>
      <c r="S40" s="195">
        <v>7</v>
      </c>
      <c r="T40" s="192" t="s">
        <v>656</v>
      </c>
    </row>
    <row r="41" spans="1:20" ht="15" customHeight="1">
      <c r="A41" s="122" t="s">
        <v>382</v>
      </c>
      <c r="B41" s="15">
        <v>80</v>
      </c>
      <c r="C41" s="289">
        <f t="shared" si="10"/>
        <v>-3.7753657385559219E-2</v>
      </c>
      <c r="D41" s="15">
        <v>0.30000000000000004</v>
      </c>
      <c r="E41" s="15">
        <v>0.25</v>
      </c>
      <c r="F41" s="15">
        <v>16.2</v>
      </c>
      <c r="G41" s="3" t="s">
        <v>396</v>
      </c>
      <c r="H41" s="297">
        <f t="shared" si="11"/>
        <v>37.753657385559222</v>
      </c>
      <c r="R41" s="192" t="s">
        <v>671</v>
      </c>
      <c r="S41" s="195" t="s">
        <v>672</v>
      </c>
      <c r="T41" s="192" t="s">
        <v>656</v>
      </c>
    </row>
    <row r="42" spans="1:20" ht="15" customHeight="1">
      <c r="A42" s="92" t="s">
        <v>854</v>
      </c>
      <c r="B42" s="282">
        <v>100</v>
      </c>
      <c r="C42" s="299">
        <f t="shared" si="10"/>
        <v>-4.7192071731949031E-2</v>
      </c>
      <c r="D42" s="282">
        <v>0.9</v>
      </c>
      <c r="E42" s="282">
        <v>0.25</v>
      </c>
      <c r="F42" s="282">
        <v>27.3</v>
      </c>
      <c r="G42" s="282" t="s">
        <v>855</v>
      </c>
      <c r="H42" s="297">
        <f t="shared" si="11"/>
        <v>47.192071731949028</v>
      </c>
      <c r="R42" s="192" t="s">
        <v>673</v>
      </c>
      <c r="S42" s="195">
        <v>4</v>
      </c>
      <c r="T42" s="192" t="s">
        <v>674</v>
      </c>
    </row>
    <row r="43" spans="1:20" ht="15" customHeight="1">
      <c r="A43" s="92" t="s">
        <v>852</v>
      </c>
      <c r="B43" s="282">
        <v>150</v>
      </c>
      <c r="C43" s="299">
        <f t="shared" si="10"/>
        <v>-7.0788107597923547E-2</v>
      </c>
      <c r="D43" s="282">
        <v>0.6</v>
      </c>
      <c r="E43" s="282">
        <v>0.25</v>
      </c>
      <c r="F43" s="282">
        <v>31.4</v>
      </c>
      <c r="G43" s="282" t="s">
        <v>853</v>
      </c>
      <c r="H43" s="297">
        <f t="shared" si="11"/>
        <v>70.788107597923542</v>
      </c>
      <c r="R43" s="192" t="s">
        <v>675</v>
      </c>
      <c r="S43" s="195">
        <v>4</v>
      </c>
      <c r="T43" s="192" t="s">
        <v>674</v>
      </c>
    </row>
    <row r="44" spans="1:20" ht="15" customHeight="1">
      <c r="R44" s="192" t="s">
        <v>676</v>
      </c>
      <c r="S44" s="195">
        <v>6</v>
      </c>
      <c r="T44" s="192" t="s">
        <v>650</v>
      </c>
    </row>
    <row r="45" spans="1:20" ht="15" customHeight="1">
      <c r="A45" s="119" t="s">
        <v>856</v>
      </c>
      <c r="B45" s="303" t="s">
        <v>881</v>
      </c>
      <c r="C45" s="311" t="s">
        <v>882</v>
      </c>
      <c r="D45" s="48" t="s">
        <v>857</v>
      </c>
      <c r="E45" s="48" t="s">
        <v>858</v>
      </c>
      <c r="F45" s="48" t="s">
        <v>45</v>
      </c>
      <c r="G45" s="48" t="s">
        <v>357</v>
      </c>
      <c r="H45" s="103" t="s">
        <v>251</v>
      </c>
      <c r="R45" s="192" t="s">
        <v>683</v>
      </c>
      <c r="S45" s="195"/>
      <c r="T45" s="192"/>
    </row>
    <row r="46" spans="1:20" ht="15" customHeight="1">
      <c r="A46" s="120" t="s">
        <v>859</v>
      </c>
      <c r="B46" s="283">
        <v>89</v>
      </c>
      <c r="C46" s="289">
        <f>H46/1000*-1</f>
        <v>-4.2000943841434636E-2</v>
      </c>
      <c r="D46" s="71">
        <v>73</v>
      </c>
      <c r="E46" s="65">
        <v>84</v>
      </c>
      <c r="F46" s="65">
        <v>89</v>
      </c>
      <c r="G46" s="71" t="s">
        <v>860</v>
      </c>
      <c r="H46" s="64">
        <f>B46/2.119</f>
        <v>42.000943841434633</v>
      </c>
      <c r="R46" s="192" t="s">
        <v>677</v>
      </c>
      <c r="S46" s="195" t="s">
        <v>678</v>
      </c>
      <c r="T46" s="192" t="s">
        <v>679</v>
      </c>
    </row>
    <row r="47" spans="1:20" ht="15" customHeight="1">
      <c r="A47" s="122" t="s">
        <v>861</v>
      </c>
      <c r="B47" s="15">
        <v>114</v>
      </c>
      <c r="C47" s="289">
        <f t="shared" ref="C47:C51" si="12">H47/1000*-1</f>
        <v>-5.3798961774421887E-2</v>
      </c>
      <c r="D47" s="15">
        <v>78</v>
      </c>
      <c r="E47" s="15">
        <v>86</v>
      </c>
      <c r="F47" s="15">
        <v>98</v>
      </c>
      <c r="G47" s="156" t="s">
        <v>862</v>
      </c>
      <c r="H47" s="64">
        <f t="shared" ref="H47:H48" si="13">B47/2.119</f>
        <v>53.79896177442189</v>
      </c>
      <c r="R47" s="192" t="s">
        <v>680</v>
      </c>
      <c r="S47" s="195" t="s">
        <v>504</v>
      </c>
      <c r="T47" s="192" t="s">
        <v>681</v>
      </c>
    </row>
    <row r="48" spans="1:20" ht="15" customHeight="1">
      <c r="A48" s="1" t="s">
        <v>863</v>
      </c>
      <c r="B48" s="15">
        <v>155</v>
      </c>
      <c r="C48" s="289">
        <f t="shared" si="12"/>
        <v>-7.3147711184520986E-2</v>
      </c>
      <c r="D48" s="15">
        <v>75</v>
      </c>
      <c r="E48" s="15">
        <v>82</v>
      </c>
      <c r="F48" s="15">
        <v>123</v>
      </c>
      <c r="G48" s="156" t="s">
        <v>864</v>
      </c>
      <c r="H48" s="64">
        <f t="shared" si="13"/>
        <v>73.147711184520986</v>
      </c>
      <c r="R48" s="192" t="s">
        <v>682</v>
      </c>
      <c r="S48" s="196"/>
      <c r="T48" s="192"/>
    </row>
    <row r="49" spans="1:9" ht="15" customHeight="1">
      <c r="A49" s="149" t="s">
        <v>865</v>
      </c>
      <c r="B49" s="284">
        <f>H49*2.119</f>
        <v>84.76</v>
      </c>
      <c r="C49" s="313">
        <f t="shared" si="12"/>
        <v>-0.04</v>
      </c>
      <c r="D49" s="282">
        <v>68</v>
      </c>
      <c r="E49" s="282">
        <v>75</v>
      </c>
      <c r="F49" s="282">
        <v>64</v>
      </c>
      <c r="G49" s="282" t="s">
        <v>866</v>
      </c>
      <c r="H49" s="284">
        <v>40</v>
      </c>
      <c r="I49" s="285">
        <v>1200</v>
      </c>
    </row>
    <row r="50" spans="1:9" ht="15" customHeight="1">
      <c r="A50" s="149" t="s">
        <v>867</v>
      </c>
      <c r="B50" s="284">
        <f>H50*2.119</f>
        <v>118.66400000000002</v>
      </c>
      <c r="C50" s="313">
        <f t="shared" si="12"/>
        <v>-5.6000000000000001E-2</v>
      </c>
      <c r="D50" s="282">
        <v>65</v>
      </c>
      <c r="E50" s="282">
        <v>75</v>
      </c>
      <c r="F50" s="282">
        <v>114</v>
      </c>
      <c r="G50" s="282" t="s">
        <v>866</v>
      </c>
      <c r="H50" s="284">
        <v>56</v>
      </c>
      <c r="I50" s="285">
        <v>2100</v>
      </c>
    </row>
    <row r="51" spans="1:9" ht="15" customHeight="1">
      <c r="A51" s="149" t="s">
        <v>868</v>
      </c>
      <c r="B51" s="284">
        <f>H51*2.119</f>
        <v>137.73500000000001</v>
      </c>
      <c r="C51" s="313">
        <f t="shared" si="12"/>
        <v>-6.5000000000000002E-2</v>
      </c>
      <c r="D51" s="282">
        <v>64</v>
      </c>
      <c r="E51" s="282">
        <v>72</v>
      </c>
      <c r="F51" s="282">
        <v>124</v>
      </c>
      <c r="G51" s="282" t="s">
        <v>866</v>
      </c>
      <c r="H51" s="284">
        <v>65</v>
      </c>
      <c r="I51" s="285">
        <v>2700</v>
      </c>
    </row>
  </sheetData>
  <hyperlinks>
    <hyperlink ref="G15" r:id="rId1"/>
    <hyperlink ref="G16" r:id="rId2"/>
  </hyperlinks>
  <pageMargins left="0.7" right="0.7" top="0.75" bottom="0.75" header="0.51180555555555551" footer="0.51180555555555551"/>
  <pageSetup firstPageNumber="0" orientation="portrait" horizontalDpi="300" verticalDpi="300" r:id="rId3"/>
  <headerFooter alignWithMargins="0"/>
  <legacyDrawing r:id="rId4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S23"/>
  <sheetViews>
    <sheetView workbookViewId="0">
      <selection activeCell="H27" sqref="H27"/>
    </sheetView>
  </sheetViews>
  <sheetFormatPr defaultColWidth="8.7109375" defaultRowHeight="15" customHeight="1"/>
  <cols>
    <col min="1" max="1" width="13.140625" style="7" customWidth="1"/>
    <col min="2" max="3" width="8.7109375" style="7"/>
    <col min="4" max="4" width="9.7109375" style="7" customWidth="1"/>
    <col min="5" max="8" width="8.7109375" style="7"/>
    <col min="9" max="9" width="8.7109375" style="7" customWidth="1"/>
    <col min="10" max="10" width="8.7109375" style="7"/>
    <col min="11" max="11" width="8.7109375" style="7" customWidth="1"/>
    <col min="12" max="14" width="8.7109375" style="7"/>
    <col min="15" max="16" width="10.140625" style="7" bestFit="1" customWidth="1"/>
    <col min="17" max="17" width="12.140625" style="7" bestFit="1" customWidth="1"/>
    <col min="18" max="18" width="12.85546875" style="7" bestFit="1" customWidth="1"/>
    <col min="19" max="19" width="11.7109375" style="7" customWidth="1"/>
    <col min="20" max="16384" width="8.7109375" style="7"/>
  </cols>
  <sheetData>
    <row r="1" spans="1:19" ht="45" customHeight="1">
      <c r="A1" s="5" t="s">
        <v>397</v>
      </c>
      <c r="B1" s="5"/>
      <c r="C1" s="5"/>
      <c r="D1" s="5"/>
      <c r="E1" s="5"/>
      <c r="G1" s="7" t="s">
        <v>753</v>
      </c>
      <c r="O1" s="418" t="s">
        <v>720</v>
      </c>
      <c r="P1" s="209" t="s">
        <v>759</v>
      </c>
      <c r="Q1" s="209" t="s">
        <v>761</v>
      </c>
      <c r="R1" s="204" t="s">
        <v>762</v>
      </c>
    </row>
    <row r="2" spans="1:19" ht="15" customHeight="1">
      <c r="A2" s="27" t="s">
        <v>692</v>
      </c>
      <c r="G2" s="72" t="s">
        <v>752</v>
      </c>
      <c r="O2" s="419"/>
      <c r="P2" s="210" t="s">
        <v>760</v>
      </c>
      <c r="Q2" s="210" t="s">
        <v>760</v>
      </c>
      <c r="R2" s="208" t="s">
        <v>763</v>
      </c>
    </row>
    <row r="3" spans="1:19" ht="15" customHeight="1">
      <c r="G3" s="7" t="s">
        <v>754</v>
      </c>
      <c r="O3" s="206">
        <v>2</v>
      </c>
      <c r="P3" s="211">
        <v>7.8</v>
      </c>
      <c r="Q3" s="211">
        <v>3.2</v>
      </c>
      <c r="R3" s="205" t="s">
        <v>764</v>
      </c>
    </row>
    <row r="4" spans="1:19" ht="15" customHeight="1">
      <c r="A4" s="130" t="s">
        <v>623</v>
      </c>
      <c r="B4" s="131" t="s">
        <v>341</v>
      </c>
      <c r="C4" s="131" t="s">
        <v>189</v>
      </c>
      <c r="D4" s="131" t="s">
        <v>398</v>
      </c>
      <c r="E4" s="131" t="s">
        <v>189</v>
      </c>
      <c r="G4" s="7" t="s">
        <v>592</v>
      </c>
      <c r="O4" s="206">
        <v>3</v>
      </c>
      <c r="P4" s="211">
        <v>12.1</v>
      </c>
      <c r="Q4" s="211">
        <v>3.6</v>
      </c>
      <c r="R4" s="205" t="s">
        <v>765</v>
      </c>
    </row>
    <row r="5" spans="1:19" ht="15" customHeight="1">
      <c r="A5" s="105" t="s">
        <v>399</v>
      </c>
      <c r="B5" s="198">
        <f>20000+15*Geometry!B8</f>
        <v>51500</v>
      </c>
      <c r="C5" s="7" t="s">
        <v>400</v>
      </c>
      <c r="D5" s="73">
        <f>B5*0.00029307107</f>
        <v>15.093160104999999</v>
      </c>
      <c r="E5" s="7" t="s">
        <v>401</v>
      </c>
      <c r="O5" s="206">
        <v>4</v>
      </c>
      <c r="P5" s="211">
        <v>13.8</v>
      </c>
      <c r="Q5" s="211">
        <v>4</v>
      </c>
      <c r="R5" s="205" t="s">
        <v>766</v>
      </c>
    </row>
    <row r="6" spans="1:19" ht="15" customHeight="1">
      <c r="D6" s="429">
        <f>D5*3600000/(3600*24)</f>
        <v>628.88167104166666</v>
      </c>
      <c r="E6" s="7" t="s">
        <v>45</v>
      </c>
      <c r="O6" s="207">
        <v>5</v>
      </c>
      <c r="P6" s="210">
        <v>14.7</v>
      </c>
      <c r="Q6" s="210">
        <v>4.4000000000000004</v>
      </c>
      <c r="R6" s="208" t="s">
        <v>767</v>
      </c>
    </row>
    <row r="7" spans="1:19" ht="15" customHeight="1">
      <c r="O7" s="203" t="s">
        <v>775</v>
      </c>
      <c r="P7" s="33"/>
      <c r="Q7" s="33"/>
      <c r="R7" s="33"/>
    </row>
    <row r="8" spans="1:19" s="182" customFormat="1" ht="15" customHeight="1">
      <c r="O8" s="203"/>
      <c r="P8" s="33"/>
      <c r="Q8" s="33"/>
      <c r="R8" s="33"/>
    </row>
    <row r="9" spans="1:19" ht="45" customHeight="1">
      <c r="O9" s="418" t="s">
        <v>768</v>
      </c>
      <c r="P9" s="420" t="s">
        <v>720</v>
      </c>
      <c r="Q9" s="209" t="s">
        <v>623</v>
      </c>
      <c r="R9" s="204" t="s">
        <v>770</v>
      </c>
      <c r="S9" s="204" t="s">
        <v>770</v>
      </c>
    </row>
    <row r="10" spans="1:19" ht="15" customHeight="1">
      <c r="A10" s="132" t="s">
        <v>624</v>
      </c>
      <c r="B10" s="133" t="s">
        <v>341</v>
      </c>
      <c r="C10" s="133" t="s">
        <v>189</v>
      </c>
      <c r="D10" s="133" t="s">
        <v>190</v>
      </c>
      <c r="E10" s="133" t="s">
        <v>189</v>
      </c>
      <c r="G10" s="7" t="s">
        <v>742</v>
      </c>
      <c r="O10" s="419"/>
      <c r="P10" s="421"/>
      <c r="Q10" s="210" t="s">
        <v>769</v>
      </c>
      <c r="R10" s="208" t="s">
        <v>760</v>
      </c>
      <c r="S10" s="208" t="s">
        <v>769</v>
      </c>
    </row>
    <row r="11" spans="1:19" ht="15" customHeight="1">
      <c r="A11" s="127" t="s">
        <v>399</v>
      </c>
      <c r="B11" s="91"/>
      <c r="C11" s="91"/>
      <c r="D11" s="91">
        <v>9.8000000000000007</v>
      </c>
      <c r="E11" s="91" t="s">
        <v>402</v>
      </c>
      <c r="G11" s="7" t="s">
        <v>736</v>
      </c>
      <c r="O11" s="206" t="s">
        <v>771</v>
      </c>
      <c r="P11" s="211">
        <v>4</v>
      </c>
      <c r="Q11" s="211">
        <v>464</v>
      </c>
      <c r="R11" s="205">
        <v>9.8000000000000007</v>
      </c>
      <c r="S11" s="205">
        <v>277</v>
      </c>
    </row>
    <row r="12" spans="1:19" ht="15" customHeight="1">
      <c r="A12" s="128"/>
      <c r="B12" s="91"/>
      <c r="C12" s="91"/>
      <c r="D12" s="428">
        <f>D11/(3600*24)</f>
        <v>1.1342592592592593E-4</v>
      </c>
      <c r="E12" s="91" t="s">
        <v>403</v>
      </c>
      <c r="G12" s="7" t="s">
        <v>737</v>
      </c>
      <c r="O12" s="206" t="s">
        <v>772</v>
      </c>
      <c r="P12" s="211">
        <v>4</v>
      </c>
      <c r="Q12" s="211">
        <v>628.9</v>
      </c>
      <c r="R12" s="205">
        <v>9.8000000000000007</v>
      </c>
      <c r="S12" s="205">
        <v>277</v>
      </c>
    </row>
    <row r="13" spans="1:19" ht="15" customHeight="1">
      <c r="G13" s="7" t="s">
        <v>738</v>
      </c>
      <c r="O13" s="212" t="s">
        <v>773</v>
      </c>
      <c r="P13" s="210">
        <v>5</v>
      </c>
      <c r="Q13" s="210">
        <v>738.8</v>
      </c>
      <c r="R13" s="208">
        <v>10.3</v>
      </c>
      <c r="S13" s="208">
        <v>291</v>
      </c>
    </row>
    <row r="14" spans="1:19" ht="15" customHeight="1">
      <c r="G14" s="7" t="s">
        <v>739</v>
      </c>
      <c r="O14" s="202" t="s">
        <v>774</v>
      </c>
    </row>
    <row r="15" spans="1:19" ht="15" customHeight="1">
      <c r="A15" s="5" t="s">
        <v>693</v>
      </c>
      <c r="G15" s="7" t="s">
        <v>740</v>
      </c>
    </row>
    <row r="16" spans="1:19" ht="15" customHeight="1">
      <c r="A16" s="27" t="s">
        <v>694</v>
      </c>
      <c r="G16" s="7" t="s">
        <v>741</v>
      </c>
      <c r="Q16" s="379" t="s">
        <v>991</v>
      </c>
      <c r="R16" s="379" t="s">
        <v>992</v>
      </c>
      <c r="S16" s="379" t="s">
        <v>993</v>
      </c>
    </row>
    <row r="17" spans="1:18" ht="15" customHeight="1">
      <c r="P17" s="379" t="s">
        <v>400</v>
      </c>
      <c r="Q17" s="427">
        <v>43316</v>
      </c>
      <c r="R17" s="427">
        <v>4687</v>
      </c>
    </row>
    <row r="18" spans="1:18" ht="15" customHeight="1">
      <c r="A18" s="130" t="s">
        <v>695</v>
      </c>
      <c r="B18" s="103" t="s">
        <v>45</v>
      </c>
      <c r="C18" s="103" t="s">
        <v>699</v>
      </c>
      <c r="P18" s="379" t="s">
        <v>45</v>
      </c>
      <c r="Q18" s="30">
        <f>(Q17/24)/3.412</f>
        <v>528.96639312231343</v>
      </c>
      <c r="R18" s="30">
        <f>(R17/24)/3.412</f>
        <v>57.236713559984366</v>
      </c>
    </row>
    <row r="19" spans="1:18" ht="15" customHeight="1">
      <c r="A19" s="116" t="s">
        <v>696</v>
      </c>
      <c r="B19" s="28">
        <f>136+2.2*A_houseSI+22*A23</f>
        <v>653.21204480000006</v>
      </c>
      <c r="C19" s="30">
        <f>B19/1000</f>
        <v>0.65321204480000006</v>
      </c>
      <c r="Q19" s="379" t="s">
        <v>994</v>
      </c>
    </row>
    <row r="20" spans="1:18" ht="15" customHeight="1">
      <c r="A20" s="116" t="s">
        <v>697</v>
      </c>
      <c r="B20" s="28">
        <f>20+0.22*A_houseSI+12*'Internal gains'!A23</f>
        <v>110.92120448</v>
      </c>
      <c r="C20" s="30">
        <f>B20/1000</f>
        <v>0.11092120447999999</v>
      </c>
    </row>
    <row r="22" spans="1:18" ht="15" customHeight="1">
      <c r="A22" s="103" t="s">
        <v>698</v>
      </c>
    </row>
    <row r="23" spans="1:18" ht="15" customHeight="1">
      <c r="A23" s="3">
        <v>4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firstPageNumber="0" orientation="portrait" horizontalDpi="300" verticalDpi="30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K31"/>
  <sheetViews>
    <sheetView workbookViewId="0">
      <selection activeCell="F27" sqref="F27"/>
    </sheetView>
  </sheetViews>
  <sheetFormatPr defaultRowHeight="15" customHeight="1"/>
  <cols>
    <col min="1" max="1" width="29" style="1" customWidth="1"/>
    <col min="2" max="2" width="7.7109375" style="1" customWidth="1"/>
    <col min="3" max="3" width="10.5703125" style="1" customWidth="1"/>
    <col min="4" max="4" width="7.140625" style="1" customWidth="1"/>
    <col min="5" max="5" width="8.85546875" style="1" customWidth="1"/>
    <col min="6" max="6" width="14.42578125" style="1" bestFit="1" customWidth="1"/>
    <col min="7" max="16384" width="9.140625" style="1"/>
  </cols>
  <sheetData>
    <row r="1" spans="1:7" ht="15" customHeight="1">
      <c r="A1" s="5" t="s">
        <v>404</v>
      </c>
      <c r="G1" s="5"/>
    </row>
    <row r="2" spans="1:7" ht="15" customHeight="1">
      <c r="A2" s="186" t="s">
        <v>710</v>
      </c>
    </row>
    <row r="3" spans="1:7" ht="15" customHeight="1">
      <c r="A3" s="27" t="s">
        <v>405</v>
      </c>
    </row>
    <row r="4" spans="1:7" ht="15" customHeight="1">
      <c r="A4" s="27" t="s">
        <v>406</v>
      </c>
    </row>
    <row r="5" spans="1:7" ht="15" customHeight="1">
      <c r="A5" s="27" t="s">
        <v>407</v>
      </c>
    </row>
    <row r="6" spans="1:7" ht="15" customHeight="1">
      <c r="A6" s="27" t="s">
        <v>408</v>
      </c>
    </row>
    <row r="7" spans="1:7" ht="15" customHeight="1">
      <c r="A7" s="27"/>
    </row>
    <row r="9" spans="1:7" ht="15" customHeight="1">
      <c r="A9" s="146"/>
      <c r="B9" s="131" t="s">
        <v>341</v>
      </c>
      <c r="C9" s="131" t="s">
        <v>189</v>
      </c>
      <c r="D9" s="131" t="s">
        <v>342</v>
      </c>
      <c r="E9" s="131" t="s">
        <v>189</v>
      </c>
      <c r="F9" s="131" t="s">
        <v>4</v>
      </c>
    </row>
    <row r="10" spans="1:7" ht="15" customHeight="1">
      <c r="A10" s="122" t="s">
        <v>409</v>
      </c>
      <c r="B10" s="31">
        <f>Geometry!B10/150</f>
        <v>7</v>
      </c>
      <c r="C10" s="1" t="s">
        <v>196</v>
      </c>
      <c r="D10" s="38">
        <f>B10*0.3048^2</f>
        <v>0.65032128</v>
      </c>
      <c r="E10" s="1" t="s">
        <v>197</v>
      </c>
      <c r="F10" s="27" t="s">
        <v>410</v>
      </c>
      <c r="G10" s="1" t="s">
        <v>1003</v>
      </c>
    </row>
    <row r="11" spans="1:7" ht="15" customHeight="1">
      <c r="A11" s="122" t="s">
        <v>411</v>
      </c>
      <c r="D11" s="38">
        <f>0.003*Geometry!D10</f>
        <v>0.29264457600000005</v>
      </c>
      <c r="E11" s="1" t="s">
        <v>197</v>
      </c>
      <c r="F11" s="27" t="s">
        <v>412</v>
      </c>
    </row>
    <row r="12" spans="1:7" ht="15" customHeight="1">
      <c r="A12" s="122" t="s">
        <v>413</v>
      </c>
      <c r="D12" s="38">
        <f>D10-D11</f>
        <v>0.35767670399999996</v>
      </c>
      <c r="E12" s="1" t="s">
        <v>197</v>
      </c>
      <c r="F12" s="27" t="s">
        <v>414</v>
      </c>
    </row>
    <row r="13" spans="1:7" ht="15" customHeight="1">
      <c r="A13" s="122" t="s">
        <v>415</v>
      </c>
      <c r="D13" s="1">
        <v>0.6</v>
      </c>
      <c r="F13"/>
    </row>
    <row r="14" spans="1:7" ht="15" customHeight="1">
      <c r="A14" s="135" t="s">
        <v>416</v>
      </c>
      <c r="B14" s="74"/>
      <c r="C14" s="74"/>
      <c r="D14" s="54">
        <f>D11*D13/(SQRT(1.2/2)*4^(0.65-0.5))</f>
        <v>0.18412260282716261</v>
      </c>
      <c r="E14" s="74" t="s">
        <v>801</v>
      </c>
    </row>
    <row r="17" spans="1:11" ht="15" customHeight="1">
      <c r="A17" s="130" t="s">
        <v>417</v>
      </c>
      <c r="B17" s="147"/>
      <c r="C17" s="147"/>
      <c r="D17" s="147"/>
      <c r="E17" s="147"/>
      <c r="F17" s="1" t="s">
        <v>4</v>
      </c>
    </row>
    <row r="18" spans="1:11" ht="15" customHeight="1">
      <c r="A18" s="122" t="s">
        <v>114</v>
      </c>
      <c r="C18" s="3"/>
      <c r="D18" s="44">
        <v>0.35</v>
      </c>
      <c r="E18" s="1" t="s">
        <v>17</v>
      </c>
      <c r="F18" s="7" t="s">
        <v>418</v>
      </c>
      <c r="K18" s="1" t="s">
        <v>593</v>
      </c>
    </row>
    <row r="19" spans="1:11" ht="15" customHeight="1">
      <c r="A19" s="122" t="s">
        <v>419</v>
      </c>
      <c r="C19" s="3"/>
      <c r="D19" s="44">
        <v>0.35</v>
      </c>
      <c r="E19" s="1" t="s">
        <v>17</v>
      </c>
      <c r="F19" s="7" t="s">
        <v>420</v>
      </c>
      <c r="K19" s="1" t="s">
        <v>594</v>
      </c>
    </row>
    <row r="20" spans="1:11" ht="15" customHeight="1">
      <c r="A20" s="122" t="s">
        <v>421</v>
      </c>
      <c r="C20" s="3"/>
      <c r="D20" s="44">
        <v>0.1</v>
      </c>
      <c r="E20" s="1" t="s">
        <v>17</v>
      </c>
      <c r="F20" s="7" t="s">
        <v>422</v>
      </c>
    </row>
    <row r="21" spans="1:11" ht="15" customHeight="1">
      <c r="A21" s="122" t="s">
        <v>423</v>
      </c>
      <c r="C21" s="3"/>
      <c r="D21" s="44">
        <v>0.1</v>
      </c>
      <c r="E21" s="1" t="s">
        <v>17</v>
      </c>
      <c r="F21" s="7" t="s">
        <v>424</v>
      </c>
    </row>
    <row r="22" spans="1:11" ht="15" customHeight="1">
      <c r="A22" s="122" t="s">
        <v>425</v>
      </c>
      <c r="C22" s="3"/>
      <c r="D22" s="44">
        <v>0.1</v>
      </c>
      <c r="E22" s="1" t="s">
        <v>17</v>
      </c>
      <c r="F22" s="7" t="s">
        <v>426</v>
      </c>
    </row>
    <row r="23" spans="1:11" ht="15" customHeight="1">
      <c r="A23" s="122" t="s">
        <v>427</v>
      </c>
      <c r="D23" s="1">
        <f>SUM(D18:D22)</f>
        <v>0.99999999999999989</v>
      </c>
    </row>
    <row r="25" spans="1:11" ht="15" customHeight="1">
      <c r="A25" s="130" t="s">
        <v>719</v>
      </c>
      <c r="B25" s="131"/>
      <c r="C25" s="131"/>
    </row>
    <row r="26" spans="1:11" ht="15" customHeight="1">
      <c r="A26" s="122" t="s">
        <v>597</v>
      </c>
      <c r="B26" s="27"/>
      <c r="C26" s="31">
        <f>W_houseSI/2</f>
        <v>4.5720000000000001</v>
      </c>
    </row>
    <row r="27" spans="1:11" ht="15" customHeight="1">
      <c r="A27" s="122" t="s">
        <v>598</v>
      </c>
      <c r="C27" s="31">
        <f>L_houseSI</f>
        <v>10.668000000000001</v>
      </c>
    </row>
    <row r="28" spans="1:11" ht="15" customHeight="1">
      <c r="A28" s="122" t="s">
        <v>599</v>
      </c>
      <c r="C28" s="38" t="e">
        <f>C26*Geometry!#REF!</f>
        <v>#REF!</v>
      </c>
    </row>
    <row r="29" spans="1:11" ht="15" customHeight="1">
      <c r="A29" s="122" t="s">
        <v>600</v>
      </c>
      <c r="C29" s="38" t="e">
        <f>SQRT(C26^2+Geometry!#REF!^2)*Attic!C27</f>
        <v>#REF!</v>
      </c>
    </row>
    <row r="30" spans="1:11" ht="15" customHeight="1">
      <c r="A30" s="122" t="s">
        <v>601</v>
      </c>
      <c r="B30" s="33"/>
      <c r="C30" s="197" t="e">
        <f>C28/(C28*2+C29*2)</f>
        <v>#REF!</v>
      </c>
    </row>
    <row r="31" spans="1:11" ht="15" customHeight="1">
      <c r="A31" s="122" t="s">
        <v>602</v>
      </c>
      <c r="C31" s="38" t="e">
        <f>C29/(2*(C28+C29))</f>
        <v>#REF!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AQ17"/>
  <sheetViews>
    <sheetView workbookViewId="0">
      <selection activeCell="G23" sqref="G22:G23"/>
    </sheetView>
  </sheetViews>
  <sheetFormatPr defaultColWidth="8.7109375" defaultRowHeight="15" customHeight="1"/>
  <cols>
    <col min="1" max="1" width="12" style="7" customWidth="1"/>
    <col min="2" max="2" width="7.5703125" style="7" bestFit="1" customWidth="1"/>
    <col min="3" max="3" width="3.42578125" style="7" bestFit="1" customWidth="1"/>
    <col min="4" max="4" width="7.140625" style="7" bestFit="1" customWidth="1"/>
    <col min="5" max="5" width="3.7109375" style="7" bestFit="1" customWidth="1"/>
    <col min="6" max="6" width="15" style="7" customWidth="1"/>
    <col min="7" max="7" width="15.28515625" style="7" bestFit="1" customWidth="1"/>
    <col min="8" max="8" width="10.28515625" style="7" bestFit="1" customWidth="1"/>
    <col min="9" max="9" width="8.42578125" style="7" bestFit="1" customWidth="1"/>
    <col min="10" max="24" width="4.5703125" style="7" bestFit="1" customWidth="1"/>
    <col min="25" max="25" width="8.7109375" style="7"/>
    <col min="26" max="26" width="13.28515625" style="7" customWidth="1"/>
    <col min="27" max="27" width="10.28515625" style="7" bestFit="1" customWidth="1"/>
    <col min="28" max="43" width="4.5703125" style="7" bestFit="1" customWidth="1"/>
    <col min="44" max="16384" width="8.7109375" style="7"/>
  </cols>
  <sheetData>
    <row r="1" spans="1:43" ht="15" customHeight="1">
      <c r="A1" s="5" t="s">
        <v>145</v>
      </c>
      <c r="G1" s="5" t="s">
        <v>428</v>
      </c>
    </row>
    <row r="2" spans="1:43" ht="15" customHeight="1">
      <c r="A2" s="27" t="s">
        <v>802</v>
      </c>
      <c r="G2" s="27" t="s">
        <v>429</v>
      </c>
    </row>
    <row r="4" spans="1:43" ht="15" customHeight="1">
      <c r="A4" s="130" t="s">
        <v>430</v>
      </c>
      <c r="B4" s="131" t="s">
        <v>341</v>
      </c>
      <c r="C4" s="131" t="s">
        <v>189</v>
      </c>
      <c r="D4" s="131" t="s">
        <v>342</v>
      </c>
      <c r="E4" s="131" t="s">
        <v>189</v>
      </c>
      <c r="G4" s="7" t="s">
        <v>433</v>
      </c>
      <c r="P4" s="30"/>
    </row>
    <row r="5" spans="1:43" ht="15" customHeight="1">
      <c r="A5" s="134" t="s">
        <v>432</v>
      </c>
      <c r="B5" s="7">
        <v>1</v>
      </c>
      <c r="C5" s="7" t="s">
        <v>17</v>
      </c>
      <c r="G5" s="379" t="s">
        <v>447</v>
      </c>
      <c r="H5" s="126"/>
      <c r="I5" s="126"/>
      <c r="J5" s="130" t="s">
        <v>431</v>
      </c>
      <c r="K5" s="126"/>
      <c r="P5" s="30"/>
    </row>
    <row r="6" spans="1:43" ht="15" customHeight="1">
      <c r="A6" s="116" t="s">
        <v>434</v>
      </c>
      <c r="B6" s="7">
        <v>0.65</v>
      </c>
      <c r="C6" s="7" t="s">
        <v>17</v>
      </c>
      <c r="G6" s="116">
        <v>4</v>
      </c>
      <c r="J6" s="30">
        <v>2.5000000000000001E-2</v>
      </c>
      <c r="K6" s="7" t="s">
        <v>193</v>
      </c>
      <c r="P6" s="30"/>
    </row>
    <row r="7" spans="1:43" ht="15" customHeight="1">
      <c r="A7" s="116" t="s">
        <v>435</v>
      </c>
      <c r="B7" s="7">
        <v>0.05</v>
      </c>
      <c r="C7" s="7" t="s">
        <v>17</v>
      </c>
      <c r="G7" s="116">
        <v>6</v>
      </c>
      <c r="J7" s="30">
        <f>J6*1.5</f>
        <v>3.7500000000000006E-2</v>
      </c>
      <c r="K7" s="7" t="s">
        <v>193</v>
      </c>
      <c r="P7" s="30"/>
    </row>
    <row r="8" spans="1:43" ht="15" customHeight="1">
      <c r="A8" s="116" t="s">
        <v>436</v>
      </c>
      <c r="B8" s="7">
        <v>0.1</v>
      </c>
      <c r="C8" s="7" t="s">
        <v>17</v>
      </c>
      <c r="G8" s="116">
        <v>8</v>
      </c>
      <c r="J8" s="30">
        <f>J6*2</f>
        <v>0.05</v>
      </c>
      <c r="K8" s="7" t="s">
        <v>193</v>
      </c>
      <c r="P8" s="30"/>
    </row>
    <row r="9" spans="1:43" ht="15" customHeight="1">
      <c r="A9" s="116" t="s">
        <v>437</v>
      </c>
      <c r="B9" s="7">
        <f>0.27*A_houseFT*IF(storeys=1,B5,B6)</f>
        <v>368.55</v>
      </c>
      <c r="C9" s="7" t="s">
        <v>703</v>
      </c>
      <c r="D9" s="30">
        <f>B9*0.3048^2</f>
        <v>34.239415392000005</v>
      </c>
      <c r="E9" s="7" t="s">
        <v>702</v>
      </c>
      <c r="G9" s="116">
        <v>1</v>
      </c>
      <c r="J9" s="30">
        <f>J6/4</f>
        <v>6.2500000000000003E-3</v>
      </c>
      <c r="K9" s="7" t="s">
        <v>193</v>
      </c>
      <c r="P9" s="30"/>
    </row>
    <row r="10" spans="1:43" ht="15" customHeight="1">
      <c r="A10" s="116" t="s">
        <v>438</v>
      </c>
      <c r="B10" s="7">
        <f>A_houseFT*IF(storeys=1,B7,B8)</f>
        <v>210</v>
      </c>
      <c r="C10" s="182" t="s">
        <v>703</v>
      </c>
      <c r="D10" s="30">
        <f>B10*0.3048^2</f>
        <v>19.5096384</v>
      </c>
      <c r="E10" s="182" t="s">
        <v>702</v>
      </c>
      <c r="P10" s="30"/>
    </row>
    <row r="11" spans="1:43" ht="15" customHeight="1">
      <c r="A11" s="36" t="s">
        <v>439</v>
      </c>
      <c r="G11" s="5" t="s">
        <v>306</v>
      </c>
      <c r="P11" s="30"/>
      <c r="Z11" s="5" t="s">
        <v>307</v>
      </c>
      <c r="AI11" s="30"/>
    </row>
    <row r="12" spans="1:43" ht="15" customHeight="1">
      <c r="A12" s="135" t="s">
        <v>440</v>
      </c>
      <c r="B12" s="75">
        <f>D12/(0.3048/12)</f>
        <v>9.8425196850393686</v>
      </c>
      <c r="C12" s="74" t="s">
        <v>276</v>
      </c>
      <c r="D12" s="74">
        <v>0.25</v>
      </c>
      <c r="E12" s="74" t="s">
        <v>193</v>
      </c>
      <c r="F12"/>
      <c r="G12" s="131" t="s">
        <v>441</v>
      </c>
      <c r="H12" s="104" t="s">
        <v>17</v>
      </c>
      <c r="I12" s="131">
        <v>1</v>
      </c>
      <c r="J12" s="131">
        <v>2</v>
      </c>
      <c r="K12" s="131">
        <v>3</v>
      </c>
      <c r="L12" s="131">
        <v>4</v>
      </c>
      <c r="M12" s="131">
        <v>5</v>
      </c>
      <c r="N12" s="131">
        <v>6</v>
      </c>
      <c r="O12" s="131">
        <v>7</v>
      </c>
      <c r="P12" s="131">
        <v>8</v>
      </c>
      <c r="Q12" s="131">
        <v>9</v>
      </c>
      <c r="R12" s="131">
        <v>10</v>
      </c>
      <c r="S12" s="131">
        <v>11</v>
      </c>
      <c r="T12" s="131">
        <v>12</v>
      </c>
      <c r="U12" s="131">
        <v>13</v>
      </c>
      <c r="V12" s="131">
        <v>14</v>
      </c>
      <c r="W12" s="131">
        <v>15</v>
      </c>
      <c r="X12" s="131">
        <v>16</v>
      </c>
      <c r="Z12" s="131" t="s">
        <v>441</v>
      </c>
      <c r="AA12" s="104" t="s">
        <v>17</v>
      </c>
      <c r="AB12" s="131">
        <v>1</v>
      </c>
      <c r="AC12" s="131">
        <v>2</v>
      </c>
      <c r="AD12" s="131">
        <v>3</v>
      </c>
      <c r="AE12" s="131">
        <v>4</v>
      </c>
      <c r="AF12" s="131">
        <v>5</v>
      </c>
      <c r="AG12" s="131">
        <v>6</v>
      </c>
      <c r="AH12" s="131">
        <v>7</v>
      </c>
      <c r="AI12" s="131">
        <v>8</v>
      </c>
      <c r="AJ12" s="131">
        <v>9</v>
      </c>
      <c r="AK12" s="131">
        <v>10</v>
      </c>
      <c r="AL12" s="131">
        <v>11</v>
      </c>
      <c r="AM12" s="131">
        <v>12</v>
      </c>
      <c r="AN12" s="131">
        <v>13</v>
      </c>
      <c r="AO12" s="131">
        <v>14</v>
      </c>
      <c r="AP12" s="131">
        <v>15</v>
      </c>
      <c r="AQ12" s="131">
        <v>16</v>
      </c>
    </row>
    <row r="13" spans="1:43" ht="15" customHeight="1">
      <c r="A13" s="135" t="s">
        <v>442</v>
      </c>
      <c r="B13" s="75">
        <f>D13/(0.3048/12)</f>
        <v>17.716535433070867</v>
      </c>
      <c r="C13" s="74" t="s">
        <v>276</v>
      </c>
      <c r="D13" s="74">
        <v>0.45</v>
      </c>
      <c r="E13" s="74" t="s">
        <v>193</v>
      </c>
      <c r="F13"/>
      <c r="G13" s="7" t="s">
        <v>22</v>
      </c>
      <c r="H13" s="105" t="s">
        <v>751</v>
      </c>
      <c r="I13" s="7">
        <v>8</v>
      </c>
      <c r="J13" s="7">
        <v>8</v>
      </c>
      <c r="K13" s="7">
        <v>8</v>
      </c>
      <c r="L13" s="7">
        <v>8</v>
      </c>
      <c r="M13" s="7">
        <v>8</v>
      </c>
      <c r="N13" s="7">
        <v>8</v>
      </c>
      <c r="O13" s="7">
        <v>8</v>
      </c>
      <c r="P13" s="7">
        <v>8</v>
      </c>
      <c r="Q13" s="7">
        <v>8</v>
      </c>
      <c r="R13" s="7">
        <v>8</v>
      </c>
      <c r="S13" s="7">
        <v>8</v>
      </c>
      <c r="T13" s="7">
        <v>8</v>
      </c>
      <c r="U13" s="7">
        <v>8</v>
      </c>
      <c r="V13" s="7">
        <v>8</v>
      </c>
      <c r="W13" s="7">
        <v>8</v>
      </c>
      <c r="X13" s="7">
        <v>8</v>
      </c>
      <c r="Z13" s="7" t="s">
        <v>22</v>
      </c>
      <c r="AA13" s="105" t="s">
        <v>751</v>
      </c>
      <c r="AB13" s="7">
        <v>8</v>
      </c>
      <c r="AC13" s="7">
        <f>AB13</f>
        <v>8</v>
      </c>
      <c r="AD13" s="7">
        <f t="shared" ref="AD13:AQ13" si="0">AC13</f>
        <v>8</v>
      </c>
      <c r="AE13" s="7">
        <f t="shared" si="0"/>
        <v>8</v>
      </c>
      <c r="AF13" s="7">
        <f t="shared" si="0"/>
        <v>8</v>
      </c>
      <c r="AG13" s="7">
        <f t="shared" si="0"/>
        <v>8</v>
      </c>
      <c r="AH13" s="7">
        <f t="shared" si="0"/>
        <v>8</v>
      </c>
      <c r="AI13" s="7">
        <f t="shared" si="0"/>
        <v>8</v>
      </c>
      <c r="AJ13" s="7">
        <f t="shared" si="0"/>
        <v>8</v>
      </c>
      <c r="AK13" s="7">
        <f t="shared" si="0"/>
        <v>8</v>
      </c>
      <c r="AL13" s="7">
        <f t="shared" si="0"/>
        <v>8</v>
      </c>
      <c r="AM13" s="7">
        <f t="shared" si="0"/>
        <v>8</v>
      </c>
      <c r="AN13" s="7">
        <f t="shared" si="0"/>
        <v>8</v>
      </c>
      <c r="AO13" s="7">
        <f t="shared" si="0"/>
        <v>8</v>
      </c>
      <c r="AP13" s="7">
        <f t="shared" si="0"/>
        <v>8</v>
      </c>
      <c r="AQ13" s="7">
        <f t="shared" si="0"/>
        <v>8</v>
      </c>
    </row>
    <row r="14" spans="1:43" ht="15" customHeight="1">
      <c r="A14" s="116" t="s">
        <v>443</v>
      </c>
      <c r="B14" s="28">
        <f>D14/(0.3048/12)</f>
        <v>30.921187535332606</v>
      </c>
      <c r="C14" s="7" t="s">
        <v>276</v>
      </c>
      <c r="D14" s="28">
        <f>PI()*D12</f>
        <v>0.78539816339744828</v>
      </c>
      <c r="E14" s="7" t="s">
        <v>193</v>
      </c>
      <c r="F14"/>
      <c r="G14" s="74" t="s">
        <v>431</v>
      </c>
      <c r="H14" s="108" t="s">
        <v>193</v>
      </c>
      <c r="I14" s="54">
        <f>VLOOKUP(I13,$G$6:$J$9,4,FALSE)</f>
        <v>0.05</v>
      </c>
      <c r="J14" s="369">
        <f t="shared" ref="J14:X14" si="1">VLOOKUP(J13,$G$6:$J$9,4,FALSE)</f>
        <v>0.05</v>
      </c>
      <c r="K14" s="369">
        <f t="shared" si="1"/>
        <v>0.05</v>
      </c>
      <c r="L14" s="369">
        <f t="shared" si="1"/>
        <v>0.05</v>
      </c>
      <c r="M14" s="369">
        <f t="shared" si="1"/>
        <v>0.05</v>
      </c>
      <c r="N14" s="369">
        <f t="shared" si="1"/>
        <v>0.05</v>
      </c>
      <c r="O14" s="369">
        <f t="shared" si="1"/>
        <v>0.05</v>
      </c>
      <c r="P14" s="369">
        <f t="shared" si="1"/>
        <v>0.05</v>
      </c>
      <c r="Q14" s="369">
        <f t="shared" si="1"/>
        <v>0.05</v>
      </c>
      <c r="R14" s="369">
        <f t="shared" si="1"/>
        <v>0.05</v>
      </c>
      <c r="S14" s="369">
        <f t="shared" si="1"/>
        <v>0.05</v>
      </c>
      <c r="T14" s="369">
        <f t="shared" si="1"/>
        <v>0.05</v>
      </c>
      <c r="U14" s="369">
        <f t="shared" si="1"/>
        <v>0.05</v>
      </c>
      <c r="V14" s="369">
        <f t="shared" si="1"/>
        <v>0.05</v>
      </c>
      <c r="W14" s="369">
        <f t="shared" si="1"/>
        <v>0.05</v>
      </c>
      <c r="X14" s="369">
        <f t="shared" si="1"/>
        <v>0.05</v>
      </c>
      <c r="Z14" s="74" t="s">
        <v>431</v>
      </c>
      <c r="AA14" s="108" t="s">
        <v>193</v>
      </c>
      <c r="AB14" s="369">
        <f>VLOOKUP(AB13,$G$6:$J$9,4,FALSE)</f>
        <v>0.05</v>
      </c>
      <c r="AC14" s="369">
        <f t="shared" ref="AC14:AQ14" si="2">VLOOKUP(AC13,$G$6:$J$9,4,FALSE)</f>
        <v>0.05</v>
      </c>
      <c r="AD14" s="369">
        <f t="shared" si="2"/>
        <v>0.05</v>
      </c>
      <c r="AE14" s="369">
        <f t="shared" si="2"/>
        <v>0.05</v>
      </c>
      <c r="AF14" s="369">
        <f t="shared" si="2"/>
        <v>0.05</v>
      </c>
      <c r="AG14" s="369">
        <f t="shared" si="2"/>
        <v>0.05</v>
      </c>
      <c r="AH14" s="369">
        <f t="shared" si="2"/>
        <v>0.05</v>
      </c>
      <c r="AI14" s="369">
        <f t="shared" si="2"/>
        <v>0.05</v>
      </c>
      <c r="AJ14" s="369">
        <f t="shared" si="2"/>
        <v>0.05</v>
      </c>
      <c r="AK14" s="369">
        <f t="shared" si="2"/>
        <v>0.05</v>
      </c>
      <c r="AL14" s="369">
        <f t="shared" si="2"/>
        <v>0.05</v>
      </c>
      <c r="AM14" s="369">
        <f t="shared" si="2"/>
        <v>0.05</v>
      </c>
      <c r="AN14" s="369">
        <f t="shared" si="2"/>
        <v>0.05</v>
      </c>
      <c r="AO14" s="369">
        <f t="shared" si="2"/>
        <v>0.05</v>
      </c>
      <c r="AP14" s="369">
        <f t="shared" si="2"/>
        <v>0.05</v>
      </c>
      <c r="AQ14" s="369">
        <f t="shared" si="2"/>
        <v>0.05</v>
      </c>
    </row>
    <row r="15" spans="1:43" ht="15" customHeight="1">
      <c r="A15" s="116" t="s">
        <v>444</v>
      </c>
      <c r="B15" s="28">
        <f>D15/(0.3048/12)</f>
        <v>55.658137563598693</v>
      </c>
      <c r="C15" s="7" t="s">
        <v>276</v>
      </c>
      <c r="D15" s="28">
        <f>PI()*D13</f>
        <v>1.4137166941154069</v>
      </c>
      <c r="E15" s="7" t="s">
        <v>193</v>
      </c>
      <c r="G15" s="7" t="s">
        <v>445</v>
      </c>
      <c r="H15" s="105" t="s">
        <v>17</v>
      </c>
      <c r="I15" s="7">
        <v>0.7</v>
      </c>
      <c r="J15" s="7">
        <v>0.7</v>
      </c>
      <c r="K15" s="7">
        <v>0.7</v>
      </c>
      <c r="L15" s="7">
        <v>0.7</v>
      </c>
      <c r="M15" s="7">
        <v>0.7</v>
      </c>
      <c r="N15" s="7">
        <v>0.7</v>
      </c>
      <c r="O15" s="7">
        <v>0.7</v>
      </c>
      <c r="P15" s="7">
        <v>0.7</v>
      </c>
      <c r="Q15" s="7">
        <v>0.7</v>
      </c>
      <c r="R15" s="7">
        <v>0.7</v>
      </c>
      <c r="S15" s="7">
        <v>0.7</v>
      </c>
      <c r="T15" s="7">
        <v>0.7</v>
      </c>
      <c r="U15" s="7">
        <v>0.7</v>
      </c>
      <c r="V15" s="7">
        <v>0.7</v>
      </c>
      <c r="W15" s="7">
        <v>0.7</v>
      </c>
      <c r="X15" s="7">
        <v>0.7</v>
      </c>
      <c r="Z15" s="7" t="s">
        <v>445</v>
      </c>
      <c r="AA15" s="105" t="s">
        <v>17</v>
      </c>
      <c r="AB15" s="7">
        <v>0.7</v>
      </c>
      <c r="AC15" s="7">
        <v>0.7</v>
      </c>
      <c r="AD15" s="7">
        <v>0.7</v>
      </c>
      <c r="AE15" s="7">
        <v>0.7</v>
      </c>
      <c r="AF15" s="7">
        <v>0.7</v>
      </c>
      <c r="AG15" s="7">
        <v>0.7</v>
      </c>
      <c r="AH15" s="7">
        <v>0.7</v>
      </c>
      <c r="AI15" s="7">
        <v>0.7</v>
      </c>
      <c r="AJ15" s="7">
        <v>0.7</v>
      </c>
      <c r="AK15" s="7">
        <v>0.7</v>
      </c>
      <c r="AL15" s="7">
        <v>0.7</v>
      </c>
      <c r="AM15" s="7">
        <v>0.7</v>
      </c>
      <c r="AN15" s="7">
        <v>0.7</v>
      </c>
      <c r="AO15" s="7">
        <v>0.7</v>
      </c>
      <c r="AP15" s="7">
        <v>0.7</v>
      </c>
      <c r="AQ15" s="7">
        <v>0.7</v>
      </c>
    </row>
    <row r="16" spans="1:43" ht="15" customHeight="1">
      <c r="A16" s="135" t="s">
        <v>446</v>
      </c>
      <c r="B16" s="75">
        <f>D16/0.3048</f>
        <v>143.02814194786157</v>
      </c>
      <c r="C16" s="74" t="s">
        <v>192</v>
      </c>
      <c r="D16" s="75">
        <f>D9/D14</f>
        <v>43.594977665708207</v>
      </c>
      <c r="E16" s="74" t="s">
        <v>193</v>
      </c>
      <c r="G16" s="74" t="s">
        <v>447</v>
      </c>
      <c r="H16" s="108" t="s">
        <v>750</v>
      </c>
      <c r="I16" s="54">
        <f t="shared" ref="I16:X16" si="3">(I13+I15)/5.678</f>
        <v>1.5322296583303978</v>
      </c>
      <c r="J16" s="54">
        <f t="shared" si="3"/>
        <v>1.5322296583303978</v>
      </c>
      <c r="K16" s="54">
        <f t="shared" si="3"/>
        <v>1.5322296583303978</v>
      </c>
      <c r="L16" s="54">
        <f t="shared" si="3"/>
        <v>1.5322296583303978</v>
      </c>
      <c r="M16" s="54">
        <f t="shared" si="3"/>
        <v>1.5322296583303978</v>
      </c>
      <c r="N16" s="54">
        <f t="shared" si="3"/>
        <v>1.5322296583303978</v>
      </c>
      <c r="O16" s="54">
        <f t="shared" si="3"/>
        <v>1.5322296583303978</v>
      </c>
      <c r="P16" s="54">
        <f t="shared" si="3"/>
        <v>1.5322296583303978</v>
      </c>
      <c r="Q16" s="54">
        <f t="shared" si="3"/>
        <v>1.5322296583303978</v>
      </c>
      <c r="R16" s="54">
        <f t="shared" si="3"/>
        <v>1.5322296583303978</v>
      </c>
      <c r="S16" s="54">
        <f t="shared" si="3"/>
        <v>1.5322296583303978</v>
      </c>
      <c r="T16" s="54">
        <f t="shared" si="3"/>
        <v>1.5322296583303978</v>
      </c>
      <c r="U16" s="54">
        <f t="shared" si="3"/>
        <v>1.5322296583303978</v>
      </c>
      <c r="V16" s="54">
        <f t="shared" si="3"/>
        <v>1.5322296583303978</v>
      </c>
      <c r="W16" s="54">
        <f t="shared" si="3"/>
        <v>1.5322296583303978</v>
      </c>
      <c r="X16" s="54">
        <f t="shared" si="3"/>
        <v>1.5322296583303978</v>
      </c>
      <c r="Z16" s="74" t="s">
        <v>447</v>
      </c>
      <c r="AA16" s="108" t="s">
        <v>750</v>
      </c>
      <c r="AB16" s="54">
        <f t="shared" ref="AB16:AQ16" si="4">(AB13+AB15)/5.678</f>
        <v>1.5322296583303978</v>
      </c>
      <c r="AC16" s="54">
        <f t="shared" si="4"/>
        <v>1.5322296583303978</v>
      </c>
      <c r="AD16" s="54">
        <f t="shared" si="4"/>
        <v>1.5322296583303978</v>
      </c>
      <c r="AE16" s="54">
        <f t="shared" si="4"/>
        <v>1.5322296583303978</v>
      </c>
      <c r="AF16" s="54">
        <f t="shared" si="4"/>
        <v>1.5322296583303978</v>
      </c>
      <c r="AG16" s="54">
        <f t="shared" si="4"/>
        <v>1.5322296583303978</v>
      </c>
      <c r="AH16" s="54">
        <f t="shared" si="4"/>
        <v>1.5322296583303978</v>
      </c>
      <c r="AI16" s="54">
        <f t="shared" si="4"/>
        <v>1.5322296583303978</v>
      </c>
      <c r="AJ16" s="54">
        <f t="shared" si="4"/>
        <v>1.5322296583303978</v>
      </c>
      <c r="AK16" s="54">
        <f t="shared" si="4"/>
        <v>1.5322296583303978</v>
      </c>
      <c r="AL16" s="54">
        <f t="shared" si="4"/>
        <v>1.5322296583303978</v>
      </c>
      <c r="AM16" s="54">
        <f t="shared" si="4"/>
        <v>1.5322296583303978</v>
      </c>
      <c r="AN16" s="54">
        <f t="shared" si="4"/>
        <v>1.5322296583303978</v>
      </c>
      <c r="AO16" s="54">
        <f t="shared" si="4"/>
        <v>1.5322296583303978</v>
      </c>
      <c r="AP16" s="54">
        <f t="shared" si="4"/>
        <v>1.5322296583303978</v>
      </c>
      <c r="AQ16" s="54">
        <f t="shared" si="4"/>
        <v>1.5322296583303978</v>
      </c>
    </row>
    <row r="17" spans="1:5" ht="15" customHeight="1">
      <c r="A17" s="135" t="s">
        <v>448</v>
      </c>
      <c r="B17" s="75">
        <f>D17/0.3048</f>
        <v>45.276398210782382</v>
      </c>
      <c r="C17" s="74" t="s">
        <v>192</v>
      </c>
      <c r="D17" s="75">
        <f>D10/D15</f>
        <v>13.800246174646471</v>
      </c>
      <c r="E17" s="74" t="s">
        <v>193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AD70"/>
  <sheetViews>
    <sheetView zoomScale="85" zoomScaleNormal="85" workbookViewId="0">
      <selection activeCell="F5" sqref="F5"/>
    </sheetView>
  </sheetViews>
  <sheetFormatPr defaultColWidth="8.7109375" defaultRowHeight="15" customHeight="1"/>
  <cols>
    <col min="1" max="1" width="18.42578125" style="7" customWidth="1"/>
    <col min="2" max="2" width="12" style="7" bestFit="1" customWidth="1"/>
    <col min="3" max="3" width="6.7109375" style="7" bestFit="1" customWidth="1"/>
    <col min="4" max="4" width="6.5703125" style="7" bestFit="1" customWidth="1"/>
    <col min="5" max="5" width="8.42578125" style="7" bestFit="1" customWidth="1"/>
    <col min="6" max="7" width="6.5703125" style="7" bestFit="1" customWidth="1"/>
    <col min="8" max="8" width="10.42578125" style="7" bestFit="1" customWidth="1"/>
    <col min="9" max="9" width="15.42578125" style="7" bestFit="1" customWidth="1"/>
    <col min="10" max="10" width="14.140625" style="7" bestFit="1" customWidth="1"/>
    <col min="11" max="11" width="15.42578125" style="7" bestFit="1" customWidth="1"/>
    <col min="12" max="12" width="14.85546875" style="7" bestFit="1" customWidth="1"/>
    <col min="13" max="13" width="11.28515625" style="7" bestFit="1" customWidth="1"/>
    <col min="14" max="14" width="10" style="7" customWidth="1"/>
    <col min="15" max="15" width="8.85546875" style="7" bestFit="1" customWidth="1"/>
    <col min="16" max="16" width="7" style="7" bestFit="1" customWidth="1"/>
    <col min="17" max="17" width="11.85546875" style="7" bestFit="1" customWidth="1"/>
    <col min="18" max="18" width="9" style="7" bestFit="1" customWidth="1"/>
    <col min="19" max="19" width="19" style="7" customWidth="1"/>
    <col min="20" max="20" width="8.7109375" style="7"/>
    <col min="21" max="21" width="11.85546875" style="7" bestFit="1" customWidth="1"/>
    <col min="22" max="25" width="11.85546875" style="379" customWidth="1"/>
    <col min="26" max="26" width="8.42578125" style="7" customWidth="1"/>
    <col min="27" max="27" width="8" style="7" customWidth="1"/>
    <col min="28" max="28" width="13.42578125" style="7" customWidth="1"/>
    <col min="29" max="29" width="13.7109375" style="7" customWidth="1"/>
    <col min="30" max="30" width="20.85546875" style="7" customWidth="1"/>
    <col min="31" max="16384" width="8.7109375" style="7"/>
  </cols>
  <sheetData>
    <row r="1" spans="1:30" ht="15" customHeight="1">
      <c r="A1" s="95" t="s">
        <v>449</v>
      </c>
      <c r="Z1" s="137" t="s">
        <v>450</v>
      </c>
      <c r="AA1" s="138"/>
      <c r="AB1" s="139" t="s">
        <v>451</v>
      </c>
      <c r="AC1" s="139" t="s">
        <v>452</v>
      </c>
      <c r="AD1" s="138" t="s">
        <v>453</v>
      </c>
    </row>
    <row r="2" spans="1:30" ht="17.25" customHeight="1">
      <c r="A2" s="96" t="s">
        <v>454</v>
      </c>
      <c r="J2" s="7" t="s">
        <v>910</v>
      </c>
      <c r="Z2" s="140"/>
      <c r="AA2" s="141"/>
      <c r="AB2" s="142" t="s">
        <v>625</v>
      </c>
      <c r="AC2" s="142" t="s">
        <v>626</v>
      </c>
      <c r="AD2" s="141" t="s">
        <v>457</v>
      </c>
    </row>
    <row r="3" spans="1:30" ht="15" customHeight="1">
      <c r="A3" s="5" t="s">
        <v>458</v>
      </c>
      <c r="J3" s="7" t="s">
        <v>911</v>
      </c>
      <c r="N3" s="7" t="s">
        <v>913</v>
      </c>
      <c r="P3" s="76"/>
      <c r="Q3" s="76"/>
      <c r="R3" s="76"/>
      <c r="S3" s="76"/>
      <c r="Z3" s="137" t="s">
        <v>459</v>
      </c>
      <c r="AA3" s="138" t="s">
        <v>460</v>
      </c>
      <c r="AB3" s="136">
        <v>2.2000000000000002</v>
      </c>
      <c r="AC3" s="136">
        <v>45.8</v>
      </c>
      <c r="AD3" s="134">
        <v>4.9000000000000004</v>
      </c>
    </row>
    <row r="4" spans="1:30" ht="15" customHeight="1">
      <c r="A4" s="27" t="s">
        <v>461</v>
      </c>
      <c r="I4" s="77"/>
      <c r="J4" s="77" t="s">
        <v>912</v>
      </c>
      <c r="K4" s="77"/>
      <c r="L4" s="77"/>
      <c r="M4" s="77"/>
      <c r="N4" s="77" t="s">
        <v>914</v>
      </c>
      <c r="O4" s="77"/>
      <c r="P4" s="77"/>
      <c r="Q4" s="77"/>
      <c r="R4" s="77"/>
      <c r="Z4" s="140"/>
      <c r="AA4" s="141" t="s">
        <v>462</v>
      </c>
      <c r="AB4" s="109">
        <v>5</v>
      </c>
      <c r="AC4" s="109">
        <v>113.2</v>
      </c>
      <c r="AD4" s="116">
        <v>7.5</v>
      </c>
    </row>
    <row r="5" spans="1:30" ht="15" customHeight="1">
      <c r="A5" s="27"/>
      <c r="I5" s="77"/>
      <c r="J5" s="77"/>
      <c r="K5" s="77"/>
      <c r="L5" s="77"/>
      <c r="M5" s="77"/>
      <c r="N5" s="77"/>
      <c r="O5" s="77"/>
      <c r="P5" s="77"/>
      <c r="Q5" s="78"/>
      <c r="R5" s="78"/>
      <c r="S5" s="29"/>
      <c r="Z5" s="140"/>
      <c r="AA5" s="141" t="s">
        <v>463</v>
      </c>
      <c r="AB5" s="109">
        <v>0.8</v>
      </c>
      <c r="AC5" s="109">
        <v>20.100000000000001</v>
      </c>
      <c r="AD5" s="116">
        <v>2.8</v>
      </c>
    </row>
    <row r="6" spans="1:30" ht="15" customHeight="1">
      <c r="D6" s="7" t="s">
        <v>4</v>
      </c>
      <c r="I6" s="77"/>
      <c r="J6" s="77" t="s">
        <v>915</v>
      </c>
      <c r="K6" s="77"/>
      <c r="L6" s="77"/>
      <c r="M6" s="79"/>
      <c r="N6" s="80"/>
      <c r="O6" s="77"/>
      <c r="P6" s="81"/>
      <c r="Q6" s="78"/>
      <c r="R6" s="78"/>
      <c r="S6" s="29"/>
      <c r="Z6" s="140"/>
      <c r="AA6" s="141" t="s">
        <v>464</v>
      </c>
      <c r="AB6" s="109">
        <v>0.7</v>
      </c>
      <c r="AC6" s="109">
        <v>16.899999999999999</v>
      </c>
      <c r="AD6" s="116">
        <v>1</v>
      </c>
    </row>
    <row r="7" spans="1:30" ht="15" customHeight="1">
      <c r="A7" s="91" t="s">
        <v>465</v>
      </c>
      <c r="B7" s="91">
        <v>13</v>
      </c>
      <c r="C7" s="91" t="s">
        <v>17</v>
      </c>
      <c r="D7" s="96" t="s">
        <v>466</v>
      </c>
      <c r="E7" s="91"/>
      <c r="F7" s="91"/>
      <c r="G7" s="91"/>
      <c r="H7" s="91"/>
      <c r="I7" s="77"/>
      <c r="J7" s="77"/>
      <c r="K7" s="77"/>
      <c r="L7" s="77"/>
      <c r="M7" s="79"/>
      <c r="N7" s="80"/>
      <c r="O7" s="77"/>
      <c r="P7" s="81"/>
      <c r="Q7" s="78"/>
      <c r="R7" s="78"/>
      <c r="S7" s="29"/>
      <c r="Z7" s="140"/>
      <c r="AA7" s="141" t="s">
        <v>467</v>
      </c>
      <c r="AB7" s="109">
        <v>31.9</v>
      </c>
      <c r="AC7" s="109">
        <v>37</v>
      </c>
      <c r="AD7" s="116">
        <v>19.8</v>
      </c>
    </row>
    <row r="8" spans="1:30" ht="15" customHeight="1">
      <c r="A8" s="74" t="s">
        <v>458</v>
      </c>
      <c r="B8" s="430">
        <v>11</v>
      </c>
      <c r="C8" s="74" t="s">
        <v>17</v>
      </c>
      <c r="D8" s="30" t="s">
        <v>468</v>
      </c>
      <c r="I8" s="77"/>
      <c r="J8" s="77"/>
      <c r="K8" s="77"/>
      <c r="L8" s="77"/>
      <c r="M8" s="79"/>
      <c r="N8" s="80"/>
      <c r="O8" s="77"/>
      <c r="P8" s="81"/>
      <c r="Q8" s="78"/>
      <c r="R8" s="78"/>
      <c r="S8" s="29"/>
      <c r="Z8" s="143"/>
      <c r="AA8" s="129"/>
      <c r="AB8" s="126"/>
      <c r="AC8" s="126"/>
      <c r="AD8" s="111"/>
    </row>
    <row r="9" spans="1:30" ht="15" customHeight="1">
      <c r="I9" s="77"/>
      <c r="J9" s="77"/>
      <c r="K9" s="77"/>
      <c r="L9" s="77"/>
      <c r="M9" s="79"/>
      <c r="N9" s="80"/>
      <c r="O9" s="77"/>
      <c r="P9" s="81"/>
      <c r="Q9" s="78"/>
      <c r="R9" s="78"/>
      <c r="S9" s="29"/>
      <c r="Z9" s="137" t="s">
        <v>627</v>
      </c>
      <c r="AA9" s="138" t="s">
        <v>460</v>
      </c>
      <c r="AB9" s="136">
        <v>2</v>
      </c>
      <c r="AC9" s="136">
        <v>32.6</v>
      </c>
      <c r="AD9" s="134">
        <v>6.5</v>
      </c>
    </row>
    <row r="10" spans="1:30" ht="15" customHeight="1">
      <c r="A10" s="27"/>
      <c r="I10" s="77"/>
      <c r="J10" s="77"/>
      <c r="K10" s="77"/>
      <c r="L10" s="77"/>
      <c r="M10" s="79"/>
      <c r="N10" s="80"/>
      <c r="O10" s="77"/>
      <c r="P10" s="81"/>
      <c r="Q10" s="78"/>
      <c r="R10" s="78"/>
      <c r="S10" s="29"/>
      <c r="Z10" s="140"/>
      <c r="AA10" s="141" t="s">
        <v>473</v>
      </c>
      <c r="AB10" s="109">
        <v>2.1</v>
      </c>
      <c r="AC10" s="109">
        <v>45.7</v>
      </c>
      <c r="AD10" s="116">
        <v>7.5</v>
      </c>
    </row>
    <row r="11" spans="1:30" ht="15" customHeight="1">
      <c r="A11" s="5" t="s">
        <v>469</v>
      </c>
      <c r="I11" s="77"/>
      <c r="J11" s="77"/>
      <c r="K11" s="77"/>
      <c r="L11" s="77"/>
      <c r="M11" s="79"/>
      <c r="N11" s="80"/>
      <c r="O11" s="77"/>
      <c r="P11" s="81"/>
      <c r="Q11" s="78"/>
      <c r="R11" s="78"/>
      <c r="S11" s="29"/>
      <c r="Z11" s="140"/>
      <c r="AA11" s="141" t="s">
        <v>475</v>
      </c>
      <c r="AB11" s="109">
        <v>1.8</v>
      </c>
      <c r="AC11" s="109">
        <v>24.2</v>
      </c>
      <c r="AD11" s="116">
        <v>4.4000000000000004</v>
      </c>
    </row>
    <row r="12" spans="1:30" ht="15" customHeight="1">
      <c r="A12" s="91" t="s">
        <v>470</v>
      </c>
      <c r="B12" s="429">
        <v>0.8</v>
      </c>
      <c r="Z12" s="140"/>
      <c r="AA12" s="141" t="s">
        <v>471</v>
      </c>
      <c r="AB12" s="109">
        <v>7.2</v>
      </c>
      <c r="AC12" s="109">
        <v>35.1</v>
      </c>
      <c r="AD12" s="116">
        <v>27.9</v>
      </c>
    </row>
    <row r="13" spans="1:30" ht="15" customHeight="1">
      <c r="S13" s="27" t="s">
        <v>4</v>
      </c>
      <c r="Z13" s="143"/>
      <c r="AA13" s="129"/>
      <c r="AB13" s="126"/>
      <c r="AC13" s="126"/>
      <c r="AD13" s="111"/>
    </row>
    <row r="14" spans="1:30" ht="15" customHeight="1">
      <c r="A14" s="131" t="s">
        <v>441</v>
      </c>
      <c r="B14" s="130"/>
      <c r="C14" s="336" t="s">
        <v>883</v>
      </c>
      <c r="D14" s="380" t="s">
        <v>824</v>
      </c>
      <c r="E14" s="380" t="s">
        <v>825</v>
      </c>
      <c r="F14" s="380" t="s">
        <v>826</v>
      </c>
      <c r="G14" s="380" t="s">
        <v>827</v>
      </c>
      <c r="H14" s="380" t="s">
        <v>828</v>
      </c>
      <c r="I14" s="380" t="s">
        <v>829</v>
      </c>
      <c r="J14" s="380" t="s">
        <v>830</v>
      </c>
      <c r="K14" s="380" t="s">
        <v>831</v>
      </c>
      <c r="L14" s="380" t="s">
        <v>832</v>
      </c>
      <c r="M14" s="380" t="s">
        <v>833</v>
      </c>
      <c r="N14" s="380" t="s">
        <v>834</v>
      </c>
      <c r="O14" s="380" t="s">
        <v>835</v>
      </c>
      <c r="P14" s="380">
        <v>7</v>
      </c>
      <c r="Q14" s="336">
        <v>8</v>
      </c>
      <c r="R14" s="131"/>
      <c r="Z14" s="137" t="s">
        <v>628</v>
      </c>
      <c r="AA14" s="138" t="s">
        <v>460</v>
      </c>
      <c r="AB14" s="136">
        <v>2.1</v>
      </c>
      <c r="AC14" s="136">
        <v>33</v>
      </c>
      <c r="AD14" s="134">
        <v>6.3</v>
      </c>
    </row>
    <row r="15" spans="1:30" ht="15" customHeight="1">
      <c r="A15" s="7" t="s">
        <v>472</v>
      </c>
      <c r="B15" s="122" t="s">
        <v>455</v>
      </c>
      <c r="C15" s="180">
        <f>K34</f>
        <v>2.7777777777777772</v>
      </c>
      <c r="D15" s="180">
        <f>K35</f>
        <v>1.607142857142857</v>
      </c>
      <c r="E15" s="386">
        <f>K36</f>
        <v>2.5595238095238093</v>
      </c>
      <c r="F15" s="386">
        <f>K37</f>
        <v>1.5476190476190474</v>
      </c>
      <c r="G15" s="386">
        <f>K38</f>
        <v>1.7857142857142856</v>
      </c>
      <c r="H15" s="386">
        <f>K39</f>
        <v>0.64682539682539686</v>
      </c>
      <c r="I15" s="386">
        <f>K40</f>
        <v>1.2857142857142856</v>
      </c>
      <c r="J15" s="386">
        <f>K41</f>
        <v>1.2857142857142856</v>
      </c>
      <c r="K15" s="386">
        <f>K42</f>
        <v>0.87301587301587302</v>
      </c>
      <c r="L15" s="386">
        <f>K43</f>
        <v>1.0476190476190474</v>
      </c>
      <c r="M15" s="386">
        <f>K44</f>
        <v>1.2063492063492063</v>
      </c>
      <c r="N15" s="386">
        <f>K45</f>
        <v>0.88888888888888884</v>
      </c>
      <c r="O15" s="386">
        <f>K46</f>
        <v>1.103174603174603</v>
      </c>
      <c r="P15" s="386">
        <f>K47</f>
        <v>0.80158730158730152</v>
      </c>
      <c r="Q15" s="386">
        <f>K48</f>
        <v>0.80158730158730152</v>
      </c>
      <c r="R15" s="386"/>
      <c r="Z15" s="140"/>
      <c r="AA15" s="141" t="s">
        <v>473</v>
      </c>
      <c r="AB15" s="109">
        <v>2.1</v>
      </c>
      <c r="AC15" s="109">
        <v>35.1</v>
      </c>
      <c r="AD15" s="116">
        <v>6.7</v>
      </c>
    </row>
    <row r="16" spans="1:30" ht="15" customHeight="1">
      <c r="A16" s="7" t="s">
        <v>474</v>
      </c>
      <c r="B16" s="122" t="s">
        <v>456</v>
      </c>
      <c r="C16" s="180">
        <f>M34</f>
        <v>23.8</v>
      </c>
      <c r="D16" s="180">
        <f>M35</f>
        <v>23.80952380952381</v>
      </c>
      <c r="E16" s="180">
        <f>M36</f>
        <v>23.80952380952381</v>
      </c>
      <c r="F16" s="180">
        <f>M37</f>
        <v>35.714285714285715</v>
      </c>
      <c r="G16" s="180">
        <f>M38</f>
        <v>23.80952380952381</v>
      </c>
      <c r="H16" s="180">
        <f>M39</f>
        <v>17.142857142857142</v>
      </c>
      <c r="I16" s="180">
        <f>M40</f>
        <v>23.80952380952381</v>
      </c>
      <c r="J16" s="180">
        <f>M41</f>
        <v>23.80952380952381</v>
      </c>
      <c r="K16" s="180">
        <f>M42</f>
        <v>23.80952380952381</v>
      </c>
      <c r="L16" s="180">
        <f>M43</f>
        <v>35.714285714285715</v>
      </c>
      <c r="M16" s="180">
        <f>M44</f>
        <v>35.714285714285715</v>
      </c>
      <c r="N16" s="180">
        <f>M45</f>
        <v>35.714285714285715</v>
      </c>
      <c r="O16" s="180">
        <f>M46</f>
        <v>47.61904761904762</v>
      </c>
      <c r="P16" s="180">
        <f>M47</f>
        <v>47.61904761904762</v>
      </c>
      <c r="Q16" s="180">
        <f>M48</f>
        <v>59.523809523809518</v>
      </c>
      <c r="R16" s="180">
        <f>P49</f>
        <v>0</v>
      </c>
      <c r="Z16" s="140"/>
      <c r="AA16" s="141" t="s">
        <v>475</v>
      </c>
      <c r="AB16" s="109">
        <v>1.9</v>
      </c>
      <c r="AC16" s="109">
        <v>31.9</v>
      </c>
      <c r="AD16" s="116">
        <v>5.6</v>
      </c>
    </row>
    <row r="17" spans="1:30" ht="15" customHeight="1">
      <c r="A17" s="7" t="s">
        <v>476</v>
      </c>
      <c r="B17" s="116" t="s">
        <v>477</v>
      </c>
      <c r="C17" s="180">
        <f>C15*A_houseFT/1000</f>
        <v>5.8333333333333321</v>
      </c>
      <c r="D17" s="180">
        <f t="shared" ref="D17:R17" si="0">D15*A_houseFT/1000</f>
        <v>3.3749999999999996</v>
      </c>
      <c r="E17" s="180">
        <f t="shared" si="0"/>
        <v>5.375</v>
      </c>
      <c r="F17" s="180">
        <f t="shared" si="0"/>
        <v>3.2499999999999996</v>
      </c>
      <c r="G17" s="180">
        <f t="shared" si="0"/>
        <v>3.7499999999999996</v>
      </c>
      <c r="H17" s="180">
        <f t="shared" si="0"/>
        <v>1.3583333333333334</v>
      </c>
      <c r="I17" s="180">
        <f t="shared" si="0"/>
        <v>2.6999999999999997</v>
      </c>
      <c r="J17" s="180">
        <f t="shared" si="0"/>
        <v>2.6999999999999997</v>
      </c>
      <c r="K17" s="180">
        <f t="shared" si="0"/>
        <v>1.8333333333333333</v>
      </c>
      <c r="L17" s="180">
        <f t="shared" si="0"/>
        <v>2.1999999999999997</v>
      </c>
      <c r="M17" s="180">
        <f t="shared" si="0"/>
        <v>2.5333333333333332</v>
      </c>
      <c r="N17" s="180">
        <f t="shared" si="0"/>
        <v>1.8666666666666665</v>
      </c>
      <c r="O17" s="180">
        <f t="shared" si="0"/>
        <v>2.3166666666666664</v>
      </c>
      <c r="P17" s="180">
        <f t="shared" si="0"/>
        <v>1.6833333333333333</v>
      </c>
      <c r="Q17" s="180">
        <f t="shared" si="0"/>
        <v>1.6833333333333333</v>
      </c>
      <c r="R17" s="180">
        <f t="shared" si="0"/>
        <v>0</v>
      </c>
      <c r="Z17" s="140"/>
      <c r="AA17" s="141" t="s">
        <v>471</v>
      </c>
      <c r="AB17" s="109">
        <v>5.2</v>
      </c>
      <c r="AC17" s="109">
        <v>5.4</v>
      </c>
      <c r="AD17" s="116">
        <v>10.199999999999999</v>
      </c>
    </row>
    <row r="18" spans="1:30" ht="15" customHeight="1">
      <c r="A18" s="74" t="s">
        <v>478</v>
      </c>
      <c r="B18" s="135" t="s">
        <v>477</v>
      </c>
      <c r="C18" s="74">
        <f>IF(AND(C17-ROUNDDOWN(C17,0)&gt;=0.25,C17-ROUNDDOWN(C17,0)&lt;0.75),ROUNDDOWN(C17,0)+0.5,ROUND(C17,0))</f>
        <v>6</v>
      </c>
      <c r="D18" s="74">
        <f>IF(AND(D17-ROUNDDOWN(D17,0)&gt;=0.25,D17-ROUNDDOWN(D17,0)&lt;0.75),ROUNDDOWN(D17,0)+0.5,ROUND(D17,0))</f>
        <v>3.5</v>
      </c>
      <c r="E18" s="74">
        <f t="shared" ref="E18:R18" si="1">IF(AND(E17-ROUNDDOWN(E17,0)&gt;=0.25,E17-ROUNDDOWN(E17,0)&lt;0.75),ROUNDDOWN(E17,0)+0.5,ROUND(E17,0))</f>
        <v>5.5</v>
      </c>
      <c r="F18" s="74">
        <f t="shared" si="1"/>
        <v>3.5</v>
      </c>
      <c r="G18" s="74">
        <f t="shared" si="1"/>
        <v>4</v>
      </c>
      <c r="H18" s="74">
        <f t="shared" si="1"/>
        <v>1.5</v>
      </c>
      <c r="I18" s="74">
        <f t="shared" si="1"/>
        <v>2.5</v>
      </c>
      <c r="J18" s="74">
        <f t="shared" si="1"/>
        <v>2.5</v>
      </c>
      <c r="K18" s="74">
        <f t="shared" si="1"/>
        <v>2</v>
      </c>
      <c r="L18" s="74">
        <f t="shared" si="1"/>
        <v>2</v>
      </c>
      <c r="M18" s="74">
        <f t="shared" si="1"/>
        <v>2.5</v>
      </c>
      <c r="N18" s="74">
        <f t="shared" si="1"/>
        <v>2</v>
      </c>
      <c r="O18" s="74">
        <f t="shared" si="1"/>
        <v>2.5</v>
      </c>
      <c r="P18" s="74">
        <f t="shared" si="1"/>
        <v>1.5</v>
      </c>
      <c r="Q18" s="74">
        <f t="shared" si="1"/>
        <v>1.5</v>
      </c>
      <c r="R18" s="74">
        <f t="shared" si="1"/>
        <v>0</v>
      </c>
      <c r="Z18" s="143"/>
      <c r="AA18" s="129"/>
      <c r="AB18" s="126"/>
      <c r="AC18" s="126"/>
      <c r="AD18" s="111"/>
    </row>
    <row r="19" spans="1:30" ht="15" customHeight="1">
      <c r="A19" s="74" t="s">
        <v>479</v>
      </c>
      <c r="B19" s="135" t="s">
        <v>480</v>
      </c>
      <c r="C19" s="74">
        <f>C18*12</f>
        <v>72</v>
      </c>
      <c r="D19" s="74">
        <f>D18*12</f>
        <v>42</v>
      </c>
      <c r="E19" s="74">
        <f t="shared" ref="E19:R19" si="2">E18*12</f>
        <v>66</v>
      </c>
      <c r="F19" s="74">
        <f t="shared" si="2"/>
        <v>42</v>
      </c>
      <c r="G19" s="74">
        <f t="shared" si="2"/>
        <v>48</v>
      </c>
      <c r="H19" s="74">
        <f t="shared" si="2"/>
        <v>18</v>
      </c>
      <c r="I19" s="74">
        <f t="shared" si="2"/>
        <v>30</v>
      </c>
      <c r="J19" s="74">
        <f t="shared" si="2"/>
        <v>30</v>
      </c>
      <c r="K19" s="74">
        <f t="shared" si="2"/>
        <v>24</v>
      </c>
      <c r="L19" s="74">
        <f t="shared" si="2"/>
        <v>24</v>
      </c>
      <c r="M19" s="74">
        <f t="shared" si="2"/>
        <v>30</v>
      </c>
      <c r="N19" s="74">
        <f t="shared" si="2"/>
        <v>24</v>
      </c>
      <c r="O19" s="74">
        <f t="shared" si="2"/>
        <v>30</v>
      </c>
      <c r="P19" s="74">
        <f t="shared" si="2"/>
        <v>18</v>
      </c>
      <c r="Q19" s="74">
        <f t="shared" si="2"/>
        <v>18</v>
      </c>
      <c r="R19" s="74">
        <f t="shared" si="2"/>
        <v>0</v>
      </c>
      <c r="S19" s="27"/>
      <c r="Z19" s="140" t="s">
        <v>629</v>
      </c>
      <c r="AA19" s="141" t="s">
        <v>460</v>
      </c>
      <c r="AB19" s="109">
        <v>1.8</v>
      </c>
      <c r="AC19" s="109">
        <v>39.299999999999997</v>
      </c>
      <c r="AD19" s="116">
        <v>4.5999999999999996</v>
      </c>
    </row>
    <row r="20" spans="1:30" ht="15" customHeight="1">
      <c r="A20" s="74" t="s">
        <v>481</v>
      </c>
      <c r="B20" s="135" t="s">
        <v>480</v>
      </c>
      <c r="C20" s="82">
        <f>C16*A_houseFT/1000</f>
        <v>49.98</v>
      </c>
      <c r="D20" s="82">
        <f t="shared" ref="D20:R20" si="3">D16*A_houseFT/1000</f>
        <v>50</v>
      </c>
      <c r="E20" s="82">
        <f t="shared" si="3"/>
        <v>50</v>
      </c>
      <c r="F20" s="82">
        <f t="shared" si="3"/>
        <v>75</v>
      </c>
      <c r="G20" s="82">
        <f t="shared" si="3"/>
        <v>50</v>
      </c>
      <c r="H20" s="82">
        <f t="shared" si="3"/>
        <v>36</v>
      </c>
      <c r="I20" s="82">
        <f t="shared" si="3"/>
        <v>50</v>
      </c>
      <c r="J20" s="82">
        <f t="shared" si="3"/>
        <v>50</v>
      </c>
      <c r="K20" s="82">
        <f t="shared" si="3"/>
        <v>50</v>
      </c>
      <c r="L20" s="82">
        <f t="shared" si="3"/>
        <v>75</v>
      </c>
      <c r="M20" s="82">
        <f t="shared" si="3"/>
        <v>75</v>
      </c>
      <c r="N20" s="82">
        <f t="shared" si="3"/>
        <v>75</v>
      </c>
      <c r="O20" s="82">
        <f t="shared" si="3"/>
        <v>100</v>
      </c>
      <c r="P20" s="82">
        <f t="shared" si="3"/>
        <v>100</v>
      </c>
      <c r="Q20" s="82">
        <f t="shared" si="3"/>
        <v>124.99999999999999</v>
      </c>
      <c r="R20" s="82">
        <f t="shared" si="3"/>
        <v>0</v>
      </c>
      <c r="S20" s="1"/>
      <c r="Z20" s="140"/>
      <c r="AA20" s="141" t="s">
        <v>462</v>
      </c>
      <c r="AB20" s="109">
        <v>2.6</v>
      </c>
      <c r="AC20" s="109">
        <v>56.3</v>
      </c>
      <c r="AD20" s="116">
        <v>6</v>
      </c>
    </row>
    <row r="21" spans="1:30" ht="15" customHeight="1">
      <c r="A21" s="74" t="s">
        <v>482</v>
      </c>
      <c r="B21" s="135" t="s">
        <v>483</v>
      </c>
      <c r="C21" s="54">
        <f>400*C17*0.3048^3/60</f>
        <v>1.1012107008000001</v>
      </c>
      <c r="D21" s="54">
        <f t="shared" ref="D21:R21" si="4">400*D17*0.3048^3/60</f>
        <v>0.63712904832000006</v>
      </c>
      <c r="E21" s="54">
        <f t="shared" si="4"/>
        <v>1.0146870028800001</v>
      </c>
      <c r="F21" s="54">
        <f t="shared" si="4"/>
        <v>0.61353167615999993</v>
      </c>
      <c r="G21" s="54">
        <f t="shared" si="4"/>
        <v>0.7079211648</v>
      </c>
      <c r="H21" s="54">
        <f t="shared" si="4"/>
        <v>0.25642477747200004</v>
      </c>
      <c r="I21" s="54">
        <f t="shared" si="4"/>
        <v>0.50970323865600009</v>
      </c>
      <c r="J21" s="54">
        <f t="shared" si="4"/>
        <v>0.50970323865600009</v>
      </c>
      <c r="K21" s="54">
        <f t="shared" si="4"/>
        <v>0.34609479168000001</v>
      </c>
      <c r="L21" s="54">
        <f t="shared" si="4"/>
        <v>0.41531375001600002</v>
      </c>
      <c r="M21" s="54">
        <f t="shared" si="4"/>
        <v>0.47824007577600003</v>
      </c>
      <c r="N21" s="54">
        <f t="shared" si="4"/>
        <v>0.35238742425600006</v>
      </c>
      <c r="O21" s="54">
        <f t="shared" si="4"/>
        <v>0.43733796403200004</v>
      </c>
      <c r="P21" s="54">
        <f t="shared" si="4"/>
        <v>0.31777794508800006</v>
      </c>
      <c r="Q21" s="54">
        <f t="shared" si="4"/>
        <v>0.31777794508800006</v>
      </c>
      <c r="R21" s="54">
        <f t="shared" si="4"/>
        <v>0</v>
      </c>
      <c r="S21" s="1" t="s">
        <v>484</v>
      </c>
      <c r="Z21" s="140"/>
      <c r="AA21" s="141" t="s">
        <v>463</v>
      </c>
      <c r="AB21" s="109">
        <v>0.8</v>
      </c>
      <c r="AC21" s="109">
        <v>20.100000000000001</v>
      </c>
      <c r="AD21" s="116">
        <v>3.2</v>
      </c>
    </row>
    <row r="22" spans="1:30" ht="15" customHeight="1">
      <c r="A22" s="74" t="s">
        <v>485</v>
      </c>
      <c r="B22" s="135" t="s">
        <v>483</v>
      </c>
      <c r="C22" s="54">
        <f>C20*16.8*0.3048^3/60</f>
        <v>0.39627727794708484</v>
      </c>
      <c r="D22" s="369">
        <f t="shared" ref="D22:R22" si="5">D20*16.8*0.3048^3/60</f>
        <v>0.3964358522880001</v>
      </c>
      <c r="E22" s="369">
        <f t="shared" si="5"/>
        <v>0.3964358522880001</v>
      </c>
      <c r="F22" s="369">
        <f t="shared" si="5"/>
        <v>0.59465377843200018</v>
      </c>
      <c r="G22" s="369">
        <f t="shared" si="5"/>
        <v>0.3964358522880001</v>
      </c>
      <c r="H22" s="369">
        <f t="shared" si="5"/>
        <v>0.28543381364736009</v>
      </c>
      <c r="I22" s="369">
        <f t="shared" si="5"/>
        <v>0.3964358522880001</v>
      </c>
      <c r="J22" s="369">
        <f t="shared" si="5"/>
        <v>0.3964358522880001</v>
      </c>
      <c r="K22" s="369">
        <f t="shared" si="5"/>
        <v>0.3964358522880001</v>
      </c>
      <c r="L22" s="369">
        <f t="shared" si="5"/>
        <v>0.59465377843200018</v>
      </c>
      <c r="M22" s="369">
        <f t="shared" si="5"/>
        <v>0.59465377843200018</v>
      </c>
      <c r="N22" s="369">
        <f t="shared" si="5"/>
        <v>0.59465377843200018</v>
      </c>
      <c r="O22" s="369">
        <f t="shared" si="5"/>
        <v>0.7928717045760002</v>
      </c>
      <c r="P22" s="369">
        <f t="shared" si="5"/>
        <v>0.7928717045760002</v>
      </c>
      <c r="Q22" s="369">
        <f t="shared" si="5"/>
        <v>0.99108963072000011</v>
      </c>
      <c r="R22" s="369">
        <f t="shared" si="5"/>
        <v>0</v>
      </c>
      <c r="S22" s="83" t="s">
        <v>486</v>
      </c>
      <c r="Z22" s="140"/>
      <c r="AA22" s="141" t="s">
        <v>471</v>
      </c>
      <c r="AB22" s="109">
        <v>33.6</v>
      </c>
      <c r="AC22" s="109">
        <v>31.1</v>
      </c>
      <c r="AD22" s="116">
        <v>13.7</v>
      </c>
    </row>
    <row r="23" spans="1:30" ht="15" customHeight="1">
      <c r="A23" s="74" t="s">
        <v>487</v>
      </c>
      <c r="B23" s="135" t="s">
        <v>45</v>
      </c>
      <c r="C23" s="82">
        <f>(0.5)*400*C17</f>
        <v>1166.6666666666665</v>
      </c>
      <c r="D23" s="82">
        <f t="shared" ref="D23:R23" si="6">(0.5)*400*D17</f>
        <v>674.99999999999989</v>
      </c>
      <c r="E23" s="82">
        <f t="shared" si="6"/>
        <v>1075</v>
      </c>
      <c r="F23" s="82">
        <f t="shared" si="6"/>
        <v>649.99999999999989</v>
      </c>
      <c r="G23" s="82">
        <f t="shared" si="6"/>
        <v>749.99999999999989</v>
      </c>
      <c r="H23" s="82">
        <f>(0.1)*400*H17</f>
        <v>54.333333333333336</v>
      </c>
      <c r="I23" s="82">
        <f t="shared" si="6"/>
        <v>540</v>
      </c>
      <c r="J23" s="82">
        <f t="shared" si="6"/>
        <v>540</v>
      </c>
      <c r="K23" s="82">
        <f t="shared" ref="K23:Q23" si="7">(0.1)*400*K17</f>
        <v>73.333333333333329</v>
      </c>
      <c r="L23" s="82">
        <f t="shared" si="7"/>
        <v>87.999999999999986</v>
      </c>
      <c r="M23" s="82">
        <f t="shared" si="7"/>
        <v>101.33333333333333</v>
      </c>
      <c r="N23" s="82">
        <f t="shared" si="7"/>
        <v>74.666666666666657</v>
      </c>
      <c r="O23" s="82">
        <f t="shared" si="7"/>
        <v>92.666666666666657</v>
      </c>
      <c r="P23" s="82">
        <f t="shared" si="7"/>
        <v>67.333333333333329</v>
      </c>
      <c r="Q23" s="82">
        <f t="shared" si="7"/>
        <v>67.333333333333329</v>
      </c>
      <c r="R23" s="82">
        <f t="shared" si="6"/>
        <v>0</v>
      </c>
      <c r="S23" s="1" t="s">
        <v>907</v>
      </c>
      <c r="Z23" s="140"/>
      <c r="AA23" s="141"/>
      <c r="AB23" s="109"/>
      <c r="AC23" s="109"/>
      <c r="AD23" s="116"/>
    </row>
    <row r="24" spans="1:30" ht="15" customHeight="1">
      <c r="A24" s="74" t="s">
        <v>488</v>
      </c>
      <c r="B24" s="135" t="s">
        <v>45</v>
      </c>
      <c r="C24" s="82">
        <f>(0.1)*C22*60/0.3048^3</f>
        <v>83.966400000000007</v>
      </c>
      <c r="D24" s="82">
        <f>(0.1)*D22*60/0.3048^3</f>
        <v>84.000000000000028</v>
      </c>
      <c r="E24" s="82">
        <f>(0.1)*E22*60/0.3048^3</f>
        <v>84.000000000000028</v>
      </c>
      <c r="F24" s="82">
        <f>(0.1)*F22*60/0.3048^3</f>
        <v>126.00000000000003</v>
      </c>
      <c r="G24" s="82">
        <f>(0.1)*G22*60/0.3048^3</f>
        <v>84.000000000000028</v>
      </c>
      <c r="H24" s="82">
        <f t="shared" ref="H24:R24" si="8">(0.5)*H22*60/0.3048^3</f>
        <v>302.40000000000003</v>
      </c>
      <c r="I24" s="82">
        <f>(0.1)*I22*60/0.3048^3</f>
        <v>84.000000000000028</v>
      </c>
      <c r="J24" s="82">
        <f>(0.1)*J22*60/0.3048^3</f>
        <v>84.000000000000028</v>
      </c>
      <c r="K24" s="82">
        <f t="shared" si="8"/>
        <v>420</v>
      </c>
      <c r="L24" s="82">
        <f t="shared" si="8"/>
        <v>630</v>
      </c>
      <c r="M24" s="82">
        <f t="shared" si="8"/>
        <v>630</v>
      </c>
      <c r="N24" s="82">
        <f t="shared" si="8"/>
        <v>630</v>
      </c>
      <c r="O24" s="82">
        <f t="shared" si="8"/>
        <v>840</v>
      </c>
      <c r="P24" s="82">
        <f t="shared" si="8"/>
        <v>840</v>
      </c>
      <c r="Q24" s="82">
        <f t="shared" si="8"/>
        <v>1050</v>
      </c>
      <c r="R24" s="82">
        <f t="shared" si="8"/>
        <v>0</v>
      </c>
      <c r="S24" s="1" t="s">
        <v>908</v>
      </c>
      <c r="Z24" s="137" t="s">
        <v>630</v>
      </c>
      <c r="AA24" s="138" t="s">
        <v>460</v>
      </c>
      <c r="AB24" s="136">
        <v>1.6</v>
      </c>
      <c r="AC24" s="136">
        <v>40.5</v>
      </c>
      <c r="AD24" s="134">
        <v>3.9</v>
      </c>
    </row>
    <row r="25" spans="1:30" ht="15" customHeight="1">
      <c r="A25" s="74" t="s">
        <v>489</v>
      </c>
      <c r="B25" s="135" t="s">
        <v>490</v>
      </c>
      <c r="C25" s="84">
        <f>C21*mainINPUT!$C$100/(25^mainINPUT!$C$108)</f>
        <v>4.7888107281846204E-3</v>
      </c>
      <c r="D25" s="84">
        <f>D21*mainINPUT!$C$100/(25^mainINPUT!$C$108)</f>
        <v>2.7706690641639583E-3</v>
      </c>
      <c r="E25" s="84">
        <f>E21*mainINPUT!$C$100/(25^mainINPUT!$C$108)</f>
        <v>4.4125470281129713E-3</v>
      </c>
      <c r="F25" s="84">
        <f>F21*mainINPUT!$C$100/(25^mainINPUT!$C$108)</f>
        <v>2.6680516914171447E-3</v>
      </c>
      <c r="G25" s="84">
        <f>G21*mainINPUT!$C$100/(25^mainINPUT!$C$108)</f>
        <v>3.0785211824043979E-3</v>
      </c>
      <c r="H25" s="84">
        <f>H21*mainINPUT!$C$100/(25^mainINPUT!$C$108)</f>
        <v>1.1151087838487043E-3</v>
      </c>
      <c r="I25" s="84">
        <f>I21*mainINPUT!$C$100/(25^mainINPUT!$C$108)</f>
        <v>2.2165352513311672E-3</v>
      </c>
      <c r="J25" s="84">
        <f>J21*mainINPUT!$C$100/(25^mainINPUT!$C$108)</f>
        <v>2.2165352513311672E-3</v>
      </c>
      <c r="K25" s="84">
        <f>K21*mainINPUT!$C$100/(25^mainINPUT!$C$108)</f>
        <v>1.5050548002865948E-3</v>
      </c>
      <c r="L25" s="84">
        <f>L21*mainINPUT!$C$100/(25^mainINPUT!$C$108)</f>
        <v>1.8060657603439138E-3</v>
      </c>
      <c r="M25" s="84">
        <f>M21*mainINPUT!$C$100/(25^mainINPUT!$C$108)</f>
        <v>2.0797120876687491E-3</v>
      </c>
      <c r="N25" s="84">
        <f>N21*mainINPUT!$C$100/(25^mainINPUT!$C$108)</f>
        <v>1.5324194330190784E-3</v>
      </c>
      <c r="O25" s="84">
        <f>O21*mainINPUT!$C$100/(25^mainINPUT!$C$108)</f>
        <v>1.9018419749076063E-3</v>
      </c>
      <c r="P25" s="84">
        <f>P21*mainINPUT!$C$100/(25^mainINPUT!$C$108)</f>
        <v>1.381913952990419E-3</v>
      </c>
      <c r="Q25" s="84">
        <f>Q21*mainINPUT!$C$100/(25^mainINPUT!$C$108)</f>
        <v>1.381913952990419E-3</v>
      </c>
      <c r="R25" s="84">
        <f>R21*mainINPUT!$C$100/(25^mainINPUT!$C$108)</f>
        <v>0</v>
      </c>
      <c r="S25" s="1" t="s">
        <v>491</v>
      </c>
      <c r="Z25" s="140"/>
      <c r="AA25" s="141" t="s">
        <v>473</v>
      </c>
      <c r="AB25" s="109">
        <v>2</v>
      </c>
      <c r="AC25" s="109">
        <v>55.5</v>
      </c>
      <c r="AD25" s="116">
        <v>5</v>
      </c>
    </row>
    <row r="26" spans="1:30" ht="15" customHeight="1">
      <c r="A26" s="74" t="s">
        <v>492</v>
      </c>
      <c r="B26" s="135" t="s">
        <v>490</v>
      </c>
      <c r="C26" s="84">
        <f>C21*mainINPUT!$C$101/(25^mainINPUT!$C$109)</f>
        <v>4.7888107281846204E-3</v>
      </c>
      <c r="D26" s="84">
        <f>D21*mainINPUT!$C$101/(25^mainINPUT!$C$109)</f>
        <v>2.7706690641639583E-3</v>
      </c>
      <c r="E26" s="84">
        <f>E21*mainINPUT!$C$101/(25^mainINPUT!$C$109)</f>
        <v>4.4125470281129713E-3</v>
      </c>
      <c r="F26" s="84">
        <f>F21*mainINPUT!$C$101/(25^mainINPUT!$C$109)</f>
        <v>2.6680516914171447E-3</v>
      </c>
      <c r="G26" s="84">
        <f>G21*mainINPUT!$C$101/(25^mainINPUT!$C$109)</f>
        <v>3.0785211824043979E-3</v>
      </c>
      <c r="H26" s="84">
        <f>H21*mainINPUT!$C$101/(25^mainINPUT!$C$109)</f>
        <v>1.1151087838487043E-3</v>
      </c>
      <c r="I26" s="84">
        <f>I21*mainINPUT!$C$101/(25^mainINPUT!$C$109)</f>
        <v>2.2165352513311672E-3</v>
      </c>
      <c r="J26" s="84">
        <f>J21*mainINPUT!$C$101/(25^mainINPUT!$C$109)</f>
        <v>2.2165352513311672E-3</v>
      </c>
      <c r="K26" s="84">
        <f>K21*mainINPUT!$C$101/(25^mainINPUT!$C$109)</f>
        <v>1.5050548002865948E-3</v>
      </c>
      <c r="L26" s="84">
        <f>L21*mainINPUT!$C$101/(25^mainINPUT!$C$109)</f>
        <v>1.8060657603439138E-3</v>
      </c>
      <c r="M26" s="84">
        <f>M21*mainINPUT!$C$101/(25^mainINPUT!$C$109)</f>
        <v>2.0797120876687491E-3</v>
      </c>
      <c r="N26" s="84">
        <f>N21*mainINPUT!$C$101/(25^mainINPUT!$C$109)</f>
        <v>1.5324194330190784E-3</v>
      </c>
      <c r="O26" s="84">
        <f>O21*mainINPUT!$C$101/(25^mainINPUT!$C$109)</f>
        <v>1.9018419749076063E-3</v>
      </c>
      <c r="P26" s="84">
        <f>P21*mainINPUT!$C$101/(25^mainINPUT!$C$109)</f>
        <v>1.381913952990419E-3</v>
      </c>
      <c r="Q26" s="84">
        <f>Q21*mainINPUT!$C$101/(25^mainINPUT!$C$109)</f>
        <v>1.381913952990419E-3</v>
      </c>
      <c r="R26" s="84">
        <f>R21*mainINPUT!$C$101/(25^mainINPUT!$C$109)</f>
        <v>0</v>
      </c>
      <c r="S26" s="27"/>
      <c r="Z26" s="140"/>
      <c r="AA26" s="141" t="s">
        <v>475</v>
      </c>
      <c r="AB26" s="109">
        <v>1.1000000000000001</v>
      </c>
      <c r="AC26" s="109">
        <v>30.9</v>
      </c>
      <c r="AD26" s="116">
        <v>2.8</v>
      </c>
    </row>
    <row r="27" spans="1:30" ht="15" customHeight="1">
      <c r="S27" s="27"/>
      <c r="Z27" s="140"/>
      <c r="AA27" s="141" t="s">
        <v>471</v>
      </c>
      <c r="AB27" s="109">
        <v>22</v>
      </c>
      <c r="AC27" s="109">
        <v>21.2</v>
      </c>
      <c r="AD27" s="116">
        <v>20.9</v>
      </c>
    </row>
    <row r="28" spans="1:30" ht="15" customHeight="1">
      <c r="A28" s="27" t="s">
        <v>493</v>
      </c>
      <c r="S28" s="27"/>
      <c r="Z28" s="143"/>
      <c r="AA28" s="129"/>
      <c r="AB28" s="126"/>
      <c r="AC28" s="126"/>
      <c r="AD28" s="111"/>
    </row>
    <row r="29" spans="1:30" ht="15" customHeight="1">
      <c r="A29" s="85" t="s">
        <v>494</v>
      </c>
      <c r="Z29" s="137" t="s">
        <v>631</v>
      </c>
      <c r="AA29" s="138" t="s">
        <v>460</v>
      </c>
      <c r="AB29" s="136">
        <v>2.2999999999999998</v>
      </c>
      <c r="AC29" s="136">
        <v>46.6</v>
      </c>
      <c r="AD29" s="134">
        <v>5</v>
      </c>
    </row>
    <row r="30" spans="1:30" ht="15" customHeight="1">
      <c r="Z30" s="140"/>
      <c r="AA30" s="141" t="s">
        <v>473</v>
      </c>
      <c r="AB30" s="109">
        <v>2.6</v>
      </c>
      <c r="AC30" s="109">
        <v>58.7</v>
      </c>
      <c r="AD30" s="116">
        <v>6</v>
      </c>
    </row>
    <row r="31" spans="1:30" ht="15" customHeight="1">
      <c r="A31" s="186" t="s">
        <v>810</v>
      </c>
      <c r="Z31" s="140"/>
      <c r="AA31" s="141" t="s">
        <v>475</v>
      </c>
      <c r="AB31" s="109">
        <v>1.5</v>
      </c>
      <c r="AC31" s="109">
        <v>26.2</v>
      </c>
      <c r="AD31" s="116">
        <v>4</v>
      </c>
    </row>
    <row r="32" spans="1:30" ht="15" customHeight="1">
      <c r="B32" s="116"/>
      <c r="C32" s="246" t="s">
        <v>472</v>
      </c>
      <c r="D32" s="247"/>
      <c r="E32" s="261" t="s">
        <v>818</v>
      </c>
      <c r="F32" s="246" t="s">
        <v>474</v>
      </c>
      <c r="G32" s="247"/>
      <c r="H32" s="261" t="s">
        <v>818</v>
      </c>
      <c r="I32" s="246" t="s">
        <v>472</v>
      </c>
      <c r="J32" s="246"/>
      <c r="K32" s="247"/>
      <c r="L32" s="246" t="s">
        <v>474</v>
      </c>
      <c r="M32" s="252"/>
      <c r="T32" s="379"/>
      <c r="U32" s="379"/>
      <c r="Z32" s="143"/>
      <c r="AA32" s="129" t="s">
        <v>471</v>
      </c>
      <c r="AB32" s="126">
        <v>13.2</v>
      </c>
      <c r="AC32" s="126">
        <v>19.2</v>
      </c>
      <c r="AD32" s="111">
        <v>15.4</v>
      </c>
    </row>
    <row r="33" spans="1:30" ht="15" customHeight="1">
      <c r="A33" s="248" t="s">
        <v>803</v>
      </c>
      <c r="B33" s="382" t="s">
        <v>804</v>
      </c>
      <c r="C33" s="250" t="s">
        <v>699</v>
      </c>
      <c r="D33" s="251" t="s">
        <v>805</v>
      </c>
      <c r="E33" s="262" t="s">
        <v>251</v>
      </c>
      <c r="F33" s="250" t="s">
        <v>699</v>
      </c>
      <c r="G33" s="251" t="s">
        <v>805</v>
      </c>
      <c r="H33" s="262" t="s">
        <v>251</v>
      </c>
      <c r="I33" s="250" t="s">
        <v>806</v>
      </c>
      <c r="J33" s="250" t="s">
        <v>807</v>
      </c>
      <c r="K33" s="249" t="s">
        <v>811</v>
      </c>
      <c r="L33" s="250" t="s">
        <v>806</v>
      </c>
      <c r="M33" s="254" t="s">
        <v>807</v>
      </c>
      <c r="O33" s="355" t="s">
        <v>901</v>
      </c>
      <c r="P33" s="387" t="s">
        <v>902</v>
      </c>
      <c r="Q33" s="379" t="s">
        <v>906</v>
      </c>
      <c r="R33" s="7" t="s">
        <v>904</v>
      </c>
      <c r="S33" s="7" t="s">
        <v>903</v>
      </c>
      <c r="T33" s="7" t="s">
        <v>905</v>
      </c>
      <c r="U33" s="7" t="s">
        <v>902</v>
      </c>
      <c r="V33" s="379" t="s">
        <v>906</v>
      </c>
      <c r="Z33" s="137" t="s">
        <v>632</v>
      </c>
      <c r="AA33" s="138" t="s">
        <v>460</v>
      </c>
      <c r="AB33" s="136">
        <v>2.9</v>
      </c>
      <c r="AC33" s="136">
        <v>61.7</v>
      </c>
      <c r="AD33" s="134">
        <v>4.9000000000000004</v>
      </c>
    </row>
    <row r="34" spans="1:30" ht="15" customHeight="1">
      <c r="A34" s="241" t="s">
        <v>898</v>
      </c>
      <c r="B34" s="335" t="s">
        <v>883</v>
      </c>
      <c r="C34" s="356">
        <f>D34*0.29307107</f>
        <v>20.514974899999999</v>
      </c>
      <c r="D34" s="256">
        <v>70</v>
      </c>
      <c r="E34" s="115">
        <v>2400</v>
      </c>
      <c r="F34" s="255">
        <v>14.7</v>
      </c>
      <c r="G34" s="256">
        <v>50</v>
      </c>
      <c r="H34" s="115">
        <v>757</v>
      </c>
      <c r="I34" s="391">
        <f>C34/(A_houseSI/100)</f>
        <v>10.515302477364212</v>
      </c>
      <c r="J34" s="391">
        <f>D34/(A_houseFT/1000)</f>
        <v>33.333333333333329</v>
      </c>
      <c r="K34" s="389">
        <f>J34/12</f>
        <v>2.7777777777777772</v>
      </c>
      <c r="L34" s="255">
        <v>7.5</v>
      </c>
      <c r="M34" s="255">
        <v>23.8</v>
      </c>
      <c r="O34" s="394">
        <f>C$21/0.00047194745</f>
        <v>2333.3332997137713</v>
      </c>
      <c r="P34" s="357">
        <f>O34/C23</f>
        <v>1.9999999711832328</v>
      </c>
      <c r="Q34" s="367">
        <f>O34/6</f>
        <v>388.88888328562854</v>
      </c>
      <c r="R34" s="393">
        <f>C22</f>
        <v>0.39627727794708484</v>
      </c>
      <c r="S34" s="367">
        <f>R34/0.00047194745</f>
        <v>839.66398790179892</v>
      </c>
      <c r="T34" s="367">
        <f>C24</f>
        <v>83.966400000000007</v>
      </c>
      <c r="U34" s="386">
        <f>S34/T34</f>
        <v>9.9999998559161618</v>
      </c>
      <c r="V34" s="367">
        <f t="shared" ref="V34:V42" si="9">S34/6</f>
        <v>139.94399798363315</v>
      </c>
      <c r="W34" s="367"/>
      <c r="X34" s="367"/>
      <c r="Y34" s="367"/>
      <c r="Z34" s="140"/>
      <c r="AA34" s="141" t="s">
        <v>473</v>
      </c>
      <c r="AB34" s="109">
        <v>5</v>
      </c>
      <c r="AC34" s="109">
        <v>113.2</v>
      </c>
      <c r="AD34" s="116">
        <v>5.8</v>
      </c>
    </row>
    <row r="35" spans="1:30" ht="15" customHeight="1">
      <c r="A35" s="376" t="s">
        <v>884</v>
      </c>
      <c r="B35" s="385" t="s">
        <v>824</v>
      </c>
      <c r="C35" s="383">
        <v>11.869378335</v>
      </c>
      <c r="D35" s="384">
        <v>40.5</v>
      </c>
      <c r="E35" s="381">
        <v>1350</v>
      </c>
      <c r="F35" s="383">
        <v>14.653553499999999</v>
      </c>
      <c r="G35" s="384">
        <v>50</v>
      </c>
      <c r="H35" s="381">
        <v>730</v>
      </c>
      <c r="I35" s="383">
        <v>6.0838535761892958</v>
      </c>
      <c r="J35" s="383">
        <v>19.285714285714285</v>
      </c>
      <c r="K35" s="389">
        <v>1.607142857142857</v>
      </c>
      <c r="L35" s="383">
        <v>7.5109303409744381</v>
      </c>
      <c r="M35" s="383">
        <v>23.80952380952381</v>
      </c>
      <c r="O35" s="394">
        <f>D$21/0.00047194745</f>
        <v>1349.9999805486821</v>
      </c>
      <c r="P35" s="357">
        <f>O35/D23</f>
        <v>1.999999971183233</v>
      </c>
      <c r="Q35" s="367">
        <f t="shared" ref="Q35:Q48" si="10">O35/6</f>
        <v>224.99999675811367</v>
      </c>
      <c r="R35" s="393">
        <f>D22</f>
        <v>0.3964358522880001</v>
      </c>
      <c r="S35" s="367">
        <f t="shared" ref="S35:S48" si="11">R35/0.00047194745</f>
        <v>839.9999878969578</v>
      </c>
      <c r="T35" s="367">
        <f>D24</f>
        <v>84.000000000000028</v>
      </c>
      <c r="U35" s="386">
        <f t="shared" ref="U35:U48" si="12">S35/T35</f>
        <v>9.9999998559161618</v>
      </c>
      <c r="V35" s="367">
        <f t="shared" si="9"/>
        <v>139.9999979828263</v>
      </c>
      <c r="W35" s="367"/>
      <c r="X35" s="367"/>
      <c r="Y35" s="367"/>
      <c r="Z35" s="140"/>
      <c r="AA35" s="141" t="s">
        <v>475</v>
      </c>
      <c r="AB35" s="109">
        <v>2.2000000000000002</v>
      </c>
      <c r="AC35" s="109">
        <v>38</v>
      </c>
      <c r="AD35" s="116">
        <v>3</v>
      </c>
    </row>
    <row r="36" spans="1:30" ht="15" customHeight="1">
      <c r="A36" s="376" t="s">
        <v>885</v>
      </c>
      <c r="B36" s="377" t="s">
        <v>825</v>
      </c>
      <c r="C36" s="383">
        <v>18.903084015000001</v>
      </c>
      <c r="D36" s="384">
        <v>64.5</v>
      </c>
      <c r="E36" s="381">
        <v>2150</v>
      </c>
      <c r="F36" s="383">
        <v>14.653553499999999</v>
      </c>
      <c r="G36" s="384">
        <v>50</v>
      </c>
      <c r="H36" s="381">
        <v>757</v>
      </c>
      <c r="I36" s="383">
        <v>9.6891001398570271</v>
      </c>
      <c r="J36" s="383">
        <v>30.714285714285712</v>
      </c>
      <c r="K36" s="389">
        <v>2.5595238095238093</v>
      </c>
      <c r="L36" s="383">
        <v>7.5109303409744381</v>
      </c>
      <c r="M36" s="383">
        <v>23.80952380952381</v>
      </c>
      <c r="N36" s="241"/>
      <c r="O36" s="394">
        <f>E$21/0.00047194745</f>
        <v>2149.9999690219752</v>
      </c>
      <c r="P36" s="357">
        <f>O36/E23</f>
        <v>1.9999999711832328</v>
      </c>
      <c r="Q36" s="367">
        <f t="shared" si="10"/>
        <v>358.3333281703292</v>
      </c>
      <c r="R36" s="393">
        <f>E22</f>
        <v>0.3964358522880001</v>
      </c>
      <c r="S36" s="367">
        <f t="shared" si="11"/>
        <v>839.9999878969578</v>
      </c>
      <c r="T36" s="367">
        <f>E24</f>
        <v>84.000000000000028</v>
      </c>
      <c r="U36" s="386">
        <f t="shared" si="12"/>
        <v>9.9999998559161618</v>
      </c>
      <c r="V36" s="367">
        <f t="shared" si="9"/>
        <v>139.9999979828263</v>
      </c>
      <c r="W36" s="367"/>
      <c r="X36" s="367"/>
      <c r="Y36" s="367"/>
      <c r="Z36" s="140"/>
      <c r="AA36" s="141" t="s">
        <v>471</v>
      </c>
      <c r="AB36" s="109">
        <v>25.7</v>
      </c>
      <c r="AC36" s="109">
        <v>37.4</v>
      </c>
      <c r="AD36" s="116">
        <v>15.9</v>
      </c>
    </row>
    <row r="37" spans="1:30" ht="15" customHeight="1">
      <c r="A37" s="376" t="s">
        <v>886</v>
      </c>
      <c r="B37" s="377" t="s">
        <v>826</v>
      </c>
      <c r="C37" s="383">
        <v>11.429771729999999</v>
      </c>
      <c r="D37" s="384">
        <v>39</v>
      </c>
      <c r="E37" s="381">
        <v>1300</v>
      </c>
      <c r="F37" s="383">
        <v>21.980330249999998</v>
      </c>
      <c r="G37" s="384">
        <v>75</v>
      </c>
      <c r="H37" s="381">
        <v>1102</v>
      </c>
      <c r="I37" s="383">
        <v>5.8585256659600615</v>
      </c>
      <c r="J37" s="383">
        <v>18.571428571428569</v>
      </c>
      <c r="K37" s="389">
        <v>1.5476190476190474</v>
      </c>
      <c r="L37" s="383">
        <v>11.266395511461656</v>
      </c>
      <c r="M37" s="383">
        <v>35.714285714285715</v>
      </c>
      <c r="N37" s="241"/>
      <c r="O37" s="394">
        <f>F$21/0.00047194745</f>
        <v>1299.9999812691008</v>
      </c>
      <c r="P37" s="357">
        <f>O37/F23</f>
        <v>1.9999999711832324</v>
      </c>
      <c r="Q37" s="367">
        <f t="shared" si="10"/>
        <v>216.66666354485014</v>
      </c>
      <c r="R37" s="393">
        <f>F22</f>
        <v>0.59465377843200018</v>
      </c>
      <c r="S37" s="367">
        <f t="shared" si="11"/>
        <v>1259.9999818454367</v>
      </c>
      <c r="T37" s="367">
        <f>F24</f>
        <v>126.00000000000003</v>
      </c>
      <c r="U37" s="386">
        <f t="shared" si="12"/>
        <v>9.9999998559161618</v>
      </c>
      <c r="V37" s="367">
        <f t="shared" si="9"/>
        <v>209.99999697423945</v>
      </c>
      <c r="W37" s="367"/>
      <c r="X37" s="367"/>
      <c r="Y37" s="367"/>
      <c r="Z37" s="143"/>
      <c r="AA37" s="129"/>
      <c r="AB37" s="126"/>
      <c r="AC37" s="126"/>
      <c r="AD37" s="111"/>
    </row>
    <row r="38" spans="1:30" ht="15" customHeight="1">
      <c r="A38" s="376" t="s">
        <v>887</v>
      </c>
      <c r="B38" s="377" t="s">
        <v>827</v>
      </c>
      <c r="C38" s="383">
        <v>13.18819815</v>
      </c>
      <c r="D38" s="384">
        <v>45</v>
      </c>
      <c r="E38" s="381">
        <v>1500</v>
      </c>
      <c r="F38" s="383">
        <v>14.653553499999999</v>
      </c>
      <c r="G38" s="384">
        <v>50</v>
      </c>
      <c r="H38" s="381">
        <v>839</v>
      </c>
      <c r="I38" s="383">
        <v>6.759837306876995</v>
      </c>
      <c r="J38" s="383">
        <v>21.428571428571427</v>
      </c>
      <c r="K38" s="389">
        <v>1.7857142857142856</v>
      </c>
      <c r="L38" s="383">
        <v>7.5109303409744381</v>
      </c>
      <c r="M38" s="383">
        <v>23.80952380952381</v>
      </c>
      <c r="N38" s="241"/>
      <c r="O38" s="394">
        <f>G$21/0.00047194745</f>
        <v>1499.9999783874243</v>
      </c>
      <c r="P38" s="357">
        <f>O38/G23</f>
        <v>1.9999999711832328</v>
      </c>
      <c r="Q38" s="367">
        <f t="shared" si="10"/>
        <v>249.99999639790406</v>
      </c>
      <c r="R38" s="393">
        <f>G22</f>
        <v>0.3964358522880001</v>
      </c>
      <c r="S38" s="367">
        <f t="shared" si="11"/>
        <v>839.9999878969578</v>
      </c>
      <c r="T38" s="367">
        <f>G24</f>
        <v>84.000000000000028</v>
      </c>
      <c r="U38" s="386">
        <f t="shared" si="12"/>
        <v>9.9999998559161618</v>
      </c>
      <c r="V38" s="367">
        <f t="shared" si="9"/>
        <v>139.9999979828263</v>
      </c>
      <c r="W38" s="367"/>
      <c r="X38" s="367"/>
      <c r="Y38" s="367"/>
    </row>
    <row r="39" spans="1:30" ht="15" customHeight="1">
      <c r="A39" s="376" t="s">
        <v>888</v>
      </c>
      <c r="B39" s="377" t="s">
        <v>828</v>
      </c>
      <c r="C39" s="383">
        <v>4.7770584410000003</v>
      </c>
      <c r="D39" s="384">
        <v>16.3</v>
      </c>
      <c r="E39" s="381">
        <v>543</v>
      </c>
      <c r="F39" s="383">
        <v>10.550558519999999</v>
      </c>
      <c r="G39" s="384">
        <v>36</v>
      </c>
      <c r="H39" s="381">
        <v>509</v>
      </c>
      <c r="I39" s="383">
        <v>2.4485632911576669</v>
      </c>
      <c r="J39" s="383">
        <v>7.7619047619047619</v>
      </c>
      <c r="K39" s="389">
        <v>0.64682539682539686</v>
      </c>
      <c r="L39" s="383">
        <v>5.4078698455015957</v>
      </c>
      <c r="M39" s="383">
        <v>17.142857142857142</v>
      </c>
      <c r="N39" s="241"/>
      <c r="O39" s="394">
        <f>H$21/0.00047194745</f>
        <v>543.33332550477826</v>
      </c>
      <c r="P39" s="357">
        <f>O39/H23</f>
        <v>9.9999998559161636</v>
      </c>
      <c r="Q39" s="367">
        <f t="shared" si="10"/>
        <v>90.555554250796376</v>
      </c>
      <c r="R39" s="393">
        <f>H22</f>
        <v>0.28543381364736009</v>
      </c>
      <c r="S39" s="367">
        <f t="shared" si="11"/>
        <v>604.79999128580971</v>
      </c>
      <c r="T39" s="367">
        <f>H24</f>
        <v>302.40000000000003</v>
      </c>
      <c r="U39" s="386">
        <f t="shared" si="12"/>
        <v>1.999999971183233</v>
      </c>
      <c r="V39" s="367">
        <f t="shared" si="9"/>
        <v>100.79999854763496</v>
      </c>
      <c r="W39" s="367"/>
      <c r="X39" s="367"/>
      <c r="Y39" s="367"/>
    </row>
    <row r="40" spans="1:30" ht="15" customHeight="1">
      <c r="A40" s="376" t="s">
        <v>889</v>
      </c>
      <c r="B40" s="377" t="s">
        <v>829</v>
      </c>
      <c r="C40" s="383">
        <v>9.4955026679999985</v>
      </c>
      <c r="D40" s="384">
        <v>32.4</v>
      </c>
      <c r="E40" s="381">
        <v>1080</v>
      </c>
      <c r="F40" s="383">
        <v>14.653553499999999</v>
      </c>
      <c r="G40" s="384">
        <v>50</v>
      </c>
      <c r="H40" s="381">
        <v>731</v>
      </c>
      <c r="I40" s="383">
        <v>4.8670828609514354</v>
      </c>
      <c r="J40" s="383">
        <v>15.428571428571427</v>
      </c>
      <c r="K40" s="389">
        <v>1.2857142857142856</v>
      </c>
      <c r="L40" s="383">
        <v>7.5109303409744381</v>
      </c>
      <c r="M40" s="383">
        <v>23.80952380952381</v>
      </c>
      <c r="N40" s="241"/>
      <c r="O40" s="394">
        <f>I$21/0.00047194745</f>
        <v>1079.9999844389456</v>
      </c>
      <c r="P40" s="357">
        <f>O40/I23</f>
        <v>1.9999999711832326</v>
      </c>
      <c r="Q40" s="367">
        <f t="shared" si="10"/>
        <v>179.99999740649093</v>
      </c>
      <c r="R40" s="393">
        <f>I22</f>
        <v>0.3964358522880001</v>
      </c>
      <c r="S40" s="367">
        <f t="shared" si="11"/>
        <v>839.9999878969578</v>
      </c>
      <c r="T40" s="367">
        <f>I24</f>
        <v>84.000000000000028</v>
      </c>
      <c r="U40" s="386">
        <f t="shared" si="12"/>
        <v>9.9999998559161618</v>
      </c>
      <c r="V40" s="367">
        <f t="shared" si="9"/>
        <v>139.9999979828263</v>
      </c>
      <c r="W40" s="367"/>
      <c r="X40" s="367"/>
      <c r="Y40" s="367"/>
    </row>
    <row r="41" spans="1:30" ht="15" customHeight="1">
      <c r="A41" s="376" t="s">
        <v>890</v>
      </c>
      <c r="B41" s="377" t="s">
        <v>830</v>
      </c>
      <c r="C41" s="383">
        <v>9.4955026679999985</v>
      </c>
      <c r="D41" s="384">
        <v>32.4</v>
      </c>
      <c r="E41" s="381">
        <v>1080</v>
      </c>
      <c r="F41" s="383">
        <v>14.653553499999999</v>
      </c>
      <c r="G41" s="384">
        <v>50</v>
      </c>
      <c r="H41" s="381">
        <v>884</v>
      </c>
      <c r="I41" s="383">
        <v>4.8670828609514354</v>
      </c>
      <c r="J41" s="383">
        <v>15.428571428571427</v>
      </c>
      <c r="K41" s="389">
        <v>1.2857142857142856</v>
      </c>
      <c r="L41" s="383">
        <v>7.5109303409744381</v>
      </c>
      <c r="M41" s="383">
        <v>23.80952380952381</v>
      </c>
      <c r="N41" s="241"/>
      <c r="O41" s="394">
        <f>J$21/0.00047194745</f>
        <v>1079.9999844389456</v>
      </c>
      <c r="P41" s="357">
        <f>O41/J23</f>
        <v>1.9999999711832326</v>
      </c>
      <c r="Q41" s="367">
        <f t="shared" si="10"/>
        <v>179.99999740649093</v>
      </c>
      <c r="R41" s="393">
        <f>J22</f>
        <v>0.3964358522880001</v>
      </c>
      <c r="S41" s="367">
        <f t="shared" si="11"/>
        <v>839.9999878969578</v>
      </c>
      <c r="T41" s="367">
        <f>J24</f>
        <v>84.000000000000028</v>
      </c>
      <c r="U41" s="386">
        <f t="shared" si="12"/>
        <v>9.9999998559161618</v>
      </c>
      <c r="V41" s="367">
        <f t="shared" si="9"/>
        <v>139.9999979828263</v>
      </c>
      <c r="W41" s="367"/>
      <c r="X41" s="367"/>
      <c r="Y41" s="367"/>
    </row>
    <row r="42" spans="1:30" ht="15" customHeight="1">
      <c r="A42" s="376" t="s">
        <v>891</v>
      </c>
      <c r="B42" s="377" t="s">
        <v>831</v>
      </c>
      <c r="C42" s="383">
        <v>6.44756354</v>
      </c>
      <c r="D42" s="384">
        <v>22</v>
      </c>
      <c r="E42" s="381">
        <v>733</v>
      </c>
      <c r="F42" s="383">
        <v>14.653553499999999</v>
      </c>
      <c r="G42" s="384">
        <v>50</v>
      </c>
      <c r="H42" s="381">
        <v>733</v>
      </c>
      <c r="I42" s="383">
        <v>3.3048093500287528</v>
      </c>
      <c r="J42" s="383">
        <v>10.476190476190476</v>
      </c>
      <c r="K42" s="389">
        <v>0.87301587301587302</v>
      </c>
      <c r="L42" s="383">
        <v>7.5109303409744381</v>
      </c>
      <c r="M42" s="383">
        <v>23.80952380952381</v>
      </c>
      <c r="N42" s="241"/>
      <c r="O42" s="394">
        <f>K$21/0.00047194745</f>
        <v>733.33332276718522</v>
      </c>
      <c r="P42" s="357">
        <f>O42/K23</f>
        <v>9.9999998559161636</v>
      </c>
      <c r="Q42" s="367">
        <f t="shared" si="10"/>
        <v>122.22222046119754</v>
      </c>
      <c r="R42" s="393">
        <f>K22</f>
        <v>0.3964358522880001</v>
      </c>
      <c r="S42" s="367">
        <f t="shared" si="11"/>
        <v>839.9999878969578</v>
      </c>
      <c r="T42" s="367">
        <f>K24</f>
        <v>420</v>
      </c>
      <c r="U42" s="386">
        <f t="shared" si="12"/>
        <v>1.9999999711832328</v>
      </c>
      <c r="V42" s="367">
        <f t="shared" si="9"/>
        <v>139.9999979828263</v>
      </c>
      <c r="W42" s="367">
        <v>122.22222046119754</v>
      </c>
      <c r="X42" s="367"/>
      <c r="Y42" s="367"/>
    </row>
    <row r="43" spans="1:30" ht="15" customHeight="1">
      <c r="A43" s="376" t="s">
        <v>892</v>
      </c>
      <c r="B43" s="377" t="s">
        <v>832</v>
      </c>
      <c r="C43" s="383">
        <v>7.7370762479999993</v>
      </c>
      <c r="D43" s="384">
        <v>26.4</v>
      </c>
      <c r="E43" s="381">
        <v>880</v>
      </c>
      <c r="F43" s="383">
        <v>21.980330249999998</v>
      </c>
      <c r="G43" s="384">
        <v>75</v>
      </c>
      <c r="H43" s="381">
        <v>1116</v>
      </c>
      <c r="I43" s="383">
        <v>3.9657712200345032</v>
      </c>
      <c r="J43" s="383">
        <v>12.571428571428569</v>
      </c>
      <c r="K43" s="389">
        <v>1.0476190476190474</v>
      </c>
      <c r="L43" s="383">
        <v>11.266395511461656</v>
      </c>
      <c r="M43" s="383">
        <v>35.714285714285715</v>
      </c>
      <c r="N43" s="241"/>
      <c r="O43" s="394">
        <f>L$21/0.00047194745</f>
        <v>879.99998732062227</v>
      </c>
      <c r="P43" s="357">
        <f>O43/L23</f>
        <v>9.9999998559161636</v>
      </c>
      <c r="Q43" s="367">
        <f t="shared" si="10"/>
        <v>146.66666455343704</v>
      </c>
      <c r="R43" s="393">
        <f>L22</f>
        <v>0.59465377843200018</v>
      </c>
      <c r="S43" s="367">
        <f t="shared" si="11"/>
        <v>1259.9999818454367</v>
      </c>
      <c r="T43" s="367">
        <f>L24</f>
        <v>630</v>
      </c>
      <c r="U43" s="386">
        <f t="shared" si="12"/>
        <v>1.9999999711832328</v>
      </c>
      <c r="V43" s="367">
        <v>146.66666455343704</v>
      </c>
      <c r="X43" s="367"/>
      <c r="Y43" s="367"/>
    </row>
    <row r="44" spans="1:30" ht="17.25" customHeight="1">
      <c r="A44" s="376" t="s">
        <v>893</v>
      </c>
      <c r="B44" s="377" t="s">
        <v>833</v>
      </c>
      <c r="C44" s="383">
        <v>8.9093605279999988</v>
      </c>
      <c r="D44" s="384">
        <v>30.4</v>
      </c>
      <c r="E44" s="381">
        <v>1013</v>
      </c>
      <c r="F44" s="383">
        <v>21.980330249999998</v>
      </c>
      <c r="G44" s="384">
        <v>75</v>
      </c>
      <c r="H44" s="381">
        <v>1211</v>
      </c>
      <c r="I44" s="383">
        <v>4.5666456473124581</v>
      </c>
      <c r="J44" s="383">
        <v>14.476190476190474</v>
      </c>
      <c r="K44" s="389">
        <v>1.2063492063492063</v>
      </c>
      <c r="L44" s="383">
        <v>11.266395511461656</v>
      </c>
      <c r="M44" s="383">
        <v>35.714285714285715</v>
      </c>
      <c r="N44" s="241"/>
      <c r="O44" s="394">
        <f>M$21/0.00047194745</f>
        <v>1013.3333187328378</v>
      </c>
      <c r="P44" s="357">
        <f>O44/M23</f>
        <v>9.9999998559161636</v>
      </c>
      <c r="Q44" s="367">
        <f t="shared" si="10"/>
        <v>168.88888645547297</v>
      </c>
      <c r="R44" s="393">
        <f>M22</f>
        <v>0.59465377843200018</v>
      </c>
      <c r="S44" s="367">
        <f t="shared" si="11"/>
        <v>1259.9999818454367</v>
      </c>
      <c r="T44" s="367">
        <f>M24</f>
        <v>630</v>
      </c>
      <c r="U44" s="386">
        <f t="shared" si="12"/>
        <v>1.9999999711832328</v>
      </c>
      <c r="V44" s="367">
        <f>S44/6</f>
        <v>209.99999697423945</v>
      </c>
      <c r="W44" s="367"/>
      <c r="X44" s="367"/>
      <c r="Y44" s="367"/>
    </row>
    <row r="45" spans="1:30" ht="15" customHeight="1">
      <c r="A45" s="376" t="s">
        <v>894</v>
      </c>
      <c r="B45" s="377" t="s">
        <v>834</v>
      </c>
      <c r="C45" s="383">
        <v>6.5647919679999998</v>
      </c>
      <c r="D45" s="384">
        <v>22.4</v>
      </c>
      <c r="E45" s="381">
        <v>747</v>
      </c>
      <c r="F45" s="383">
        <v>21.980330249999998</v>
      </c>
      <c r="G45" s="384">
        <v>75</v>
      </c>
      <c r="H45" s="381">
        <v>1104</v>
      </c>
      <c r="I45" s="383">
        <v>3.3648967927565483</v>
      </c>
      <c r="J45" s="383">
        <v>10.666666666666666</v>
      </c>
      <c r="K45" s="389">
        <v>0.88888888888888884</v>
      </c>
      <c r="L45" s="383">
        <v>11.266395511461656</v>
      </c>
      <c r="M45" s="383">
        <v>35.714285714285715</v>
      </c>
      <c r="N45" s="241"/>
      <c r="O45" s="394">
        <f>N$21/0.00047194745</f>
        <v>746.66665590840682</v>
      </c>
      <c r="P45" s="357">
        <f>O45/N23</f>
        <v>9.9999998559161636</v>
      </c>
      <c r="Q45" s="367">
        <f t="shared" si="10"/>
        <v>124.44444265140113</v>
      </c>
      <c r="R45" s="393">
        <f>N22</f>
        <v>0.59465377843200018</v>
      </c>
      <c r="S45" s="367">
        <f t="shared" si="11"/>
        <v>1259.9999818454367</v>
      </c>
      <c r="T45" s="367">
        <f>N24</f>
        <v>630</v>
      </c>
      <c r="U45" s="386">
        <f t="shared" si="12"/>
        <v>1.9999999711832328</v>
      </c>
      <c r="V45" s="367">
        <v>124.44444265140113</v>
      </c>
      <c r="X45" s="367"/>
      <c r="Y45" s="367"/>
    </row>
    <row r="46" spans="1:30" ht="15" customHeight="1">
      <c r="A46" s="376" t="s">
        <v>895</v>
      </c>
      <c r="B46" s="377" t="s">
        <v>835</v>
      </c>
      <c r="C46" s="383">
        <v>8.1473757459999998</v>
      </c>
      <c r="D46" s="384">
        <v>27.8</v>
      </c>
      <c r="E46" s="381">
        <v>927</v>
      </c>
      <c r="F46" s="383">
        <v>29.307106999999998</v>
      </c>
      <c r="G46" s="384">
        <v>100</v>
      </c>
      <c r="H46" s="381">
        <v>1678</v>
      </c>
      <c r="I46" s="383">
        <v>4.1760772695817874</v>
      </c>
      <c r="J46" s="383">
        <v>13.238095238095237</v>
      </c>
      <c r="K46" s="389">
        <v>1.103174603174603</v>
      </c>
      <c r="L46" s="383">
        <v>15.021860681948876</v>
      </c>
      <c r="M46" s="383">
        <v>47.61904761904762</v>
      </c>
      <c r="N46" s="241"/>
      <c r="O46" s="394">
        <f>O$21/0.00047194745</f>
        <v>926.66665331489776</v>
      </c>
      <c r="P46" s="357">
        <f>O46/O23</f>
        <v>9.9999998559161636</v>
      </c>
      <c r="Q46" s="367">
        <f t="shared" si="10"/>
        <v>154.44444221914964</v>
      </c>
      <c r="R46" s="393">
        <f>O22</f>
        <v>0.7928717045760002</v>
      </c>
      <c r="S46" s="367">
        <f t="shared" si="11"/>
        <v>1679.9999757939156</v>
      </c>
      <c r="T46" s="367">
        <f>O24</f>
        <v>840</v>
      </c>
      <c r="U46" s="386">
        <f t="shared" si="12"/>
        <v>1.9999999711832328</v>
      </c>
      <c r="V46" s="367">
        <v>154.44444221914964</v>
      </c>
      <c r="X46" s="367"/>
      <c r="Y46" s="367"/>
    </row>
    <row r="47" spans="1:30" ht="15" customHeight="1">
      <c r="A47" s="376" t="s">
        <v>896</v>
      </c>
      <c r="B47" s="378" t="s">
        <v>836</v>
      </c>
      <c r="C47" s="383">
        <v>5.9200356139999997</v>
      </c>
      <c r="D47" s="384">
        <v>20.2</v>
      </c>
      <c r="E47" s="381">
        <v>673</v>
      </c>
      <c r="F47" s="383">
        <v>29.307106999999998</v>
      </c>
      <c r="G47" s="384">
        <v>100</v>
      </c>
      <c r="H47" s="381">
        <v>1531</v>
      </c>
      <c r="I47" s="383">
        <v>3.0344158577536731</v>
      </c>
      <c r="J47" s="383">
        <v>9.6190476190476186</v>
      </c>
      <c r="K47" s="389">
        <v>0.80158730158730152</v>
      </c>
      <c r="L47" s="383">
        <v>15.021860681948876</v>
      </c>
      <c r="M47" s="383">
        <v>47.61904761904762</v>
      </c>
      <c r="N47" s="241"/>
      <c r="O47" s="394">
        <f>P$21/0.00047194745</f>
        <v>673.33332363168836</v>
      </c>
      <c r="P47" s="357">
        <f>O47/P23</f>
        <v>9.9999998559161636</v>
      </c>
      <c r="Q47" s="367">
        <f t="shared" si="10"/>
        <v>112.22222060528139</v>
      </c>
      <c r="R47" s="393">
        <f>P22</f>
        <v>0.7928717045760002</v>
      </c>
      <c r="S47" s="367">
        <f t="shared" si="11"/>
        <v>1679.9999757939156</v>
      </c>
      <c r="T47" s="367">
        <f>P24</f>
        <v>840</v>
      </c>
      <c r="U47" s="386">
        <f t="shared" si="12"/>
        <v>1.9999999711832328</v>
      </c>
      <c r="V47" s="367">
        <v>112.22222060528139</v>
      </c>
      <c r="X47" s="367"/>
      <c r="Y47" s="367"/>
    </row>
    <row r="48" spans="1:30" ht="15" customHeight="1">
      <c r="A48" s="241" t="s">
        <v>897</v>
      </c>
      <c r="B48" s="375">
        <v>8</v>
      </c>
      <c r="C48" s="383">
        <v>5.9200356139999997</v>
      </c>
      <c r="D48" s="384">
        <v>20.2</v>
      </c>
      <c r="E48" s="381">
        <v>673</v>
      </c>
      <c r="F48" s="383">
        <f>G48*0.29307107</f>
        <v>36.633883749999995</v>
      </c>
      <c r="G48" s="384">
        <v>125</v>
      </c>
      <c r="H48" s="381">
        <v>1750</v>
      </c>
      <c r="I48" s="383">
        <v>3.0344158577536731</v>
      </c>
      <c r="J48" s="383">
        <v>9.6190476190476186</v>
      </c>
      <c r="K48" s="389">
        <v>0.80158730158730152</v>
      </c>
      <c r="L48" s="383">
        <f>F48/(A_houseSI/100)</f>
        <v>18.777325852436093</v>
      </c>
      <c r="M48" s="383">
        <f>G48/(A_houseFT/1000)</f>
        <v>59.523809523809518</v>
      </c>
      <c r="N48" s="241"/>
      <c r="O48" s="394">
        <f>Q$21/0.00047194745</f>
        <v>673.33332363168836</v>
      </c>
      <c r="P48" s="357">
        <f>O48/Q23</f>
        <v>9.9999998559161636</v>
      </c>
      <c r="Q48" s="367">
        <f t="shared" si="10"/>
        <v>112.22222060528139</v>
      </c>
      <c r="R48" s="393">
        <f>Q22</f>
        <v>0.99108963072000011</v>
      </c>
      <c r="S48" s="367">
        <f t="shared" si="11"/>
        <v>2099.9999697423941</v>
      </c>
      <c r="T48" s="367">
        <f>Q24</f>
        <v>1050</v>
      </c>
      <c r="U48" s="386">
        <f t="shared" si="12"/>
        <v>1.9999999711832326</v>
      </c>
      <c r="V48" s="367">
        <v>112.22222060528139</v>
      </c>
      <c r="X48" s="367"/>
      <c r="Y48" s="367"/>
    </row>
    <row r="49" spans="1:19" ht="15" customHeight="1">
      <c r="A49" s="241"/>
      <c r="B49" s="245"/>
      <c r="C49" s="255"/>
      <c r="D49" s="256"/>
      <c r="E49" s="115"/>
      <c r="F49" s="255"/>
      <c r="G49" s="256"/>
      <c r="H49" s="115"/>
      <c r="I49" s="255"/>
      <c r="J49" s="255"/>
      <c r="K49" s="253"/>
      <c r="L49" s="255"/>
      <c r="M49" s="255"/>
      <c r="N49" s="241"/>
      <c r="O49" s="357"/>
      <c r="P49" s="357"/>
    </row>
    <row r="50" spans="1:19" ht="15" customHeight="1">
      <c r="A50" s="242"/>
      <c r="B50" s="181"/>
      <c r="C50" s="181"/>
      <c r="D50" s="181"/>
      <c r="E50" s="181"/>
      <c r="F50" s="181"/>
      <c r="G50" s="181"/>
      <c r="H50" s="181"/>
      <c r="I50" s="181"/>
      <c r="J50" s="181"/>
      <c r="K50" s="181"/>
    </row>
    <row r="51" spans="1:19" ht="15" customHeight="1">
      <c r="A51" s="243" t="s">
        <v>808</v>
      </c>
      <c r="B51" s="181">
        <v>2100</v>
      </c>
      <c r="C51" s="244" t="s">
        <v>809</v>
      </c>
      <c r="D51" s="181"/>
      <c r="E51" s="181"/>
      <c r="F51" s="181"/>
      <c r="G51" s="181"/>
      <c r="H51" s="181"/>
      <c r="I51" s="181"/>
      <c r="J51" s="181"/>
      <c r="K51" s="181"/>
    </row>
    <row r="52" spans="1:19" ht="15" customHeight="1">
      <c r="A52" s="181"/>
      <c r="B52" s="181">
        <v>195.1</v>
      </c>
      <c r="C52" s="181" t="s">
        <v>197</v>
      </c>
      <c r="D52" s="181"/>
      <c r="E52" s="181"/>
      <c r="F52" s="181"/>
      <c r="G52" s="181"/>
      <c r="H52" s="181"/>
      <c r="I52" s="181"/>
      <c r="J52" s="181"/>
      <c r="K52" s="181"/>
    </row>
    <row r="56" spans="1:19" ht="15" customHeight="1">
      <c r="A56" s="423" t="s">
        <v>953</v>
      </c>
      <c r="B56" s="309" t="s">
        <v>949</v>
      </c>
      <c r="C56" s="309">
        <v>0.8</v>
      </c>
      <c r="D56" s="309">
        <v>0.8</v>
      </c>
      <c r="E56" s="309">
        <v>0.8</v>
      </c>
      <c r="F56" s="309">
        <v>0.9</v>
      </c>
      <c r="G56" s="309">
        <v>0.9</v>
      </c>
      <c r="H56" s="309">
        <v>0.9</v>
      </c>
      <c r="I56" s="309">
        <v>0.9</v>
      </c>
      <c r="J56" s="309">
        <v>0.9</v>
      </c>
      <c r="K56" s="309">
        <v>0.94</v>
      </c>
      <c r="L56" s="309">
        <v>0.94</v>
      </c>
      <c r="M56" s="309">
        <v>0.94</v>
      </c>
      <c r="N56" s="309">
        <v>0.94</v>
      </c>
      <c r="O56" s="309">
        <v>0.94</v>
      </c>
      <c r="P56" s="309">
        <v>0.94</v>
      </c>
      <c r="Q56" s="309">
        <v>0.94</v>
      </c>
      <c r="R56" s="379"/>
      <c r="S56" s="379" t="s">
        <v>955</v>
      </c>
    </row>
    <row r="57" spans="1:19" ht="15" customHeight="1">
      <c r="A57" s="309"/>
      <c r="B57" s="309" t="s">
        <v>950</v>
      </c>
      <c r="C57" s="309">
        <v>18</v>
      </c>
      <c r="D57" s="309">
        <v>18</v>
      </c>
      <c r="E57" s="309">
        <v>18</v>
      </c>
      <c r="F57" s="309">
        <v>15</v>
      </c>
      <c r="G57" s="309">
        <v>15</v>
      </c>
      <c r="H57" s="309">
        <v>15</v>
      </c>
      <c r="I57" s="309">
        <v>15</v>
      </c>
      <c r="J57" s="309">
        <v>15</v>
      </c>
      <c r="K57" s="309">
        <v>13</v>
      </c>
      <c r="L57" s="309">
        <v>13</v>
      </c>
      <c r="M57" s="309">
        <v>13</v>
      </c>
      <c r="N57" s="309">
        <v>13</v>
      </c>
      <c r="O57" s="309">
        <v>13</v>
      </c>
      <c r="P57" s="309">
        <v>13</v>
      </c>
      <c r="Q57" s="309">
        <v>13</v>
      </c>
      <c r="R57" s="379"/>
      <c r="S57" s="379"/>
    </row>
    <row r="58" spans="1:19" ht="15" customHeight="1">
      <c r="A58" s="309"/>
      <c r="B58" s="309" t="s">
        <v>951</v>
      </c>
      <c r="C58" s="309">
        <v>8.1999999999999993</v>
      </c>
      <c r="D58" s="309">
        <v>8.1999999999999993</v>
      </c>
      <c r="E58" s="309">
        <v>8.1999999999999993</v>
      </c>
      <c r="F58" s="309">
        <v>9</v>
      </c>
      <c r="G58" s="309">
        <v>9</v>
      </c>
      <c r="H58" s="309">
        <v>9</v>
      </c>
      <c r="I58" s="309">
        <v>9</v>
      </c>
      <c r="J58" s="309">
        <v>9</v>
      </c>
      <c r="K58" s="309">
        <v>10</v>
      </c>
      <c r="L58" s="309">
        <v>10</v>
      </c>
      <c r="M58" s="309">
        <v>10</v>
      </c>
      <c r="N58" s="309">
        <v>10</v>
      </c>
      <c r="O58" s="309">
        <v>10</v>
      </c>
      <c r="P58" s="309">
        <v>10</v>
      </c>
      <c r="Q58" s="309">
        <v>10</v>
      </c>
      <c r="R58" s="379"/>
      <c r="S58" s="379"/>
    </row>
    <row r="61" spans="1:19" ht="15" customHeight="1">
      <c r="A61" s="309" t="s">
        <v>980</v>
      </c>
      <c r="B61" s="423" t="s">
        <v>972</v>
      </c>
      <c r="C61" s="309" t="s">
        <v>470</v>
      </c>
      <c r="D61" s="309" t="s">
        <v>978</v>
      </c>
      <c r="E61" s="309" t="s">
        <v>979</v>
      </c>
      <c r="F61" s="309"/>
      <c r="G61" s="345" t="s">
        <v>988</v>
      </c>
      <c r="H61" s="309"/>
      <c r="I61" s="309"/>
      <c r="J61" s="309"/>
      <c r="K61" s="309"/>
      <c r="S61" s="379" t="s">
        <v>959</v>
      </c>
    </row>
    <row r="62" spans="1:19" ht="15" customHeight="1">
      <c r="A62" s="309"/>
      <c r="B62" s="309" t="s">
        <v>973</v>
      </c>
      <c r="C62" s="309">
        <v>90</v>
      </c>
      <c r="D62" s="425">
        <v>5.0000000000000001E-3</v>
      </c>
      <c r="E62" s="425">
        <v>1.4999999999999999E-2</v>
      </c>
      <c r="F62" s="309"/>
      <c r="G62" s="309"/>
      <c r="H62" s="309"/>
      <c r="I62" s="309"/>
      <c r="J62" s="309"/>
      <c r="K62" s="309"/>
    </row>
    <row r="63" spans="1:19" ht="15" customHeight="1">
      <c r="A63" s="309"/>
      <c r="B63" s="309" t="s">
        <v>974</v>
      </c>
      <c r="C63" s="309">
        <v>80</v>
      </c>
      <c r="D63" s="425">
        <v>5.0000000000000001E-3</v>
      </c>
      <c r="E63" s="425">
        <v>1.4999999999999999E-2</v>
      </c>
      <c r="F63" s="309"/>
      <c r="G63" s="309"/>
      <c r="H63" s="309"/>
      <c r="I63" s="309"/>
      <c r="J63" s="309"/>
      <c r="K63" s="309"/>
    </row>
    <row r="64" spans="1:19" ht="15" customHeight="1">
      <c r="A64" s="309"/>
      <c r="B64" s="309" t="s">
        <v>975</v>
      </c>
      <c r="C64" s="309">
        <v>78</v>
      </c>
      <c r="D64" s="425">
        <v>5.0000000000000001E-3</v>
      </c>
      <c r="E64" s="425">
        <v>1.4999999999999999E-2</v>
      </c>
      <c r="F64" s="309"/>
      <c r="G64" s="309"/>
      <c r="H64" s="309"/>
      <c r="I64" s="309"/>
      <c r="J64" s="309"/>
      <c r="K64" s="309"/>
    </row>
    <row r="65" spans="1:18" ht="15" customHeight="1">
      <c r="A65" s="309"/>
      <c r="B65" s="424" t="s">
        <v>976</v>
      </c>
      <c r="C65" s="309">
        <v>75</v>
      </c>
      <c r="D65" s="425">
        <v>5.0000000000000001E-3</v>
      </c>
      <c r="E65" s="425">
        <v>1.4999999999999999E-2</v>
      </c>
      <c r="F65" s="309"/>
      <c r="G65" s="309"/>
      <c r="H65" s="309"/>
      <c r="I65" s="309"/>
      <c r="J65" s="309"/>
      <c r="K65" s="309"/>
      <c r="R65" s="379"/>
    </row>
    <row r="66" spans="1:18" ht="15" customHeight="1">
      <c r="A66" s="309"/>
      <c r="B66" s="424" t="s">
        <v>977</v>
      </c>
      <c r="C66" s="309">
        <v>64</v>
      </c>
      <c r="D66" s="425">
        <v>5.0000000000000001E-3</v>
      </c>
      <c r="E66" s="425">
        <v>1.4999999999999999E-2</v>
      </c>
      <c r="F66" s="309"/>
      <c r="G66" s="309"/>
      <c r="H66" s="309"/>
      <c r="I66" s="309"/>
      <c r="J66" s="309"/>
      <c r="K66" s="309"/>
      <c r="R66" s="379"/>
    </row>
    <row r="67" spans="1:18" ht="15" customHeight="1">
      <c r="A67" s="309"/>
      <c r="B67" s="424"/>
      <c r="C67" s="309"/>
      <c r="D67" s="309"/>
      <c r="E67" s="309"/>
      <c r="F67" s="309"/>
      <c r="G67" s="309"/>
      <c r="H67" s="309"/>
      <c r="I67" s="309"/>
      <c r="J67" s="309"/>
      <c r="K67" s="309"/>
      <c r="R67" s="379"/>
    </row>
    <row r="68" spans="1:18" ht="15" customHeight="1">
      <c r="A68" s="309" t="s">
        <v>987</v>
      </c>
      <c r="B68" s="426" t="s">
        <v>981</v>
      </c>
      <c r="C68" s="309" t="s">
        <v>982</v>
      </c>
      <c r="D68" s="309" t="s">
        <v>983</v>
      </c>
      <c r="E68" s="309" t="s">
        <v>984</v>
      </c>
      <c r="F68" s="309" t="s">
        <v>978</v>
      </c>
      <c r="G68" s="309" t="s">
        <v>979</v>
      </c>
      <c r="H68" s="309"/>
      <c r="I68" s="309"/>
      <c r="J68" s="309"/>
      <c r="K68" s="309"/>
    </row>
    <row r="69" spans="1:18" ht="15" customHeight="1">
      <c r="A69" s="309"/>
      <c r="B69" s="424" t="s">
        <v>985</v>
      </c>
      <c r="C69" s="309">
        <v>6.5</v>
      </c>
      <c r="D69" s="309">
        <v>6.4</v>
      </c>
      <c r="E69" s="309"/>
      <c r="F69" s="309">
        <v>0.01</v>
      </c>
      <c r="G69" s="309">
        <v>0.03</v>
      </c>
      <c r="H69" s="309"/>
      <c r="I69" s="309"/>
      <c r="J69" s="309"/>
      <c r="K69" s="309"/>
    </row>
    <row r="70" spans="1:18" ht="15" customHeight="1">
      <c r="A70" s="309"/>
      <c r="B70" s="424" t="s">
        <v>986</v>
      </c>
      <c r="C70" s="309">
        <v>6.5</v>
      </c>
      <c r="D70" s="309">
        <v>6.4</v>
      </c>
      <c r="E70" s="309">
        <v>6</v>
      </c>
      <c r="F70" s="309">
        <v>0.01</v>
      </c>
      <c r="G70" s="309">
        <v>0.03</v>
      </c>
      <c r="H70" s="309"/>
      <c r="I70" s="309"/>
      <c r="J70" s="309"/>
      <c r="K70" s="309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2"/>
  <dimension ref="A1:Q19"/>
  <sheetViews>
    <sheetView workbookViewId="0">
      <selection activeCell="G33" sqref="G33"/>
    </sheetView>
  </sheetViews>
  <sheetFormatPr defaultRowHeight="15"/>
  <sheetData>
    <row r="1" spans="1:17">
      <c r="A1" s="181" t="s">
        <v>822</v>
      </c>
      <c r="B1" s="267">
        <v>0.37901531243731801</v>
      </c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</row>
    <row r="2" spans="1:17">
      <c r="A2" s="181"/>
      <c r="B2" s="267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</row>
    <row r="3" spans="1:17">
      <c r="A3" s="268" t="s">
        <v>823</v>
      </c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</row>
    <row r="4" spans="1:17">
      <c r="A4" s="249" t="s">
        <v>804</v>
      </c>
      <c r="B4" s="336" t="s">
        <v>883</v>
      </c>
      <c r="C4" s="388" t="s">
        <v>824</v>
      </c>
      <c r="D4" s="388" t="s">
        <v>825</v>
      </c>
      <c r="E4" s="388" t="s">
        <v>826</v>
      </c>
      <c r="F4" s="388" t="s">
        <v>827</v>
      </c>
      <c r="G4" s="388" t="s">
        <v>828</v>
      </c>
      <c r="H4" s="388" t="s">
        <v>829</v>
      </c>
      <c r="I4" s="388" t="s">
        <v>830</v>
      </c>
      <c r="J4" s="388" t="s">
        <v>831</v>
      </c>
      <c r="K4" s="388" t="s">
        <v>832</v>
      </c>
      <c r="L4" s="388" t="s">
        <v>833</v>
      </c>
      <c r="M4" s="388" t="s">
        <v>834</v>
      </c>
      <c r="N4" s="388" t="s">
        <v>835</v>
      </c>
      <c r="O4" s="388">
        <v>7</v>
      </c>
      <c r="P4" s="336">
        <v>8</v>
      </c>
      <c r="Q4" s="250">
        <v>16</v>
      </c>
    </row>
    <row r="5" spans="1:17">
      <c r="A5" s="269" t="s">
        <v>837</v>
      </c>
      <c r="B5" s="270">
        <f>B11*mainINPUT!$C$123^Weather!$B$1</f>
        <v>0.43</v>
      </c>
      <c r="C5" s="392">
        <f>C11*mainINPUT!$C$123^Weather!$B$1</f>
        <v>0.44</v>
      </c>
      <c r="D5" s="392">
        <f>D11*mainINPUT!$C$123^Weather!$B$1</f>
        <v>0.46</v>
      </c>
      <c r="E5" s="392">
        <f>E11*mainINPUT!$C$123^Weather!$B$1</f>
        <v>0.48</v>
      </c>
      <c r="F5" s="392">
        <f>F11*mainINPUT!$C$123^Weather!$B$1</f>
        <v>0.6</v>
      </c>
      <c r="G5" s="392">
        <f>G11*mainINPUT!$C$123^Weather!$B$1</f>
        <v>0.49</v>
      </c>
      <c r="H5" s="392">
        <f>H11*mainINPUT!$C$123^Weather!$B$1</f>
        <v>0.55000000000000004</v>
      </c>
      <c r="I5" s="392">
        <f>I11*mainINPUT!$C$123^Weather!$B$1</f>
        <v>0.55000000000000004</v>
      </c>
      <c r="J5" s="392">
        <f>J11*mainINPUT!$C$123^Weather!$B$1</f>
        <v>0.6</v>
      </c>
      <c r="K5" s="392">
        <f>K11*mainINPUT!$C$123^Weather!$B$1</f>
        <v>0.56000000000000005</v>
      </c>
      <c r="L5" s="392">
        <f>L11*mainINPUT!$C$123^Weather!$B$1</f>
        <v>0.53</v>
      </c>
      <c r="M5" s="392">
        <f>M11*mainINPUT!$C$123^Weather!$B$1</f>
        <v>0.62</v>
      </c>
      <c r="N5" s="392">
        <f>N11*mainINPUT!$C$123^Weather!$B$1</f>
        <v>0.71</v>
      </c>
      <c r="O5" s="392">
        <f>O11*mainINPUT!$C$123^Weather!$B$1</f>
        <v>0</v>
      </c>
      <c r="P5" s="392">
        <f>P11*mainINPUT!$C$123^Weather!$B$1</f>
        <v>0</v>
      </c>
      <c r="Q5" s="392">
        <f>Q11*mainINPUT!$C$123^Weather!$B$1</f>
        <v>0</v>
      </c>
    </row>
    <row r="6" spans="1:17">
      <c r="A6" s="271"/>
      <c r="B6" s="272"/>
      <c r="C6" s="272"/>
      <c r="D6" s="272"/>
      <c r="E6" s="272"/>
      <c r="F6" s="272"/>
      <c r="G6" s="272"/>
      <c r="H6" s="272"/>
      <c r="I6" s="272"/>
      <c r="J6" s="272"/>
      <c r="K6" s="272"/>
      <c r="L6" s="272"/>
      <c r="M6" s="272"/>
      <c r="N6" s="272"/>
      <c r="O6" s="181"/>
      <c r="P6" s="181"/>
      <c r="Q6" s="181"/>
    </row>
    <row r="7" spans="1:17">
      <c r="A7" s="271"/>
      <c r="B7" s="272"/>
      <c r="C7" s="272"/>
      <c r="D7" s="272"/>
      <c r="E7" s="272"/>
      <c r="F7" s="272"/>
      <c r="G7" s="272"/>
      <c r="H7" s="272"/>
      <c r="I7" s="272"/>
      <c r="J7" s="272"/>
      <c r="K7" s="272"/>
      <c r="L7" s="272"/>
      <c r="M7" s="272"/>
      <c r="N7" s="272"/>
      <c r="O7" s="181"/>
      <c r="P7" s="181"/>
      <c r="Q7" s="181"/>
    </row>
    <row r="8" spans="1:17">
      <c r="A8" s="181"/>
      <c r="B8" s="181"/>
      <c r="C8" s="181"/>
      <c r="D8" s="181"/>
      <c r="E8" s="181"/>
      <c r="F8" s="181"/>
      <c r="G8" s="181"/>
      <c r="H8" s="181"/>
      <c r="I8" s="181"/>
      <c r="J8" s="181"/>
      <c r="K8" s="181"/>
      <c r="L8" s="181"/>
      <c r="M8" s="181"/>
      <c r="N8" s="181"/>
      <c r="O8" s="181"/>
      <c r="P8" s="181"/>
      <c r="Q8" s="181"/>
    </row>
    <row r="9" spans="1:17">
      <c r="A9" s="268" t="s">
        <v>838</v>
      </c>
      <c r="B9" s="181"/>
      <c r="C9" s="181"/>
      <c r="D9" s="181"/>
      <c r="E9" s="181"/>
      <c r="F9" s="181"/>
      <c r="G9" s="181"/>
      <c r="H9" s="181"/>
      <c r="I9" s="181"/>
      <c r="J9" s="181"/>
      <c r="K9" s="181"/>
      <c r="L9" s="181"/>
      <c r="M9" s="181"/>
      <c r="N9" s="181"/>
      <c r="O9" s="181"/>
      <c r="P9" s="181"/>
      <c r="Q9" s="181"/>
    </row>
    <row r="10" spans="1:17">
      <c r="A10" s="249" t="s">
        <v>804</v>
      </c>
      <c r="B10" s="250" t="s">
        <v>824</v>
      </c>
      <c r="C10" s="250" t="s">
        <v>825</v>
      </c>
      <c r="D10" s="250" t="s">
        <v>826</v>
      </c>
      <c r="E10" s="250" t="s">
        <v>827</v>
      </c>
      <c r="F10" s="250" t="s">
        <v>828</v>
      </c>
      <c r="G10" s="250" t="s">
        <v>829</v>
      </c>
      <c r="H10" s="250" t="s">
        <v>830</v>
      </c>
      <c r="I10" s="250" t="s">
        <v>831</v>
      </c>
      <c r="J10" s="250" t="s">
        <v>832</v>
      </c>
      <c r="K10" s="250" t="s">
        <v>833</v>
      </c>
      <c r="L10" s="250" t="s">
        <v>834</v>
      </c>
      <c r="M10" s="250" t="s">
        <v>835</v>
      </c>
      <c r="N10" s="250" t="s">
        <v>836</v>
      </c>
      <c r="O10" s="181"/>
      <c r="P10" s="181"/>
      <c r="Q10" s="181"/>
    </row>
    <row r="11" spans="1:17">
      <c r="A11" s="247" t="s">
        <v>231</v>
      </c>
      <c r="B11" s="213">
        <v>0.43</v>
      </c>
      <c r="C11" s="213">
        <v>0.44</v>
      </c>
      <c r="D11" s="213">
        <v>0.46</v>
      </c>
      <c r="E11" s="213">
        <v>0.48</v>
      </c>
      <c r="F11" s="213">
        <v>0.6</v>
      </c>
      <c r="G11" s="213">
        <v>0.49</v>
      </c>
      <c r="H11" s="213">
        <v>0.55000000000000004</v>
      </c>
      <c r="I11" s="213">
        <v>0.55000000000000004</v>
      </c>
      <c r="J11" s="213">
        <v>0.6</v>
      </c>
      <c r="K11" s="213">
        <v>0.56000000000000005</v>
      </c>
      <c r="L11" s="213">
        <v>0.53</v>
      </c>
      <c r="M11" s="213">
        <v>0.62</v>
      </c>
      <c r="N11" s="213">
        <v>0.71</v>
      </c>
      <c r="O11" s="181"/>
      <c r="P11" s="181"/>
      <c r="Q11" s="181"/>
    </row>
    <row r="12" spans="1:17">
      <c r="A12" s="247" t="s">
        <v>230</v>
      </c>
      <c r="B12" s="270">
        <v>0.55919519815510799</v>
      </c>
      <c r="C12" s="270">
        <v>0.5721997376470872</v>
      </c>
      <c r="D12" s="270">
        <v>0.59820881663104575</v>
      </c>
      <c r="E12" s="270">
        <v>0.62421789561500418</v>
      </c>
      <c r="F12" s="270">
        <v>0.78027236951875523</v>
      </c>
      <c r="G12" s="270">
        <v>0.63722243510698351</v>
      </c>
      <c r="H12" s="270">
        <v>0.71524967205885903</v>
      </c>
      <c r="I12" s="270">
        <v>0.71524967205885903</v>
      </c>
      <c r="J12" s="270">
        <v>0.78027236951875523</v>
      </c>
      <c r="K12" s="270">
        <v>0.72825421155083836</v>
      </c>
      <c r="L12" s="270">
        <v>0.68924059307490049</v>
      </c>
      <c r="M12" s="270">
        <v>0.80628144850271377</v>
      </c>
      <c r="N12" s="270">
        <v>0.92332230393052706</v>
      </c>
      <c r="O12" s="181"/>
      <c r="P12" s="181"/>
      <c r="Q12" s="181"/>
    </row>
    <row r="13" spans="1:17">
      <c r="A13" s="247" t="s">
        <v>899</v>
      </c>
      <c r="B13" s="270">
        <v>0.65208576098168169</v>
      </c>
      <c r="C13" s="270">
        <v>0.6672505461207906</v>
      </c>
      <c r="D13" s="270">
        <v>0.6975801163990083</v>
      </c>
      <c r="E13" s="270">
        <v>0.727909686677226</v>
      </c>
      <c r="F13" s="270">
        <v>0.90988710834653252</v>
      </c>
      <c r="G13" s="270">
        <v>0.7430744718163349</v>
      </c>
      <c r="H13" s="270">
        <v>0.83406318265098822</v>
      </c>
      <c r="I13" s="270">
        <v>0.83406318265098822</v>
      </c>
      <c r="J13" s="270">
        <v>0.90988710834653252</v>
      </c>
      <c r="K13" s="270">
        <v>0.84922796779009713</v>
      </c>
      <c r="L13" s="270">
        <v>0.80373361237277052</v>
      </c>
      <c r="M13" s="270">
        <v>0.94021667862475033</v>
      </c>
      <c r="N13" s="270">
        <v>1.0766997448767301</v>
      </c>
      <c r="O13" s="181"/>
      <c r="P13" s="181"/>
      <c r="Q13" s="181"/>
    </row>
    <row r="14" spans="1:17">
      <c r="A14" s="181"/>
      <c r="B14" s="181"/>
      <c r="C14" s="181"/>
      <c r="D14" s="181"/>
      <c r="E14" s="181"/>
      <c r="F14" s="181"/>
      <c r="G14" s="181"/>
      <c r="H14" s="181"/>
      <c r="I14" s="181"/>
      <c r="J14" s="181"/>
      <c r="K14" s="181"/>
      <c r="L14" s="181"/>
      <c r="M14" s="181"/>
      <c r="N14" s="181"/>
      <c r="O14" s="181"/>
      <c r="P14" s="181"/>
      <c r="Q14" s="181"/>
    </row>
    <row r="15" spans="1:17">
      <c r="A15" s="276" t="s">
        <v>839</v>
      </c>
      <c r="B15" s="244"/>
      <c r="C15" s="181"/>
      <c r="D15" s="181"/>
      <c r="E15" s="181"/>
      <c r="F15" s="181"/>
      <c r="G15" s="181"/>
      <c r="H15" s="181"/>
      <c r="I15" s="181"/>
      <c r="J15" s="181"/>
      <c r="K15" s="181"/>
      <c r="L15" s="181"/>
      <c r="M15" s="181"/>
      <c r="N15" s="181"/>
      <c r="O15" s="181"/>
      <c r="P15" s="181"/>
      <c r="Q15" s="181"/>
    </row>
    <row r="16" spans="1:17">
      <c r="A16" s="249" t="s">
        <v>804</v>
      </c>
      <c r="B16" s="250">
        <v>1</v>
      </c>
      <c r="C16" s="250">
        <v>2</v>
      </c>
      <c r="D16" s="250">
        <v>3</v>
      </c>
      <c r="E16" s="250">
        <v>4</v>
      </c>
      <c r="F16" s="250">
        <v>5</v>
      </c>
      <c r="G16" s="250">
        <v>6</v>
      </c>
      <c r="H16" s="250">
        <v>7</v>
      </c>
      <c r="I16" s="250">
        <v>8</v>
      </c>
      <c r="J16" s="250">
        <v>9</v>
      </c>
      <c r="K16" s="250">
        <v>10</v>
      </c>
      <c r="L16" s="250">
        <v>11</v>
      </c>
      <c r="M16" s="250">
        <v>12</v>
      </c>
      <c r="N16" s="250">
        <v>13</v>
      </c>
      <c r="O16" s="250">
        <v>14</v>
      </c>
      <c r="P16" s="250">
        <v>15</v>
      </c>
      <c r="Q16" s="250">
        <v>16</v>
      </c>
    </row>
    <row r="17" spans="1:17">
      <c r="A17" s="247" t="s">
        <v>231</v>
      </c>
      <c r="B17" s="273">
        <v>0.56360936165894659</v>
      </c>
      <c r="C17" s="273">
        <v>0.48885549567600978</v>
      </c>
      <c r="D17" s="273">
        <v>0.54208232257462774</v>
      </c>
      <c r="E17" s="273">
        <v>0.47845929296058437</v>
      </c>
      <c r="F17" s="273">
        <v>0.51837365623999176</v>
      </c>
      <c r="G17" s="273">
        <v>0.41788661831438195</v>
      </c>
      <c r="H17" s="273">
        <v>0.37942235442668815</v>
      </c>
      <c r="I17" s="273">
        <v>0.34136734806535374</v>
      </c>
      <c r="J17" s="273">
        <v>0.39317637879534129</v>
      </c>
      <c r="K17" s="273">
        <v>0.42189478941889719</v>
      </c>
      <c r="L17" s="273">
        <v>0.50187001587391433</v>
      </c>
      <c r="M17" s="273">
        <v>0.50766953254479896</v>
      </c>
      <c r="N17" s="273">
        <v>0.45543655021096829</v>
      </c>
      <c r="O17" s="273">
        <v>0.52458293514912235</v>
      </c>
      <c r="P17" s="273">
        <v>0.45040732320028565</v>
      </c>
      <c r="Q17" s="273">
        <v>0.43796184671932231</v>
      </c>
    </row>
    <row r="18" spans="1:17">
      <c r="A18" s="390" t="s">
        <v>230</v>
      </c>
      <c r="B18" s="273">
        <v>0.7248166367358726</v>
      </c>
      <c r="C18" s="273">
        <v>0.62708326118835933</v>
      </c>
      <c r="D18" s="273">
        <v>0.69538709992486236</v>
      </c>
      <c r="E18" s="273">
        <v>0.61315971250841084</v>
      </c>
      <c r="F18" s="273">
        <v>0.66503797395079167</v>
      </c>
      <c r="G18" s="273">
        <v>0.53477302293826767</v>
      </c>
      <c r="H18" s="273">
        <v>0.48590439299190807</v>
      </c>
      <c r="I18" s="273">
        <v>0.43641684175739326</v>
      </c>
      <c r="J18" s="273">
        <v>0.50195133557344052</v>
      </c>
      <c r="K18" s="273">
        <v>0.53767567995907639</v>
      </c>
      <c r="L18" s="273">
        <v>0.63882702592755691</v>
      </c>
      <c r="M18" s="273">
        <v>0.6488752632127025</v>
      </c>
      <c r="N18" s="273">
        <v>0.58043957001106339</v>
      </c>
      <c r="O18" s="273">
        <v>0.66580229679831271</v>
      </c>
      <c r="P18" s="273">
        <v>0.57161146797379636</v>
      </c>
      <c r="Q18" s="273">
        <v>0.56152742625436514</v>
      </c>
    </row>
    <row r="19" spans="1:17">
      <c r="A19" s="390" t="s">
        <v>899</v>
      </c>
      <c r="B19" s="273">
        <v>0.86834031138810353</v>
      </c>
      <c r="C19" s="273">
        <v>0.74939759949679141</v>
      </c>
      <c r="D19" s="273">
        <v>0.83049656710313591</v>
      </c>
      <c r="E19" s="273">
        <v>0.73175387031078654</v>
      </c>
      <c r="F19" s="273">
        <v>0.79456350692969679</v>
      </c>
      <c r="G19" s="273">
        <v>0.63704978044323324</v>
      </c>
      <c r="H19" s="273">
        <v>0.57887972226628115</v>
      </c>
      <c r="I19" s="273">
        <v>0.51976073261794775</v>
      </c>
      <c r="J19" s="273">
        <v>0.59712354608454088</v>
      </c>
      <c r="K19" s="273">
        <v>0.63902949563231792</v>
      </c>
      <c r="L19" s="273">
        <v>0.75846002934376988</v>
      </c>
      <c r="M19" s="273">
        <v>0.77292624267172982</v>
      </c>
      <c r="N19" s="273">
        <v>0.68982480549315572</v>
      </c>
      <c r="O19" s="273">
        <v>0.78911231419216588</v>
      </c>
      <c r="P19" s="273">
        <v>0.67708889855316245</v>
      </c>
      <c r="Q19" s="273">
        <v>0.67077337182535413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>
    <tabColor rgb="FF002060"/>
  </sheetPr>
  <dimension ref="A1:AM14"/>
  <sheetViews>
    <sheetView workbookViewId="0">
      <selection activeCell="I16" sqref="I16"/>
    </sheetView>
  </sheetViews>
  <sheetFormatPr defaultRowHeight="15" customHeight="1"/>
  <cols>
    <col min="1" max="1" width="12" style="3" bestFit="1" customWidth="1"/>
    <col min="2" max="2" width="12.140625" style="3" customWidth="1"/>
    <col min="3" max="3" width="12.140625" style="3" bestFit="1" customWidth="1"/>
    <col min="4" max="4" width="12" style="3" customWidth="1"/>
    <col min="5" max="5" width="16" style="3" bestFit="1" customWidth="1"/>
    <col min="6" max="7" width="9.5703125" style="3" bestFit="1" customWidth="1"/>
    <col min="8" max="8" width="12.42578125" style="3" customWidth="1"/>
    <col min="9" max="9" width="12.42578125" style="3" bestFit="1" customWidth="1"/>
    <col min="10" max="10" width="12" style="3" customWidth="1"/>
    <col min="11" max="11" width="9.140625" style="3" customWidth="1"/>
    <col min="12" max="12" width="9.5703125" style="3" customWidth="1"/>
    <col min="13" max="13" width="9.140625" style="3" customWidth="1"/>
    <col min="14" max="14" width="8.28515625" style="3" customWidth="1"/>
    <col min="15" max="15" width="12.140625" style="3" customWidth="1"/>
    <col min="16" max="16" width="12" style="3" customWidth="1"/>
    <col min="17" max="17" width="9.42578125" style="3" customWidth="1"/>
    <col min="18" max="18" width="16" style="3" customWidth="1"/>
    <col min="19" max="19" width="6.85546875" style="3" customWidth="1"/>
    <col min="20" max="20" width="8.28515625" style="3" customWidth="1"/>
    <col min="21" max="21" width="7.85546875" style="3" customWidth="1"/>
    <col min="22" max="22" width="12" style="3" customWidth="1"/>
    <col min="23" max="23" width="8" style="3" customWidth="1"/>
    <col min="24" max="24" width="12.140625" style="3" customWidth="1"/>
    <col min="25" max="25" width="8" style="3" customWidth="1"/>
    <col min="26" max="26" width="9.85546875" style="3" customWidth="1"/>
    <col min="27" max="27" width="9.42578125" style="3" customWidth="1"/>
    <col min="28" max="28" width="4.85546875" style="3" customWidth="1"/>
    <col min="29" max="29" width="6.28515625" style="3" customWidth="1"/>
    <col min="30" max="30" width="12.42578125" style="3" customWidth="1"/>
    <col min="31" max="31" width="5" style="3" customWidth="1"/>
    <col min="32" max="32" width="9.140625" style="3"/>
    <col min="33" max="33" width="7.140625" style="3" customWidth="1"/>
    <col min="34" max="34" width="8.140625" style="3" customWidth="1"/>
    <col min="35" max="38" width="9.5703125" style="3" bestFit="1" customWidth="1"/>
    <col min="39" max="39" width="2.85546875" style="3" customWidth="1"/>
    <col min="40" max="16384" width="9.140625" style="3"/>
  </cols>
  <sheetData>
    <row r="1" spans="1:39" ht="15" customHeight="1">
      <c r="A1" s="3">
        <v>1</v>
      </c>
      <c r="B1" s="3">
        <v>2</v>
      </c>
      <c r="C1" s="3">
        <v>3</v>
      </c>
      <c r="D1" s="3">
        <v>4</v>
      </c>
      <c r="E1" s="3">
        <v>5</v>
      </c>
      <c r="F1" s="3">
        <v>6</v>
      </c>
      <c r="G1" s="3">
        <v>7</v>
      </c>
      <c r="H1" s="3">
        <v>8</v>
      </c>
      <c r="I1" s="3">
        <v>9</v>
      </c>
      <c r="J1" s="3">
        <v>10</v>
      </c>
    </row>
    <row r="2" spans="1:39" ht="15" customHeight="1">
      <c r="A2" s="3" t="s">
        <v>526</v>
      </c>
      <c r="B2" s="3" t="s">
        <v>527</v>
      </c>
      <c r="C2" s="3" t="s">
        <v>495</v>
      </c>
      <c r="D2" s="3" t="s">
        <v>496</v>
      </c>
      <c r="E2" s="3" t="s">
        <v>497</v>
      </c>
      <c r="F2" s="3" t="s">
        <v>498</v>
      </c>
      <c r="G2" s="3" t="s">
        <v>499</v>
      </c>
      <c r="H2" s="3" t="s">
        <v>500</v>
      </c>
      <c r="I2" s="3" t="s">
        <v>501</v>
      </c>
      <c r="J2" s="3" t="s">
        <v>502</v>
      </c>
      <c r="AE2" s="3" t="s">
        <v>504</v>
      </c>
    </row>
    <row r="5" spans="1:39" ht="15" customHeight="1">
      <c r="A5" s="3">
        <v>11</v>
      </c>
      <c r="B5" s="3">
        <v>12</v>
      </c>
      <c r="C5" s="3">
        <v>13</v>
      </c>
      <c r="D5" s="3">
        <v>14</v>
      </c>
      <c r="E5" s="3">
        <v>15</v>
      </c>
      <c r="F5" s="3">
        <v>16</v>
      </c>
      <c r="G5" s="3">
        <v>17</v>
      </c>
      <c r="H5" s="3">
        <v>18</v>
      </c>
      <c r="I5" s="3">
        <v>19</v>
      </c>
      <c r="J5" s="3">
        <v>20</v>
      </c>
    </row>
    <row r="6" spans="1:39" ht="15" customHeight="1">
      <c r="A6" s="3" t="s">
        <v>503</v>
      </c>
      <c r="B6" s="3" t="s">
        <v>505</v>
      </c>
      <c r="C6" s="3" t="s">
        <v>506</v>
      </c>
      <c r="D6" s="3" t="s">
        <v>507</v>
      </c>
      <c r="E6" s="3" t="s">
        <v>508</v>
      </c>
      <c r="F6" s="3" t="s">
        <v>509</v>
      </c>
      <c r="G6" s="3" t="s">
        <v>510</v>
      </c>
      <c r="H6" s="3" t="s">
        <v>511</v>
      </c>
      <c r="I6" s="3" t="s">
        <v>512</v>
      </c>
      <c r="J6" s="3" t="s">
        <v>513</v>
      </c>
    </row>
    <row r="9" spans="1:39" ht="15" customHeight="1">
      <c r="A9" s="3">
        <v>21</v>
      </c>
      <c r="B9" s="3">
        <v>22</v>
      </c>
      <c r="C9" s="3">
        <v>23</v>
      </c>
      <c r="D9" s="3">
        <v>24</v>
      </c>
      <c r="E9" s="3">
        <v>25</v>
      </c>
      <c r="F9" s="3">
        <v>26</v>
      </c>
      <c r="G9" s="3">
        <v>27</v>
      </c>
      <c r="H9" s="3">
        <v>28</v>
      </c>
      <c r="I9" s="3">
        <v>29</v>
      </c>
      <c r="J9" s="3">
        <v>30</v>
      </c>
    </row>
    <row r="10" spans="1:39" ht="15" customHeight="1">
      <c r="A10" s="3" t="s">
        <v>514</v>
      </c>
      <c r="B10" s="3" t="s">
        <v>515</v>
      </c>
      <c r="C10" s="3" t="s">
        <v>516</v>
      </c>
      <c r="D10" s="3" t="s">
        <v>517</v>
      </c>
      <c r="E10" s="3" t="s">
        <v>518</v>
      </c>
      <c r="F10" s="3" t="s">
        <v>519</v>
      </c>
      <c r="G10" s="3" t="s">
        <v>520</v>
      </c>
      <c r="H10" s="3" t="s">
        <v>529</v>
      </c>
      <c r="I10" s="3" t="s">
        <v>530</v>
      </c>
      <c r="J10" s="3" t="s">
        <v>531</v>
      </c>
    </row>
    <row r="11" spans="1:39" ht="15" customHeight="1">
      <c r="D11" s="3" t="s">
        <v>349</v>
      </c>
      <c r="E11" s="3" t="s">
        <v>351</v>
      </c>
      <c r="F11" s="3">
        <v>62.2</v>
      </c>
      <c r="G11" s="3" t="s">
        <v>17</v>
      </c>
      <c r="H11" s="3" t="s">
        <v>17</v>
      </c>
      <c r="I11" s="3" t="s">
        <v>17</v>
      </c>
    </row>
    <row r="13" spans="1:39" ht="15" customHeight="1">
      <c r="A13" s="3">
        <v>31</v>
      </c>
      <c r="B13" s="3">
        <v>32</v>
      </c>
      <c r="C13" s="3">
        <v>33</v>
      </c>
    </row>
    <row r="14" spans="1:39">
      <c r="A14" s="3" t="s">
        <v>532</v>
      </c>
      <c r="B14" s="3" t="s">
        <v>521</v>
      </c>
      <c r="C14" s="3" t="s">
        <v>533</v>
      </c>
      <c r="AM14" s="3" t="s">
        <v>528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31</vt:i4>
      </vt:variant>
    </vt:vector>
  </HeadingPairs>
  <TitlesOfParts>
    <vt:vector size="43" baseType="lpstr">
      <vt:lpstr>mainINPUT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Heat - Cool</vt:lpstr>
      <vt:lpstr>Weather</vt:lpstr>
      <vt:lpstr>Output</vt:lpstr>
      <vt:lpstr>A_ceilingSI</vt:lpstr>
      <vt:lpstr>A_houseFT</vt:lpstr>
      <vt:lpstr>A_houseSI</vt:lpstr>
      <vt:lpstr>A_wall</vt:lpstr>
      <vt:lpstr>A_windowSI</vt:lpstr>
      <vt:lpstr>C_flueSI</vt:lpstr>
      <vt:lpstr>Attic!C_name</vt:lpstr>
      <vt:lpstr>C_name</vt:lpstr>
      <vt:lpstr>C_no</vt:lpstr>
      <vt:lpstr>H_attic.ventSI</vt:lpstr>
      <vt:lpstr>H_flueSI</vt:lpstr>
      <vt:lpstr>H_peak</vt:lpstr>
      <vt:lpstr>H_soffitSI</vt:lpstr>
      <vt:lpstr>L_houseSI</vt:lpstr>
      <vt:lpstr>n</vt:lpstr>
      <vt:lpstr>Navent</vt:lpstr>
      <vt:lpstr>Nbedrooms</vt:lpstr>
      <vt:lpstr>Nfan</vt:lpstr>
      <vt:lpstr>Nflue</vt:lpstr>
      <vt:lpstr>Noccupants</vt:lpstr>
      <vt:lpstr>Output!output</vt:lpstr>
      <vt:lpstr>output_11</vt:lpstr>
      <vt:lpstr>overhang</vt:lpstr>
      <vt:lpstr>planareaSI</vt:lpstr>
      <vt:lpstr>rho_air</vt:lpstr>
      <vt:lpstr>RIVEC_fans</vt:lpstr>
      <vt:lpstr>storeys</vt:lpstr>
      <vt:lpstr>stories</vt:lpstr>
      <vt:lpstr>V_houseSI</vt:lpstr>
      <vt:lpstr>W_houseSI</vt:lpstr>
      <vt:lpstr>ws</vt:lpstr>
    </vt:vector>
  </TitlesOfParts>
  <Company>BYG.DTU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Author</cp:lastModifiedBy>
  <dcterms:created xsi:type="dcterms:W3CDTF">2009-09-29T23:43:02Z</dcterms:created>
  <dcterms:modified xsi:type="dcterms:W3CDTF">2013-11-01T23:48:43Z</dcterms:modified>
</cp:coreProperties>
</file>