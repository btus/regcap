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3" i="2" l="1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B23" i="7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D29" i="2"/>
  <c r="D8" i="2"/>
  <c r="D16" i="2"/>
  <c r="D13" i="2"/>
  <c r="C2" i="3"/>
  <c r="C3" i="3"/>
  <c r="C6" i="3"/>
  <c r="B22" i="7"/>
  <c r="L2" i="6"/>
  <c r="L6" i="6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<sst xmlns="http://schemas.openxmlformats.org/spreadsheetml/2006/main" count="2903" uniqueCount="1428">
  <si>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</si>
  <si>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</si>
  <si>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</si>
  <si>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</si>
  <si>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</si>
  <si>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</si>
  <si>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</si>
  <si>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</si>
  <si>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</si>
  <si>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</si>
  <si>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</si>
  <si>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</si>
  <si>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</si>
  <si>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</si>
  <si>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</si>
  <si>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</si>
  <si>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</si>
  <si>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</si>
  <si>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</si>
  <si>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</si>
  <si>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</si>
  <si>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</si>
  <si>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</si>
  <si>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</si>
  <si>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</si>
  <si>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</si>
  <si>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</si>
  <si>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</si>
  <si>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</si>
  <si>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</si>
  <si>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</si>
  <si>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</si>
  <si>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</si>
  <si>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</si>
  <si>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</si>
  <si>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</si>
  <si>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</si>
  <si>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</si>
  <si>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</si>
  <si>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</si>
  <si>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</si>
  <si>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</si>
  <si>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</si>
  <si>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</si>
  <si>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</si>
  <si>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</si>
  <si>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</si>
  <si>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</si>
  <si>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</si>
  <si>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</si>
  <si>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</si>
  <si>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</si>
  <si>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</si>
  <si>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</si>
  <si>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</si>
  <si>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</si>
  <si>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</si>
  <si>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</si>
  <si>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</si>
  <si>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</si>
  <si>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</si>
  <si>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</si>
  <si>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</si>
  <si>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</si>
  <si>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</si>
  <si>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</si>
  <si>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</si>
  <si>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</si>
  <si>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</si>
  <si>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</si>
  <si>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</si>
  <si>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</si>
  <si>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</si>
  <si>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</si>
  <si>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</si>
  <si>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</si>
  <si>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</si>
  <si>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</si>
  <si>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</si>
  <si>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</si>
  <si>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</si>
  <si>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</si>
  <si>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</si>
  <si>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</si>
  <si>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</si>
  <si>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</si>
  <si>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</si>
  <si>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</si>
  <si>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</si>
  <si>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</si>
  <si>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</si>
  <si>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</si>
  <si>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</si>
  <si>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</si>
  <si>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</si>
  <si>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</si>
  <si>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</si>
  <si>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</si>
  <si>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</si>
  <si>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</si>
  <si>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</si>
  <si>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</si>
  <si>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</si>
  <si>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</si>
  <si>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</si>
  <si>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</si>
  <si>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</si>
  <si>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</si>
  <si>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</si>
  <si>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</si>
  <si>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</si>
  <si>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</si>
  <si>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</si>
  <si>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</si>
  <si>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</si>
  <si>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</si>
  <si>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</si>
  <si>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</si>
  <si>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</si>
  <si>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</si>
  <si>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</si>
  <si>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</si>
  <si>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</si>
  <si>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</si>
  <si>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</si>
  <si>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</si>
  <si>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</si>
  <si>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</si>
  <si>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</si>
  <si>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</si>
  <si>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</si>
  <si>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</si>
  <si>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</si>
  <si>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</si>
  <si>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</si>
  <si>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</si>
  <si>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</si>
  <si>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</si>
  <si>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</si>
  <si>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</si>
  <si>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</si>
  <si>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</si>
  <si>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</si>
  <si>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</si>
  <si>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</si>
  <si>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</si>
  <si>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</si>
  <si>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</si>
  <si>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</si>
  <si>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</si>
  <si>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</si>
  <si>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</si>
  <si>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</si>
  <si>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</si>
  <si>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</si>
  <si>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</si>
  <si>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</si>
  <si>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</si>
  <si>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</si>
  <si>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</si>
  <si>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</si>
  <si>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</si>
  <si>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</si>
  <si>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</si>
  <si>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</si>
  <si>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</si>
  <si>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</si>
  <si>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</si>
  <si>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</si>
  <si>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</si>
  <si>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</si>
  <si>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</si>
  <si>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</si>
  <si>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</si>
  <si>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</si>
  <si>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</si>
  <si>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</si>
  <si>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</si>
  <si>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</si>
  <si>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</si>
  <si>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</si>
  <si>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</si>
  <si>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</si>
  <si>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</si>
  <si>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</si>
  <si>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</si>
  <si>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</si>
  <si>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</si>
  <si>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</si>
  <si>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</si>
  <si>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</si>
  <si>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</si>
  <si>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</si>
  <si>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</si>
  <si>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</si>
  <si>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</si>
  <si>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</si>
  <si>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</si>
  <si>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</si>
  <si>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</si>
  <si>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</si>
  <si>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</si>
  <si>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</si>
  <si>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</si>
  <si>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</si>
  <si>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</si>
  <si>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</si>
  <si>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</si>
  <si>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</si>
  <si>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</si>
  <si>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</si>
  <si>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</si>
  <si>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</si>
  <si>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</si>
  <si>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</si>
  <si>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</si>
  <si>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</si>
  <si>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</si>
  <si>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</si>
  <si>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</si>
  <si>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</si>
  <si>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</si>
  <si>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</si>
  <si>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</si>
  <si>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</si>
  <si>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</si>
  <si>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</si>
  <si>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</si>
  <si>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</si>
  <si>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</si>
  <si>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</si>
  <si>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</si>
  <si>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</si>
  <si>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</si>
  <si>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</si>
  <si>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</si>
  <si>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</si>
  <si>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</si>
  <si>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</si>
  <si>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</si>
  <si>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</si>
  <si>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</si>
  <si>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</si>
  <si>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</si>
  <si>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</si>
  <si>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</si>
  <si>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</si>
  <si>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</si>
  <si>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</si>
  <si>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</si>
  <si>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</si>
  <si>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</si>
  <si>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</si>
  <si>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</si>
  <si>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</si>
  <si>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</si>
  <si>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</si>
  <si>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</si>
  <si>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</si>
  <si>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</si>
  <si>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</si>
  <si>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</si>
  <si>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</si>
  <si>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</si>
  <si>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</si>
  <si>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</si>
  <si>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</si>
  <si>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</si>
  <si>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</si>
  <si>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</si>
  <si>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</si>
  <si>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</si>
  <si>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</si>
  <si>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</si>
  <si>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</si>
  <si>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</si>
  <si>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</si>
  <si>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</si>
  <si>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</si>
  <si>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</si>
  <si>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</si>
  <si>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</si>
  <si>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</si>
  <si>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</si>
  <si>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</si>
  <si>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</si>
  <si>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</si>
  <si>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</si>
  <si>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</si>
  <si>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</si>
  <si>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</si>
  <si>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</si>
  <si>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</si>
  <si>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</si>
  <si>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</si>
  <si>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</si>
  <si>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</si>
  <si>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</si>
  <si>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</si>
  <si>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</si>
  <si>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</si>
  <si>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</si>
  <si>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</si>
  <si>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</si>
  <si>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</si>
  <si>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</si>
  <si>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</si>
  <si>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</si>
  <si>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</si>
  <si>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</si>
  <si>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</si>
  <si>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</si>
  <si>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</si>
  <si>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</si>
  <si>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</si>
  <si>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</si>
  <si>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</si>
  <si>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</si>
  <si>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</si>
  <si>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</si>
  <si>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</si>
  <si>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</si>
  <si>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</si>
  <si>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</si>
  <si>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</si>
  <si>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</si>
  <si>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</si>
  <si>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</si>
  <si>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</si>
  <si>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</si>
  <si>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</si>
  <si>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</si>
  <si>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</si>
  <si>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</si>
  <si>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</si>
  <si>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</si>
  <si>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</si>
  <si>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</si>
  <si>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</si>
  <si>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</si>
  <si>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</si>
  <si>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</si>
  <si>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</si>
  <si>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</si>
  <si>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</si>
  <si>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</si>
  <si>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</si>
  <si>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</si>
  <si>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</si>
  <si>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</si>
  <si>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</si>
  <si>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</si>
  <si>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</si>
  <si>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</si>
  <si>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</si>
  <si>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</si>
  <si>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</si>
  <si>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</si>
  <si>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</si>
  <si>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</si>
  <si>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</si>
  <si>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</si>
  <si>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</si>
  <si>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</si>
  <si>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</si>
  <si>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</si>
  <si>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</si>
  <si>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</si>
  <si>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</si>
  <si>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</si>
  <si>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</si>
  <si>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</si>
  <si>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</si>
  <si>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</si>
  <si>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</si>
  <si>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</si>
  <si>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</si>
  <si>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</si>
  <si>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</si>
  <si>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</si>
  <si>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</si>
  <si>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</si>
  <si>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</si>
  <si>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</si>
  <si>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</si>
  <si>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</si>
  <si>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</si>
  <si>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</si>
  <si>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</si>
  <si>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</si>
  <si>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</si>
  <si>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</si>
  <si>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</si>
  <si>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</si>
  <si>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</si>
  <si>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</si>
  <si>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</si>
  <si>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</si>
  <si>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</si>
  <si>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</si>
  <si>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</si>
  <si>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</si>
  <si>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</si>
  <si>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</si>
  <si>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</si>
  <si>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</si>
  <si>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</si>
  <si>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</si>
  <si>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</si>
  <si>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</si>
  <si>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</si>
  <si>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</si>
  <si>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</si>
  <si>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</si>
  <si>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</si>
  <si>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</si>
  <si>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</si>
  <si>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</si>
  <si>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</si>
  <si>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</si>
  <si>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</si>
  <si>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</si>
  <si>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</si>
  <si>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</si>
  <si>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</si>
  <si>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</si>
  <si>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</si>
  <si>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</si>
  <si>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</si>
  <si>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</si>
  <si>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</si>
  <si>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</si>
  <si>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</si>
  <si>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</si>
  <si>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</si>
  <si>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</si>
  <si>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</si>
  <si>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</si>
  <si>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</si>
  <si>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</si>
  <si>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</si>
  <si>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</si>
  <si>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</si>
  <si>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</si>
  <si>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</si>
  <si>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</si>
  <si>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</si>
  <si>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</si>
  <si>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</si>
  <si>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</si>
  <si>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</si>
  <si>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</si>
  <si>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</si>
  <si>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</si>
  <si>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</si>
  <si>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</si>
  <si>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</si>
  <si>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</si>
  <si>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</si>
  <si>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</si>
  <si>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</si>
  <si>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</si>
  <si>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</si>
  <si>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</si>
  <si>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</si>
  <si>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</si>
  <si>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</si>
  <si>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</si>
  <si>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</si>
  <si>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</si>
  <si>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</si>
  <si>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</si>
  <si>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</si>
  <si>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</si>
  <si>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</si>
  <si>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</si>
  <si>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</si>
  <si>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</si>
  <si>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</si>
  <si>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</si>
  <si>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</si>
  <si>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</si>
  <si>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</si>
  <si>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</si>
  <si>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</si>
  <si>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</si>
  <si>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</si>
  <si>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</si>
  <si>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</si>
  <si>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</si>
  <si>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</si>
  <si>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</si>
  <si>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</si>
  <si>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</si>
  <si>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</si>
  <si>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</si>
  <si>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</si>
  <si>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</si>
  <si>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</si>
  <si>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</si>
  <si>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</si>
  <si>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</si>
  <si>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</si>
  <si>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</si>
  <si>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</si>
  <si>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</si>
  <si>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</si>
  <si>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</si>
  <si>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</si>
  <si>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</si>
  <si>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</si>
  <si>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</si>
  <si>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</si>
  <si>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</si>
  <si>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</si>
  <si>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</si>
  <si>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</si>
  <si>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</si>
  <si>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</si>
  <si>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</si>
  <si>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</si>
  <si>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</si>
  <si>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</si>
  <si>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</si>
  <si>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</si>
  <si>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</si>
  <si>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</si>
  <si>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</si>
  <si>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</si>
  <si>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</si>
  <si>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</si>
  <si>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</si>
  <si>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</si>
  <si>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</si>
  <si>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</si>
  <si>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</si>
  <si>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</si>
  <si>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</si>
  <si>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</si>
  <si>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</si>
  <si>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</si>
  <si>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</si>
  <si>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</si>
  <si>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</si>
  <si>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</si>
  <si>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</si>
  <si>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</si>
  <si>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</si>
  <si>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</si>
  <si>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</si>
  <si>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</si>
  <si>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</si>
  <si>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</si>
  <si>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</si>
  <si>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</si>
  <si>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</si>
  <si>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</si>
  <si>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</si>
  <si>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</si>
  <si>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</si>
  <si>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</si>
  <si>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</si>
  <si>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</si>
  <si>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</si>
  <si>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</si>
  <si>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</si>
  <si>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</si>
  <si>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</si>
  <si>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</si>
  <si>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</si>
  <si>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</si>
  <si>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</si>
  <si>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</si>
  <si>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</si>
  <si>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</si>
  <si>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</si>
  <si>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</si>
  <si>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</si>
  <si>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</si>
  <si>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</si>
  <si>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</si>
  <si>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</si>
  <si>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</si>
  <si>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</si>
  <si>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</si>
  <si>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</si>
  <si>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</si>
  <si>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</si>
  <si>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</si>
  <si>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</si>
  <si>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</si>
  <si>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</si>
  <si>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</si>
  <si>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</si>
  <si>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</si>
  <si>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</si>
  <si>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</si>
  <si>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</si>
  <si>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</si>
  <si>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</si>
  <si>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</si>
  <si>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</si>
  <si>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</si>
  <si>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</si>
  <si>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</si>
  <si>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</si>
  <si>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</si>
  <si>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</si>
  <si>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</si>
  <si>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</si>
  <si>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</si>
  <si>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</si>
  <si>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</si>
  <si>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</si>
  <si>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</si>
  <si>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</si>
  <si>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</si>
  <si>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</si>
  <si>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</si>
  <si>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</si>
  <si>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</si>
  <si>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</si>
  <si>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</si>
  <si>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</si>
  <si>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</si>
  <si>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</si>
  <si>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</si>
  <si>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</si>
  <si>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</si>
  <si>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</si>
  <si>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</si>
  <si>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</si>
  <si>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</si>
  <si>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</si>
  <si>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</si>
  <si>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</si>
  <si>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</si>
  <si>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</si>
  <si>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</si>
  <si>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</si>
  <si>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</si>
  <si>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</si>
  <si>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</si>
  <si>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</si>
  <si>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</si>
  <si>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</si>
  <si>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</si>
  <si>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</si>
  <si>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</si>
  <si>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</si>
  <si>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</si>
  <si>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</si>
  <si>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</si>
  <si>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</si>
  <si>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</si>
  <si>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</si>
  <si>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</si>
  <si>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</si>
  <si>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</si>
  <si>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</si>
  <si>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</si>
  <si>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</si>
  <si>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</si>
  <si>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</si>
  <si>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</si>
  <si>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</si>
  <si>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</si>
  <si>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</si>
  <si>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</si>
  <si>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</si>
  <si>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</si>
  <si>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</si>
  <si>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</si>
  <si>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</si>
  <si>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</si>
  <si>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</si>
  <si>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</si>
  <si>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</si>
  <si>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</si>
  <si>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</si>
  <si>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</si>
  <si>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</si>
  <si>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</si>
  <si>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</si>
  <si>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</si>
  <si>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</si>
  <si>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</si>
  <si>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</si>
  <si>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</si>
  <si>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</si>
  <si>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</si>
  <si>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</si>
  <si>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</si>
  <si>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</si>
  <si>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</si>
  <si>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</si>
  <si>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</si>
  <si>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</si>
  <si>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</si>
  <si>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</si>
  <si>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</si>
  <si>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</si>
  <si>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</si>
  <si>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</si>
  <si>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</si>
  <si>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</si>
  <si>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</si>
  <si>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</si>
  <si>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</si>
  <si>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</si>
  <si>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</si>
  <si>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</si>
  <si>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</si>
  <si>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</si>
  <si>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</si>
  <si>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</si>
  <si>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</si>
  <si>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</si>
  <si>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</si>
  <si>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</si>
  <si>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</si>
  <si>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</si>
  <si>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</si>
  <si>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</si>
  <si>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</si>
  <si>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</si>
  <si>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</si>
  <si>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</si>
  <si>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</si>
  <si>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</si>
  <si>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</si>
  <si>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</si>
  <si>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</si>
  <si>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</si>
  <si>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</si>
  <si>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</si>
  <si>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</si>
  <si>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</si>
  <si>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</si>
  <si>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</si>
  <si>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</si>
  <si>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</si>
  <si>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</si>
  <si>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</si>
  <si>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</si>
  <si>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</si>
  <si>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</si>
  <si>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</si>
  <si>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</si>
  <si>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</si>
  <si>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</si>
  <si>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</si>
  <si>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</si>
  <si>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</si>
  <si>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</si>
  <si>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</si>
  <si>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</si>
  <si>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</si>
  <si>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</si>
  <si>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</si>
  <si>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</si>
  <si>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</si>
  <si>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</si>
  <si>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</si>
  <si>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</si>
  <si>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</si>
  <si>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</si>
  <si>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</si>
  <si>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</si>
  <si>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</si>
  <si>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</si>
  <si>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</si>
  <si>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</si>
  <si>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</si>
  <si>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</si>
  <si>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</si>
  <si>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</si>
  <si>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</si>
  <si>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</si>
  <si>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</si>
  <si>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</si>
  <si>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</si>
  <si>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</si>
  <si>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</si>
  <si>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</si>
  <si>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</si>
  <si>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</si>
  <si>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</si>
  <si>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</si>
  <si>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</si>
  <si>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</si>
  <si>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</si>
  <si>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</si>
  <si>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</si>
  <si>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</si>
  <si>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</si>
  <si>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</si>
  <si>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</si>
  <si>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</si>
  <si>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</si>
  <si>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</si>
  <si>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</si>
  <si>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</si>
  <si>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</si>
  <si>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</si>
  <si>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</si>
  <si>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</si>
  <si>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</si>
  <si>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</si>
  <si>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</si>
  <si>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</si>
  <si>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</si>
  <si>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</si>
  <si>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</si>
  <si>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</si>
  <si>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</si>
  <si>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</si>
  <si>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</si>
  <si>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</si>
  <si>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</si>
  <si>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</si>
  <si>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</si>
  <si>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</si>
  <si>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</si>
  <si>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</si>
  <si>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</si>
  <si>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</si>
  <si>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</si>
  <si>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</si>
  <si>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</si>
  <si>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</si>
  <si>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</si>
  <si>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</si>
  <si>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</si>
  <si>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</si>
  <si>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</si>
  <si>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</si>
  <si>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</si>
  <si>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</si>
  <si>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</si>
  <si>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</si>
  <si>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</si>
  <si>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</si>
  <si>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</si>
  <si>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</si>
  <si>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</si>
  <si>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</si>
  <si>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</si>
  <si>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</si>
  <si>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</si>
  <si>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</si>
  <si>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</si>
  <si>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</si>
  <si>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</si>
  <si>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</si>
  <si>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</si>
  <si>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</si>
  <si>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</si>
  <si>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</si>
  <si>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</si>
  <si>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</si>
  <si>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</si>
  <si>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</si>
  <si>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</si>
  <si>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</si>
  <si>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</si>
  <si>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</si>
  <si>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</si>
  <si>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</si>
  <si>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</si>
  <si>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</si>
  <si>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</si>
  <si>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</si>
  <si>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</si>
  <si>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</si>
  <si>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</si>
  <si>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</si>
  <si>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</si>
  <si>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</si>
  <si>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</si>
  <si>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</si>
  <si>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</si>
  <si>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</si>
  <si>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</si>
  <si>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</si>
  <si>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</si>
  <si>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</si>
  <si>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</si>
  <si>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</si>
  <si>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</si>
  <si>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</si>
  <si>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</si>
  <si>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</si>
  <si>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</si>
  <si>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</si>
  <si>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</si>
  <si>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</si>
  <si>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</si>
  <si>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</si>
  <si>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</si>
  <si>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</si>
  <si>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</si>
  <si>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</si>
  <si>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</si>
  <si>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</si>
  <si>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</si>
  <si>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</si>
  <si>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</si>
  <si>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</si>
  <si>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</si>
  <si>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</si>
  <si>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</si>
  <si>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</si>
  <si>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</si>
  <si>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</si>
  <si>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</si>
  <si>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</si>
  <si>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</si>
  <si>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</si>
  <si>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</si>
  <si>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</si>
  <si>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</si>
  <si>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</si>
  <si>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</si>
  <si>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</si>
  <si>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</si>
  <si>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</si>
  <si>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</si>
  <si>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</si>
  <si>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</si>
  <si>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</si>
  <si>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</si>
  <si>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</si>
  <si>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</si>
  <si>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</si>
  <si>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</si>
  <si>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</si>
  <si>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</si>
  <si>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</si>
  <si>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</si>
  <si>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</si>
  <si>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</si>
  <si>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</si>
  <si>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</si>
  <si>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</si>
  <si>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</si>
  <si>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</si>
  <si>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</si>
  <si>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</si>
  <si>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</si>
  <si>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</si>
  <si>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</si>
  <si>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</si>
  <si>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</si>
  <si>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</si>
  <si>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</si>
  <si>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</si>
  <si>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</si>
  <si>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</si>
  <si>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</si>
  <si>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</si>
  <si>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</si>
  <si>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</si>
  <si>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</si>
  <si>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</si>
  <si>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</si>
  <si>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</si>
  <si>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</si>
  <si>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</si>
  <si>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</si>
  <si>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</si>
  <si>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</si>
  <si>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</si>
  <si>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</si>
  <si>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</si>
  <si>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</si>
  <si>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</si>
  <si>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</si>
  <si>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</si>
  <si>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</si>
  <si>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</si>
  <si>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</si>
  <si>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</si>
  <si>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</si>
  <si>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</si>
  <si>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</si>
  <si>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</si>
  <si>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</si>
  <si>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</si>
  <si>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</si>
  <si>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</si>
  <si>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</si>
  <si>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</si>
  <si>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</si>
  <si>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</si>
  <si>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</si>
  <si>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</si>
  <si>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</si>
  <si>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</si>
  <si>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</si>
  <si>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</si>
  <si>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</si>
  <si>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</si>
  <si>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</si>
  <si>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</si>
  <si>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</si>
  <si>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</si>
  <si>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</si>
  <si>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</si>
  <si>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</si>
  <si>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</si>
  <si>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</si>
  <si>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</si>
  <si>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</si>
  <si>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</si>
  <si>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</si>
  <si>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</si>
  <si>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</si>
  <si>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</si>
  <si>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</si>
  <si>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</si>
  <si>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</si>
  <si>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</si>
  <si>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</si>
  <si>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</si>
  <si>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</si>
  <si>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</si>
  <si>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</si>
  <si>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</si>
  <si>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</si>
  <si>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</si>
  <si>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</si>
  <si>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</si>
  <si>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</si>
  <si>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</si>
  <si>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</si>
  <si>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</si>
  <si>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</si>
  <si>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</si>
  <si>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</si>
  <si>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</si>
  <si>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</si>
  <si>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</si>
  <si>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</si>
  <si>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</si>
  <si>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</si>
  <si>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</si>
  <si>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</si>
  <si>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</si>
  <si>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</si>
  <si>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</si>
  <si>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</si>
  <si>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</si>
  <si>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</si>
  <si>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</si>
  <si>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</si>
  <si>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</si>
  <si>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</si>
  <si>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</si>
  <si>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</si>
  <si>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</si>
  <si>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</si>
  <si>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</si>
  <si>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</si>
  <si>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</si>
  <si>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</si>
  <si>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</si>
  <si>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</si>
  <si>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</si>
  <si>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</si>
  <si>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</si>
  <si>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</si>
  <si>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</si>
  <si>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</si>
  <si>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</si>
  <si>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</si>
  <si>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</si>
  <si>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</si>
  <si>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</si>
  <si>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</si>
  <si>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</si>
  <si>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</si>
  <si>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</si>
  <si>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</si>
  <si>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</si>
  <si>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</si>
  <si>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</si>
  <si>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</si>
  <si>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</si>
  <si>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</si>
  <si>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</si>
  <si>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</si>
  <si>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</si>
  <si>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</si>
  <si>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</si>
  <si>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</si>
  <si>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</si>
  <si>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</si>
  <si>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</si>
  <si>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</si>
  <si>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</si>
  <si>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</si>
  <si>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</si>
  <si>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</si>
  <si>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</si>
  <si>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</si>
  <si>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</si>
  <si>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</si>
  <si>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</si>
  <si>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</si>
  <si>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</si>
  <si>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</si>
  <si>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</si>
  <si>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</si>
  <si>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</si>
  <si>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</si>
  <si>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</si>
  <si>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</si>
  <si>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</si>
  <si>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</si>
  <si>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</si>
  <si>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</si>
  <si>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</si>
  <si>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</si>
  <si>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</si>
  <si>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</si>
  <si>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</si>
  <si>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</si>
  <si>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</si>
  <si>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</si>
  <si>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</si>
  <si>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</si>
  <si>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</si>
  <si>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</si>
  <si>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</si>
  <si>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</si>
  <si>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</si>
  <si>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</si>
  <si>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</si>
  <si>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</si>
  <si>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</si>
  <si>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</si>
  <si>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</si>
  <si>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</si>
  <si>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</si>
  <si>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</si>
  <si>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</si>
  <si>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</si>
  <si>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</si>
  <si>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</si>
  <si>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</si>
  <si>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</si>
  <si>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</si>
  <si>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</si>
  <si>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</si>
  <si>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</si>
  <si>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</si>
  <si>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</si>
  <si>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</si>
  <si>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</si>
  <si>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</si>
  <si>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</si>
  <si>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</si>
  <si>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</si>
  <si>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</si>
  <si>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</si>
  <si>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</si>
  <si>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</si>
  <si>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</si>
  <si>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</si>
  <si>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</si>
  <si>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</si>
  <si>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</si>
  <si>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</si>
  <si>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</si>
  <si>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</si>
  <si>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</si>
  <si>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</si>
  <si>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</si>
  <si>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</si>
  <si>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</si>
  <si>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</si>
  <si>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</si>
  <si>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</si>
  <si>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</si>
  <si>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</si>
  <si>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</si>
  <si>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</si>
  <si>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</si>
  <si>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</si>
  <si>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</si>
  <si>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</si>
  <si>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</si>
  <si>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</si>
  <si>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</si>
  <si>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</si>
  <si>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</si>
  <si>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</si>
  <si>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</si>
  <si>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</si>
  <si>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</si>
  <si>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</si>
  <si>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</si>
  <si>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</si>
  <si>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</si>
  <si>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</si>
  <si>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</si>
  <si>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</si>
  <si>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</si>
  <si>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</si>
  <si>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</si>
  <si>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</si>
  <si>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</si>
  <si>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</si>
  <si>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</si>
  <si>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</si>
  <si>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</si>
  <si>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</si>
  <si>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</si>
  <si>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</si>
  <si>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</si>
  <si>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</si>
  <si>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</si>
  <si>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</si>
  <si>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</si>
  <si>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</si>
  <si>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</si>
  <si>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</si>
  <si>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</si>
  <si>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</si>
  <si>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</si>
  <si>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</si>
  <si>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</si>
  <si>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</si>
  <si>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</si>
  <si>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</si>
  <si>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</si>
  <si>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</si>
  <si>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</si>
  <si>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</si>
  <si>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</si>
  <si>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</si>
  <si>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</si>
  <si>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</si>
  <si>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</si>
  <si>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</si>
  <si>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</si>
  <si>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</si>
  <si>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</si>
  <si>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</si>
  <si>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</si>
  <si>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</si>
  <si>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</si>
  <si>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</si>
  <si>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</si>
  <si>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</si>
  <si>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</si>
  <si>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</si>
  <si>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</si>
  <si>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</si>
  <si>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</si>
  <si>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</si>
  <si>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</si>
  <si>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</si>
  <si>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</si>
  <si>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</si>
  <si>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</si>
  <si>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</si>
  <si>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</si>
  <si>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</si>
  <si>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</si>
  <si>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</si>
  <si>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</si>
  <si>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</si>
  <si>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</si>
  <si>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</si>
  <si>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</si>
  <si>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</si>
  <si>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</si>
  <si>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</si>
  <si>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</si>
  <si>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</si>
  <si>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</si>
  <si>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</si>
  <si>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</si>
  <si>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</si>
  <si>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</si>
  <si>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</si>
  <si>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</si>
  <si>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</si>
  <si>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</si>
  <si>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</si>
  <si>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</si>
  <si>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</si>
  <si>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</si>
  <si>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</si>
  <si>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</si>
  <si>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</si>
  <si>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</si>
  <si>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</si>
  <si>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</si>
  <si>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</si>
  <si>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</si>
  <si>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</si>
  <si>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</si>
  <si>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</si>
  <si>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</si>
  <si>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</si>
  <si>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</si>
  <si>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</si>
  <si>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</si>
  <si>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</si>
  <si>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</si>
  <si>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</si>
  <si>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</si>
  <si>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</si>
  <si>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</si>
  <si>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</si>
  <si>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</si>
  <si>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</si>
  <si>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</si>
  <si>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</si>
  <si>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</si>
  <si>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</si>
  <si>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</si>
  <si>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</si>
  <si>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</si>
  <si>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</si>
  <si>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</si>
  <si>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</si>
  <si>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</si>
  <si>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</si>
  <si>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</si>
  <si>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</si>
  <si>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</si>
  <si>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</si>
  <si>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</si>
  <si>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</si>
  <si>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</si>
  <si>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</si>
  <si>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</si>
  <si>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</si>
  <si>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</si>
  <si>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</si>
  <si>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</si>
  <si>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</si>
  <si>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</si>
  <si>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</si>
  <si>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</si>
  <si>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</si>
  <si>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</si>
  <si>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</si>
  <si>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</si>
  <si>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</si>
  <si>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</si>
  <si>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</si>
  <si>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</si>
  <si>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</si>
  <si>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</si>
  <si>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</si>
  <si>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</si>
  <si>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</si>
  <si>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</si>
  <si>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</si>
  <si>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</si>
  <si>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</si>
  <si>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</si>
  <si>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</si>
  <si>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</si>
  <si>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</si>
  <si>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</si>
  <si>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</si>
  <si>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</si>
  <si>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</si>
  <si>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</si>
  <si>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</si>
  <si>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</si>
  <si>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</si>
  <si>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</si>
  <si>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</si>
  <si>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</si>
  <si>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</si>
  <si>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</si>
  <si>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</si>
  <si>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</si>
  <si>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</si>
  <si>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</si>
  <si>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</si>
  <si>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</si>
  <si>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</si>
  <si>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</si>
  <si>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</si>
  <si>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</si>
  <si>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</si>
  <si>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</si>
  <si>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</si>
  <si>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</si>
  <si>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</si>
  <si>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</si>
  <si>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</si>
  <si>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</si>
  <si>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</si>
  <si>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</si>
  <si>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</si>
  <si>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</si>
  <si>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</si>
  <si>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</si>
  <si>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</si>
  <si>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</si>
  <si>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</si>
  <si>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</si>
  <si>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</si>
  <si>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</si>
  <si>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</si>
  <si>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</si>
  <si>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</si>
  <si>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</si>
  <si>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</si>
  <si>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</si>
  <si>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</si>
  <si>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</si>
  <si>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</si>
  <si>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</si>
  <si>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</si>
  <si>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</si>
  <si>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</si>
  <si>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</si>
  <si>
    <t>Roof type, 1= asphalt shingles, 2= red clay tile, 3= low absorbtiviy clay tile, 4= white coated asphalt shingles, 5=roof tiles meeting T24 2016 prescriptive package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</si>
</sst>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5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  <xf numFmtId="0" fontId="41" fillId="0" borderId="50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0" fontId="41" fillId="0" borderId="51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55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1044</v>
      </c>
    </row>
    <row r="3" spans="1:2">
      <c r="A3" s="285" t="s">
        <v>1045</v>
      </c>
      <c r="B3" s="166" t="s">
        <v>1155</v>
      </c>
    </row>
    <row r="4" spans="1:2">
      <c r="A4" s="285" t="s">
        <v>1047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1114</v>
      </c>
      <c r="B7" s="371" t="s">
        <v>1115</v>
      </c>
    </row>
    <row r="8" spans="1:2" s="245" customFormat="1">
      <c r="A8" s="369" t="s">
        <v>888</v>
      </c>
      <c r="B8" s="371" t="s">
        <v>1059</v>
      </c>
    </row>
    <row r="9" spans="1:2">
      <c r="A9" s="369" t="s">
        <v>1048</v>
      </c>
      <c r="B9" s="371" t="s">
        <v>1060</v>
      </c>
    </row>
    <row r="10" spans="1:2">
      <c r="A10" s="369" t="s">
        <v>1049</v>
      </c>
      <c r="B10" s="371" t="s">
        <v>1061</v>
      </c>
    </row>
    <row r="11" spans="1:2">
      <c r="A11" s="369" t="s">
        <v>14</v>
      </c>
      <c r="B11" s="371" t="s">
        <v>1062</v>
      </c>
    </row>
    <row r="12" spans="1:2">
      <c r="A12" s="369" t="s">
        <v>7</v>
      </c>
      <c r="B12" s="371" t="s">
        <v>1063</v>
      </c>
    </row>
    <row r="13" spans="1:2">
      <c r="A13" s="369" t="s">
        <v>21</v>
      </c>
      <c r="B13" s="371" t="s">
        <v>1064</v>
      </c>
    </row>
    <row r="14" spans="1:2">
      <c r="A14" s="369" t="s">
        <v>44</v>
      </c>
      <c r="B14" s="371" t="s">
        <v>1065</v>
      </c>
    </row>
    <row r="15" spans="1:2">
      <c r="A15" s="369" t="s">
        <v>49</v>
      </c>
      <c r="B15" s="371" t="s">
        <v>1066</v>
      </c>
    </row>
    <row r="16" spans="1:2">
      <c r="A16" s="369" t="s">
        <v>317</v>
      </c>
      <c r="B16" s="371" t="s">
        <v>1067</v>
      </c>
    </row>
    <row r="17" spans="1:4">
      <c r="A17" s="369" t="s">
        <v>70</v>
      </c>
      <c r="B17" s="371" t="s">
        <v>1068</v>
      </c>
    </row>
    <row r="18" spans="1:4">
      <c r="A18" s="369" t="s">
        <v>97</v>
      </c>
      <c r="B18" s="371" t="s">
        <v>1069</v>
      </c>
    </row>
    <row r="19" spans="1:4">
      <c r="A19" s="369" t="s">
        <v>1070</v>
      </c>
      <c r="B19" s="371" t="s">
        <v>1071</v>
      </c>
    </row>
    <row r="20" spans="1:4">
      <c r="A20" s="369" t="s">
        <v>1016</v>
      </c>
      <c r="B20" s="371" t="s">
        <v>1072</v>
      </c>
    </row>
    <row r="21" spans="1:4">
      <c r="A21" s="369" t="s">
        <v>1100</v>
      </c>
      <c r="B21" s="371" t="s">
        <v>1073</v>
      </c>
    </row>
    <row r="22" spans="1:4" ht="15" thickBot="1">
      <c r="A22" s="372" t="s">
        <v>1041</v>
      </c>
      <c r="B22" s="375" t="s">
        <v>1074</v>
      </c>
    </row>
    <row r="24" spans="1:4" ht="18">
      <c r="A24" s="302" t="s">
        <v>1050</v>
      </c>
    </row>
    <row r="25" spans="1:4">
      <c r="A25">
        <v>1</v>
      </c>
      <c r="B25" t="s">
        <v>1090</v>
      </c>
    </row>
    <row r="26" spans="1:4">
      <c r="A26">
        <v>2</v>
      </c>
      <c r="B26" t="s">
        <v>1091</v>
      </c>
    </row>
    <row r="27" spans="1:4">
      <c r="A27">
        <v>3</v>
      </c>
      <c r="B27" t="s">
        <v>1092</v>
      </c>
    </row>
    <row r="28" spans="1:4">
      <c r="A28">
        <v>4</v>
      </c>
      <c r="B28" t="s">
        <v>1093</v>
      </c>
    </row>
    <row r="29" spans="1:4" ht="18">
      <c r="A29" s="302" t="s">
        <v>1051</v>
      </c>
    </row>
    <row r="30" spans="1:4">
      <c r="A30" s="392" t="s">
        <v>1045</v>
      </c>
      <c r="B30" s="392" t="s">
        <v>0</v>
      </c>
      <c r="C30" s="392" t="s">
        <v>1047</v>
      </c>
      <c r="D30" s="392" t="s">
        <v>1052</v>
      </c>
    </row>
    <row r="31" spans="1:4">
      <c r="A31" t="s">
        <v>1046</v>
      </c>
      <c r="B31" t="s">
        <v>1094</v>
      </c>
      <c r="C31" s="389">
        <v>42465</v>
      </c>
      <c r="D31" t="s">
        <v>1053</v>
      </c>
    </row>
    <row r="32" spans="1:4">
      <c r="A32" t="s">
        <v>1113</v>
      </c>
      <c r="B32" s="362" t="s">
        <v>1122</v>
      </c>
      <c r="C32" s="434">
        <v>42585</v>
      </c>
      <c r="D32" t="s">
        <v>1116</v>
      </c>
    </row>
    <row r="33" spans="1:4">
      <c r="A33" s="245" t="s">
        <v>1123</v>
      </c>
      <c r="B33" s="362" t="s">
        <v>1124</v>
      </c>
      <c r="C33" s="434">
        <v>42605</v>
      </c>
      <c r="D33" t="s">
        <v>1053</v>
      </c>
    </row>
    <row r="34" spans="1:4">
      <c r="B34" t="s">
        <v>1125</v>
      </c>
      <c r="C34" s="434">
        <v>42710</v>
      </c>
      <c r="D34" t="s">
        <v>1116</v>
      </c>
    </row>
    <row r="35" spans="1:4">
      <c r="B35" t="s">
        <v>1147</v>
      </c>
      <c r="C35" s="434">
        <v>42710</v>
      </c>
      <c r="D35" t="s">
        <v>1116</v>
      </c>
    </row>
    <row r="36" spans="1:4">
      <c r="B36" t="s">
        <v>1152</v>
      </c>
      <c r="C36" s="434">
        <v>42711</v>
      </c>
      <c r="D36" t="s">
        <v>1116</v>
      </c>
    </row>
    <row r="37" spans="1:4">
      <c r="A37" t="s">
        <v>1155</v>
      </c>
      <c r="B37" t="s">
        <v>1154</v>
      </c>
      <c r="C37" s="434">
        <v>42717</v>
      </c>
      <c r="D37" t="s">
        <v>1116</v>
      </c>
    </row>
    <row r="38" spans="1:4">
      <c r="B38" t="s">
        <v>1163</v>
      </c>
      <c r="C38" s="434">
        <v>42723</v>
      </c>
      <c r="D38" t="s">
        <v>1116</v>
      </c>
    </row>
    <row r="39" spans="1:4">
      <c r="B39" t="s">
        <v>1164</v>
      </c>
      <c r="C39" s="434">
        <v>42723</v>
      </c>
      <c r="D39" t="s">
        <v>1116</v>
      </c>
    </row>
    <row r="40" spans="1:4">
      <c r="B40" t="s">
        <v>1169</v>
      </c>
      <c r="C40" s="434">
        <v>42723</v>
      </c>
      <c r="D40" t="s">
        <v>1116</v>
      </c>
    </row>
    <row r="41" spans="1:4">
      <c r="B41" t="s">
        <v>1171</v>
      </c>
      <c r="C41" s="434">
        <v>42723</v>
      </c>
      <c r="D41" s="245" t="s">
        <v>1116</v>
      </c>
    </row>
    <row r="42" spans="1:4">
      <c r="B42" t="s">
        <v>1172</v>
      </c>
      <c r="C42" s="434">
        <v>42723</v>
      </c>
      <c r="D42" s="245" t="s">
        <v>1116</v>
      </c>
    </row>
    <row r="43" spans="1:4">
      <c r="B43" t="s">
        <v>1175</v>
      </c>
    </row>
    <row r="44" spans="1:4">
      <c r="B44" t="s">
        <v>1176</v>
      </c>
      <c r="C44" s="434">
        <v>42739</v>
      </c>
      <c r="D44" t="s">
        <v>1116</v>
      </c>
    </row>
    <row r="45" spans="1:4">
      <c r="B45" t="s">
        <v>1238</v>
      </c>
      <c r="C45" s="434">
        <v>42753</v>
      </c>
      <c r="D45" t="s">
        <v>1116</v>
      </c>
    </row>
    <row r="46" spans="1:4">
      <c r="A46">
        <v>1.2</v>
      </c>
      <c r="B46" t="s">
        <v>1276</v>
      </c>
      <c r="C46" s="434">
        <v>42836</v>
      </c>
      <c r="D46" t="s">
        <v>1116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G32" sqref="G3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888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788</v>
      </c>
      <c r="B2" s="299"/>
      <c r="C2" s="300" t="s">
        <v>790</v>
      </c>
      <c r="E2" s="303" t="s">
        <v>1156</v>
      </c>
      <c r="F2" s="299"/>
      <c r="G2" s="300">
        <v>0</v>
      </c>
      <c r="I2" s="285" t="s">
        <v>887</v>
      </c>
      <c r="J2" s="245"/>
      <c r="K2" s="308" t="s">
        <v>1283</v>
      </c>
      <c r="M2" s="245"/>
    </row>
    <row r="3" spans="1:17" ht="15" thickBot="1">
      <c r="A3" s="293" t="s">
        <v>789</v>
      </c>
      <c r="B3" s="306"/>
      <c r="C3" s="294" t="str">
        <f>IF(B3&lt;&gt;"",A3,"")</f>
        <v/>
      </c>
      <c r="E3" s="293">
        <v>0</v>
      </c>
      <c r="F3" s="306" t="s">
        <v>889</v>
      </c>
      <c r="G3" s="294">
        <f t="shared" ref="G3:G23" si="0">IF(F3&lt;&gt;"",E3,"")</f>
        <v>0</v>
      </c>
      <c r="H3" t="s">
        <v>1158</v>
      </c>
      <c r="J3" s="245"/>
      <c r="M3" s="245"/>
    </row>
    <row r="4" spans="1:17" ht="15" thickBot="1">
      <c r="A4" s="293" t="s">
        <v>793</v>
      </c>
      <c r="B4" s="306" t="s">
        <v>889</v>
      </c>
      <c r="C4" s="294" t="str">
        <f>IF(B4&lt;&gt;"",A4,"")</f>
        <v>Med</v>
      </c>
      <c r="D4" t="s">
        <v>1277</v>
      </c>
      <c r="E4" s="293">
        <v>1</v>
      </c>
      <c r="F4" s="306"/>
      <c r="G4" s="294" t="str">
        <f t="shared" si="0"/>
        <v/>
      </c>
      <c r="H4" t="s">
        <v>1159</v>
      </c>
      <c r="I4" s="310" t="s">
        <v>890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790</v>
      </c>
      <c r="B5" s="307" t="s">
        <v>889</v>
      </c>
      <c r="C5" s="296" t="str">
        <f>IF(B5&lt;&gt;"",A5,"")</f>
        <v>Large</v>
      </c>
      <c r="D5" t="s">
        <v>1278</v>
      </c>
      <c r="E5" s="293">
        <v>2</v>
      </c>
      <c r="F5" s="306"/>
      <c r="G5" s="294" t="str">
        <f t="shared" si="0"/>
        <v/>
      </c>
      <c r="H5" t="s">
        <v>1160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1161</v>
      </c>
      <c r="I6" s="381" t="s">
        <v>891</v>
      </c>
      <c r="J6" s="382"/>
      <c r="K6" s="382"/>
      <c r="L6" s="383" t="s">
        <v>886</v>
      </c>
      <c r="M6" s="245" t="s">
        <v>1300</v>
      </c>
      <c r="N6" s="5"/>
    </row>
    <row r="7" spans="1:17" ht="15">
      <c r="A7" s="303" t="s">
        <v>792</v>
      </c>
      <c r="B7" s="299"/>
      <c r="C7" s="300" t="s">
        <v>793</v>
      </c>
      <c r="E7" s="297">
        <v>4</v>
      </c>
      <c r="F7" s="306"/>
      <c r="G7" s="294" t="str">
        <f t="shared" si="0"/>
        <v/>
      </c>
      <c r="H7" t="s">
        <v>1162</v>
      </c>
      <c r="I7" s="311">
        <f>InputFiles!C1</f>
        <v>1</v>
      </c>
      <c r="J7" s="306" t="s">
        <v>889</v>
      </c>
      <c r="K7" s="17">
        <f t="shared" ref="K7:K23" si="1">IF(J7&lt;&gt;"",I7,"")</f>
        <v>1</v>
      </c>
      <c r="L7" s="384" t="str">
        <f t="shared" ref="L7:L22" si="2">IF(J7&lt;&gt;"",BaseName &amp; IF(ISNUMBER(I7),I7,LEFT(I7,1)),"")</f>
        <v>Large_0.6_None_1</v>
      </c>
      <c r="M7" s="124" t="s">
        <v>1284</v>
      </c>
      <c r="N7" s="245">
        <v>725945</v>
      </c>
    </row>
    <row r="8" spans="1:17">
      <c r="A8" s="293" t="s">
        <v>794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 t="shared" si="2"/>
        <v/>
      </c>
      <c r="M8" s="124" t="s">
        <v>1285</v>
      </c>
      <c r="N8" s="245">
        <v>724957</v>
      </c>
    </row>
    <row r="9" spans="1:17">
      <c r="A9" s="293" t="s">
        <v>793</v>
      </c>
      <c r="B9" s="306" t="s">
        <v>889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889</v>
      </c>
      <c r="K9" s="17">
        <f t="shared" si="1"/>
        <v>3</v>
      </c>
      <c r="L9" s="384" t="str">
        <f t="shared" si="2"/>
        <v>Large_0.6_None_3</v>
      </c>
      <c r="M9" s="124" t="s">
        <v>1286</v>
      </c>
      <c r="N9" s="245">
        <v>724930</v>
      </c>
    </row>
    <row r="10" spans="1:17" ht="15" thickBot="1">
      <c r="A10" s="295" t="s">
        <v>795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 t="shared" si="2"/>
        <v/>
      </c>
      <c r="M10" s="124" t="s">
        <v>1287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 t="shared" si="2"/>
        <v/>
      </c>
      <c r="M11" s="124" t="s">
        <v>1288</v>
      </c>
      <c r="N11" s="245">
        <v>723940</v>
      </c>
    </row>
    <row r="12" spans="1:17" ht="15">
      <c r="A12" s="303" t="s">
        <v>780</v>
      </c>
      <c r="B12" s="299"/>
      <c r="C12" s="300">
        <f>IF(HomeSize="Large",2,1)</f>
        <v>2</v>
      </c>
      <c r="D12" t="s">
        <v>1279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 t="shared" si="2"/>
        <v/>
      </c>
      <c r="M12" s="124" t="s">
        <v>1289</v>
      </c>
      <c r="N12" s="254">
        <v>722950</v>
      </c>
      <c r="O12" t="s">
        <v>1328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 t="shared" si="2"/>
        <v/>
      </c>
      <c r="M13" s="124" t="s">
        <v>1290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 t="shared" si="2"/>
        <v/>
      </c>
      <c r="M14" s="124" t="s">
        <v>1291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 t="shared" si="2"/>
        <v/>
      </c>
      <c r="M15" s="124" t="s">
        <v>1292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889</v>
      </c>
      <c r="K16" s="17">
        <f t="shared" si="1"/>
        <v>10</v>
      </c>
      <c r="L16" s="384" t="str">
        <f t="shared" si="2"/>
        <v>Large_0.6_None_10</v>
      </c>
      <c r="M16" s="124" t="s">
        <v>1293</v>
      </c>
      <c r="N16" s="245">
        <v>722869</v>
      </c>
    </row>
    <row r="17" spans="1:17" ht="15">
      <c r="A17" s="303" t="s">
        <v>802</v>
      </c>
      <c r="B17" s="299"/>
      <c r="C17" s="300">
        <v>1</v>
      </c>
      <c r="D17" t="s">
        <v>1280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 t="shared" si="2"/>
        <v/>
      </c>
      <c r="M17" s="124" t="s">
        <v>1294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1281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 t="shared" si="2"/>
        <v/>
      </c>
      <c r="M18" s="124" t="s">
        <v>1295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 t="shared" si="2"/>
        <v/>
      </c>
      <c r="M19" s="124" t="s">
        <v>1296</v>
      </c>
      <c r="N19" s="245">
        <v>723890</v>
      </c>
    </row>
    <row r="20" spans="1:17" ht="15" thickBot="1">
      <c r="A20" s="295">
        <v>1</v>
      </c>
      <c r="B20" s="307" t="s">
        <v>889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 t="shared" si="2"/>
        <v/>
      </c>
      <c r="M20" s="124" t="s">
        <v>1297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 t="shared" si="2"/>
        <v/>
      </c>
      <c r="M21" s="124" t="s">
        <v>1298</v>
      </c>
      <c r="N21" s="245">
        <v>747187</v>
      </c>
    </row>
    <row r="22" spans="1:17" ht="15">
      <c r="A22" s="303" t="s">
        <v>883</v>
      </c>
      <c r="B22" s="299"/>
      <c r="C22" s="300" t="s">
        <v>784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889</v>
      </c>
      <c r="K22" s="17">
        <f t="shared" si="1"/>
        <v>16</v>
      </c>
      <c r="L22" s="384" t="str">
        <f t="shared" si="2"/>
        <v>Large_0.6_None_16</v>
      </c>
      <c r="M22" s="124" t="s">
        <v>1299</v>
      </c>
      <c r="N22" s="245">
        <v>725845</v>
      </c>
    </row>
    <row r="23" spans="1:17" ht="15" thickBot="1">
      <c r="A23" s="293" t="s">
        <v>784</v>
      </c>
      <c r="B23" s="306" t="s">
        <v>889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23" si="3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785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1017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892</v>
      </c>
      <c r="B27" s="299"/>
      <c r="C27" s="300">
        <v>0.6</v>
      </c>
      <c r="D27" t="s">
        <v>1282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4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889</v>
      </c>
      <c r="C29" s="294">
        <f t="shared" si="4"/>
        <v>5</v>
      </c>
      <c r="F29" s="245"/>
      <c r="J29" s="245"/>
      <c r="M29" s="245"/>
      <c r="P29" s="245"/>
    </row>
    <row r="30" spans="1:17">
      <c r="A30" s="293">
        <v>3</v>
      </c>
      <c r="B30" s="314" t="s">
        <v>889</v>
      </c>
      <c r="C30" s="294">
        <f t="shared" si="4"/>
        <v>3</v>
      </c>
      <c r="F30" s="245"/>
      <c r="J30" s="245"/>
      <c r="M30" s="245"/>
      <c r="P30" s="245"/>
    </row>
    <row r="31" spans="1:17">
      <c r="A31" s="293">
        <v>2</v>
      </c>
      <c r="B31" s="314" t="s">
        <v>889</v>
      </c>
      <c r="C31" s="294">
        <f t="shared" si="4"/>
        <v>2</v>
      </c>
      <c r="F31" s="245"/>
      <c r="J31" s="245"/>
      <c r="M31" s="245"/>
      <c r="P31" s="245"/>
    </row>
    <row r="32" spans="1:17">
      <c r="A32" s="293">
        <v>1</v>
      </c>
      <c r="B32" s="314" t="s">
        <v>889</v>
      </c>
      <c r="C32" s="294">
        <f t="shared" si="4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889</v>
      </c>
      <c r="C33" s="296">
        <f t="shared" si="4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809</v>
      </c>
      <c r="B35" s="299"/>
      <c r="C35" s="300" t="s">
        <v>1170</v>
      </c>
    </row>
    <row r="36" spans="1:16">
      <c r="A36" s="293" t="s">
        <v>807</v>
      </c>
      <c r="B36" s="306"/>
      <c r="C36" s="294" t="str">
        <f>IF(B36&lt;&gt;"",A36,"")</f>
        <v/>
      </c>
    </row>
    <row r="37" spans="1:16">
      <c r="A37" s="293" t="s">
        <v>808</v>
      </c>
      <c r="B37" s="306"/>
      <c r="C37" s="294" t="str">
        <f>IF(B37&lt;&gt;"",A37,"")</f>
        <v/>
      </c>
    </row>
    <row r="38" spans="1:16" ht="15" thickBot="1">
      <c r="A38" s="295" t="s">
        <v>1170</v>
      </c>
      <c r="B38" s="307" t="s">
        <v>889</v>
      </c>
      <c r="C38" s="296" t="str">
        <f>IF(B38&lt;&gt;"",A38,"")</f>
        <v>Simple Exhaust</v>
      </c>
    </row>
    <row r="39" spans="1:16" s="245" customFormat="1" ht="15" thickBot="1">
      <c r="A39" s="17"/>
      <c r="B39" s="527"/>
      <c r="C39" s="296"/>
    </row>
    <row r="40" spans="1:16" ht="15" thickBot="1"/>
    <row r="41" spans="1:16" ht="15">
      <c r="A41" s="303" t="s">
        <v>1041</v>
      </c>
      <c r="B41" s="299"/>
      <c r="C41" s="300" t="s">
        <v>1112</v>
      </c>
    </row>
    <row r="42" spans="1:16">
      <c r="A42" s="293" t="s">
        <v>1020</v>
      </c>
      <c r="B42" s="306"/>
      <c r="C42" s="294" t="str">
        <f>IF(B42&lt;&gt;"",A42,"")</f>
        <v/>
      </c>
    </row>
    <row r="43" spans="1:16">
      <c r="A43" s="293" t="s">
        <v>1112</v>
      </c>
      <c r="B43" s="306" t="s">
        <v>889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1165</v>
      </c>
      <c r="B46" s="299"/>
      <c r="C46" s="300" t="s">
        <v>840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840</v>
      </c>
      <c r="B47" s="313" t="s">
        <v>889</v>
      </c>
      <c r="C47" s="294" t="str">
        <f>IF(B47&lt;&gt;"",A47,"")</f>
        <v>occ_full.txt</v>
      </c>
    </row>
    <row r="48" spans="1:16">
      <c r="A48" s="293" t="s">
        <v>1166</v>
      </c>
      <c r="B48" s="314"/>
      <c r="C48" s="294" t="str">
        <f t="shared" ref="C48:C49" si="5">IF(B48&lt;&gt;"",A48,"")</f>
        <v/>
      </c>
    </row>
    <row r="49" spans="1:4">
      <c r="A49" s="452" t="s">
        <v>1167</v>
      </c>
      <c r="B49" s="453"/>
      <c r="C49" s="294" t="str">
        <f t="shared" si="5"/>
        <v/>
      </c>
    </row>
    <row r="50" spans="1:4" s="245" customFormat="1">
      <c r="A50" s="17" t="s">
        <v>1179</v>
      </c>
      <c r="B50" s="453"/>
      <c r="C50" s="294" t="str">
        <f t="shared" ref="C50" si="6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1168</v>
      </c>
      <c r="B52" s="299"/>
      <c r="C52" s="300" t="s">
        <v>1177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1177</v>
      </c>
      <c r="B53" s="313" t="s">
        <v>889</v>
      </c>
      <c r="C53" s="294" t="str">
        <f>IF(B53&lt;&gt;"",A53,"")</f>
        <v>REGCAP_FanSchedule_1stShift.txt</v>
      </c>
    </row>
    <row r="54" spans="1:4">
      <c r="A54" s="452" t="s">
        <v>1178</v>
      </c>
      <c r="B54" s="453"/>
      <c r="C54" s="294" t="str">
        <f>IF(B54&lt;&gt;"",A54,"")</f>
        <v/>
      </c>
    </row>
    <row r="55" spans="1:4">
      <c r="A55" s="17" t="s">
        <v>1180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1331</v>
      </c>
      <c r="B57" s="299"/>
      <c r="C57" s="300" t="s">
        <v>1373</v>
      </c>
    </row>
    <row r="58" spans="1:4">
      <c r="A58" s="525" t="s">
        <v>1400</v>
      </c>
      <c r="B58" t="s">
        <v>889</v>
      </c>
      <c r="C58" s="526" t="str">
        <f>IF(B58&lt;&gt;"",A58,"")</f>
        <v>2010noInf</v>
      </c>
    </row>
    <row r="59" spans="1:4">
      <c r="A59" s="516" t="s">
        <v>1329</v>
      </c>
      <c r="B59" t="s">
        <v>889</v>
      </c>
      <c r="C59" s="294" t="str">
        <f>IF(B59&lt;&gt;"",A59,"")</f>
        <v>2013Inf</v>
      </c>
    </row>
    <row r="60" spans="1:4">
      <c r="A60" t="s">
        <v>1330</v>
      </c>
      <c r="B60" t="s">
        <v>889</v>
      </c>
      <c r="C60" s="294" t="str">
        <f>IF(B60&lt;&gt;"",A60,"")</f>
        <v>2013noInf</v>
      </c>
    </row>
    <row r="61" spans="1:4">
      <c r="A61" t="s">
        <v>1336</v>
      </c>
      <c r="B61" t="s">
        <v>889</v>
      </c>
      <c r="C61" s="294" t="str">
        <f>IF(B61&lt;&gt;"",A61,"")</f>
        <v>2016InfPhi</v>
      </c>
    </row>
    <row r="62" spans="1:4">
      <c r="A62" t="s">
        <v>1373</v>
      </c>
      <c r="B62" t="s">
        <v>889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tabSelected="1" workbookViewId="0">
      <pane ySplit="1" topLeftCell="A104" activePane="bottomLeft" state="frozen"/>
      <selection pane="bottomLeft" activeCell="C125" sqref="C125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896</v>
      </c>
      <c r="B1" s="245" t="s">
        <v>908</v>
      </c>
      <c r="C1" s="245" t="s">
        <v>474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842</v>
      </c>
      <c r="B2" t="s">
        <v>897</v>
      </c>
      <c r="C2" s="339" t="str">
        <f>Weather!B52</f>
        <v>CZ01RV2.epw</v>
      </c>
      <c r="D2" t="s">
        <v>834</v>
      </c>
      <c r="G2" t="s">
        <v>1016</v>
      </c>
      <c r="I2" s="285" t="s">
        <v>1054</v>
      </c>
    </row>
    <row r="3" spans="1:23">
      <c r="B3" s="245" t="s">
        <v>830</v>
      </c>
      <c r="C3" s="338" t="str">
        <f>fanSchedule</f>
        <v>REGCAP_FanSchedule_1stShift.txt</v>
      </c>
      <c r="D3" t="s">
        <v>835</v>
      </c>
      <c r="G3" t="s">
        <v>317</v>
      </c>
      <c r="I3" s="309" t="s">
        <v>1055</v>
      </c>
    </row>
    <row r="4" spans="1:23">
      <c r="B4" s="245" t="s">
        <v>831</v>
      </c>
      <c r="C4" s="309" t="s">
        <v>1374</v>
      </c>
      <c r="D4" t="s">
        <v>836</v>
      </c>
      <c r="G4" t="s">
        <v>11</v>
      </c>
      <c r="I4" s="338" t="s">
        <v>1078</v>
      </c>
    </row>
    <row r="5" spans="1:23">
      <c r="B5" s="245" t="s">
        <v>832</v>
      </c>
      <c r="C5" s="309" t="str">
        <f>occSchedule</f>
        <v>occ_full.txt</v>
      </c>
      <c r="D5" t="s">
        <v>837</v>
      </c>
      <c r="G5" t="s">
        <v>11</v>
      </c>
      <c r="I5" s="339" t="s">
        <v>1056</v>
      </c>
    </row>
    <row r="6" spans="1:23">
      <c r="A6" s="334"/>
      <c r="B6" s="334" t="s">
        <v>833</v>
      </c>
      <c r="C6" s="309" t="s">
        <v>839</v>
      </c>
      <c r="D6" s="334" t="s">
        <v>838</v>
      </c>
      <c r="E6" s="334"/>
      <c r="F6" s="334"/>
      <c r="G6" s="334" t="s">
        <v>11</v>
      </c>
      <c r="W6" s="5"/>
    </row>
    <row r="7" spans="1:23">
      <c r="A7" s="1" t="s">
        <v>841</v>
      </c>
      <c r="B7" t="s">
        <v>1140</v>
      </c>
      <c r="C7" s="340">
        <f>Leakage!B4</f>
        <v>9.1024395236017248E-3</v>
      </c>
      <c r="D7" t="s">
        <v>915</v>
      </c>
      <c r="E7" t="s">
        <v>5</v>
      </c>
      <c r="F7" t="s">
        <v>6</v>
      </c>
      <c r="G7" t="s">
        <v>7</v>
      </c>
      <c r="W7" s="5"/>
    </row>
    <row r="8" spans="1:23">
      <c r="B8" t="s">
        <v>885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1135</v>
      </c>
      <c r="C9" s="341">
        <f>VLOOKUP(Stories, InfiltrationModelCoefficients!A3:B5, 2, FALSE)</f>
        <v>0.59</v>
      </c>
      <c r="D9" s="245" t="s">
        <v>1142</v>
      </c>
      <c r="W9" s="254"/>
    </row>
    <row r="10" spans="1:23" s="245" customFormat="1">
      <c r="B10" s="221" t="s">
        <v>1128</v>
      </c>
      <c r="C10" s="341">
        <f>IF(Nflue=0,InfiltrationModelCoefficients!C10,VLOOKUP(Stories,InfiltrationModelCoefficients!A11:C13,3,FALSE))</f>
        <v>0.5</v>
      </c>
      <c r="D10" s="221" t="s">
        <v>1143</v>
      </c>
      <c r="W10" s="254"/>
    </row>
    <row r="11" spans="1:23" s="245" customFormat="1">
      <c r="B11" s="221" t="s">
        <v>1137</v>
      </c>
      <c r="C11" s="341">
        <f>IF(Nflue=0,VLOOKUP(Stories, InfiltrationModelCoefficients!A28:C30,3,FALSE),VLOOKUP(Stories,InfiltrationModelCoefficients!A31:C33,3,FALSE))</f>
        <v>7.8E-2</v>
      </c>
      <c r="D11" s="221" t="s">
        <v>1144</v>
      </c>
      <c r="W11" s="254"/>
    </row>
    <row r="12" spans="1:23" s="245" customFormat="1">
      <c r="B12" s="221" t="s">
        <v>1141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1145</v>
      </c>
      <c r="W12" s="254"/>
    </row>
    <row r="13" spans="1:23">
      <c r="B13" t="s">
        <v>884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1386</v>
      </c>
      <c r="E14" s="266" t="s">
        <v>1376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1387</v>
      </c>
      <c r="E15" s="523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898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1079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910</v>
      </c>
      <c r="C18" s="343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911</v>
      </c>
      <c r="C19" s="350">
        <f>Flue!C11</f>
        <v>-99</v>
      </c>
      <c r="D19" t="s">
        <v>398</v>
      </c>
      <c r="E19" t="s">
        <v>25</v>
      </c>
      <c r="G19" s="245" t="s">
        <v>21</v>
      </c>
      <c r="W19" s="5"/>
    </row>
    <row r="20" spans="1:25">
      <c r="B20" s="245" t="s">
        <v>1080</v>
      </c>
      <c r="C20" s="425">
        <f>Flue!D10</f>
        <v>1.9281086206186945E-2</v>
      </c>
      <c r="E20" t="s">
        <v>479</v>
      </c>
      <c r="G20" t="s">
        <v>21</v>
      </c>
      <c r="W20" s="5"/>
    </row>
    <row r="21" spans="1:25">
      <c r="B21" s="245" t="s">
        <v>913</v>
      </c>
      <c r="C21" s="343">
        <f>H_flueSI</f>
        <v>8.6359997236480091</v>
      </c>
      <c r="D21" t="s">
        <v>22</v>
      </c>
      <c r="G21" t="s">
        <v>23</v>
      </c>
      <c r="W21" s="5"/>
    </row>
    <row r="22" spans="1:25">
      <c r="A22" s="334"/>
      <c r="B22" s="334" t="s">
        <v>914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899</v>
      </c>
      <c r="C23" s="343">
        <f>Leakage!B12</f>
        <v>0.31645569620253167</v>
      </c>
      <c r="D23" t="s">
        <v>371</v>
      </c>
      <c r="E23" s="266" t="s">
        <v>28</v>
      </c>
      <c r="G23" t="s">
        <v>7</v>
      </c>
      <c r="W23" s="5"/>
    </row>
    <row r="24" spans="1:25">
      <c r="B24" t="s">
        <v>900</v>
      </c>
      <c r="C24" s="343">
        <f>Leakage!B13</f>
        <v>0.31645569620253167</v>
      </c>
      <c r="D24" t="s">
        <v>372</v>
      </c>
      <c r="E24" s="266"/>
      <c r="G24" t="s">
        <v>7</v>
      </c>
      <c r="W24" s="5"/>
    </row>
    <row r="25" spans="1:25">
      <c r="B25" t="s">
        <v>901</v>
      </c>
      <c r="C25" s="343">
        <f>Leakage!B14</f>
        <v>0.18354430379746839</v>
      </c>
      <c r="D25" t="s">
        <v>373</v>
      </c>
      <c r="E25" s="266"/>
      <c r="G25" t="s">
        <v>7</v>
      </c>
      <c r="W25" s="5"/>
    </row>
    <row r="26" spans="1:25">
      <c r="B26" s="334" t="s">
        <v>902</v>
      </c>
      <c r="C26" s="343">
        <f>Leakage!B15</f>
        <v>0.18354430379746839</v>
      </c>
      <c r="D26" s="334" t="s">
        <v>374</v>
      </c>
      <c r="E26" s="523"/>
      <c r="F26" s="334"/>
      <c r="G26" s="334" t="s">
        <v>7</v>
      </c>
      <c r="W26" s="5"/>
    </row>
    <row r="27" spans="1:25">
      <c r="B27" t="s">
        <v>903</v>
      </c>
      <c r="C27" s="343">
        <f>Leakage!B16</f>
        <v>0.31645569620253167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904</v>
      </c>
      <c r="C28" s="343">
        <f>Leakage!B17</f>
        <v>0.31645569620253167</v>
      </c>
      <c r="D28" t="s">
        <v>34</v>
      </c>
      <c r="E28" s="266"/>
      <c r="G28" t="s">
        <v>7</v>
      </c>
      <c r="W28" s="5"/>
      <c r="Y28" s="124"/>
    </row>
    <row r="29" spans="1:25">
      <c r="B29" t="s">
        <v>905</v>
      </c>
      <c r="C29" s="343">
        <f>Leakage!B18</f>
        <v>0.18354430379746839</v>
      </c>
      <c r="D29" t="s">
        <v>35</v>
      </c>
      <c r="E29" s="266"/>
      <c r="G29" t="s">
        <v>7</v>
      </c>
    </row>
    <row r="30" spans="1:25">
      <c r="B30" s="334" t="s">
        <v>906</v>
      </c>
      <c r="C30" s="343">
        <f>Leakage!B19</f>
        <v>0.18354430379746839</v>
      </c>
      <c r="D30" s="334" t="s">
        <v>921</v>
      </c>
      <c r="E30" s="523"/>
      <c r="F30" s="334"/>
      <c r="G30" s="334" t="s">
        <v>7</v>
      </c>
    </row>
    <row r="31" spans="1:25">
      <c r="B31" t="s">
        <v>907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916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1010</v>
      </c>
      <c r="B33" t="s">
        <v>382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917</v>
      </c>
      <c r="C34" s="330" t="s">
        <v>15</v>
      </c>
      <c r="D34" t="s">
        <v>1401</v>
      </c>
      <c r="E34" s="522" t="s">
        <v>1375</v>
      </c>
      <c r="G34" t="s">
        <v>11</v>
      </c>
    </row>
    <row r="35" spans="1:7">
      <c r="B35" t="s">
        <v>918</v>
      </c>
      <c r="C35" s="345">
        <f>V_houseSI</f>
        <v>729.1581126273195</v>
      </c>
      <c r="D35" t="s">
        <v>40</v>
      </c>
      <c r="G35" t="s">
        <v>14</v>
      </c>
    </row>
    <row r="36" spans="1:7">
      <c r="B36" t="s">
        <v>919</v>
      </c>
      <c r="C36" s="345">
        <f>A_houseSI</f>
        <v>250.82999999999998</v>
      </c>
      <c r="D36" t="s">
        <v>41</v>
      </c>
      <c r="E36" t="s">
        <v>922</v>
      </c>
      <c r="F36" t="s">
        <v>42</v>
      </c>
      <c r="G36" t="s">
        <v>14</v>
      </c>
    </row>
    <row r="37" spans="1:7">
      <c r="B37" t="s">
        <v>920</v>
      </c>
      <c r="C37" s="345">
        <f>planareaSI</f>
        <v>134.70499999999998</v>
      </c>
      <c r="D37" t="s">
        <v>381</v>
      </c>
      <c r="G37" t="s">
        <v>14</v>
      </c>
    </row>
    <row r="38" spans="1:7">
      <c r="B38" t="s">
        <v>843</v>
      </c>
      <c r="C38" s="345">
        <f>H_storeySI</f>
        <v>2.743199912217603</v>
      </c>
      <c r="D38" t="s">
        <v>844</v>
      </c>
      <c r="G38" s="245" t="s">
        <v>14</v>
      </c>
    </row>
    <row r="39" spans="1:7">
      <c r="B39" t="s">
        <v>923</v>
      </c>
      <c r="C39" s="346">
        <f>UA!AC12</f>
        <v>57.001213744400005</v>
      </c>
      <c r="D39" t="s">
        <v>880</v>
      </c>
      <c r="E39" t="s">
        <v>928</v>
      </c>
      <c r="F39" t="s">
        <v>43</v>
      </c>
      <c r="G39" t="s">
        <v>44</v>
      </c>
    </row>
    <row r="40" spans="1:7">
      <c r="B40" t="s">
        <v>924</v>
      </c>
      <c r="C40" s="346">
        <f>UA!AC14</f>
        <v>75.382164081239779</v>
      </c>
      <c r="D40" t="s">
        <v>881</v>
      </c>
      <c r="E40" t="s">
        <v>929</v>
      </c>
      <c r="F40" t="s">
        <v>43</v>
      </c>
      <c r="G40" t="s">
        <v>44</v>
      </c>
    </row>
    <row r="41" spans="1:7">
      <c r="A41" s="334"/>
      <c r="B41" s="334" t="s">
        <v>925</v>
      </c>
      <c r="C41" s="347">
        <f>UA!AC13</f>
        <v>91.149615359999984</v>
      </c>
      <c r="D41" s="334" t="s">
        <v>882</v>
      </c>
      <c r="E41" s="334" t="s">
        <v>930</v>
      </c>
      <c r="F41" s="334"/>
      <c r="G41" s="334" t="s">
        <v>44</v>
      </c>
    </row>
    <row r="42" spans="1:7">
      <c r="A42" s="245" t="s">
        <v>45</v>
      </c>
      <c r="B42" t="s">
        <v>926</v>
      </c>
      <c r="C42" s="335">
        <v>0</v>
      </c>
      <c r="D42" t="s">
        <v>46</v>
      </c>
      <c r="G42" t="s">
        <v>11</v>
      </c>
    </row>
    <row r="43" spans="1:7">
      <c r="B43" t="s">
        <v>845</v>
      </c>
      <c r="C43" s="330">
        <v>0</v>
      </c>
    </row>
    <row r="44" spans="1:7">
      <c r="B44" t="s">
        <v>846</v>
      </c>
      <c r="C44" s="330">
        <v>0</v>
      </c>
    </row>
    <row r="45" spans="1:7">
      <c r="B45" t="s">
        <v>847</v>
      </c>
      <c r="C45" s="330">
        <v>0</v>
      </c>
    </row>
    <row r="46" spans="1:7">
      <c r="B46" t="s">
        <v>848</v>
      </c>
      <c r="C46" s="330">
        <v>0</v>
      </c>
    </row>
    <row r="47" spans="1:7">
      <c r="A47" s="334"/>
      <c r="B47" s="334" t="s">
        <v>849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927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933</v>
      </c>
      <c r="C49" s="348">
        <f>Fans!B12</f>
        <v>0</v>
      </c>
      <c r="D49" t="s">
        <v>614</v>
      </c>
      <c r="G49" t="s">
        <v>49</v>
      </c>
    </row>
    <row r="50" spans="2:7">
      <c r="B50" t="s">
        <v>931</v>
      </c>
      <c r="C50" s="353">
        <f>Fans!B13</f>
        <v>0</v>
      </c>
      <c r="D50" t="s">
        <v>50</v>
      </c>
      <c r="G50" t="s">
        <v>49</v>
      </c>
    </row>
    <row r="51" spans="2:7">
      <c r="B51" s="334" t="s">
        <v>932</v>
      </c>
      <c r="C51" s="428">
        <f>Fans!B14</f>
        <v>1</v>
      </c>
      <c r="D51" s="334" t="s">
        <v>615</v>
      </c>
      <c r="E51" s="334"/>
      <c r="F51" s="334" t="s">
        <v>51</v>
      </c>
      <c r="G51" s="334" t="s">
        <v>49</v>
      </c>
    </row>
    <row r="52" spans="2:7">
      <c r="B52" s="245" t="s">
        <v>934</v>
      </c>
      <c r="C52" s="341">
        <f>Fans!I54</f>
        <v>0</v>
      </c>
      <c r="D52" t="s">
        <v>616</v>
      </c>
      <c r="G52" t="s">
        <v>49</v>
      </c>
    </row>
    <row r="53" spans="2:7">
      <c r="B53" s="245" t="s">
        <v>935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936</v>
      </c>
      <c r="C54" s="330">
        <v>23</v>
      </c>
      <c r="D54" s="334" t="s">
        <v>617</v>
      </c>
      <c r="E54" s="334"/>
      <c r="F54" s="334"/>
      <c r="G54" s="334"/>
    </row>
    <row r="55" spans="2:7">
      <c r="B55" s="245" t="s">
        <v>937</v>
      </c>
      <c r="C55" s="350">
        <f>Fans!I52</f>
        <v>37.200000000000003</v>
      </c>
      <c r="D55" t="s">
        <v>618</v>
      </c>
      <c r="G55" t="s">
        <v>49</v>
      </c>
    </row>
    <row r="56" spans="2:7">
      <c r="B56" s="245" t="s">
        <v>938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939</v>
      </c>
      <c r="C57" s="330">
        <v>24</v>
      </c>
      <c r="D57" s="334" t="s">
        <v>619</v>
      </c>
      <c r="E57" s="334"/>
      <c r="F57" s="334"/>
      <c r="G57" s="334"/>
    </row>
    <row r="58" spans="2:7">
      <c r="B58" s="245" t="s">
        <v>940</v>
      </c>
      <c r="C58" s="341">
        <f>IF(Fans!B6&gt;0,Fans!I51,0)</f>
        <v>10.199999999999999</v>
      </c>
      <c r="D58" t="s">
        <v>620</v>
      </c>
      <c r="G58" t="s">
        <v>49</v>
      </c>
    </row>
    <row r="59" spans="2:7">
      <c r="B59" s="245" t="s">
        <v>941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942</v>
      </c>
      <c r="C60" s="330">
        <v>25</v>
      </c>
      <c r="D60" s="334" t="s">
        <v>621</v>
      </c>
      <c r="E60" s="334"/>
      <c r="F60" s="334"/>
      <c r="G60" s="334"/>
    </row>
    <row r="61" spans="2:7">
      <c r="B61" s="245" t="s">
        <v>943</v>
      </c>
      <c r="C61" s="341">
        <f>IF(Fans!B6&gt;1,Fans!I51,0)</f>
        <v>10.199999999999999</v>
      </c>
      <c r="D61" t="s">
        <v>500</v>
      </c>
      <c r="G61" s="245" t="s">
        <v>49</v>
      </c>
    </row>
    <row r="62" spans="2:7">
      <c r="B62" s="245" t="s">
        <v>944</v>
      </c>
      <c r="C62" s="349">
        <f>IF(Fans!B6&gt;1,Fans!C51,0)</f>
        <v>-2.3596035865974516E-2</v>
      </c>
      <c r="D62" t="s">
        <v>498</v>
      </c>
      <c r="G62" s="245" t="s">
        <v>49</v>
      </c>
    </row>
    <row r="63" spans="2:7">
      <c r="B63" s="334" t="s">
        <v>945</v>
      </c>
      <c r="C63" s="330">
        <v>26</v>
      </c>
      <c r="D63" s="334" t="s">
        <v>622</v>
      </c>
      <c r="E63" s="334"/>
      <c r="F63" s="334"/>
      <c r="G63" s="334"/>
    </row>
    <row r="64" spans="2:7">
      <c r="B64" s="245" t="s">
        <v>946</v>
      </c>
      <c r="C64" s="341">
        <f>IF(Fans!B6&gt;2,Fans!I51,0)</f>
        <v>0</v>
      </c>
      <c r="D64" t="s">
        <v>623</v>
      </c>
      <c r="G64" s="245" t="s">
        <v>49</v>
      </c>
    </row>
    <row r="65" spans="1:7">
      <c r="B65" s="245" t="s">
        <v>947</v>
      </c>
      <c r="C65" s="349">
        <f>IF(Fans!B6&gt;2,Fans!C51,0)</f>
        <v>0</v>
      </c>
      <c r="D65" t="s">
        <v>499</v>
      </c>
      <c r="G65" s="245" t="s">
        <v>49</v>
      </c>
    </row>
    <row r="66" spans="1:7">
      <c r="B66" s="334" t="s">
        <v>948</v>
      </c>
      <c r="C66" s="330">
        <v>0</v>
      </c>
      <c r="D66" s="334" t="s">
        <v>624</v>
      </c>
      <c r="E66" s="334"/>
      <c r="F66" s="334"/>
      <c r="G66" s="334"/>
    </row>
    <row r="67" spans="1:7">
      <c r="B67" s="245" t="s">
        <v>949</v>
      </c>
      <c r="C67" s="337">
        <f>IF(Airtightness&lt;=1,Fans!B12,0)</f>
        <v>0</v>
      </c>
      <c r="D67" t="s">
        <v>1015</v>
      </c>
      <c r="G67" s="245"/>
    </row>
    <row r="68" spans="1:7">
      <c r="B68" s="245" t="s">
        <v>950</v>
      </c>
      <c r="C68" s="331">
        <f>IF(Airtightness&lt;=1,ABS(Fans!B13),0)</f>
        <v>0</v>
      </c>
      <c r="D68" t="s">
        <v>1402</v>
      </c>
      <c r="G68" s="245"/>
    </row>
    <row r="69" spans="1:7">
      <c r="B69" s="334" t="s">
        <v>951</v>
      </c>
      <c r="C69" s="330">
        <f>IF(Airtightness&lt;=1,1,0)</f>
        <v>1</v>
      </c>
      <c r="D69" s="334" t="s">
        <v>1404</v>
      </c>
      <c r="E69" s="334"/>
      <c r="F69" s="334"/>
      <c r="G69" s="334"/>
    </row>
    <row r="70" spans="1:7">
      <c r="B70" s="245" t="s">
        <v>952</v>
      </c>
      <c r="C70" s="337">
        <v>0</v>
      </c>
      <c r="D70" t="s">
        <v>1014</v>
      </c>
      <c r="G70" s="245"/>
    </row>
    <row r="71" spans="1:7">
      <c r="B71" s="245" t="s">
        <v>953</v>
      </c>
      <c r="C71" s="331">
        <v>0</v>
      </c>
      <c r="D71" t="s">
        <v>1403</v>
      </c>
      <c r="G71" s="245"/>
    </row>
    <row r="72" spans="1:7">
      <c r="A72" s="334"/>
      <c r="B72" s="334" t="s">
        <v>954</v>
      </c>
      <c r="C72" s="330">
        <v>0</v>
      </c>
      <c r="D72" s="334" t="s">
        <v>1405</v>
      </c>
      <c r="E72" s="334"/>
      <c r="F72" s="334"/>
      <c r="G72" s="334"/>
    </row>
    <row r="73" spans="1:7">
      <c r="A73" s="245" t="s">
        <v>56</v>
      </c>
      <c r="B73" t="s">
        <v>383</v>
      </c>
      <c r="C73" s="343">
        <f>A_windowSI*SUM(Geometry!D45:D46)</f>
        <v>18.415367088607596</v>
      </c>
      <c r="D73" t="s">
        <v>57</v>
      </c>
      <c r="E73" t="s">
        <v>1398</v>
      </c>
      <c r="G73" t="s">
        <v>14</v>
      </c>
    </row>
    <row r="74" spans="1:7">
      <c r="B74" t="s">
        <v>384</v>
      </c>
      <c r="C74" s="343">
        <f>A_windowSI*Geometry!D43</f>
        <v>15.875316455696202</v>
      </c>
      <c r="D74" t="s">
        <v>58</v>
      </c>
      <c r="E74" s="245" t="s">
        <v>1398</v>
      </c>
      <c r="G74" t="s">
        <v>14</v>
      </c>
    </row>
    <row r="75" spans="1:7">
      <c r="B75" t="s">
        <v>385</v>
      </c>
      <c r="C75" s="343">
        <f>A_windowSI*Geometry!D44</f>
        <v>15.875316455696202</v>
      </c>
      <c r="D75" t="s">
        <v>475</v>
      </c>
      <c r="E75" s="245" t="s">
        <v>1398</v>
      </c>
      <c r="G75" t="s">
        <v>14</v>
      </c>
    </row>
    <row r="76" spans="1:7">
      <c r="B76" t="s">
        <v>955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956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957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958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959</v>
      </c>
      <c r="C80" s="352">
        <f>'Internal gains'!D6</f>
        <v>942.60453302071107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960</v>
      </c>
      <c r="C81" s="345">
        <f>V_atticSI</f>
        <v>171.07534452558892</v>
      </c>
      <c r="D81" t="s">
        <v>476</v>
      </c>
      <c r="G81" s="245" t="s">
        <v>14</v>
      </c>
    </row>
    <row r="82" spans="1:7">
      <c r="B82" t="s">
        <v>961</v>
      </c>
      <c r="C82" s="343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962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963</v>
      </c>
      <c r="C84" s="341">
        <f>Attic!D18</f>
        <v>0.2848101265822785</v>
      </c>
      <c r="D84" t="s">
        <v>74</v>
      </c>
      <c r="E84" s="266" t="s">
        <v>27</v>
      </c>
      <c r="G84" t="s">
        <v>70</v>
      </c>
    </row>
    <row r="85" spans="1:7">
      <c r="B85" t="s">
        <v>964</v>
      </c>
      <c r="C85" s="341">
        <f>Attic!D19</f>
        <v>0.2848101265822785</v>
      </c>
      <c r="D85" t="s">
        <v>75</v>
      </c>
      <c r="E85" s="266" t="s">
        <v>29</v>
      </c>
      <c r="G85" t="s">
        <v>70</v>
      </c>
    </row>
    <row r="86" spans="1:7">
      <c r="B86" t="s">
        <v>965</v>
      </c>
      <c r="C86" s="341">
        <f>Attic!D20</f>
        <v>0.16518987341772157</v>
      </c>
      <c r="D86" t="s">
        <v>76</v>
      </c>
      <c r="E86" s="266" t="s">
        <v>30</v>
      </c>
      <c r="G86" t="s">
        <v>70</v>
      </c>
    </row>
    <row r="87" spans="1:7">
      <c r="B87" t="s">
        <v>966</v>
      </c>
      <c r="C87" s="341">
        <f>Attic!D21</f>
        <v>0.16518987341772157</v>
      </c>
      <c r="D87" t="s">
        <v>77</v>
      </c>
      <c r="E87" s="266" t="s">
        <v>31</v>
      </c>
      <c r="G87" t="s">
        <v>70</v>
      </c>
    </row>
    <row r="88" spans="1:7">
      <c r="B88" s="334" t="s">
        <v>967</v>
      </c>
      <c r="C88" s="342">
        <f>Attic!D22</f>
        <v>0.1</v>
      </c>
      <c r="D88" s="334" t="s">
        <v>78</v>
      </c>
      <c r="E88" s="523"/>
      <c r="F88" s="334"/>
      <c r="G88" s="334" t="s">
        <v>70</v>
      </c>
    </row>
    <row r="89" spans="1:7">
      <c r="B89" t="s">
        <v>968</v>
      </c>
      <c r="C89" s="341">
        <f>H_soffitSI</f>
        <v>6.095999804928006</v>
      </c>
      <c r="D89" t="s">
        <v>79</v>
      </c>
      <c r="E89" s="266"/>
      <c r="G89" t="s">
        <v>14</v>
      </c>
    </row>
    <row r="90" spans="1:7">
      <c r="B90" t="s">
        <v>969</v>
      </c>
      <c r="C90" s="341">
        <f>H_soffitSI</f>
        <v>6.095999804928006</v>
      </c>
      <c r="D90" t="s">
        <v>80</v>
      </c>
      <c r="E90" s="266"/>
      <c r="G90" t="s">
        <v>14</v>
      </c>
    </row>
    <row r="91" spans="1:7">
      <c r="B91" t="s">
        <v>970</v>
      </c>
      <c r="C91" s="341">
        <f>H_soffitSI</f>
        <v>6.095999804928006</v>
      </c>
      <c r="D91" t="s">
        <v>81</v>
      </c>
      <c r="E91" s="266"/>
      <c r="G91" t="s">
        <v>14</v>
      </c>
    </row>
    <row r="92" spans="1:7">
      <c r="A92" s="334"/>
      <c r="B92" s="334" t="s">
        <v>971</v>
      </c>
      <c r="C92" s="342">
        <f>H_soffitSI</f>
        <v>6.095999804928006</v>
      </c>
      <c r="D92" s="334" t="s">
        <v>82</v>
      </c>
      <c r="E92" s="523"/>
      <c r="F92" s="334"/>
      <c r="G92" s="334" t="s">
        <v>14</v>
      </c>
    </row>
    <row r="93" spans="1:7">
      <c r="A93" s="245" t="s">
        <v>83</v>
      </c>
      <c r="B93" t="s">
        <v>972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1082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1083</v>
      </c>
      <c r="C95" s="343">
        <f>H_attic.ventSI</f>
        <v>7.3659997642880075</v>
      </c>
      <c r="D95" t="s">
        <v>86</v>
      </c>
      <c r="E95" s="266"/>
      <c r="G95" s="245" t="s">
        <v>14</v>
      </c>
    </row>
    <row r="96" spans="1:7">
      <c r="B96" t="s">
        <v>1084</v>
      </c>
      <c r="C96" s="343">
        <f>Attic!D10/2</f>
        <v>0.22450833333333331</v>
      </c>
      <c r="D96" t="s">
        <v>87</v>
      </c>
      <c r="E96" s="266"/>
      <c r="G96" t="s">
        <v>70</v>
      </c>
    </row>
    <row r="97" spans="1:7">
      <c r="B97" s="334" t="s">
        <v>1085</v>
      </c>
      <c r="C97" s="330">
        <v>0.5</v>
      </c>
      <c r="D97" s="334" t="s">
        <v>88</v>
      </c>
      <c r="E97" s="523"/>
      <c r="F97" s="334"/>
      <c r="G97" s="334" t="s">
        <v>11</v>
      </c>
    </row>
    <row r="98" spans="1:7">
      <c r="B98" s="245" t="s">
        <v>1086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1087</v>
      </c>
      <c r="C99" s="343">
        <f>H_attic.ventSI</f>
        <v>7.3659997642880075</v>
      </c>
      <c r="D99" t="s">
        <v>86</v>
      </c>
      <c r="E99" s="266"/>
      <c r="G99" s="245" t="s">
        <v>14</v>
      </c>
    </row>
    <row r="100" spans="1:7">
      <c r="B100" s="245" t="s">
        <v>1088</v>
      </c>
      <c r="C100" s="343">
        <f>Attic!D10/2</f>
        <v>0.22450833333333331</v>
      </c>
      <c r="D100" t="s">
        <v>87</v>
      </c>
      <c r="E100" s="266"/>
      <c r="G100" t="s">
        <v>70</v>
      </c>
    </row>
    <row r="101" spans="1:7">
      <c r="A101" s="334"/>
      <c r="B101" s="334" t="s">
        <v>1089</v>
      </c>
      <c r="C101" s="330">
        <v>0.5</v>
      </c>
      <c r="D101" s="334" t="s">
        <v>88</v>
      </c>
      <c r="E101" s="523"/>
      <c r="F101" s="334"/>
      <c r="G101" s="334" t="s">
        <v>11</v>
      </c>
    </row>
    <row r="102" spans="1:7">
      <c r="A102" s="245" t="s">
        <v>146</v>
      </c>
      <c r="B102" t="s">
        <v>973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974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975</v>
      </c>
      <c r="C104" s="345">
        <f>H_peak</f>
        <v>8.6359997236480091</v>
      </c>
      <c r="D104" s="254" t="s">
        <v>392</v>
      </c>
      <c r="E104" s="254"/>
      <c r="F104" s="254"/>
      <c r="G104" s="3" t="s">
        <v>14</v>
      </c>
    </row>
    <row r="105" spans="1:7">
      <c r="B105" t="s">
        <v>976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977</v>
      </c>
    </row>
    <row r="107" spans="1:7">
      <c r="B107" t="s">
        <v>978</v>
      </c>
    </row>
    <row r="108" spans="1:7">
      <c r="B108" t="s">
        <v>979</v>
      </c>
    </row>
    <row r="109" spans="1:7">
      <c r="B109" t="s">
        <v>980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981</v>
      </c>
      <c r="C110" s="330">
        <v>5</v>
      </c>
      <c r="D110" s="96" t="s">
        <v>1427</v>
      </c>
      <c r="E110" s="96"/>
      <c r="F110" s="96"/>
      <c r="G110" s="336" t="s">
        <v>11</v>
      </c>
    </row>
    <row r="111" spans="1:7">
      <c r="A111" s="245" t="s">
        <v>95</v>
      </c>
      <c r="B111" t="s">
        <v>982</v>
      </c>
      <c r="C111" s="335">
        <v>0</v>
      </c>
      <c r="D111" s="254" t="s">
        <v>503</v>
      </c>
      <c r="E111" s="254"/>
      <c r="F111" s="254"/>
      <c r="G111" s="3" t="s">
        <v>11</v>
      </c>
    </row>
    <row r="112" spans="1:7">
      <c r="B112" t="s">
        <v>983</v>
      </c>
      <c r="C112" s="353">
        <f>Ducts!I14</f>
        <v>0.05</v>
      </c>
      <c r="D112" s="254" t="s">
        <v>96</v>
      </c>
      <c r="E112" s="254"/>
      <c r="F112" s="254"/>
      <c r="G112" s="3" t="s">
        <v>97</v>
      </c>
    </row>
    <row r="113" spans="1:7">
      <c r="B113" t="s">
        <v>984</v>
      </c>
      <c r="C113" s="353">
        <f>Ducts!I14</f>
        <v>0.05</v>
      </c>
      <c r="D113" s="254" t="s">
        <v>98</v>
      </c>
      <c r="E113" s="254"/>
      <c r="F113" s="254"/>
      <c r="G113" s="3" t="s">
        <v>97</v>
      </c>
    </row>
    <row r="114" spans="1:7">
      <c r="B114" t="s">
        <v>99</v>
      </c>
      <c r="C114" s="353">
        <f>Ducts!I16</f>
        <v>1.5322296583303978</v>
      </c>
      <c r="D114" s="254" t="s">
        <v>100</v>
      </c>
      <c r="E114" s="254"/>
      <c r="F114" s="254"/>
      <c r="G114" s="3" t="s">
        <v>97</v>
      </c>
    </row>
    <row r="115" spans="1:7">
      <c r="B115" t="s">
        <v>101</v>
      </c>
      <c r="C115" s="353">
        <f>Ducts!I16</f>
        <v>1.5322296583303978</v>
      </c>
      <c r="D115" s="254" t="s">
        <v>102</v>
      </c>
      <c r="E115" s="254"/>
      <c r="F115" s="254"/>
      <c r="G115" s="3" t="s">
        <v>97</v>
      </c>
    </row>
    <row r="116" spans="1:7">
      <c r="B116" t="s">
        <v>1117</v>
      </c>
      <c r="C116" s="425">
        <v>2.5000000000000001E-2</v>
      </c>
      <c r="D116" s="257" t="s">
        <v>1119</v>
      </c>
      <c r="E116" s="254"/>
      <c r="F116" s="254"/>
      <c r="G116" s="3" t="s">
        <v>97</v>
      </c>
    </row>
    <row r="117" spans="1:7">
      <c r="B117" t="s">
        <v>1118</v>
      </c>
      <c r="C117" s="425">
        <v>2.5000000000000001E-2</v>
      </c>
      <c r="D117" s="257" t="s">
        <v>1120</v>
      </c>
      <c r="E117" s="254"/>
      <c r="F117" s="254"/>
      <c r="G117" s="3" t="s">
        <v>97</v>
      </c>
    </row>
    <row r="118" spans="1:7">
      <c r="B118" t="s">
        <v>985</v>
      </c>
      <c r="C118" s="345">
        <f>Ducts!D16</f>
        <v>56.050685570196265</v>
      </c>
      <c r="D118" s="254" t="s">
        <v>103</v>
      </c>
      <c r="E118" s="254"/>
      <c r="F118" s="254"/>
      <c r="G118" s="3" t="s">
        <v>97</v>
      </c>
    </row>
    <row r="119" spans="1:7">
      <c r="B119" t="s">
        <v>986</v>
      </c>
      <c r="C119" s="345">
        <f>Ducts!D17</f>
        <v>17.743173653116894</v>
      </c>
      <c r="D119" s="254" t="s">
        <v>104</v>
      </c>
      <c r="E119" s="254"/>
      <c r="F119" s="254"/>
      <c r="G119" s="3" t="s">
        <v>97</v>
      </c>
    </row>
    <row r="120" spans="1:7">
      <c r="B120" t="s">
        <v>987</v>
      </c>
      <c r="C120" s="341">
        <f>Ducts!D12</f>
        <v>0.25</v>
      </c>
      <c r="D120" s="254" t="s">
        <v>105</v>
      </c>
      <c r="E120" s="254"/>
      <c r="F120" s="254"/>
      <c r="G120" s="3" t="s">
        <v>97</v>
      </c>
    </row>
    <row r="121" spans="1:7">
      <c r="B121" t="s">
        <v>988</v>
      </c>
      <c r="C121" s="341">
        <f>Ducts!D13</f>
        <v>0.45</v>
      </c>
      <c r="D121" s="254" t="s">
        <v>477</v>
      </c>
      <c r="E121" s="254"/>
      <c r="F121" s="254"/>
      <c r="G121" s="3" t="s">
        <v>97</v>
      </c>
    </row>
    <row r="122" spans="1:7">
      <c r="B122" t="s">
        <v>989</v>
      </c>
      <c r="C122" s="353">
        <f>HVAC!B135</f>
        <v>0.28320000000000001</v>
      </c>
      <c r="D122" s="254" t="s">
        <v>629</v>
      </c>
      <c r="E122" s="254" t="str">
        <f>"q=" &amp;TEXT(Inputs!C122/0.3048^3*60,"0")&amp; " CFM"</f>
        <v>q=600 CFM</v>
      </c>
      <c r="F122" s="254"/>
      <c r="G122" s="3" t="s">
        <v>106</v>
      </c>
    </row>
    <row r="123" spans="1:7">
      <c r="B123" t="s">
        <v>990</v>
      </c>
      <c r="C123" s="353">
        <f>HVAC!B139</f>
        <v>0.19031039999999999</v>
      </c>
      <c r="D123" s="254" t="s">
        <v>107</v>
      </c>
      <c r="E123" s="254" t="str">
        <f>"q=" &amp;TEXT(Inputs!C123/0.3048^3*60,"0")&amp; " CFM"</f>
        <v>q=403 CFM</v>
      </c>
      <c r="F123" s="254"/>
      <c r="G123" s="3" t="s">
        <v>106</v>
      </c>
    </row>
    <row r="124" spans="1:7">
      <c r="B124" t="s">
        <v>108</v>
      </c>
      <c r="C124" s="341">
        <f>Ducts!D20</f>
        <v>0.6</v>
      </c>
      <c r="D124" s="254" t="s">
        <v>109</v>
      </c>
      <c r="E124" s="254"/>
      <c r="F124" s="254"/>
      <c r="G124" s="3" t="s">
        <v>97</v>
      </c>
    </row>
    <row r="125" spans="1:7">
      <c r="B125" t="s">
        <v>110</v>
      </c>
      <c r="C125" s="341">
        <f>Ducts!D21</f>
        <v>0.6</v>
      </c>
      <c r="D125" s="254" t="s">
        <v>111</v>
      </c>
      <c r="E125" s="254"/>
      <c r="F125" s="254"/>
      <c r="G125" s="3" t="s">
        <v>97</v>
      </c>
    </row>
    <row r="126" spans="1:7">
      <c r="B126" t="s">
        <v>112</v>
      </c>
      <c r="C126" s="355">
        <f>HVAC!B141</f>
        <v>1.0262880037676171E-3</v>
      </c>
      <c r="D126" s="254" t="s">
        <v>113</v>
      </c>
      <c r="E126" s="254"/>
      <c r="F126" s="254"/>
      <c r="G126" s="3" t="s">
        <v>106</v>
      </c>
    </row>
    <row r="127" spans="1:7">
      <c r="A127" s="334"/>
      <c r="B127" s="334" t="s">
        <v>114</v>
      </c>
      <c r="C127" s="355">
        <f>HVAC!B142</f>
        <v>1.0262880037676171E-3</v>
      </c>
      <c r="D127" s="96" t="s">
        <v>115</v>
      </c>
      <c r="E127" s="96"/>
      <c r="F127" s="96"/>
      <c r="G127" s="336" t="s">
        <v>106</v>
      </c>
    </row>
    <row r="128" spans="1:7">
      <c r="A128" s="245" t="s">
        <v>478</v>
      </c>
      <c r="B128" t="s">
        <v>387</v>
      </c>
      <c r="C128" s="353">
        <f>HVAC!B133</f>
        <v>1.5</v>
      </c>
      <c r="D128" s="254" t="s">
        <v>116</v>
      </c>
      <c r="E128" s="254" t="str">
        <f>"= "&amp;TEXT(Inputs!C128*12*1055/1000,"0.0")&amp;"kJ"</f>
        <v>= 19.0kJ</v>
      </c>
      <c r="F128" s="254"/>
      <c r="G128" s="3" t="s">
        <v>106</v>
      </c>
    </row>
    <row r="129" spans="1:7">
      <c r="B129" t="s">
        <v>388</v>
      </c>
      <c r="C129" s="356">
        <f>12*C128</f>
        <v>18</v>
      </c>
      <c r="D129" s="254" t="s">
        <v>117</v>
      </c>
      <c r="E129" s="254" t="str">
        <f>"= "&amp;TEXT(Inputs!C129*1055*1000/(3600)/1000,"0.0")&amp;"kW"</f>
        <v>= 5.3kW</v>
      </c>
      <c r="F129" s="254"/>
      <c r="G129" s="3" t="s">
        <v>106</v>
      </c>
    </row>
    <row r="130" spans="1:7">
      <c r="B130" t="s">
        <v>386</v>
      </c>
      <c r="C130" s="354">
        <f>HVAC!C10</f>
        <v>12.8</v>
      </c>
      <c r="D130" s="254" t="s">
        <v>118</v>
      </c>
      <c r="E130" s="254" t="s">
        <v>119</v>
      </c>
      <c r="F130" s="254"/>
      <c r="G130" s="3" t="s">
        <v>106</v>
      </c>
    </row>
    <row r="131" spans="1:7">
      <c r="B131" t="s">
        <v>991</v>
      </c>
      <c r="C131" s="354">
        <f>12000/1000*HVAC!B137</f>
        <v>24</v>
      </c>
      <c r="D131" s="254" t="s">
        <v>120</v>
      </c>
      <c r="E131" s="254" t="str">
        <f>"= "&amp;TEXT(Inputs!C131*1055*1000/(3600)/1000,"0.0")&amp;"kW"</f>
        <v>= 7.0kW</v>
      </c>
      <c r="F131" s="254"/>
      <c r="G131" s="3" t="s">
        <v>106</v>
      </c>
    </row>
    <row r="132" spans="1:7">
      <c r="B132" t="s">
        <v>992</v>
      </c>
      <c r="C132" s="354">
        <f>HVAC!B140</f>
        <v>161.28</v>
      </c>
      <c r="D132" s="254" t="s">
        <v>429</v>
      </c>
      <c r="E132" s="254"/>
      <c r="F132" s="254"/>
      <c r="G132" s="3" t="s">
        <v>106</v>
      </c>
    </row>
    <row r="133" spans="1:7">
      <c r="B133" t="s">
        <v>993</v>
      </c>
      <c r="C133" s="354">
        <f>HVAC!B136</f>
        <v>240</v>
      </c>
      <c r="D133" s="254" t="s">
        <v>430</v>
      </c>
      <c r="E133" s="254"/>
      <c r="F133" s="254"/>
      <c r="G133" s="3" t="s">
        <v>106</v>
      </c>
    </row>
    <row r="134" spans="1:7">
      <c r="B134" t="s">
        <v>389</v>
      </c>
      <c r="C134" s="330">
        <v>1</v>
      </c>
      <c r="D134" s="80" t="s">
        <v>431</v>
      </c>
      <c r="E134" s="254"/>
      <c r="F134" s="254"/>
      <c r="G134" s="3" t="s">
        <v>11</v>
      </c>
    </row>
    <row r="135" spans="1:7">
      <c r="A135" s="334"/>
      <c r="B135" s="334" t="s">
        <v>369</v>
      </c>
      <c r="C135" s="357">
        <f>HVAC!C14</f>
        <v>0.92</v>
      </c>
      <c r="D135" s="118" t="s">
        <v>428</v>
      </c>
      <c r="E135" s="96"/>
      <c r="F135" s="96"/>
      <c r="G135" s="336" t="s">
        <v>106</v>
      </c>
    </row>
    <row r="136" spans="1:7">
      <c r="A136" s="245" t="s">
        <v>1011</v>
      </c>
      <c r="B136" t="s">
        <v>994</v>
      </c>
      <c r="C136" s="359">
        <f>Nbedrooms</f>
        <v>4</v>
      </c>
      <c r="D136" t="s">
        <v>592</v>
      </c>
      <c r="G136" s="333" t="s">
        <v>317</v>
      </c>
    </row>
    <row r="137" spans="1:7">
      <c r="B137" t="s">
        <v>995</v>
      </c>
      <c r="C137" s="360">
        <f>Stories</f>
        <v>2</v>
      </c>
      <c r="D137" t="s">
        <v>636</v>
      </c>
      <c r="G137" s="333" t="s">
        <v>998</v>
      </c>
    </row>
    <row r="138" spans="1:7">
      <c r="B138" t="s">
        <v>593</v>
      </c>
      <c r="C138" s="358">
        <f>Weather!B44</f>
        <v>0.56000000000000005</v>
      </c>
      <c r="D138" t="s">
        <v>594</v>
      </c>
      <c r="G138" s="333" t="s">
        <v>1016</v>
      </c>
    </row>
    <row r="139" spans="1:7">
      <c r="B139" t="s">
        <v>850</v>
      </c>
      <c r="C139" s="330">
        <v>2</v>
      </c>
      <c r="D139" t="s">
        <v>859</v>
      </c>
      <c r="E139" t="s">
        <v>868</v>
      </c>
    </row>
    <row r="140" spans="1:7">
      <c r="B140" t="s">
        <v>1148</v>
      </c>
      <c r="C140" s="330">
        <f>Aeq/1000*3600/V_houseSI</f>
        <v>0.27216072421514559</v>
      </c>
      <c r="D140" t="s">
        <v>1149</v>
      </c>
    </row>
    <row r="141" spans="1:7" s="245" customFormat="1">
      <c r="B141" s="245" t="s">
        <v>1150</v>
      </c>
      <c r="C141" s="330">
        <v>2</v>
      </c>
      <c r="D141" s="245" t="s">
        <v>1153</v>
      </c>
      <c r="E141" s="245" t="s">
        <v>1151</v>
      </c>
    </row>
    <row r="142" spans="1:7" s="245" customFormat="1">
      <c r="B142" s="221" t="s">
        <v>1406</v>
      </c>
      <c r="C142" s="330">
        <f>IF(Airtightness&lt;=1,1,0)</f>
        <v>1</v>
      </c>
      <c r="D142" s="221" t="s">
        <v>1407</v>
      </c>
    </row>
    <row r="143" spans="1:7">
      <c r="A143" s="334"/>
      <c r="B143" s="334" t="s">
        <v>851</v>
      </c>
      <c r="C143" s="330">
        <v>0</v>
      </c>
      <c r="D143" s="334" t="s">
        <v>860</v>
      </c>
      <c r="E143" s="334" t="s">
        <v>869</v>
      </c>
      <c r="F143" s="334"/>
      <c r="G143" s="334"/>
    </row>
    <row r="144" spans="1:7">
      <c r="A144" s="245" t="s">
        <v>1012</v>
      </c>
      <c r="B144" t="s">
        <v>852</v>
      </c>
      <c r="C144" s="335">
        <v>0.82</v>
      </c>
      <c r="D144" t="s">
        <v>861</v>
      </c>
    </row>
    <row r="145" spans="1:7">
      <c r="B145" t="s">
        <v>853</v>
      </c>
      <c r="C145" s="330">
        <v>0.63</v>
      </c>
      <c r="D145" t="s">
        <v>862</v>
      </c>
      <c r="E145" t="s">
        <v>870</v>
      </c>
    </row>
    <row r="146" spans="1:7">
      <c r="B146" t="s">
        <v>854</v>
      </c>
      <c r="C146" s="330">
        <v>0.51</v>
      </c>
      <c r="D146" t="s">
        <v>863</v>
      </c>
      <c r="E146" t="s">
        <v>870</v>
      </c>
    </row>
    <row r="147" spans="1:7">
      <c r="B147" t="s">
        <v>855</v>
      </c>
      <c r="C147" s="330">
        <v>0</v>
      </c>
      <c r="D147" t="s">
        <v>864</v>
      </c>
      <c r="E147" t="s">
        <v>871</v>
      </c>
    </row>
    <row r="148" spans="1:7">
      <c r="B148" t="s">
        <v>856</v>
      </c>
      <c r="C148" s="330">
        <v>8</v>
      </c>
      <c r="D148" t="s">
        <v>865</v>
      </c>
      <c r="E148" t="s">
        <v>872</v>
      </c>
    </row>
    <row r="149" spans="1:7">
      <c r="B149" t="s">
        <v>857</v>
      </c>
      <c r="C149" s="330">
        <v>0</v>
      </c>
      <c r="D149" t="s">
        <v>866</v>
      </c>
      <c r="E149" t="s">
        <v>873</v>
      </c>
    </row>
    <row r="150" spans="1:7">
      <c r="A150" s="334"/>
      <c r="B150" s="334" t="s">
        <v>858</v>
      </c>
      <c r="C150" s="330">
        <v>1</v>
      </c>
      <c r="D150" s="334" t="s">
        <v>867</v>
      </c>
      <c r="E150" s="334" t="s">
        <v>874</v>
      </c>
      <c r="F150" s="334"/>
      <c r="G150" s="334"/>
    </row>
    <row r="151" spans="1:7">
      <c r="A151" s="245" t="s">
        <v>776</v>
      </c>
      <c r="B151" t="s">
        <v>814</v>
      </c>
      <c r="C151" s="361">
        <f>IF(HumControl=0,0,1)</f>
        <v>0</v>
      </c>
      <c r="D151" t="s">
        <v>816</v>
      </c>
      <c r="E151" t="s">
        <v>779</v>
      </c>
    </row>
    <row r="152" spans="1:7">
      <c r="B152" t="s">
        <v>1156</v>
      </c>
      <c r="C152" s="361">
        <f>HumControl</f>
        <v>0</v>
      </c>
      <c r="D152" t="s">
        <v>1157</v>
      </c>
      <c r="G152" t="s">
        <v>1009</v>
      </c>
    </row>
    <row r="153" spans="1:7" s="245" customFormat="1">
      <c r="B153" s="245" t="s">
        <v>1173</v>
      </c>
      <c r="C153" s="361">
        <f>IF(OR(HumControl=2, HumControl=4),1,0)</f>
        <v>0</v>
      </c>
      <c r="D153" s="245" t="s">
        <v>1174</v>
      </c>
    </row>
    <row r="154" spans="1:7">
      <c r="A154" s="245" t="s">
        <v>1013</v>
      </c>
      <c r="B154" t="s">
        <v>999</v>
      </c>
      <c r="C154" s="380">
        <f>Dehumidifier!B8</f>
        <v>0</v>
      </c>
      <c r="D154" t="s">
        <v>1005</v>
      </c>
      <c r="E154" t="s">
        <v>1000</v>
      </c>
      <c r="G154" t="s">
        <v>1041</v>
      </c>
    </row>
    <row r="155" spans="1:7">
      <c r="B155" t="s">
        <v>1001</v>
      </c>
      <c r="C155" s="378">
        <f>Dehumidifier!B9</f>
        <v>1.85</v>
      </c>
      <c r="D155" t="s">
        <v>1006</v>
      </c>
      <c r="G155" t="s">
        <v>1041</v>
      </c>
    </row>
    <row r="156" spans="1:7">
      <c r="B156" t="s">
        <v>1002</v>
      </c>
      <c r="C156" s="377">
        <f>Dehumidifier!B10</f>
        <v>55</v>
      </c>
      <c r="D156" t="s">
        <v>1007</v>
      </c>
      <c r="G156" s="245" t="s">
        <v>1041</v>
      </c>
    </row>
    <row r="157" spans="1:7">
      <c r="B157" t="s">
        <v>1003</v>
      </c>
      <c r="C157" s="379">
        <f>Dehumidifier!B11</f>
        <v>2.5</v>
      </c>
      <c r="D157" t="s">
        <v>1008</v>
      </c>
      <c r="E157" t="s">
        <v>1004</v>
      </c>
      <c r="G157" s="245" t="s">
        <v>1041</v>
      </c>
    </row>
    <row r="158" spans="1:7">
      <c r="A158" s="254" t="s">
        <v>1042</v>
      </c>
      <c r="B158" t="s">
        <v>1058</v>
      </c>
      <c r="C158" s="330" t="s">
        <v>1043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0"/>
  <sheetViews>
    <sheetView zoomScale="85" zoomScaleNormal="85" zoomScalePageLayoutView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C48" sqref="C48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842</v>
      </c>
      <c r="B2" s="124" t="s">
        <v>897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830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831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832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833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841</v>
      </c>
      <c r="B7" s="254" t="s">
        <v>1140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885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1135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1128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1137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1141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884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898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909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910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911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912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913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914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899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900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901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902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903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904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905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906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907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916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1010</v>
      </c>
      <c r="B33" s="254" t="s">
        <v>382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918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919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920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843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923</v>
      </c>
      <c r="C39" s="346">
        <f>UA!AC12</f>
        <v>57.001213744400005</v>
      </c>
      <c r="D39" s="346">
        <f>UA!AD12</f>
        <v>57.001213744400005</v>
      </c>
      <c r="E39" s="346">
        <f>UA!AE12</f>
        <v>57.001213744400005</v>
      </c>
      <c r="F39" s="346">
        <f>UA!AF12</f>
        <v>57.001213744400005</v>
      </c>
      <c r="G39" s="346">
        <f>UA!AG12</f>
        <v>57.001213744400005</v>
      </c>
      <c r="H39" s="346">
        <f>UA!AH12</f>
        <v>71.490204685999998</v>
      </c>
      <c r="I39" s="346">
        <f>UA!AI12</f>
        <v>71.490204685999998</v>
      </c>
      <c r="J39" s="346">
        <f>UA!AJ12</f>
        <v>57.001213744400005</v>
      </c>
      <c r="K39" s="346">
        <f>UA!AK12</f>
        <v>57.001213744400005</v>
      </c>
      <c r="L39" s="346">
        <f>UA!AL12</f>
        <v>57.001213744400005</v>
      </c>
      <c r="M39" s="346">
        <f>UA!AM12</f>
        <v>57.001213744400005</v>
      </c>
      <c r="N39" s="346">
        <f>UA!AN12</f>
        <v>57.001213744400005</v>
      </c>
      <c r="O39" s="346">
        <f>UA!AO12</f>
        <v>57.001213744400005</v>
      </c>
      <c r="P39" s="346">
        <f>UA!AP12</f>
        <v>57.001213744400005</v>
      </c>
      <c r="Q39" s="346">
        <f>UA!AQ12</f>
        <v>57.001213744400005</v>
      </c>
      <c r="R39" s="346">
        <f>UA!AR12</f>
        <v>57.001213744400005</v>
      </c>
      <c r="S39" s="278"/>
      <c r="U39" s="254"/>
    </row>
    <row r="40" spans="1:21" ht="15" customHeight="1">
      <c r="B40" s="254" t="s">
        <v>924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925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45</v>
      </c>
      <c r="B42" s="254" t="s">
        <v>926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845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846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847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848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849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927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933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931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932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934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935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936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937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938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939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940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941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942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943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944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945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946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947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948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949</v>
      </c>
      <c r="C67" s="219">
        <f t="shared" ref="C67:R67" si="33">IF(Airtightness&lt;=1,ABS(C49),0)</f>
        <v>0</v>
      </c>
      <c r="D67" s="219">
        <f t="shared" si="33"/>
        <v>0</v>
      </c>
      <c r="E67" s="219">
        <f t="shared" si="33"/>
        <v>0</v>
      </c>
      <c r="F67" s="219">
        <f t="shared" si="33"/>
        <v>0</v>
      </c>
      <c r="G67" s="219">
        <f t="shared" si="33"/>
        <v>0</v>
      </c>
      <c r="H67" s="219">
        <f t="shared" si="33"/>
        <v>0</v>
      </c>
      <c r="I67" s="219">
        <f t="shared" si="33"/>
        <v>0</v>
      </c>
      <c r="J67" s="219">
        <f t="shared" si="33"/>
        <v>0</v>
      </c>
      <c r="K67" s="219">
        <f t="shared" si="33"/>
        <v>0</v>
      </c>
      <c r="L67" s="219">
        <f t="shared" si="33"/>
        <v>0</v>
      </c>
      <c r="M67" s="219">
        <f t="shared" si="33"/>
        <v>0</v>
      </c>
      <c r="N67" s="219">
        <f t="shared" si="33"/>
        <v>0</v>
      </c>
      <c r="O67" s="219">
        <f t="shared" si="33"/>
        <v>0</v>
      </c>
      <c r="P67" s="219">
        <f t="shared" si="33"/>
        <v>0</v>
      </c>
      <c r="Q67" s="219">
        <f t="shared" si="33"/>
        <v>0</v>
      </c>
      <c r="R67" s="219">
        <f t="shared" si="33"/>
        <v>0</v>
      </c>
      <c r="S67" s="62"/>
    </row>
    <row r="68" spans="1:19" s="123" customFormat="1" ht="15" customHeight="1">
      <c r="A68" s="254"/>
      <c r="B68" s="254" t="s">
        <v>950</v>
      </c>
      <c r="C68" s="528">
        <f t="shared" ref="C68:R68" si="34">IF(Airtightness&lt;=1,ABS(C50),0)</f>
        <v>0</v>
      </c>
      <c r="D68" s="262">
        <f t="shared" si="34"/>
        <v>0</v>
      </c>
      <c r="E68" s="262">
        <f t="shared" si="34"/>
        <v>0</v>
      </c>
      <c r="F68" s="262">
        <f t="shared" si="34"/>
        <v>0</v>
      </c>
      <c r="G68" s="262">
        <f t="shared" si="34"/>
        <v>0</v>
      </c>
      <c r="H68" s="262">
        <f t="shared" si="34"/>
        <v>0</v>
      </c>
      <c r="I68" s="262">
        <f t="shared" si="34"/>
        <v>0</v>
      </c>
      <c r="J68" s="262">
        <f t="shared" si="34"/>
        <v>0</v>
      </c>
      <c r="K68" s="262">
        <f t="shared" si="34"/>
        <v>0</v>
      </c>
      <c r="L68" s="262">
        <f t="shared" si="34"/>
        <v>0</v>
      </c>
      <c r="M68" s="262">
        <f t="shared" si="34"/>
        <v>0</v>
      </c>
      <c r="N68" s="262">
        <f t="shared" si="34"/>
        <v>0</v>
      </c>
      <c r="O68" s="262">
        <f t="shared" si="34"/>
        <v>0</v>
      </c>
      <c r="P68" s="262">
        <f t="shared" si="34"/>
        <v>0</v>
      </c>
      <c r="Q68" s="262">
        <f t="shared" si="34"/>
        <v>0</v>
      </c>
      <c r="R68" s="262">
        <f t="shared" si="34"/>
        <v>0</v>
      </c>
      <c r="S68" s="62"/>
    </row>
    <row r="69" spans="1:19" s="123" customFormat="1" ht="15" customHeight="1">
      <c r="A69" s="254"/>
      <c r="B69" s="254" t="s">
        <v>951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952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953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954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383</v>
      </c>
      <c r="C73" s="153">
        <f>Inputs!C73</f>
        <v>18.415367088607596</v>
      </c>
      <c r="D73" s="153">
        <f t="shared" ref="D73:R73" si="38">C73</f>
        <v>18.415367088607596</v>
      </c>
      <c r="E73" s="153">
        <f t="shared" si="38"/>
        <v>18.415367088607596</v>
      </c>
      <c r="F73" s="153">
        <f t="shared" si="38"/>
        <v>18.415367088607596</v>
      </c>
      <c r="G73" s="153">
        <f t="shared" si="38"/>
        <v>18.415367088607596</v>
      </c>
      <c r="H73" s="153">
        <f t="shared" si="38"/>
        <v>18.415367088607596</v>
      </c>
      <c r="I73" s="153">
        <f t="shared" si="38"/>
        <v>18.415367088607596</v>
      </c>
      <c r="J73" s="153">
        <f t="shared" si="38"/>
        <v>18.415367088607596</v>
      </c>
      <c r="K73" s="153">
        <f t="shared" si="38"/>
        <v>18.415367088607596</v>
      </c>
      <c r="L73" s="153">
        <f t="shared" si="38"/>
        <v>18.415367088607596</v>
      </c>
      <c r="M73" s="153">
        <f t="shared" si="38"/>
        <v>18.415367088607596</v>
      </c>
      <c r="N73" s="153">
        <f t="shared" si="38"/>
        <v>18.415367088607596</v>
      </c>
      <c r="O73" s="153">
        <f t="shared" si="38"/>
        <v>18.415367088607596</v>
      </c>
      <c r="P73" s="153">
        <f t="shared" si="38"/>
        <v>18.415367088607596</v>
      </c>
      <c r="Q73" s="153">
        <f t="shared" si="38"/>
        <v>18.415367088607596</v>
      </c>
      <c r="R73" s="153">
        <f t="shared" si="38"/>
        <v>18.415367088607596</v>
      </c>
    </row>
    <row r="74" spans="1:19" ht="15" customHeight="1">
      <c r="B74" s="254" t="s">
        <v>384</v>
      </c>
      <c r="C74" s="153">
        <f>Inputs!C74</f>
        <v>15.875316455696202</v>
      </c>
      <c r="D74" s="153">
        <f t="shared" ref="D74:R74" si="39">C74</f>
        <v>15.875316455696202</v>
      </c>
      <c r="E74" s="153">
        <f t="shared" si="39"/>
        <v>15.875316455696202</v>
      </c>
      <c r="F74" s="153">
        <f t="shared" si="39"/>
        <v>15.875316455696202</v>
      </c>
      <c r="G74" s="153">
        <f t="shared" si="39"/>
        <v>15.875316455696202</v>
      </c>
      <c r="H74" s="153">
        <f t="shared" si="39"/>
        <v>15.875316455696202</v>
      </c>
      <c r="I74" s="153">
        <f t="shared" si="39"/>
        <v>15.875316455696202</v>
      </c>
      <c r="J74" s="153">
        <f t="shared" si="39"/>
        <v>15.875316455696202</v>
      </c>
      <c r="K74" s="153">
        <f t="shared" si="39"/>
        <v>15.875316455696202</v>
      </c>
      <c r="L74" s="153">
        <f t="shared" si="39"/>
        <v>15.875316455696202</v>
      </c>
      <c r="M74" s="153">
        <f t="shared" si="39"/>
        <v>15.875316455696202</v>
      </c>
      <c r="N74" s="153">
        <f t="shared" si="39"/>
        <v>15.875316455696202</v>
      </c>
      <c r="O74" s="153">
        <f t="shared" si="39"/>
        <v>15.875316455696202</v>
      </c>
      <c r="P74" s="153">
        <f t="shared" si="39"/>
        <v>15.875316455696202</v>
      </c>
      <c r="Q74" s="153">
        <f t="shared" si="39"/>
        <v>15.875316455696202</v>
      </c>
      <c r="R74" s="153">
        <f t="shared" si="39"/>
        <v>15.875316455696202</v>
      </c>
    </row>
    <row r="75" spans="1:19" ht="15" customHeight="1">
      <c r="B75" s="254" t="s">
        <v>385</v>
      </c>
      <c r="C75" s="153">
        <f>Inputs!C75</f>
        <v>15.875316455696202</v>
      </c>
      <c r="D75" s="153">
        <f t="shared" ref="D75:R91" si="40">C75</f>
        <v>15.875316455696202</v>
      </c>
      <c r="E75" s="153">
        <f t="shared" si="40"/>
        <v>15.875316455696202</v>
      </c>
      <c r="F75" s="153">
        <f t="shared" si="40"/>
        <v>15.875316455696202</v>
      </c>
      <c r="G75" s="153">
        <f t="shared" si="40"/>
        <v>15.875316455696202</v>
      </c>
      <c r="H75" s="153">
        <f t="shared" si="40"/>
        <v>15.875316455696202</v>
      </c>
      <c r="I75" s="153">
        <f t="shared" si="40"/>
        <v>15.875316455696202</v>
      </c>
      <c r="J75" s="153">
        <f t="shared" si="40"/>
        <v>15.875316455696202</v>
      </c>
      <c r="K75" s="153">
        <f t="shared" si="40"/>
        <v>15.875316455696202</v>
      </c>
      <c r="L75" s="153">
        <f t="shared" si="40"/>
        <v>15.875316455696202</v>
      </c>
      <c r="M75" s="153">
        <f t="shared" si="40"/>
        <v>15.875316455696202</v>
      </c>
      <c r="N75" s="153">
        <f t="shared" si="40"/>
        <v>15.875316455696202</v>
      </c>
      <c r="O75" s="153">
        <f t="shared" si="40"/>
        <v>15.875316455696202</v>
      </c>
      <c r="P75" s="153">
        <f t="shared" si="40"/>
        <v>15.875316455696202</v>
      </c>
      <c r="Q75" s="153">
        <f t="shared" si="40"/>
        <v>15.875316455696202</v>
      </c>
      <c r="R75" s="153">
        <f t="shared" si="40"/>
        <v>15.875316455696202</v>
      </c>
    </row>
    <row r="76" spans="1:19" ht="15" customHeight="1">
      <c r="B76" s="254" t="s">
        <v>955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956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957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958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959</v>
      </c>
      <c r="C80" s="8">
        <f>Inputs!C80</f>
        <v>942.60453302071107</v>
      </c>
      <c r="D80" s="8">
        <f t="shared" si="41"/>
        <v>942.60453302071107</v>
      </c>
      <c r="E80" s="8">
        <f t="shared" si="40"/>
        <v>942.60453302071107</v>
      </c>
      <c r="F80" s="8">
        <f t="shared" si="40"/>
        <v>942.60453302071107</v>
      </c>
      <c r="G80" s="8">
        <f t="shared" si="40"/>
        <v>942.60453302071107</v>
      </c>
      <c r="H80" s="8">
        <f t="shared" si="40"/>
        <v>942.60453302071107</v>
      </c>
      <c r="I80" s="8">
        <f t="shared" si="40"/>
        <v>942.60453302071107</v>
      </c>
      <c r="J80" s="8">
        <f t="shared" si="40"/>
        <v>942.60453302071107</v>
      </c>
      <c r="K80" s="8">
        <f t="shared" si="40"/>
        <v>942.60453302071107</v>
      </c>
      <c r="L80" s="8">
        <f t="shared" si="40"/>
        <v>942.60453302071107</v>
      </c>
      <c r="M80" s="8">
        <f t="shared" si="40"/>
        <v>942.60453302071107</v>
      </c>
      <c r="N80" s="8">
        <f t="shared" si="40"/>
        <v>942.60453302071107</v>
      </c>
      <c r="O80" s="8">
        <f t="shared" si="40"/>
        <v>942.60453302071107</v>
      </c>
      <c r="P80" s="8">
        <f t="shared" si="40"/>
        <v>942.60453302071107</v>
      </c>
      <c r="Q80" s="8">
        <f t="shared" si="40"/>
        <v>942.60453302071107</v>
      </c>
      <c r="R80" s="8">
        <f t="shared" si="40"/>
        <v>942.60453302071107</v>
      </c>
    </row>
    <row r="81" spans="1:18" ht="15" customHeight="1">
      <c r="A81" s="254" t="s">
        <v>66</v>
      </c>
      <c r="B81" s="254" t="s">
        <v>960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961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962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963</v>
      </c>
      <c r="C84" s="153">
        <f>Inputs!C84</f>
        <v>0.2848101265822785</v>
      </c>
      <c r="D84" s="153">
        <f t="shared" si="41"/>
        <v>0.2848101265822785</v>
      </c>
      <c r="E84" s="153">
        <f t="shared" si="40"/>
        <v>0.2848101265822785</v>
      </c>
      <c r="F84" s="153">
        <f t="shared" si="40"/>
        <v>0.2848101265822785</v>
      </c>
      <c r="G84" s="153">
        <f t="shared" si="40"/>
        <v>0.2848101265822785</v>
      </c>
      <c r="H84" s="153">
        <f t="shared" si="40"/>
        <v>0.2848101265822785</v>
      </c>
      <c r="I84" s="153">
        <f t="shared" si="40"/>
        <v>0.2848101265822785</v>
      </c>
      <c r="J84" s="153">
        <f t="shared" si="40"/>
        <v>0.2848101265822785</v>
      </c>
      <c r="K84" s="153">
        <f t="shared" si="40"/>
        <v>0.2848101265822785</v>
      </c>
      <c r="L84" s="153">
        <f t="shared" si="40"/>
        <v>0.2848101265822785</v>
      </c>
      <c r="M84" s="153">
        <f t="shared" si="40"/>
        <v>0.2848101265822785</v>
      </c>
      <c r="N84" s="153">
        <f t="shared" si="40"/>
        <v>0.2848101265822785</v>
      </c>
      <c r="O84" s="153">
        <f t="shared" si="40"/>
        <v>0.2848101265822785</v>
      </c>
      <c r="P84" s="153">
        <f t="shared" si="40"/>
        <v>0.2848101265822785</v>
      </c>
      <c r="Q84" s="153">
        <f t="shared" si="40"/>
        <v>0.2848101265822785</v>
      </c>
      <c r="R84" s="153">
        <f t="shared" si="40"/>
        <v>0.2848101265822785</v>
      </c>
    </row>
    <row r="85" spans="1:18" ht="15.75" customHeight="1">
      <c r="B85" s="254" t="s">
        <v>964</v>
      </c>
      <c r="C85" s="153">
        <f>Inputs!C85</f>
        <v>0.2848101265822785</v>
      </c>
      <c r="D85" s="153">
        <f t="shared" si="41"/>
        <v>0.2848101265822785</v>
      </c>
      <c r="E85" s="153">
        <f t="shared" si="40"/>
        <v>0.2848101265822785</v>
      </c>
      <c r="F85" s="153">
        <f t="shared" si="40"/>
        <v>0.2848101265822785</v>
      </c>
      <c r="G85" s="153">
        <f t="shared" si="40"/>
        <v>0.2848101265822785</v>
      </c>
      <c r="H85" s="153">
        <f t="shared" si="40"/>
        <v>0.2848101265822785</v>
      </c>
      <c r="I85" s="153">
        <f t="shared" si="40"/>
        <v>0.2848101265822785</v>
      </c>
      <c r="J85" s="153">
        <f t="shared" si="40"/>
        <v>0.2848101265822785</v>
      </c>
      <c r="K85" s="153">
        <f t="shared" si="40"/>
        <v>0.2848101265822785</v>
      </c>
      <c r="L85" s="153">
        <f t="shared" si="40"/>
        <v>0.2848101265822785</v>
      </c>
      <c r="M85" s="153">
        <f t="shared" si="40"/>
        <v>0.2848101265822785</v>
      </c>
      <c r="N85" s="153">
        <f t="shared" si="40"/>
        <v>0.2848101265822785</v>
      </c>
      <c r="O85" s="153">
        <f t="shared" si="40"/>
        <v>0.2848101265822785</v>
      </c>
      <c r="P85" s="153">
        <f t="shared" si="40"/>
        <v>0.2848101265822785</v>
      </c>
      <c r="Q85" s="153">
        <f t="shared" si="40"/>
        <v>0.2848101265822785</v>
      </c>
      <c r="R85" s="153">
        <f t="shared" si="40"/>
        <v>0.2848101265822785</v>
      </c>
    </row>
    <row r="86" spans="1:18" ht="15" customHeight="1">
      <c r="B86" s="254" t="s">
        <v>965</v>
      </c>
      <c r="C86" s="153">
        <f>Inputs!C86</f>
        <v>0.16518987341772157</v>
      </c>
      <c r="D86" s="153">
        <f t="shared" si="41"/>
        <v>0.16518987341772157</v>
      </c>
      <c r="E86" s="153">
        <f t="shared" si="40"/>
        <v>0.16518987341772157</v>
      </c>
      <c r="F86" s="153">
        <f t="shared" si="40"/>
        <v>0.16518987341772157</v>
      </c>
      <c r="G86" s="153">
        <f t="shared" si="40"/>
        <v>0.16518987341772157</v>
      </c>
      <c r="H86" s="153">
        <f t="shared" si="40"/>
        <v>0.16518987341772157</v>
      </c>
      <c r="I86" s="153">
        <f t="shared" si="40"/>
        <v>0.16518987341772157</v>
      </c>
      <c r="J86" s="153">
        <f t="shared" si="40"/>
        <v>0.16518987341772157</v>
      </c>
      <c r="K86" s="153">
        <f t="shared" si="40"/>
        <v>0.16518987341772157</v>
      </c>
      <c r="L86" s="153">
        <f t="shared" si="40"/>
        <v>0.16518987341772157</v>
      </c>
      <c r="M86" s="153">
        <f t="shared" si="40"/>
        <v>0.16518987341772157</v>
      </c>
      <c r="N86" s="153">
        <f t="shared" si="40"/>
        <v>0.16518987341772157</v>
      </c>
      <c r="O86" s="153">
        <f t="shared" si="40"/>
        <v>0.16518987341772157</v>
      </c>
      <c r="P86" s="153">
        <f t="shared" si="40"/>
        <v>0.16518987341772157</v>
      </c>
      <c r="Q86" s="153">
        <f t="shared" si="40"/>
        <v>0.16518987341772157</v>
      </c>
      <c r="R86" s="153">
        <f t="shared" si="40"/>
        <v>0.16518987341772157</v>
      </c>
    </row>
    <row r="87" spans="1:18" ht="15" customHeight="1">
      <c r="B87" s="254" t="s">
        <v>966</v>
      </c>
      <c r="C87" s="153">
        <f>Inputs!C87</f>
        <v>0.16518987341772157</v>
      </c>
      <c r="D87" s="153">
        <f t="shared" si="41"/>
        <v>0.16518987341772157</v>
      </c>
      <c r="E87" s="153">
        <f t="shared" si="40"/>
        <v>0.16518987341772157</v>
      </c>
      <c r="F87" s="153">
        <f t="shared" si="40"/>
        <v>0.16518987341772157</v>
      </c>
      <c r="G87" s="153">
        <f t="shared" si="40"/>
        <v>0.16518987341772157</v>
      </c>
      <c r="H87" s="153">
        <f t="shared" si="40"/>
        <v>0.16518987341772157</v>
      </c>
      <c r="I87" s="153">
        <f t="shared" si="40"/>
        <v>0.16518987341772157</v>
      </c>
      <c r="J87" s="153">
        <f t="shared" si="40"/>
        <v>0.16518987341772157</v>
      </c>
      <c r="K87" s="153">
        <f t="shared" si="40"/>
        <v>0.16518987341772157</v>
      </c>
      <c r="L87" s="153">
        <f t="shared" si="40"/>
        <v>0.16518987341772157</v>
      </c>
      <c r="M87" s="153">
        <f t="shared" si="40"/>
        <v>0.16518987341772157</v>
      </c>
      <c r="N87" s="153">
        <f t="shared" si="40"/>
        <v>0.16518987341772157</v>
      </c>
      <c r="O87" s="153">
        <f t="shared" si="40"/>
        <v>0.16518987341772157</v>
      </c>
      <c r="P87" s="153">
        <f t="shared" si="40"/>
        <v>0.16518987341772157</v>
      </c>
      <c r="Q87" s="153">
        <f t="shared" si="40"/>
        <v>0.16518987341772157</v>
      </c>
      <c r="R87" s="153">
        <f t="shared" si="40"/>
        <v>0.16518987341772157</v>
      </c>
    </row>
    <row r="88" spans="1:18" ht="15" customHeight="1">
      <c r="B88" s="254" t="s">
        <v>967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968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969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970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971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83</v>
      </c>
      <c r="B93" s="254" t="s">
        <v>972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1082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1083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1084</v>
      </c>
      <c r="C96" s="6">
        <f>Inputs!C96</f>
        <v>0.22450833333333331</v>
      </c>
      <c r="D96" s="6">
        <f t="shared" ref="D96:R111" si="46">C96</f>
        <v>0.22450833333333331</v>
      </c>
      <c r="E96" s="6">
        <f t="shared" si="46"/>
        <v>0.22450833333333331</v>
      </c>
      <c r="F96" s="6">
        <f t="shared" si="46"/>
        <v>0.22450833333333331</v>
      </c>
      <c r="G96" s="6">
        <f t="shared" si="46"/>
        <v>0.22450833333333331</v>
      </c>
      <c r="H96" s="6">
        <f t="shared" si="46"/>
        <v>0.22450833333333331</v>
      </c>
      <c r="I96" s="6">
        <f t="shared" si="46"/>
        <v>0.22450833333333331</v>
      </c>
      <c r="J96" s="6">
        <f t="shared" si="46"/>
        <v>0.22450833333333331</v>
      </c>
      <c r="K96" s="6">
        <f t="shared" si="46"/>
        <v>0.22450833333333331</v>
      </c>
      <c r="L96" s="6">
        <f t="shared" si="46"/>
        <v>0.22450833333333331</v>
      </c>
      <c r="M96" s="6">
        <f t="shared" si="46"/>
        <v>0.22450833333333331</v>
      </c>
      <c r="N96" s="6">
        <f t="shared" si="46"/>
        <v>0.22450833333333331</v>
      </c>
      <c r="O96" s="6">
        <f t="shared" si="46"/>
        <v>0.22450833333333331</v>
      </c>
      <c r="P96" s="6">
        <f t="shared" si="46"/>
        <v>0.22450833333333331</v>
      </c>
      <c r="Q96" s="6">
        <f t="shared" si="46"/>
        <v>0.22450833333333331</v>
      </c>
      <c r="R96" s="6">
        <f t="shared" si="46"/>
        <v>0.22450833333333331</v>
      </c>
    </row>
    <row r="97" spans="1:18" ht="15" customHeight="1">
      <c r="B97" s="254" t="s">
        <v>1085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1086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1087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1088</v>
      </c>
      <c r="C100" s="153">
        <f>Inputs!C100</f>
        <v>0.22450833333333331</v>
      </c>
      <c r="D100" s="153">
        <f t="shared" si="46"/>
        <v>0.22450833333333331</v>
      </c>
      <c r="E100" s="153">
        <f t="shared" si="46"/>
        <v>0.22450833333333331</v>
      </c>
      <c r="F100" s="153">
        <f t="shared" si="46"/>
        <v>0.22450833333333331</v>
      </c>
      <c r="G100" s="153">
        <f t="shared" si="46"/>
        <v>0.22450833333333331</v>
      </c>
      <c r="H100" s="153">
        <f t="shared" si="46"/>
        <v>0.22450833333333331</v>
      </c>
      <c r="I100" s="153">
        <f t="shared" si="46"/>
        <v>0.22450833333333331</v>
      </c>
      <c r="J100" s="153">
        <f t="shared" si="46"/>
        <v>0.22450833333333331</v>
      </c>
      <c r="K100" s="153">
        <f t="shared" si="46"/>
        <v>0.22450833333333331</v>
      </c>
      <c r="L100" s="153">
        <f t="shared" si="46"/>
        <v>0.22450833333333331</v>
      </c>
      <c r="M100" s="153">
        <f t="shared" si="46"/>
        <v>0.22450833333333331</v>
      </c>
      <c r="N100" s="153">
        <f t="shared" si="46"/>
        <v>0.22450833333333331</v>
      </c>
      <c r="O100" s="153">
        <f t="shared" si="46"/>
        <v>0.22450833333333331</v>
      </c>
      <c r="P100" s="153">
        <f t="shared" si="46"/>
        <v>0.22450833333333331</v>
      </c>
      <c r="Q100" s="153">
        <f t="shared" si="46"/>
        <v>0.22450833333333331</v>
      </c>
      <c r="R100" s="153">
        <f t="shared" si="46"/>
        <v>0.22450833333333331</v>
      </c>
    </row>
    <row r="101" spans="1:18" ht="15" customHeight="1">
      <c r="B101" s="254" t="s">
        <v>1089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146</v>
      </c>
      <c r="B102" s="254" t="s">
        <v>973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974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975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976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977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978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979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980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981</v>
      </c>
      <c r="C110" s="128">
        <f>Inputs!C110</f>
        <v>5</v>
      </c>
      <c r="D110" s="128">
        <f t="shared" si="46"/>
        <v>5</v>
      </c>
      <c r="E110" s="128">
        <f t="shared" si="46"/>
        <v>5</v>
      </c>
      <c r="F110" s="128">
        <f t="shared" si="46"/>
        <v>5</v>
      </c>
      <c r="G110" s="128">
        <f t="shared" si="46"/>
        <v>5</v>
      </c>
      <c r="H110" s="128">
        <f t="shared" si="46"/>
        <v>5</v>
      </c>
      <c r="I110" s="128">
        <f t="shared" si="46"/>
        <v>5</v>
      </c>
      <c r="J110" s="128">
        <f t="shared" si="46"/>
        <v>5</v>
      </c>
      <c r="K110" s="128">
        <f t="shared" si="46"/>
        <v>5</v>
      </c>
      <c r="L110" s="128">
        <f t="shared" si="46"/>
        <v>5</v>
      </c>
      <c r="M110" s="128">
        <f t="shared" si="46"/>
        <v>5</v>
      </c>
      <c r="N110" s="128">
        <f t="shared" si="46"/>
        <v>5</v>
      </c>
      <c r="O110" s="128">
        <f t="shared" si="46"/>
        <v>5</v>
      </c>
      <c r="P110" s="128">
        <f t="shared" si="46"/>
        <v>5</v>
      </c>
      <c r="Q110" s="128">
        <f t="shared" si="46"/>
        <v>5</v>
      </c>
      <c r="R110" s="128">
        <f t="shared" si="46"/>
        <v>5</v>
      </c>
    </row>
    <row r="111" spans="1:18" ht="15" customHeight="1">
      <c r="A111" s="254" t="s">
        <v>95</v>
      </c>
      <c r="B111" s="254" t="s">
        <v>982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983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984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99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101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1117</v>
      </c>
      <c r="C116" s="153">
        <f>Inputs!C116</f>
        <v>2.5000000000000001E-2</v>
      </c>
      <c r="D116" s="153">
        <f t="shared" ref="D116:R125" si="47">C116</f>
        <v>2.5000000000000001E-2</v>
      </c>
      <c r="E116" s="153">
        <f t="shared" si="47"/>
        <v>2.5000000000000001E-2</v>
      </c>
      <c r="F116" s="153">
        <f t="shared" si="47"/>
        <v>2.5000000000000001E-2</v>
      </c>
      <c r="G116" s="153">
        <f t="shared" si="47"/>
        <v>2.5000000000000001E-2</v>
      </c>
      <c r="H116" s="153">
        <f t="shared" si="47"/>
        <v>2.5000000000000001E-2</v>
      </c>
      <c r="I116" s="153">
        <f t="shared" si="47"/>
        <v>2.5000000000000001E-2</v>
      </c>
      <c r="J116" s="153">
        <f t="shared" si="47"/>
        <v>2.5000000000000001E-2</v>
      </c>
      <c r="K116" s="153">
        <f t="shared" si="47"/>
        <v>2.5000000000000001E-2</v>
      </c>
      <c r="L116" s="153">
        <f t="shared" si="47"/>
        <v>2.5000000000000001E-2</v>
      </c>
      <c r="M116" s="153">
        <f t="shared" si="47"/>
        <v>2.5000000000000001E-2</v>
      </c>
      <c r="N116" s="153">
        <f t="shared" si="47"/>
        <v>2.5000000000000001E-2</v>
      </c>
      <c r="O116" s="153">
        <f t="shared" si="47"/>
        <v>2.5000000000000001E-2</v>
      </c>
      <c r="P116" s="153">
        <f t="shared" si="47"/>
        <v>2.5000000000000001E-2</v>
      </c>
      <c r="Q116" s="153">
        <f t="shared" si="47"/>
        <v>2.5000000000000001E-2</v>
      </c>
      <c r="R116" s="153">
        <f t="shared" si="47"/>
        <v>2.5000000000000001E-2</v>
      </c>
    </row>
    <row r="117" spans="1:18" ht="15" customHeight="1">
      <c r="B117" s="254" t="s">
        <v>1118</v>
      </c>
      <c r="C117" s="153">
        <f>Inputs!C117</f>
        <v>2.5000000000000001E-2</v>
      </c>
      <c r="D117" s="153">
        <f t="shared" si="47"/>
        <v>2.5000000000000001E-2</v>
      </c>
      <c r="E117" s="153">
        <f t="shared" si="47"/>
        <v>2.5000000000000001E-2</v>
      </c>
      <c r="F117" s="153">
        <f t="shared" si="47"/>
        <v>2.5000000000000001E-2</v>
      </c>
      <c r="G117" s="153">
        <f t="shared" si="47"/>
        <v>2.5000000000000001E-2</v>
      </c>
      <c r="H117" s="153">
        <f t="shared" si="47"/>
        <v>2.5000000000000001E-2</v>
      </c>
      <c r="I117" s="153">
        <f t="shared" si="47"/>
        <v>2.5000000000000001E-2</v>
      </c>
      <c r="J117" s="153">
        <f t="shared" si="47"/>
        <v>2.5000000000000001E-2</v>
      </c>
      <c r="K117" s="153">
        <f t="shared" si="47"/>
        <v>2.5000000000000001E-2</v>
      </c>
      <c r="L117" s="153">
        <f t="shared" si="47"/>
        <v>2.5000000000000001E-2</v>
      </c>
      <c r="M117" s="153">
        <f t="shared" si="47"/>
        <v>2.5000000000000001E-2</v>
      </c>
      <c r="N117" s="153">
        <f t="shared" si="47"/>
        <v>2.5000000000000001E-2</v>
      </c>
      <c r="O117" s="153">
        <f t="shared" si="47"/>
        <v>2.5000000000000001E-2</v>
      </c>
      <c r="P117" s="153">
        <f t="shared" si="47"/>
        <v>2.5000000000000001E-2</v>
      </c>
      <c r="Q117" s="153">
        <f t="shared" si="47"/>
        <v>2.5000000000000001E-2</v>
      </c>
      <c r="R117" s="153">
        <f t="shared" si="47"/>
        <v>2.5000000000000001E-2</v>
      </c>
    </row>
    <row r="118" spans="1:18" ht="15" customHeight="1">
      <c r="B118" s="254" t="s">
        <v>985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986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987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988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989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990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108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110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112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114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478</v>
      </c>
      <c r="B128" s="254" t="s">
        <v>387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388</v>
      </c>
      <c r="C129" s="356">
        <f>12*C128</f>
        <v>18</v>
      </c>
      <c r="D129" s="356">
        <f t="shared" ref="D129:R129" si="48">12*D128</f>
        <v>24</v>
      </c>
      <c r="E129" s="356">
        <f t="shared" si="48"/>
        <v>24</v>
      </c>
      <c r="F129" s="356">
        <f t="shared" si="48"/>
        <v>24</v>
      </c>
      <c r="G129" s="356">
        <f t="shared" si="48"/>
        <v>24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30</v>
      </c>
      <c r="N129" s="356">
        <f t="shared" si="48"/>
        <v>24</v>
      </c>
      <c r="O129" s="356">
        <f t="shared" si="48"/>
        <v>24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386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991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24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992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161.28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993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389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369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1011</v>
      </c>
      <c r="B136" s="254" t="s">
        <v>994</v>
      </c>
      <c r="C136" s="128">
        <f>Inputs!C136</f>
        <v>4</v>
      </c>
      <c r="D136" s="128">
        <f>C136</f>
        <v>4</v>
      </c>
      <c r="E136" s="128">
        <f t="shared" ref="E136:R136" si="50">D136</f>
        <v>4</v>
      </c>
      <c r="F136" s="128">
        <f t="shared" si="50"/>
        <v>4</v>
      </c>
      <c r="G136" s="128">
        <f t="shared" si="50"/>
        <v>4</v>
      </c>
      <c r="H136" s="128">
        <f t="shared" si="50"/>
        <v>4</v>
      </c>
      <c r="I136" s="128">
        <f t="shared" si="50"/>
        <v>4</v>
      </c>
      <c r="J136" s="128">
        <f t="shared" si="50"/>
        <v>4</v>
      </c>
      <c r="K136" s="128">
        <f t="shared" si="50"/>
        <v>4</v>
      </c>
      <c r="L136" s="128">
        <f t="shared" si="50"/>
        <v>4</v>
      </c>
      <c r="M136" s="128">
        <f t="shared" si="50"/>
        <v>4</v>
      </c>
      <c r="N136" s="128">
        <f t="shared" si="50"/>
        <v>4</v>
      </c>
      <c r="O136" s="128">
        <f t="shared" si="50"/>
        <v>4</v>
      </c>
      <c r="P136" s="128">
        <f t="shared" si="50"/>
        <v>4</v>
      </c>
      <c r="Q136" s="128">
        <f t="shared" si="50"/>
        <v>4</v>
      </c>
      <c r="R136" s="128">
        <f t="shared" si="50"/>
        <v>4</v>
      </c>
      <c r="S136" s="62"/>
    </row>
    <row r="137" spans="1:19" s="254" customFormat="1" ht="15" customHeight="1">
      <c r="B137" s="254" t="s">
        <v>995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593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850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1148</v>
      </c>
      <c r="C140" s="197">
        <f>Inputs!C140</f>
        <v>0.27216072421514559</v>
      </c>
      <c r="D140" s="197">
        <f>C140</f>
        <v>0.27216072421514559</v>
      </c>
      <c r="E140" s="197">
        <f t="shared" si="52"/>
        <v>0.27216072421514559</v>
      </c>
      <c r="F140" s="197">
        <f t="shared" si="52"/>
        <v>0.27216072421514559</v>
      </c>
      <c r="G140" s="197">
        <f t="shared" si="52"/>
        <v>0.27216072421514559</v>
      </c>
      <c r="H140" s="197">
        <f t="shared" si="52"/>
        <v>0.27216072421514559</v>
      </c>
      <c r="I140" s="197">
        <f t="shared" si="52"/>
        <v>0.27216072421514559</v>
      </c>
      <c r="J140" s="197">
        <f t="shared" si="52"/>
        <v>0.27216072421514559</v>
      </c>
      <c r="K140" s="197">
        <f t="shared" si="52"/>
        <v>0.27216072421514559</v>
      </c>
      <c r="L140" s="197">
        <f t="shared" si="52"/>
        <v>0.27216072421514559</v>
      </c>
      <c r="M140" s="197">
        <f t="shared" si="52"/>
        <v>0.27216072421514559</v>
      </c>
      <c r="N140" s="197">
        <f t="shared" si="52"/>
        <v>0.27216072421514559</v>
      </c>
      <c r="O140" s="197">
        <f t="shared" si="52"/>
        <v>0.27216072421514559</v>
      </c>
      <c r="P140" s="197">
        <f t="shared" si="52"/>
        <v>0.27216072421514559</v>
      </c>
      <c r="Q140" s="197">
        <f t="shared" si="52"/>
        <v>0.27216072421514559</v>
      </c>
      <c r="R140" s="197">
        <f t="shared" si="52"/>
        <v>0.27216072421514559</v>
      </c>
      <c r="S140" s="62"/>
    </row>
    <row r="141" spans="1:19" s="254" customFormat="1" ht="15" customHeight="1">
      <c r="B141" s="254" t="s">
        <v>1150</v>
      </c>
      <c r="C141" s="197">
        <f>Inputs!C141</f>
        <v>2</v>
      </c>
      <c r="D141" s="197">
        <f>C141</f>
        <v>2</v>
      </c>
      <c r="E141" s="197">
        <f t="shared" si="52"/>
        <v>2</v>
      </c>
      <c r="F141" s="197">
        <f t="shared" si="52"/>
        <v>2</v>
      </c>
      <c r="G141" s="197">
        <f t="shared" si="52"/>
        <v>2</v>
      </c>
      <c r="H141" s="197">
        <f t="shared" si="52"/>
        <v>2</v>
      </c>
      <c r="I141" s="197">
        <f t="shared" si="52"/>
        <v>2</v>
      </c>
      <c r="J141" s="197">
        <f t="shared" si="52"/>
        <v>2</v>
      </c>
      <c r="K141" s="197">
        <f t="shared" si="52"/>
        <v>2</v>
      </c>
      <c r="L141" s="197">
        <f t="shared" si="52"/>
        <v>2</v>
      </c>
      <c r="M141" s="197">
        <f t="shared" si="52"/>
        <v>2</v>
      </c>
      <c r="N141" s="197">
        <f t="shared" si="52"/>
        <v>2</v>
      </c>
      <c r="O141" s="197">
        <f t="shared" si="52"/>
        <v>2</v>
      </c>
      <c r="P141" s="197">
        <f t="shared" si="52"/>
        <v>2</v>
      </c>
      <c r="Q141" s="197">
        <f t="shared" si="52"/>
        <v>2</v>
      </c>
      <c r="R141" s="197">
        <f t="shared" si="52"/>
        <v>2</v>
      </c>
      <c r="S141" s="62"/>
    </row>
    <row r="142" spans="1:19" s="254" customFormat="1" ht="15" customHeight="1">
      <c r="B142" s="254" t="s">
        <v>1406</v>
      </c>
      <c r="C142" s="197">
        <f>Inputs!C142</f>
        <v>1</v>
      </c>
      <c r="D142" s="197">
        <f>C142</f>
        <v>1</v>
      </c>
      <c r="E142" s="197">
        <f t="shared" si="52"/>
        <v>1</v>
      </c>
      <c r="F142" s="197">
        <f t="shared" si="52"/>
        <v>1</v>
      </c>
      <c r="G142" s="197">
        <f t="shared" si="52"/>
        <v>1</v>
      </c>
      <c r="H142" s="197">
        <f t="shared" si="52"/>
        <v>1</v>
      </c>
      <c r="I142" s="197">
        <f t="shared" si="52"/>
        <v>1</v>
      </c>
      <c r="J142" s="197">
        <f t="shared" si="52"/>
        <v>1</v>
      </c>
      <c r="K142" s="197">
        <f t="shared" si="52"/>
        <v>1</v>
      </c>
      <c r="L142" s="197">
        <f t="shared" si="52"/>
        <v>1</v>
      </c>
      <c r="M142" s="197">
        <f t="shared" si="52"/>
        <v>1</v>
      </c>
      <c r="N142" s="197">
        <f t="shared" si="52"/>
        <v>1</v>
      </c>
      <c r="O142" s="197">
        <f t="shared" si="52"/>
        <v>1</v>
      </c>
      <c r="P142" s="197">
        <f t="shared" si="52"/>
        <v>1</v>
      </c>
      <c r="Q142" s="197">
        <f t="shared" si="52"/>
        <v>1</v>
      </c>
      <c r="R142" s="197">
        <f t="shared" si="52"/>
        <v>1</v>
      </c>
      <c r="S142" s="62"/>
    </row>
    <row r="143" spans="1:19" s="254" customFormat="1" ht="15" customHeight="1">
      <c r="B143" s="254" t="s">
        <v>851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1012</v>
      </c>
      <c r="B144" s="254" t="s">
        <v>852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853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854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855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856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857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858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776</v>
      </c>
      <c r="B151" s="254" t="s">
        <v>814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815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1173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1013</v>
      </c>
      <c r="B154" s="254" t="s">
        <v>999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1001</v>
      </c>
      <c r="C155" s="153">
        <f>Inputs!C155</f>
        <v>1.85</v>
      </c>
      <c r="D155" s="153">
        <f t="shared" ref="D155:R158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1002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1003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ht="15" customHeight="1">
      <c r="A158" s="254" t="s">
        <v>1042</v>
      </c>
      <c r="C158" s="233" t="str">
        <f>Inputs!C158</f>
        <v>E_O_F</v>
      </c>
      <c r="D158" s="233" t="str">
        <f t="shared" si="57"/>
        <v>E_O_F</v>
      </c>
      <c r="E158" s="233" t="str">
        <f t="shared" si="57"/>
        <v>E_O_F</v>
      </c>
      <c r="F158" s="233" t="str">
        <f t="shared" si="57"/>
        <v>E_O_F</v>
      </c>
      <c r="G158" s="233" t="str">
        <f t="shared" si="57"/>
        <v>E_O_F</v>
      </c>
      <c r="H158" s="233" t="str">
        <f t="shared" si="57"/>
        <v>E_O_F</v>
      </c>
      <c r="I158" s="233" t="str">
        <f t="shared" si="57"/>
        <v>E_O_F</v>
      </c>
      <c r="J158" s="233" t="str">
        <f t="shared" si="57"/>
        <v>E_O_F</v>
      </c>
      <c r="K158" s="233" t="str">
        <f t="shared" si="57"/>
        <v>E_O_F</v>
      </c>
      <c r="L158" s="233" t="str">
        <f t="shared" si="57"/>
        <v>E_O_F</v>
      </c>
      <c r="M158" s="233" t="str">
        <f t="shared" si="57"/>
        <v>E_O_F</v>
      </c>
      <c r="N158" s="233" t="str">
        <f t="shared" si="57"/>
        <v>E_O_F</v>
      </c>
      <c r="O158" s="233" t="str">
        <f t="shared" si="57"/>
        <v>E_O_F</v>
      </c>
      <c r="P158" s="233" t="str">
        <f t="shared" si="57"/>
        <v>E_O_F</v>
      </c>
      <c r="Q158" s="233" t="str">
        <f t="shared" si="57"/>
        <v>E_O_F</v>
      </c>
      <c r="R158" s="233" t="str">
        <f t="shared" si="57"/>
        <v>E_O_F</v>
      </c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>
      <selection activeCell="G9" sqref="G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121</v>
      </c>
      <c r="B1" s="124"/>
      <c r="C1" s="124"/>
      <c r="D1" s="124"/>
      <c r="E1" s="124"/>
      <c r="I1" s="124" t="s">
        <v>1311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495</v>
      </c>
      <c r="I2" s="125" t="s">
        <v>495</v>
      </c>
      <c r="N2" s="254"/>
      <c r="O2" s="254"/>
      <c r="P2" s="254"/>
      <c r="Q2" s="254"/>
    </row>
    <row r="3" spans="1:19" ht="15" customHeight="1">
      <c r="A3" s="126" t="s">
        <v>496</v>
      </c>
      <c r="B3" s="537" t="s">
        <v>1310</v>
      </c>
      <c r="C3" s="537"/>
      <c r="D3" s="537"/>
      <c r="E3" s="537"/>
      <c r="I3" s="126" t="s">
        <v>496</v>
      </c>
      <c r="J3" s="537" t="s">
        <v>1277</v>
      </c>
      <c r="K3" s="537"/>
      <c r="L3" s="537"/>
      <c r="M3" s="537"/>
      <c r="N3" s="537" t="s">
        <v>1278</v>
      </c>
      <c r="O3" s="537"/>
      <c r="P3" s="537"/>
      <c r="Q3" s="537"/>
    </row>
    <row r="4" spans="1:19" ht="15" customHeight="1">
      <c r="A4" s="99" t="s">
        <v>123</v>
      </c>
      <c r="B4" s="100" t="s">
        <v>124</v>
      </c>
      <c r="C4" s="100" t="s">
        <v>125</v>
      </c>
      <c r="D4" s="100" t="s">
        <v>126</v>
      </c>
      <c r="E4" s="100" t="s">
        <v>125</v>
      </c>
      <c r="I4" s="99" t="s">
        <v>123</v>
      </c>
      <c r="J4" s="100" t="s">
        <v>124</v>
      </c>
      <c r="K4" s="100" t="s">
        <v>125</v>
      </c>
      <c r="L4" s="100" t="s">
        <v>126</v>
      </c>
      <c r="M4" s="100" t="s">
        <v>125</v>
      </c>
      <c r="N4" s="100" t="s">
        <v>124</v>
      </c>
      <c r="O4" s="100" t="s">
        <v>125</v>
      </c>
      <c r="P4" s="100" t="s">
        <v>126</v>
      </c>
      <c r="Q4" s="100" t="s">
        <v>125</v>
      </c>
      <c r="R4" s="5" t="s">
        <v>2</v>
      </c>
    </row>
    <row r="5" spans="1:19" ht="15" customHeight="1">
      <c r="A5" s="201" t="s">
        <v>562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562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127</v>
      </c>
      <c r="B6" s="254">
        <f>IF(HomeSize="Med",VLOOKUP(Geometry!A6,Geometry!$I$5:$Q$40,2,FALSE),VLOOKUP(Geometry!A6,Geometry!$I5:$Q$40,6,FALSE))</f>
        <v>50</v>
      </c>
      <c r="C6" s="257" t="s">
        <v>128</v>
      </c>
      <c r="D6" s="254">
        <f>IF(HomeSize="Med",VLOOKUP(Geometry!A6,Geometry!$I$5:$Q$40,4,FALSE),VLOOKUP(Geometry!A6,Geometry!$I$5:$Q$40,8,FALSE))</f>
        <v>15.239999512320015</v>
      </c>
      <c r="E6" s="257" t="s">
        <v>129</v>
      </c>
      <c r="I6" s="87" t="s">
        <v>127</v>
      </c>
      <c r="J6" s="257">
        <v>50</v>
      </c>
      <c r="K6" s="241" t="s">
        <v>128</v>
      </c>
      <c r="L6" s="257">
        <f t="shared" ref="L6:L7" si="0">J6/3.28084</f>
        <v>15.239999512320015</v>
      </c>
      <c r="M6" s="257" t="s">
        <v>129</v>
      </c>
      <c r="N6" s="257">
        <v>50</v>
      </c>
      <c r="O6" s="257" t="s">
        <v>128</v>
      </c>
      <c r="P6" s="257">
        <f t="shared" ref="P6:P7" si="1">N6/3.28084</f>
        <v>15.239999512320015</v>
      </c>
      <c r="Q6" s="257" t="s">
        <v>129</v>
      </c>
      <c r="R6" s="123" t="s">
        <v>493</v>
      </c>
    </row>
    <row r="7" spans="1:19" ht="15" customHeight="1">
      <c r="A7" s="201" t="s">
        <v>130</v>
      </c>
      <c r="B7" s="254">
        <f>IF(HomeSize="Med",VLOOKUP(Geometry!A7,Geometry!$I$5:$Q$40,2,FALSE),VLOOKUP(Geometry!A7,Geometry!$I7:$Q$40,6,FALSE))</f>
        <v>29</v>
      </c>
      <c r="C7" s="257" t="s">
        <v>128</v>
      </c>
      <c r="D7" s="254">
        <f>IF(HomeSize="Med",VLOOKUP(Geometry!A7,Geometry!$I$5:$Q$40,4,FALSE),VLOOKUP(Geometry!A7,Geometry!$I$5:$Q$40,8,FALSE))</f>
        <v>8.8391997171456094</v>
      </c>
      <c r="E7" s="257" t="s">
        <v>129</v>
      </c>
      <c r="I7" s="87" t="s">
        <v>130</v>
      </c>
      <c r="J7" s="257">
        <v>46</v>
      </c>
      <c r="K7" s="241" t="s">
        <v>128</v>
      </c>
      <c r="L7" s="257">
        <f t="shared" si="0"/>
        <v>14.020799551334415</v>
      </c>
      <c r="M7" s="257" t="s">
        <v>129</v>
      </c>
      <c r="N7" s="257">
        <v>29</v>
      </c>
      <c r="O7" s="257" t="s">
        <v>128</v>
      </c>
      <c r="P7" s="257">
        <f t="shared" si="1"/>
        <v>8.8391997171456094</v>
      </c>
      <c r="Q7" s="257" t="s">
        <v>129</v>
      </c>
      <c r="R7" s="122"/>
      <c r="S7" s="55"/>
    </row>
    <row r="8" spans="1:19" ht="15" customHeight="1">
      <c r="A8" s="201" t="s">
        <v>131</v>
      </c>
      <c r="B8" s="254">
        <f>IF(HomeSize="Med",VLOOKUP(Geometry!A8,Geometry!$I$5:$Q$40,2,FALSE),VLOOKUP(Geometry!A8,Geometry!$I8:$Q$40,6,FALSE))</f>
        <v>2700</v>
      </c>
      <c r="C8" s="257" t="s">
        <v>490</v>
      </c>
      <c r="D8" s="264">
        <f>IF(HomeSize="Med",VLOOKUP(Geometry!A8,Geometry!$I$5:$Q$40,4,FALSE),VLOOKUP(Geometry!A8,Geometry!$I$5:$Q$40,8,FALSE))</f>
        <v>250.82999999999998</v>
      </c>
      <c r="E8" s="257" t="s">
        <v>489</v>
      </c>
      <c r="I8" s="87" t="s">
        <v>131</v>
      </c>
      <c r="J8" s="242">
        <v>2100</v>
      </c>
      <c r="K8" s="241" t="s">
        <v>490</v>
      </c>
      <c r="L8" s="244">
        <f t="shared" ref="L8:L12" si="2">J8*0.0929</f>
        <v>195.09</v>
      </c>
      <c r="M8" s="257" t="s">
        <v>489</v>
      </c>
      <c r="N8" s="242">
        <v>2700</v>
      </c>
      <c r="O8" s="257" t="s">
        <v>490</v>
      </c>
      <c r="P8" s="244">
        <f t="shared" ref="P8:P12" si="3">N8*0.0929</f>
        <v>250.82999999999998</v>
      </c>
      <c r="Q8" s="257" t="s">
        <v>489</v>
      </c>
      <c r="R8" s="122"/>
      <c r="S8"/>
    </row>
    <row r="9" spans="1:19" ht="15" customHeight="1">
      <c r="A9" s="201" t="s">
        <v>488</v>
      </c>
      <c r="B9" s="254">
        <f>IF(HomeSize="Med",VLOOKUP(Geometry!A9,Geometry!$I$5:$Q$40,2,FALSE),VLOOKUP(Geometry!A9,Geometry!$I9:$Q$40,6,FALSE))</f>
        <v>1250</v>
      </c>
      <c r="C9" s="257" t="s">
        <v>490</v>
      </c>
      <c r="D9" s="264">
        <f>IF(HomeSize="Med",VLOOKUP(Geometry!A9,Geometry!$I$5:$Q$40,4,FALSE),VLOOKUP(Geometry!A9,Geometry!$I$5:$Q$40,8,FALSE))</f>
        <v>116.125</v>
      </c>
      <c r="E9" s="257" t="s">
        <v>489</v>
      </c>
      <c r="I9" s="87" t="s">
        <v>488</v>
      </c>
      <c r="J9" s="257">
        <f>J8/J5</f>
        <v>2100</v>
      </c>
      <c r="K9" s="241" t="s">
        <v>490</v>
      </c>
      <c r="L9" s="244">
        <f t="shared" si="2"/>
        <v>195.09</v>
      </c>
      <c r="M9" s="257" t="s">
        <v>489</v>
      </c>
      <c r="N9" s="257">
        <v>1250</v>
      </c>
      <c r="O9" s="257" t="s">
        <v>490</v>
      </c>
      <c r="P9" s="244">
        <f t="shared" si="3"/>
        <v>116.125</v>
      </c>
      <c r="Q9" s="257" t="s">
        <v>489</v>
      </c>
      <c r="R9" s="122"/>
      <c r="S9"/>
    </row>
    <row r="10" spans="1:19" ht="15" customHeight="1">
      <c r="A10" s="201" t="s">
        <v>134</v>
      </c>
      <c r="B10" s="254">
        <f>IF(HomeSize="Med",VLOOKUP(Geometry!A10,Geometry!$I$5:$Q$40,2,FALSE),VLOOKUP(Geometry!A10,Geometry!$I10:$Q$40,6,FALSE))</f>
        <v>1450</v>
      </c>
      <c r="C10" s="257" t="s">
        <v>490</v>
      </c>
      <c r="D10" s="264">
        <f>IF(HomeSize="Med",VLOOKUP(Geometry!A10,Geometry!$I$5:$Q$40,4,FALSE),VLOOKUP(Geometry!A10,Geometry!$I$5:$Q$40,8,FALSE))</f>
        <v>134.70499999999998</v>
      </c>
      <c r="E10" s="257" t="s">
        <v>489</v>
      </c>
      <c r="I10" s="87" t="s">
        <v>134</v>
      </c>
      <c r="J10" s="257">
        <f>IF(J5=2,J8/J5,0)</f>
        <v>0</v>
      </c>
      <c r="K10" s="241" t="s">
        <v>490</v>
      </c>
      <c r="L10" s="244">
        <f t="shared" si="2"/>
        <v>0</v>
      </c>
      <c r="M10" s="257" t="s">
        <v>489</v>
      </c>
      <c r="N10" s="257">
        <v>1450</v>
      </c>
      <c r="O10" s="257" t="s">
        <v>490</v>
      </c>
      <c r="P10" s="244">
        <f t="shared" si="3"/>
        <v>134.70499999999998</v>
      </c>
      <c r="Q10" s="257" t="s">
        <v>489</v>
      </c>
      <c r="R10" s="122"/>
    </row>
    <row r="11" spans="1:19" ht="15" customHeight="1">
      <c r="A11" s="201" t="s">
        <v>135</v>
      </c>
      <c r="B11" s="254">
        <f>IF(HomeSize="Med",VLOOKUP(Geometry!A11,Geometry!$I$5:$Q$40,2,FALSE),VLOOKUP(Geometry!A11,Geometry!$I11:$Q$40,6,FALSE))</f>
        <v>158</v>
      </c>
      <c r="C11" s="257" t="s">
        <v>128</v>
      </c>
      <c r="D11" s="254">
        <f>IF(HomeSize="Med",VLOOKUP(Geometry!A11,Geometry!$I$5:$Q$40,4,FALSE),VLOOKUP(Geometry!A11,Geometry!$I$5:$Q$40,8,FALSE))</f>
        <v>48.158398458931252</v>
      </c>
      <c r="E11" s="257" t="s">
        <v>129</v>
      </c>
      <c r="I11" s="87" t="s">
        <v>135</v>
      </c>
      <c r="J11" s="243">
        <v>192</v>
      </c>
      <c r="K11" s="241" t="s">
        <v>128</v>
      </c>
      <c r="L11" s="257">
        <f>J11/3.28084</f>
        <v>58.521598127308863</v>
      </c>
      <c r="M11" s="257" t="s">
        <v>129</v>
      </c>
      <c r="N11" s="243">
        <v>158</v>
      </c>
      <c r="O11" s="257" t="s">
        <v>128</v>
      </c>
      <c r="P11" s="257">
        <f>N11/3.28084</f>
        <v>48.158398458931252</v>
      </c>
      <c r="Q11" s="257" t="s">
        <v>129</v>
      </c>
      <c r="R11" s="122"/>
      <c r="S11" s="5" t="s">
        <v>1309</v>
      </c>
    </row>
    <row r="12" spans="1:19" s="254" customFormat="1" ht="15" customHeight="1">
      <c r="A12" s="201" t="s">
        <v>1315</v>
      </c>
      <c r="B12" s="254">
        <f>IF(HomeSize="Med",VLOOKUP(Geometry!A12,Geometry!$I$5:$Q$40,2,FALSE),VLOOKUP(Geometry!A12,Geometry!$I12:$Q$40,6,FALSE))</f>
        <v>200</v>
      </c>
      <c r="C12" s="257" t="s">
        <v>490</v>
      </c>
      <c r="D12" s="254">
        <f>IF(HomeSize="Med",VLOOKUP(Geometry!A12,Geometry!$I$5:$Q$40,4,FALSE),VLOOKUP(Geometry!A12,Geometry!$I$5:$Q$40,8,FALSE))</f>
        <v>18.579999999999998</v>
      </c>
      <c r="E12" s="257" t="s">
        <v>489</v>
      </c>
      <c r="I12" s="201" t="s">
        <v>1315</v>
      </c>
      <c r="J12" s="496">
        <f>J8-J9</f>
        <v>0</v>
      </c>
      <c r="K12" s="257" t="s">
        <v>490</v>
      </c>
      <c r="L12" s="244">
        <f t="shared" si="2"/>
        <v>0</v>
      </c>
      <c r="M12" s="257" t="s">
        <v>489</v>
      </c>
      <c r="N12" s="496">
        <f>N10-N9</f>
        <v>200</v>
      </c>
      <c r="O12" s="257" t="s">
        <v>490</v>
      </c>
      <c r="P12" s="244">
        <f t="shared" si="3"/>
        <v>18.579999999999998</v>
      </c>
      <c r="Q12" s="257" t="s">
        <v>489</v>
      </c>
      <c r="R12" s="245"/>
    </row>
    <row r="13" spans="1:19" ht="15" customHeight="1">
      <c r="A13" s="201" t="s">
        <v>136</v>
      </c>
      <c r="B13" s="254">
        <f>IF(HomeSize="Med",VLOOKUP(Geometry!A13,Geometry!$I$5:$Q$40,2,FALSE),VLOOKUP(Geometry!A13,Geometry!$I13:$Q$40,6,FALSE))</f>
        <v>1</v>
      </c>
      <c r="C13" s="257" t="s">
        <v>128</v>
      </c>
      <c r="D13" s="264">
        <f>IF(HomeSize="Med",VLOOKUP(Geometry!A13,Geometry!$I$5:$Q$40,4,FALSE),VLOOKUP(Geometry!A13,Geometry!$I$5:$Q$40,8,FALSE))</f>
        <v>0.30479999024640031</v>
      </c>
      <c r="E13" s="257" t="s">
        <v>129</v>
      </c>
      <c r="I13" s="87" t="s">
        <v>136</v>
      </c>
      <c r="J13" s="257">
        <v>1</v>
      </c>
      <c r="K13" s="241" t="s">
        <v>128</v>
      </c>
      <c r="L13" s="257">
        <f>J13/3.28084</f>
        <v>0.30479999024640031</v>
      </c>
      <c r="M13" s="257" t="s">
        <v>129</v>
      </c>
      <c r="N13" s="257">
        <v>1</v>
      </c>
      <c r="O13" s="257" t="s">
        <v>128</v>
      </c>
      <c r="P13" s="257">
        <f>N13/3.28084</f>
        <v>0.30479999024640031</v>
      </c>
      <c r="Q13" s="257" t="s">
        <v>129</v>
      </c>
      <c r="R13" s="122"/>
    </row>
    <row r="14" spans="1:19" ht="15" customHeight="1">
      <c r="A14" s="201" t="s">
        <v>137</v>
      </c>
      <c r="B14" s="254">
        <f>IF(HomeSize="Med",VLOOKUP(Geometry!A14,Geometry!$I$5:$Q$40,2,FALSE),VLOOKUP(Geometry!A14,Geometry!$I14:$Q$40,6,FALSE))</f>
        <v>9</v>
      </c>
      <c r="C14" s="257" t="s">
        <v>128</v>
      </c>
      <c r="D14" s="264">
        <f>IF(HomeSize="Med",VLOOKUP(Geometry!A14,Geometry!$I$5:$Q$40,4,FALSE),VLOOKUP(Geometry!A14,Geometry!$I$5:$Q$40,8,FALSE))</f>
        <v>2.743199912217603</v>
      </c>
      <c r="E14" s="257" t="s">
        <v>129</v>
      </c>
      <c r="I14" s="87" t="s">
        <v>137</v>
      </c>
      <c r="J14" s="257">
        <v>9</v>
      </c>
      <c r="K14" s="241" t="s">
        <v>128</v>
      </c>
      <c r="L14" s="257">
        <f>J14/3.28084</f>
        <v>2.743199912217603</v>
      </c>
      <c r="M14" s="257" t="s">
        <v>129</v>
      </c>
      <c r="N14" s="257">
        <v>9</v>
      </c>
      <c r="O14" s="257" t="s">
        <v>128</v>
      </c>
      <c r="P14" s="257">
        <f>N14/3.28084</f>
        <v>2.743199912217603</v>
      </c>
      <c r="Q14" s="257" t="s">
        <v>129</v>
      </c>
      <c r="R14" s="122"/>
    </row>
    <row r="15" spans="1:19" ht="15" customHeight="1">
      <c r="A15" s="201" t="s">
        <v>138</v>
      </c>
      <c r="B15" s="254">
        <f>IF(HomeSize="Med",VLOOKUP(Geometry!A15,Geometry!$I$5:$Q$40,2,FALSE),VLOOKUP(Geometry!A15,Geometry!$I15:$Q$40,6,FALSE))</f>
        <v>1</v>
      </c>
      <c r="C15" s="257" t="s">
        <v>128</v>
      </c>
      <c r="D15" s="254">
        <f>IF(HomeSize="Med",VLOOKUP(Geometry!A15,Geometry!$I$5:$Q$40,4,FALSE),VLOOKUP(Geometry!A15,Geometry!$I$5:$Q$40,8,FALSE))</f>
        <v>0.30479999024640031</v>
      </c>
      <c r="E15" s="257" t="s">
        <v>129</v>
      </c>
      <c r="I15" s="87" t="s">
        <v>138</v>
      </c>
      <c r="J15" s="257">
        <v>1</v>
      </c>
      <c r="K15" s="241" t="s">
        <v>128</v>
      </c>
      <c r="L15" s="257">
        <f>J15/3.28084</f>
        <v>0.30479999024640031</v>
      </c>
      <c r="M15" s="257" t="s">
        <v>129</v>
      </c>
      <c r="N15" s="257">
        <v>1</v>
      </c>
      <c r="O15" s="257" t="s">
        <v>128</v>
      </c>
      <c r="P15" s="257">
        <f>N15/3.28084</f>
        <v>0.30479999024640031</v>
      </c>
      <c r="Q15" s="257" t="s">
        <v>129</v>
      </c>
      <c r="R15" s="122"/>
    </row>
    <row r="16" spans="1:19" ht="15" customHeight="1">
      <c r="A16" s="201" t="s">
        <v>139</v>
      </c>
      <c r="B16" s="254">
        <f>IF(HomeSize="Med",VLOOKUP(Geometry!A16,Geometry!$I$5:$Q$40,2,FALSE),VLOOKUP(Geometry!A16,Geometry!$I16:$Q$40,6,FALSE))</f>
        <v>20</v>
      </c>
      <c r="C16" s="257" t="s">
        <v>128</v>
      </c>
      <c r="D16" s="264">
        <f>IF(HomeSize="Med",VLOOKUP(Geometry!A16,Geometry!$I$5:$Q$40,4,FALSE),VLOOKUP(Geometry!A16,Geometry!$I$5:$Q$40,8,FALSE))</f>
        <v>6.095999804928006</v>
      </c>
      <c r="E16" s="257" t="s">
        <v>129</v>
      </c>
      <c r="I16" s="87" t="s">
        <v>139</v>
      </c>
      <c r="J16" s="257">
        <f>J13+(J14*J5)+J15</f>
        <v>11</v>
      </c>
      <c r="K16" s="241" t="s">
        <v>128</v>
      </c>
      <c r="L16" s="257">
        <f>J16/3.28084</f>
        <v>3.3527998927104035</v>
      </c>
      <c r="M16" s="257" t="s">
        <v>129</v>
      </c>
      <c r="N16" s="257">
        <f>N13+(N14*N5)+N15</f>
        <v>20</v>
      </c>
      <c r="O16" s="257" t="s">
        <v>128</v>
      </c>
      <c r="P16" s="257">
        <f>N16/3.28084</f>
        <v>6.095999804928006</v>
      </c>
      <c r="Q16" s="257" t="s">
        <v>129</v>
      </c>
      <c r="R16" s="122"/>
      <c r="S16" s="5" t="s">
        <v>140</v>
      </c>
    </row>
    <row r="17" spans="1:19" ht="15" customHeight="1">
      <c r="A17" s="201" t="s">
        <v>141</v>
      </c>
      <c r="B17" s="254">
        <f>IF(HomeSize="Med",VLOOKUP(Geometry!A17,Geometry!$I$5:$Q$40,2,FALSE),VLOOKUP(Geometry!A17,Geometry!$I17:$Q$40,6,FALSE))</f>
        <v>540</v>
      </c>
      <c r="C17" s="257" t="s">
        <v>490</v>
      </c>
      <c r="D17" s="264">
        <f>IF(HomeSize="Med",VLOOKUP(Geometry!A17,Geometry!$I$5:$Q$40,4,FALSE),VLOOKUP(Geometry!A17,Geometry!$I$5:$Q$40,8,FALSE))</f>
        <v>50.165999999999997</v>
      </c>
      <c r="E17" s="257" t="s">
        <v>489</v>
      </c>
      <c r="G17" s="5" t="s">
        <v>1313</v>
      </c>
      <c r="I17" s="87" t="s">
        <v>141</v>
      </c>
      <c r="J17" s="244">
        <f>0.2*J8</f>
        <v>420</v>
      </c>
      <c r="K17" s="257" t="s">
        <v>490</v>
      </c>
      <c r="L17" s="244">
        <f>J17*0.0929</f>
        <v>39.018000000000001</v>
      </c>
      <c r="M17" s="257" t="s">
        <v>489</v>
      </c>
      <c r="N17" s="244">
        <f>0.2*N8</f>
        <v>540</v>
      </c>
      <c r="O17" s="257" t="s">
        <v>490</v>
      </c>
      <c r="P17" s="244">
        <f>N17*0.0929</f>
        <v>50.165999999999997</v>
      </c>
      <c r="Q17" s="257" t="s">
        <v>489</v>
      </c>
      <c r="R17" s="123" t="s">
        <v>494</v>
      </c>
      <c r="S17" s="5" t="s">
        <v>142</v>
      </c>
    </row>
    <row r="18" spans="1:19" s="254" customFormat="1" ht="15" customHeight="1">
      <c r="A18" s="201" t="s">
        <v>875</v>
      </c>
      <c r="B18" s="254">
        <f>IF(HomeSize="Med",VLOOKUP(Geometry!A18,Geometry!$I$5:$Q$40,2,FALSE),VLOOKUP(Geometry!A18,Geometry!$I18:$Q$40,6,FALSE))</f>
        <v>40</v>
      </c>
      <c r="C18" s="257" t="s">
        <v>490</v>
      </c>
      <c r="D18" s="254">
        <f>IF(HomeSize="Med",VLOOKUP(Geometry!A18,Geometry!$I$5:$Q$40,4,FALSE),VLOOKUP(Geometry!A18,Geometry!$I$5:$Q$40,8,FALSE))</f>
        <v>3.7159999999999997</v>
      </c>
      <c r="E18" s="257" t="s">
        <v>489</v>
      </c>
      <c r="I18" s="201" t="s">
        <v>875</v>
      </c>
      <c r="J18" s="244">
        <v>40</v>
      </c>
      <c r="K18" s="257" t="s">
        <v>490</v>
      </c>
      <c r="L18" s="244">
        <f>J18*0.0929</f>
        <v>3.7159999999999997</v>
      </c>
      <c r="M18" s="257" t="s">
        <v>489</v>
      </c>
      <c r="N18" s="244">
        <v>40</v>
      </c>
      <c r="O18" s="257" t="s">
        <v>490</v>
      </c>
      <c r="P18" s="244">
        <f>N18*0.0929</f>
        <v>3.7159999999999997</v>
      </c>
      <c r="Q18" s="257" t="s">
        <v>489</v>
      </c>
    </row>
    <row r="19" spans="1:19" ht="15" customHeight="1">
      <c r="A19" s="201" t="s">
        <v>143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143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155</v>
      </c>
    </row>
    <row r="20" spans="1:19" s="254" customFormat="1" ht="15" customHeight="1">
      <c r="A20" s="201" t="s">
        <v>1301</v>
      </c>
      <c r="B20" s="254">
        <f>IF(HomeSize="Med",VLOOKUP(Geometry!A20,Geometry!$I$5:$Q$40,2,FALSE),VLOOKUP(Geometry!A20,Geometry!$I20:$Q$40,6,FALSE))</f>
        <v>270</v>
      </c>
      <c r="C20" s="257" t="s">
        <v>490</v>
      </c>
      <c r="D20" s="254">
        <f>IF(HomeSize="Med",VLOOKUP(Geometry!A20,Geometry!$I$5:$Q$40,4,FALSE),VLOOKUP(Geometry!A20,Geometry!$I$5:$Q$40,8,FALSE))</f>
        <v>25.082999999999998</v>
      </c>
      <c r="E20" s="257" t="s">
        <v>489</v>
      </c>
      <c r="I20" s="201" t="s">
        <v>1301</v>
      </c>
      <c r="J20" s="257">
        <v>270</v>
      </c>
      <c r="K20" s="257" t="s">
        <v>490</v>
      </c>
      <c r="L20" s="244">
        <f t="shared" ref="L20:L28" si="4">J20*0.0929</f>
        <v>25.082999999999998</v>
      </c>
      <c r="M20" s="257" t="s">
        <v>489</v>
      </c>
      <c r="N20" s="257">
        <v>270</v>
      </c>
      <c r="O20" s="257" t="s">
        <v>490</v>
      </c>
      <c r="P20" s="244">
        <f t="shared" ref="P20:P28" si="5">N20*0.0929</f>
        <v>25.082999999999998</v>
      </c>
      <c r="Q20" s="257" t="s">
        <v>489</v>
      </c>
      <c r="R20" s="266"/>
    </row>
    <row r="21" spans="1:19" s="254" customFormat="1" ht="15" customHeight="1">
      <c r="A21" s="201" t="s">
        <v>1302</v>
      </c>
      <c r="B21" s="254">
        <f>IF(HomeSize="Med",VLOOKUP(Geometry!A21,Geometry!$I$5:$Q$40,2,FALSE),VLOOKUP(Geometry!A21,Geometry!$I21:$Q$40,6,FALSE))</f>
        <v>180</v>
      </c>
      <c r="C21" s="257" t="s">
        <v>490</v>
      </c>
      <c r="D21" s="254">
        <f>IF(HomeSize="Med",VLOOKUP(Geometry!A21,Geometry!$I$5:$Q$40,4,FALSE),VLOOKUP(Geometry!A21,Geometry!$I$5:$Q$40,8,FALSE))</f>
        <v>16.721999999999998</v>
      </c>
      <c r="E21" s="257" t="s">
        <v>489</v>
      </c>
      <c r="I21" s="201" t="s">
        <v>1302</v>
      </c>
      <c r="J21" s="257">
        <v>180</v>
      </c>
      <c r="K21" s="257" t="s">
        <v>490</v>
      </c>
      <c r="L21" s="244">
        <f t="shared" si="4"/>
        <v>16.721999999999998</v>
      </c>
      <c r="M21" s="257" t="s">
        <v>489</v>
      </c>
      <c r="N21" s="257">
        <v>180</v>
      </c>
      <c r="O21" s="257" t="s">
        <v>490</v>
      </c>
      <c r="P21" s="244">
        <f t="shared" si="5"/>
        <v>16.721999999999998</v>
      </c>
      <c r="Q21" s="257" t="s">
        <v>489</v>
      </c>
      <c r="R21" s="266"/>
    </row>
    <row r="22" spans="1:19" s="254" customFormat="1" ht="15" customHeight="1">
      <c r="A22" s="201" t="s">
        <v>1303</v>
      </c>
      <c r="B22" s="254">
        <f>IF(HomeSize="Med",VLOOKUP(Geometry!A22,Geometry!$I$5:$Q$40,2,FALSE),VLOOKUP(Geometry!A22,Geometry!$I22:$Q$40,6,FALSE))</f>
        <v>551</v>
      </c>
      <c r="C22" s="257" t="s">
        <v>490</v>
      </c>
      <c r="D22" s="254">
        <f>IF(HomeSize="Med",VLOOKUP(Geometry!A22,Geometry!$I$5:$Q$40,4,FALSE),VLOOKUP(Geometry!A22,Geometry!$I$5:$Q$40,8,FALSE))</f>
        <v>51.187899999999999</v>
      </c>
      <c r="E22" s="257" t="s">
        <v>489</v>
      </c>
      <c r="I22" s="201" t="s">
        <v>1303</v>
      </c>
      <c r="J22" s="257">
        <v>324</v>
      </c>
      <c r="K22" s="257" t="s">
        <v>490</v>
      </c>
      <c r="L22" s="244">
        <f t="shared" si="4"/>
        <v>30.099599999999999</v>
      </c>
      <c r="M22" s="257" t="s">
        <v>489</v>
      </c>
      <c r="N22" s="257">
        <v>551</v>
      </c>
      <c r="O22" s="257" t="s">
        <v>490</v>
      </c>
      <c r="P22" s="244">
        <f t="shared" si="5"/>
        <v>51.187899999999999</v>
      </c>
      <c r="Q22" s="257" t="s">
        <v>489</v>
      </c>
      <c r="R22" s="266"/>
    </row>
    <row r="23" spans="1:19" s="254" customFormat="1" ht="15" customHeight="1">
      <c r="A23" s="201" t="s">
        <v>1304</v>
      </c>
      <c r="B23" s="254">
        <f>IF(HomeSize="Med",VLOOKUP(Geometry!A23,Geometry!$I$5:$Q$40,2,FALSE),VLOOKUP(Geometry!A23,Geometry!$I23:$Q$40,6,FALSE))</f>
        <v>0</v>
      </c>
      <c r="C23" s="257" t="s">
        <v>490</v>
      </c>
      <c r="D23" s="254">
        <f>IF(HomeSize="Med",VLOOKUP(Geometry!A23,Geometry!$I$5:$Q$40,4,FALSE),VLOOKUP(Geometry!A23,Geometry!$I$5:$Q$40,8,FALSE))</f>
        <v>0</v>
      </c>
      <c r="E23" s="257" t="s">
        <v>489</v>
      </c>
      <c r="I23" s="201" t="s">
        <v>1304</v>
      </c>
      <c r="J23" s="257">
        <v>90</v>
      </c>
      <c r="K23" s="257" t="s">
        <v>490</v>
      </c>
      <c r="L23" s="244">
        <f t="shared" si="4"/>
        <v>8.3609999999999989</v>
      </c>
      <c r="M23" s="257" t="s">
        <v>489</v>
      </c>
      <c r="N23" s="257">
        <v>0</v>
      </c>
      <c r="O23" s="257" t="s">
        <v>490</v>
      </c>
      <c r="P23" s="244">
        <f t="shared" si="5"/>
        <v>0</v>
      </c>
      <c r="Q23" s="257" t="s">
        <v>489</v>
      </c>
      <c r="R23" s="266"/>
    </row>
    <row r="24" spans="1:19" s="254" customFormat="1" ht="15" customHeight="1">
      <c r="A24" s="201" t="s">
        <v>1305</v>
      </c>
      <c r="B24" s="254">
        <f>IF(HomeSize="Med",VLOOKUP(Geometry!A24,Geometry!$I$5:$Q$40,2,FALSE),VLOOKUP(Geometry!A24,Geometry!$I24:$Q$40,6,FALSE))</f>
        <v>950</v>
      </c>
      <c r="C24" s="257" t="s">
        <v>490</v>
      </c>
      <c r="D24" s="254">
        <f>IF(HomeSize="Med",VLOOKUP(Geometry!A24,Geometry!$I$5:$Q$40,4,FALSE),VLOOKUP(Geometry!A24,Geometry!$I$5:$Q$40,8,FALSE))</f>
        <v>88.254999999999995</v>
      </c>
      <c r="E24" s="257" t="s">
        <v>489</v>
      </c>
      <c r="I24" s="201" t="s">
        <v>1305</v>
      </c>
      <c r="J24" s="257">
        <v>450</v>
      </c>
      <c r="K24" s="257" t="s">
        <v>490</v>
      </c>
      <c r="L24" s="244">
        <f t="shared" si="4"/>
        <v>41.805</v>
      </c>
      <c r="M24" s="257" t="s">
        <v>489</v>
      </c>
      <c r="N24" s="257">
        <v>950</v>
      </c>
      <c r="O24" s="257" t="s">
        <v>490</v>
      </c>
      <c r="P24" s="244">
        <f t="shared" si="5"/>
        <v>88.254999999999995</v>
      </c>
      <c r="Q24" s="257" t="s">
        <v>489</v>
      </c>
      <c r="R24" s="266"/>
    </row>
    <row r="25" spans="1:19" s="254" customFormat="1" ht="15" customHeight="1">
      <c r="A25" s="201" t="s">
        <v>1306</v>
      </c>
      <c r="B25" s="254">
        <f>IF(HomeSize="Med",VLOOKUP(Geometry!A25,Geometry!$I$5:$Q$40,2,FALSE),VLOOKUP(Geometry!A25,Geometry!$I25:$Q$40,6,FALSE))</f>
        <v>461</v>
      </c>
      <c r="C25" s="257" t="s">
        <v>490</v>
      </c>
      <c r="D25" s="254">
        <f>IF(HomeSize="Med",VLOOKUP(Geometry!A25,Geometry!$I$5:$Q$40,4,FALSE),VLOOKUP(Geometry!A25,Geometry!$I$5:$Q$40,8,FALSE))</f>
        <v>42.826899999999995</v>
      </c>
      <c r="E25" s="257" t="s">
        <v>489</v>
      </c>
      <c r="I25" s="201" t="s">
        <v>1306</v>
      </c>
      <c r="J25" s="257">
        <v>414</v>
      </c>
      <c r="K25" s="257" t="s">
        <v>490</v>
      </c>
      <c r="L25" s="244">
        <f t="shared" si="4"/>
        <v>38.460599999999999</v>
      </c>
      <c r="M25" s="257" t="s">
        <v>489</v>
      </c>
      <c r="N25" s="257">
        <v>461</v>
      </c>
      <c r="O25" s="257" t="s">
        <v>490</v>
      </c>
      <c r="P25" s="244">
        <f t="shared" si="5"/>
        <v>42.826899999999995</v>
      </c>
      <c r="Q25" s="257" t="s">
        <v>489</v>
      </c>
      <c r="R25" s="266"/>
    </row>
    <row r="26" spans="1:19" s="254" customFormat="1" ht="15" customHeight="1">
      <c r="A26" s="201" t="s">
        <v>1308</v>
      </c>
      <c r="B26" s="254">
        <f>IF(HomeSize="Med",VLOOKUP(Geometry!A26,Geometry!$I$5:$Q$40,2,FALSE),VLOOKUP(Geometry!A26,Geometry!$I26:$Q$40,6,FALSE))</f>
        <v>90</v>
      </c>
      <c r="C26" s="257" t="s">
        <v>490</v>
      </c>
      <c r="D26" s="254">
        <f>IF(HomeSize="Med",VLOOKUP(Geometry!A26,Geometry!$I$5:$Q$40,4,FALSE),VLOOKUP(Geometry!A26,Geometry!$I$5:$Q$40,8,FALSE))</f>
        <v>8.3609999999999989</v>
      </c>
      <c r="E26" s="257" t="s">
        <v>489</v>
      </c>
      <c r="I26" s="201" t="s">
        <v>1308</v>
      </c>
      <c r="J26" s="257">
        <v>0</v>
      </c>
      <c r="K26" s="257" t="s">
        <v>490</v>
      </c>
      <c r="L26" s="244">
        <f t="shared" si="4"/>
        <v>0</v>
      </c>
      <c r="M26" s="257" t="s">
        <v>489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1316</v>
      </c>
      <c r="B27" s="254">
        <f>IF(HomeSize="Med",VLOOKUP(Geometry!A27,Geometry!$I$5:$Q$40,2,FALSE),VLOOKUP(Geometry!A27,Geometry!$I27:$Q$40,6,FALSE))</f>
        <v>2502</v>
      </c>
      <c r="C27" s="257" t="s">
        <v>490</v>
      </c>
      <c r="D27" s="254">
        <f>IF(HomeSize="Med",VLOOKUP(Geometry!A27,Geometry!$I$5:$Q$40,4,FALSE),VLOOKUP(Geometry!A27,Geometry!$I$5:$Q$40,8,FALSE))</f>
        <v>232.4358</v>
      </c>
      <c r="E27" s="257" t="s">
        <v>489</v>
      </c>
      <c r="G27" s="5" t="s">
        <v>1314</v>
      </c>
      <c r="I27" s="87" t="s">
        <v>1316</v>
      </c>
      <c r="J27" s="266">
        <f>SUM(J20:J26)</f>
        <v>1728</v>
      </c>
      <c r="K27" s="257" t="s">
        <v>490</v>
      </c>
      <c r="L27" s="244">
        <f t="shared" si="4"/>
        <v>160.53119999999998</v>
      </c>
      <c r="M27" s="257" t="s">
        <v>489</v>
      </c>
      <c r="N27" s="266">
        <f>SUM(N20:N26)</f>
        <v>2502</v>
      </c>
      <c r="O27" s="257" t="s">
        <v>490</v>
      </c>
      <c r="P27" s="244">
        <f t="shared" si="5"/>
        <v>232.4358</v>
      </c>
      <c r="Q27" s="257" t="s">
        <v>489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1317</v>
      </c>
      <c r="B28" s="254">
        <f>IF(HomeSize="Med",VLOOKUP(Geometry!A28,Geometry!$I$5:$Q$40,2,FALSE),VLOOKUP(Geometry!A28,Geometry!$I28:$Q$40,6,FALSE))</f>
        <v>1962</v>
      </c>
      <c r="C28" s="257" t="s">
        <v>1318</v>
      </c>
      <c r="D28" s="254">
        <f>IF(HomeSize="Med",VLOOKUP(Geometry!A28,Geometry!$I$5:$Q$40,4,FALSE),VLOOKUP(Geometry!A28,Geometry!$I$5:$Q$40,8,FALSE))</f>
        <v>182.2698</v>
      </c>
      <c r="E28" s="257" t="s">
        <v>1319</v>
      </c>
      <c r="I28" s="201" t="s">
        <v>1317</v>
      </c>
      <c r="J28" s="497">
        <f>J27-J17</f>
        <v>1308</v>
      </c>
      <c r="K28" s="257" t="s">
        <v>490</v>
      </c>
      <c r="L28" s="244">
        <f t="shared" si="4"/>
        <v>121.5132</v>
      </c>
      <c r="M28" s="257" t="s">
        <v>489</v>
      </c>
      <c r="N28" s="497">
        <f>N27-N17</f>
        <v>1962</v>
      </c>
      <c r="O28" s="257" t="s">
        <v>490</v>
      </c>
      <c r="P28" s="244">
        <f t="shared" si="5"/>
        <v>182.2698</v>
      </c>
      <c r="Q28" s="257" t="s">
        <v>489</v>
      </c>
      <c r="R28" s="245"/>
    </row>
    <row r="29" spans="1:19" ht="15" customHeight="1">
      <c r="A29" s="201" t="s">
        <v>144</v>
      </c>
      <c r="B29" s="254">
        <f>IF(HomeSize="Med",VLOOKUP(Geometry!A29,Geometry!$I$5:$Q$40,2,FALSE),VLOOKUP(Geometry!A29,Geometry!$I29:$Q$40,6,FALSE))</f>
        <v>25750</v>
      </c>
      <c r="C29" s="257" t="s">
        <v>1307</v>
      </c>
      <c r="D29" s="264">
        <f>IF(HomeSize="Med",VLOOKUP(Geometry!A29,Geometry!$I$5:$Q$40,4,FALSE),VLOOKUP(Geometry!A29,Geometry!$I$5:$Q$40,8,FALSE))</f>
        <v>729.1581126273195</v>
      </c>
      <c r="E29" s="254" t="s">
        <v>145</v>
      </c>
      <c r="I29" s="87" t="s">
        <v>144</v>
      </c>
      <c r="J29" s="266">
        <v>18900</v>
      </c>
      <c r="K29" s="257" t="s">
        <v>1307</v>
      </c>
      <c r="L29" s="242">
        <f>J29/35.3147</f>
        <v>535.18789625849854</v>
      </c>
      <c r="M29" s="257" t="s">
        <v>145</v>
      </c>
      <c r="N29" s="266">
        <v>25750</v>
      </c>
      <c r="O29" s="257" t="s">
        <v>1307</v>
      </c>
      <c r="P29" s="242">
        <f>N29/35.3147</f>
        <v>729.1581126273195</v>
      </c>
      <c r="Q29" s="254" t="s">
        <v>145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146</v>
      </c>
      <c r="B31" s="100" t="s">
        <v>124</v>
      </c>
      <c r="C31" s="100" t="s">
        <v>125</v>
      </c>
      <c r="D31" s="100" t="s">
        <v>126</v>
      </c>
      <c r="E31" s="100" t="s">
        <v>125</v>
      </c>
      <c r="I31" s="99" t="s">
        <v>146</v>
      </c>
      <c r="J31" s="100" t="s">
        <v>124</v>
      </c>
      <c r="K31" s="100" t="s">
        <v>125</v>
      </c>
      <c r="L31" s="495" t="s">
        <v>126</v>
      </c>
      <c r="M31" s="495" t="s">
        <v>125</v>
      </c>
      <c r="N31" s="495" t="s">
        <v>124</v>
      </c>
      <c r="O31" s="495" t="s">
        <v>125</v>
      </c>
      <c r="P31" s="495" t="s">
        <v>126</v>
      </c>
      <c r="Q31" s="100" t="s">
        <v>125</v>
      </c>
      <c r="R31" s="122"/>
    </row>
    <row r="32" spans="1:19" ht="15" customHeight="1">
      <c r="A32" s="201" t="s">
        <v>147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148</v>
      </c>
      <c r="I32" s="87" t="s">
        <v>147</v>
      </c>
      <c r="J32" s="530" t="s">
        <v>1425</v>
      </c>
      <c r="K32" s="246" t="s">
        <v>11</v>
      </c>
      <c r="L32" s="244">
        <f>DEGREES(ATAN(5/12))</f>
        <v>22.61986494804043</v>
      </c>
      <c r="M32" s="257" t="s">
        <v>148</v>
      </c>
      <c r="N32" s="531" t="s">
        <v>1426</v>
      </c>
      <c r="O32" s="257" t="s">
        <v>11</v>
      </c>
      <c r="P32" s="244">
        <f>DEGREES(ATAN(4/12))</f>
        <v>18.43494882292201</v>
      </c>
      <c r="Q32" s="254" t="s">
        <v>148</v>
      </c>
      <c r="R32" s="123" t="s">
        <v>520</v>
      </c>
    </row>
    <row r="33" spans="1:19" ht="15" customHeight="1">
      <c r="A33" s="201" t="s">
        <v>149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129</v>
      </c>
      <c r="I33" s="87" t="s">
        <v>149</v>
      </c>
      <c r="J33" s="245"/>
      <c r="K33" s="245"/>
      <c r="L33" s="57">
        <f>TAN(RADIANS(L32))*(L6/2)</f>
        <v>3.1749998984000034</v>
      </c>
      <c r="M33" s="257" t="s">
        <v>129</v>
      </c>
      <c r="N33" s="266"/>
      <c r="O33" s="266"/>
      <c r="P33" s="57">
        <f>TAN(RADIANS(P32))*(P6/2)</f>
        <v>2.5399999187200022</v>
      </c>
      <c r="Q33" s="254" t="s">
        <v>129</v>
      </c>
    </row>
    <row r="34" spans="1:19" ht="15" customHeight="1">
      <c r="A34" s="201" t="s">
        <v>150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491</v>
      </c>
      <c r="I34" s="87" t="s">
        <v>150</v>
      </c>
      <c r="J34" s="245"/>
      <c r="K34" s="245"/>
      <c r="L34" s="244">
        <f>0.5*L9*L33</f>
        <v>309.70536508942831</v>
      </c>
      <c r="M34" s="257" t="s">
        <v>491</v>
      </c>
      <c r="N34" s="266"/>
      <c r="O34" s="266"/>
      <c r="P34" s="244">
        <f>0.5*P10*P33</f>
        <v>171.07534452558892</v>
      </c>
      <c r="Q34" s="254" t="s">
        <v>491</v>
      </c>
    </row>
    <row r="35" spans="1:19" ht="15" customHeight="1">
      <c r="A35" s="201" t="s">
        <v>151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129</v>
      </c>
      <c r="I35" s="87" t="s">
        <v>151</v>
      </c>
      <c r="J35" s="245"/>
      <c r="K35" s="245"/>
      <c r="L35" s="244">
        <f>L16+L33</f>
        <v>6.5277997911104073</v>
      </c>
      <c r="M35" s="257" t="s">
        <v>129</v>
      </c>
      <c r="N35" s="266"/>
      <c r="O35" s="266"/>
      <c r="P35" s="244">
        <f>P16+P33</f>
        <v>8.6359997236480091</v>
      </c>
      <c r="Q35" s="254" t="s">
        <v>129</v>
      </c>
    </row>
    <row r="36" spans="1:19" ht="15" customHeight="1">
      <c r="A36" s="201" t="s">
        <v>152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129</v>
      </c>
      <c r="I36" s="87" t="s">
        <v>152</v>
      </c>
      <c r="J36" s="245"/>
      <c r="K36" s="245"/>
      <c r="L36" s="244">
        <f>L16+(0.5*L33)</f>
        <v>4.9402998419104049</v>
      </c>
      <c r="M36" s="257" t="s">
        <v>129</v>
      </c>
      <c r="N36" s="266"/>
      <c r="O36" s="266"/>
      <c r="P36" s="244">
        <f>P16+(0.5*P33)</f>
        <v>7.3659997642880075</v>
      </c>
      <c r="Q36" s="254" t="s">
        <v>129</v>
      </c>
      <c r="R36" s="5" t="s">
        <v>502</v>
      </c>
    </row>
    <row r="37" spans="1:19" ht="15" customHeight="1">
      <c r="A37" s="201" t="s">
        <v>153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129</v>
      </c>
      <c r="I37" s="87" t="s">
        <v>153</v>
      </c>
      <c r="J37" s="245"/>
      <c r="K37" s="245"/>
      <c r="L37" s="257">
        <v>0.3</v>
      </c>
      <c r="M37" s="257" t="s">
        <v>129</v>
      </c>
      <c r="N37" s="266"/>
      <c r="O37" s="266"/>
      <c r="P37" s="257">
        <v>0.3</v>
      </c>
      <c r="Q37" s="254" t="s">
        <v>129</v>
      </c>
      <c r="R37" s="5" t="s">
        <v>154</v>
      </c>
      <c r="S37" s="5" t="s">
        <v>155</v>
      </c>
    </row>
    <row r="38" spans="1:19" ht="15" customHeight="1">
      <c r="A38" s="201" t="s">
        <v>156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129</v>
      </c>
      <c r="I38" s="87" t="s">
        <v>156</v>
      </c>
      <c r="J38" s="245"/>
      <c r="K38" s="245"/>
      <c r="L38" s="244">
        <f>L35</f>
        <v>6.5277997911104073</v>
      </c>
      <c r="M38" s="257" t="s">
        <v>129</v>
      </c>
      <c r="N38" s="266"/>
      <c r="O38" s="266"/>
      <c r="P38" s="244">
        <f>P35</f>
        <v>8.6359997236480091</v>
      </c>
      <c r="Q38" s="254" t="s">
        <v>129</v>
      </c>
      <c r="S38" s="5" t="s">
        <v>157</v>
      </c>
    </row>
    <row r="39" spans="1:19" ht="15" customHeight="1">
      <c r="A39" s="201" t="s">
        <v>390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129</v>
      </c>
      <c r="I39" s="87" t="s">
        <v>390</v>
      </c>
      <c r="J39" s="245">
        <v>1</v>
      </c>
      <c r="K39" s="245"/>
      <c r="L39" s="257">
        <f>J39/3.28084</f>
        <v>0.30479999024640031</v>
      </c>
      <c r="M39" s="257" t="s">
        <v>129</v>
      </c>
      <c r="N39" s="266">
        <v>1</v>
      </c>
      <c r="O39" s="266"/>
      <c r="P39" s="257">
        <f>N39/3.28084</f>
        <v>0.30479999024640031</v>
      </c>
      <c r="Q39" s="254" t="s">
        <v>129</v>
      </c>
    </row>
    <row r="40" spans="1:19" ht="15" customHeight="1">
      <c r="A40" s="254" t="s">
        <v>522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489</v>
      </c>
      <c r="I40" s="123" t="s">
        <v>522</v>
      </c>
      <c r="J40" s="246"/>
      <c r="K40" s="245"/>
      <c r="L40" s="256">
        <f>(((L7/2+L39)^2+(L33^2))^0.5)*(L6+2*L39)*2</f>
        <v>252.78550423366531</v>
      </c>
      <c r="M40" s="120" t="s">
        <v>489</v>
      </c>
      <c r="N40" s="254"/>
      <c r="O40" s="245"/>
      <c r="P40" s="256">
        <f>(((P7/2+P39)^2+(P33^2))^0.5)*(P6+2*P39)*2</f>
        <v>170.031718482922</v>
      </c>
      <c r="Q40" s="254" t="s">
        <v>489</v>
      </c>
      <c r="R40" s="123" t="s">
        <v>521</v>
      </c>
      <c r="S40" s="254" t="s">
        <v>391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1395</v>
      </c>
      <c r="D42" s="20" t="s">
        <v>1396</v>
      </c>
      <c r="E42" s="20"/>
      <c r="F42" s="524" t="s">
        <v>1397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899</v>
      </c>
      <c r="D43" s="5">
        <f>L_houseSI/(2*L_houseSI+2*W_houseSI)</f>
        <v>0.31645569620253167</v>
      </c>
      <c r="F43" s="254" t="s">
        <v>1391</v>
      </c>
      <c r="N43" s="254"/>
      <c r="O43" s="254"/>
      <c r="P43" s="254"/>
      <c r="Q43" s="254"/>
    </row>
    <row r="44" spans="1:19" ht="15" customHeight="1">
      <c r="A44" s="245" t="s">
        <v>900</v>
      </c>
      <c r="D44" s="254">
        <f>L_houseSI/(2*L_houseSI+2*W_houseSI)</f>
        <v>0.31645569620253167</v>
      </c>
      <c r="F44" s="254" t="s">
        <v>1392</v>
      </c>
      <c r="N44" s="254"/>
      <c r="O44" s="254"/>
      <c r="P44" s="254"/>
      <c r="Q44" s="254"/>
    </row>
    <row r="45" spans="1:19" ht="15" customHeight="1">
      <c r="A45" s="245" t="s">
        <v>901</v>
      </c>
      <c r="D45" s="254">
        <f>W_houseSI/(2*L_houseSI+2*W_houseSI)</f>
        <v>0.18354430379746839</v>
      </c>
      <c r="F45" s="254" t="s">
        <v>1393</v>
      </c>
      <c r="N45" s="254"/>
      <c r="O45" s="254"/>
      <c r="P45" s="254"/>
      <c r="Q45" s="254"/>
    </row>
    <row r="46" spans="1:19" ht="15" customHeight="1">
      <c r="A46" s="334" t="s">
        <v>902</v>
      </c>
      <c r="D46" s="254">
        <f>W_houseSI/(2*L_houseSI+2*W_houseSI)</f>
        <v>0.18354430379746839</v>
      </c>
      <c r="F46" s="254" t="s">
        <v>1394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492</v>
      </c>
      <c r="D58" s="254">
        <f>W_houseSI/(W_houseSI+L_houseSI)</f>
        <v>0.36708860759493678</v>
      </c>
      <c r="I58" s="5" t="s">
        <v>492</v>
      </c>
      <c r="L58" s="5">
        <f>W_houseSI/(W_houseSI+L_houseSI)</f>
        <v>0.36708860759493678</v>
      </c>
    </row>
    <row r="59" spans="1:17" ht="15" customHeight="1">
      <c r="A59" s="254" t="s">
        <v>397</v>
      </c>
      <c r="I59" s="5" t="s">
        <v>397</v>
      </c>
    </row>
    <row r="61" spans="1:17" ht="15" customHeight="1">
      <c r="A61" s="124" t="s">
        <v>122</v>
      </c>
      <c r="I61" s="4" t="s">
        <v>122</v>
      </c>
    </row>
    <row r="64" spans="1:17" ht="15" customHeight="1">
      <c r="A64" s="82"/>
      <c r="B64" s="100" t="s">
        <v>124</v>
      </c>
      <c r="C64" s="100" t="s">
        <v>125</v>
      </c>
      <c r="D64" s="100" t="s">
        <v>126</v>
      </c>
      <c r="E64" s="100" t="s">
        <v>125</v>
      </c>
      <c r="I64" s="82"/>
      <c r="J64" s="100" t="s">
        <v>124</v>
      </c>
      <c r="K64" s="100" t="s">
        <v>125</v>
      </c>
      <c r="L64" s="100" t="s">
        <v>126</v>
      </c>
      <c r="M64" s="100" t="s">
        <v>125</v>
      </c>
    </row>
    <row r="65" spans="1:13" ht="15" customHeight="1">
      <c r="A65" s="129" t="s">
        <v>413</v>
      </c>
      <c r="B65" s="257">
        <v>200</v>
      </c>
      <c r="C65" s="257" t="s">
        <v>132</v>
      </c>
      <c r="D65" s="244">
        <f>B65*0.3048^2</f>
        <v>18.580608000000002</v>
      </c>
      <c r="E65" s="257" t="s">
        <v>489</v>
      </c>
      <c r="I65" s="129" t="s">
        <v>413</v>
      </c>
      <c r="J65" s="55">
        <v>200</v>
      </c>
      <c r="K65" s="55" t="s">
        <v>132</v>
      </c>
      <c r="L65" s="164">
        <f>J65*0.3048^2</f>
        <v>18.580608000000002</v>
      </c>
      <c r="M65" s="55" t="s">
        <v>489</v>
      </c>
    </row>
    <row r="66" spans="1:13" ht="15" customHeight="1">
      <c r="A66" s="129" t="s">
        <v>414</v>
      </c>
      <c r="B66" s="257">
        <v>240</v>
      </c>
      <c r="C66" s="257" t="s">
        <v>132</v>
      </c>
      <c r="D66" s="244">
        <f>B66*0.3048^2</f>
        <v>22.296729600000003</v>
      </c>
      <c r="E66" s="257" t="s">
        <v>489</v>
      </c>
      <c r="I66" s="129" t="s">
        <v>414</v>
      </c>
      <c r="J66" s="55">
        <v>240</v>
      </c>
      <c r="K66" s="55" t="s">
        <v>132</v>
      </c>
      <c r="L66" s="164">
        <f>J66*0.3048^2</f>
        <v>22.296729600000003</v>
      </c>
      <c r="M66" s="55" t="s">
        <v>489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H27" sqref="H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565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770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786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787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767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9" spans="1:17" ht="15" customHeight="1">
      <c r="A9" s="99" t="s">
        <v>7</v>
      </c>
      <c r="B9" s="100" t="s">
        <v>167</v>
      </c>
      <c r="C9" s="100" t="s">
        <v>125</v>
      </c>
    </row>
    <row r="10" spans="1:17" ht="15" customHeight="1">
      <c r="A10" s="92" t="s">
        <v>175</v>
      </c>
      <c r="B10" s="395">
        <v>0.5</v>
      </c>
      <c r="C10" s="1" t="s">
        <v>11</v>
      </c>
    </row>
    <row r="11" spans="1:17" ht="15" customHeight="1">
      <c r="A11" s="92" t="s">
        <v>178</v>
      </c>
      <c r="B11" s="395">
        <f>IF(Inputs!C143=0,0.5,0.4)</f>
        <v>0.5</v>
      </c>
      <c r="C11" s="1" t="s">
        <v>11</v>
      </c>
      <c r="F11" s="1" t="s">
        <v>1390</v>
      </c>
    </row>
    <row r="12" spans="1:17" ht="15" customHeight="1">
      <c r="A12" s="245" t="s">
        <v>899</v>
      </c>
      <c r="B12" s="395">
        <f>Geometry!D43</f>
        <v>0.31645569620253167</v>
      </c>
    </row>
    <row r="13" spans="1:17" ht="15" customHeight="1">
      <c r="A13" s="245" t="s">
        <v>900</v>
      </c>
      <c r="B13" s="395">
        <f>Geometry!D44</f>
        <v>0.31645569620253167</v>
      </c>
    </row>
    <row r="14" spans="1:17" ht="15" customHeight="1">
      <c r="A14" s="245" t="s">
        <v>901</v>
      </c>
      <c r="B14" s="395">
        <f>Geometry!D45</f>
        <v>0.18354430379746839</v>
      </c>
    </row>
    <row r="15" spans="1:17" ht="15" customHeight="1">
      <c r="A15" s="334" t="s">
        <v>902</v>
      </c>
      <c r="B15" s="395">
        <f>Geometry!D46</f>
        <v>0.18354430379746839</v>
      </c>
    </row>
    <row r="16" spans="1:17" ht="15" customHeight="1">
      <c r="A16" s="245" t="s">
        <v>903</v>
      </c>
      <c r="B16" s="395">
        <f>Geometry!D43</f>
        <v>0.31645569620253167</v>
      </c>
    </row>
    <row r="17" spans="1:24" ht="15" customHeight="1">
      <c r="A17" s="245" t="s">
        <v>904</v>
      </c>
      <c r="B17" s="395">
        <f>Geometry!D44</f>
        <v>0.31645569620253167</v>
      </c>
    </row>
    <row r="18" spans="1:24" ht="15" customHeight="1">
      <c r="A18" s="245" t="s">
        <v>905</v>
      </c>
      <c r="B18" s="395">
        <f>Geometry!D45</f>
        <v>0.18354430379746839</v>
      </c>
    </row>
    <row r="19" spans="1:24" ht="15" customHeight="1">
      <c r="A19" s="334" t="s">
        <v>906</v>
      </c>
      <c r="B19" s="395">
        <f>Geometry!D46</f>
        <v>0.18354430379746839</v>
      </c>
    </row>
    <row r="22" spans="1:24" ht="15.75" customHeight="1">
      <c r="A22" s="20" t="s">
        <v>1388</v>
      </c>
      <c r="B22" s="20"/>
      <c r="C22" s="20"/>
      <c r="D22" s="20"/>
      <c r="E22" s="20"/>
    </row>
    <row r="23" spans="1:24" ht="15.75" customHeight="1">
      <c r="A23" s="20" t="s">
        <v>1389</v>
      </c>
      <c r="B23" s="20"/>
      <c r="C23" s="20"/>
      <c r="D23" s="20"/>
      <c r="E23" s="20"/>
    </row>
    <row r="24" spans="1:24" ht="15" customHeight="1">
      <c r="A24" s="20"/>
      <c r="B24" s="20" t="s">
        <v>251</v>
      </c>
      <c r="C24" s="20" t="s">
        <v>237</v>
      </c>
      <c r="D24" s="20" t="s">
        <v>716</v>
      </c>
      <c r="E24" s="20" t="s">
        <v>1385</v>
      </c>
    </row>
    <row r="25" spans="1:24" ht="15" customHeight="1">
      <c r="A25" s="1" t="s">
        <v>649</v>
      </c>
      <c r="B25" s="1">
        <v>50</v>
      </c>
      <c r="C25" s="1">
        <v>0</v>
      </c>
    </row>
    <row r="26" spans="1:24" ht="15" customHeight="1">
      <c r="A26" s="1" t="s">
        <v>1315</v>
      </c>
      <c r="B26" s="1">
        <v>40</v>
      </c>
      <c r="C26" s="1">
        <v>10</v>
      </c>
    </row>
    <row r="27" spans="1:24" ht="15" customHeight="1">
      <c r="A27" s="1" t="s">
        <v>1383</v>
      </c>
      <c r="D27" s="1">
        <v>50</v>
      </c>
      <c r="E27" s="1">
        <v>0</v>
      </c>
    </row>
    <row r="28" spans="1:24" ht="15" customHeight="1">
      <c r="A28" s="1" t="s">
        <v>1384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1312</v>
      </c>
    </row>
    <row r="50" spans="1:37" ht="15" customHeight="1">
      <c r="A50" s="4" t="s">
        <v>158</v>
      </c>
      <c r="B50" s="4"/>
      <c r="C50" s="4"/>
      <c r="D50" s="4"/>
      <c r="E50" s="4"/>
      <c r="F50" s="4"/>
      <c r="G50" s="4" t="s">
        <v>159</v>
      </c>
      <c r="H50" s="4"/>
      <c r="I50" s="4"/>
      <c r="J50" s="4"/>
      <c r="K50" s="4"/>
      <c r="L50" s="393" t="s">
        <v>160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161</v>
      </c>
      <c r="L51" s="65" t="s">
        <v>412</v>
      </c>
      <c r="M51" s="65"/>
      <c r="N51" s="65"/>
    </row>
    <row r="52" spans="1:37" ht="15" customHeight="1">
      <c r="A52" s="11" t="s">
        <v>162</v>
      </c>
      <c r="L52" s="65"/>
      <c r="M52" s="65"/>
      <c r="N52" s="65"/>
    </row>
    <row r="53" spans="1:37" ht="15" customHeight="1">
      <c r="A53" s="11" t="s">
        <v>163</v>
      </c>
      <c r="G53" s="107"/>
      <c r="H53" s="100" t="s">
        <v>164</v>
      </c>
      <c r="I53" s="100" t="s">
        <v>165</v>
      </c>
      <c r="J53" s="85" t="s">
        <v>166</v>
      </c>
      <c r="L53" s="238"/>
      <c r="M53" s="65" t="s">
        <v>167</v>
      </c>
      <c r="N53" s="65" t="s">
        <v>125</v>
      </c>
      <c r="P53" s="115" t="s">
        <v>409</v>
      </c>
      <c r="Q53" s="114" t="s">
        <v>879</v>
      </c>
      <c r="R53" s="114"/>
      <c r="T53" s="115" t="s">
        <v>410</v>
      </c>
      <c r="U53" s="114"/>
      <c r="V53" s="114"/>
      <c r="X53" s="115" t="s">
        <v>411</v>
      </c>
      <c r="Y53" s="114"/>
      <c r="Z53" s="114"/>
      <c r="AB53" s="1" t="s">
        <v>637</v>
      </c>
      <c r="AD53" s="1" t="s">
        <v>638</v>
      </c>
      <c r="AE53" s="1" t="s">
        <v>639</v>
      </c>
      <c r="AF53" s="1" t="s">
        <v>640</v>
      </c>
      <c r="AG53" s="1" t="s">
        <v>641</v>
      </c>
    </row>
    <row r="54" spans="1:37" ht="15" customHeight="1">
      <c r="A54" s="11" t="s">
        <v>168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169</v>
      </c>
      <c r="M54" s="395">
        <f>H72</f>
        <v>0.31645569620253167</v>
      </c>
      <c r="N54" s="65" t="s">
        <v>11</v>
      </c>
      <c r="P54" s="116" t="s">
        <v>407</v>
      </c>
      <c r="Q54" s="68">
        <v>4.8</v>
      </c>
      <c r="R54" s="68"/>
      <c r="T54" s="116" t="s">
        <v>407</v>
      </c>
      <c r="U54" s="68">
        <v>5.2</v>
      </c>
      <c r="V54" s="68"/>
      <c r="X54" s="116" t="s">
        <v>407</v>
      </c>
      <c r="Y54" s="68">
        <v>8.6</v>
      </c>
      <c r="Z54" s="68"/>
      <c r="AA54" s="277" t="s">
        <v>407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170</v>
      </c>
      <c r="M55" s="395">
        <f>H71</f>
        <v>0.18354430379746839</v>
      </c>
      <c r="N55" s="65" t="s">
        <v>11</v>
      </c>
      <c r="P55" s="111" t="s">
        <v>408</v>
      </c>
      <c r="Q55" s="69">
        <f>V_houseSI</f>
        <v>729.1581126273195</v>
      </c>
      <c r="R55" s="68" t="s">
        <v>145</v>
      </c>
      <c r="T55" s="111" t="s">
        <v>408</v>
      </c>
      <c r="U55" s="69">
        <f>V_houseSI</f>
        <v>729.1581126273195</v>
      </c>
      <c r="V55" s="68" t="s">
        <v>145</v>
      </c>
      <c r="X55" s="111" t="s">
        <v>408</v>
      </c>
      <c r="Y55" s="69">
        <f>V_houseSI</f>
        <v>729.1581126273195</v>
      </c>
      <c r="Z55" s="68" t="s">
        <v>145</v>
      </c>
      <c r="AA55" s="109" t="s">
        <v>408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124</v>
      </c>
      <c r="C56" s="100" t="s">
        <v>125</v>
      </c>
      <c r="D56" s="100" t="s">
        <v>126</v>
      </c>
      <c r="E56" s="100" t="s">
        <v>125</v>
      </c>
      <c r="L56" s="65" t="s">
        <v>171</v>
      </c>
      <c r="M56" s="65">
        <f>M54*2+M55*2</f>
        <v>1</v>
      </c>
      <c r="N56" s="65"/>
      <c r="P56" s="111" t="s">
        <v>190</v>
      </c>
      <c r="Q56" s="70">
        <f>(Q54*Q55)/3600/14</f>
        <v>6.944362977403043E-2</v>
      </c>
      <c r="R56" s="68" t="s">
        <v>133</v>
      </c>
      <c r="T56" s="111" t="s">
        <v>190</v>
      </c>
      <c r="U56" s="70">
        <f>(U54*U55)/3600/14</f>
        <v>7.5230598921866301E-2</v>
      </c>
      <c r="V56" s="68" t="s">
        <v>133</v>
      </c>
      <c r="X56" s="111" t="s">
        <v>190</v>
      </c>
      <c r="Y56" s="70">
        <f>(Y54*Y55)/3600/14</f>
        <v>0.12441983667847119</v>
      </c>
      <c r="Z56" s="68" t="s">
        <v>133</v>
      </c>
      <c r="AA56" s="109" t="s">
        <v>190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172</v>
      </c>
      <c r="B57" s="196"/>
      <c r="C57" s="65"/>
      <c r="D57" s="65"/>
      <c r="E57" s="65"/>
      <c r="L57" s="65"/>
      <c r="M57" s="65"/>
      <c r="N57" s="65"/>
      <c r="P57" s="111" t="s">
        <v>172</v>
      </c>
      <c r="Q57" s="72">
        <f>10000*(Q56/A_houseSI)</f>
        <v>2.7685535930323502</v>
      </c>
      <c r="R57" s="71" t="s">
        <v>11</v>
      </c>
      <c r="T57" s="111" t="s">
        <v>172</v>
      </c>
      <c r="U57" s="72">
        <f>10000*(U56/A_houseSI)</f>
        <v>2.9992663924517124</v>
      </c>
      <c r="V57" s="71" t="s">
        <v>11</v>
      </c>
      <c r="X57" s="111" t="s">
        <v>172</v>
      </c>
      <c r="Y57" s="72">
        <f>10000*(Y56/A_houseSI)</f>
        <v>4.9603251875162941</v>
      </c>
      <c r="Z57" s="71" t="s">
        <v>11</v>
      </c>
      <c r="AA57" s="109" t="s">
        <v>172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173</v>
      </c>
      <c r="B58" s="15"/>
      <c r="D58" s="397">
        <f>VLOOKUP(Airtightness,Leakage!AB60:AF65,3,FALSE)</f>
        <v>8.6804537217538037E-3</v>
      </c>
      <c r="E58" s="1" t="s">
        <v>133</v>
      </c>
      <c r="L58" s="394" t="s">
        <v>573</v>
      </c>
      <c r="M58" s="65"/>
      <c r="N58" s="65"/>
      <c r="P58" s="1" t="s">
        <v>767</v>
      </c>
      <c r="AA58" s="1" t="s">
        <v>767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174</v>
      </c>
      <c r="D59" s="1">
        <v>1</v>
      </c>
      <c r="E59" s="1" t="s">
        <v>11</v>
      </c>
      <c r="L59" s="65" t="s">
        <v>169</v>
      </c>
      <c r="M59" s="65">
        <v>0.5</v>
      </c>
      <c r="N59" s="65"/>
      <c r="AB59" s="277" t="s">
        <v>407</v>
      </c>
      <c r="AC59" s="109" t="s">
        <v>408</v>
      </c>
      <c r="AD59" s="109" t="s">
        <v>190</v>
      </c>
      <c r="AE59" s="109" t="s">
        <v>172</v>
      </c>
      <c r="AF59" s="1" t="s">
        <v>767</v>
      </c>
    </row>
    <row r="60" spans="1:37" ht="15" customHeight="1">
      <c r="A60" s="92" t="s">
        <v>176</v>
      </c>
      <c r="D60" s="15">
        <v>1.2</v>
      </c>
      <c r="E60" s="1" t="s">
        <v>177</v>
      </c>
      <c r="L60" s="65" t="s">
        <v>170</v>
      </c>
      <c r="M60" s="65">
        <v>0</v>
      </c>
      <c r="N60" s="65"/>
      <c r="AA60" s="1" t="s">
        <v>637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179</v>
      </c>
      <c r="B61" s="65"/>
      <c r="C61" s="65"/>
      <c r="D61" s="396">
        <v>4</v>
      </c>
      <c r="E61" s="65" t="s">
        <v>395</v>
      </c>
      <c r="G61" s="92"/>
      <c r="L61" s="65" t="s">
        <v>171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6">
        <f>D58*D59/(SQRT(rho_air/2)*D61^(n-0.5))</f>
        <v>9.1024395236017248E-3</v>
      </c>
      <c r="E62" s="65" t="s">
        <v>415</v>
      </c>
      <c r="G62" s="92" t="s">
        <v>180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638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181</v>
      </c>
      <c r="H63" s="17">
        <f>1-H62-H64</f>
        <v>0.5</v>
      </c>
      <c r="I63" s="1" t="s">
        <v>11</v>
      </c>
      <c r="P63" s="20"/>
      <c r="T63" s="20"/>
      <c r="AA63" s="1" t="s">
        <v>639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182</v>
      </c>
      <c r="G64" s="112" t="s">
        <v>183</v>
      </c>
      <c r="H64" s="21">
        <f>1-B10</f>
        <v>0.5</v>
      </c>
      <c r="I64" s="108" t="s">
        <v>11</v>
      </c>
      <c r="Q64" s="18"/>
      <c r="AA64" s="1" t="s">
        <v>640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185</v>
      </c>
      <c r="B65" s="100" t="s">
        <v>186</v>
      </c>
      <c r="C65" s="100" t="s">
        <v>187</v>
      </c>
      <c r="D65" s="100" t="s">
        <v>188</v>
      </c>
      <c r="E65" s="100" t="s">
        <v>189</v>
      </c>
      <c r="G65" s="92" t="s">
        <v>171</v>
      </c>
      <c r="H65" s="1">
        <f>SUM(H62:H64)</f>
        <v>1</v>
      </c>
      <c r="I65" s="1" t="s">
        <v>11</v>
      </c>
      <c r="AA65" s="1" t="s">
        <v>641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399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416</v>
      </c>
      <c r="H69" s="22">
        <f>W_houseSI</f>
        <v>8.8391997171456094</v>
      </c>
    </row>
    <row r="70" spans="1:32" ht="15" customHeight="1">
      <c r="G70" s="92" t="s">
        <v>417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182</v>
      </c>
      <c r="B71" s="4"/>
      <c r="G71" s="92" t="s">
        <v>418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185</v>
      </c>
      <c r="B72" s="100" t="s">
        <v>186</v>
      </c>
      <c r="C72" s="100" t="s">
        <v>187</v>
      </c>
      <c r="D72" s="100" t="s">
        <v>188</v>
      </c>
      <c r="E72" s="100" t="s">
        <v>189</v>
      </c>
      <c r="G72" s="113" t="s">
        <v>419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191</v>
      </c>
      <c r="R1" s="25"/>
      <c r="S1" s="25"/>
    </row>
    <row r="2" spans="1:19" s="254" customFormat="1" ht="15" customHeight="1">
      <c r="A2" s="245" t="s">
        <v>898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192</v>
      </c>
      <c r="B4" s="426"/>
      <c r="Q4" s="25"/>
      <c r="R4" s="25"/>
      <c r="S4" s="25"/>
    </row>
    <row r="5" spans="1:19" ht="15" customHeight="1">
      <c r="A5" s="96"/>
      <c r="B5" s="96"/>
      <c r="C5" s="427" t="s">
        <v>1095</v>
      </c>
      <c r="D5" s="427" t="s">
        <v>1096</v>
      </c>
      <c r="E5" s="96"/>
      <c r="H5" s="100" t="s">
        <v>193</v>
      </c>
      <c r="I5" s="96"/>
      <c r="J5" s="96"/>
      <c r="K5" s="96"/>
      <c r="L5" s="96"/>
      <c r="M5" s="96"/>
      <c r="N5" s="96"/>
      <c r="Q5" s="25" t="s">
        <v>194</v>
      </c>
      <c r="R5" s="25"/>
      <c r="S5" s="25"/>
    </row>
    <row r="6" spans="1:19" ht="15" customHeight="1">
      <c r="A6" s="87" t="s">
        <v>195</v>
      </c>
      <c r="B6" s="14"/>
      <c r="C6" s="5">
        <v>3</v>
      </c>
      <c r="D6" s="254">
        <v>3</v>
      </c>
      <c r="E6" s="5" t="s">
        <v>129</v>
      </c>
      <c r="H6" s="87" t="s">
        <v>196</v>
      </c>
      <c r="I6" s="5">
        <v>6</v>
      </c>
      <c r="J6" s="5" t="s">
        <v>129</v>
      </c>
      <c r="K6"/>
      <c r="Q6" s="25" t="s">
        <v>195</v>
      </c>
      <c r="R6" s="25">
        <v>4.5</v>
      </c>
      <c r="S6" s="25" t="s">
        <v>129</v>
      </c>
    </row>
    <row r="7" spans="1:19" ht="15" customHeight="1">
      <c r="A7" s="87" t="s">
        <v>197</v>
      </c>
      <c r="B7" s="14"/>
      <c r="C7" s="26">
        <v>0.15</v>
      </c>
      <c r="D7" s="26">
        <v>0.15</v>
      </c>
      <c r="E7" s="5" t="s">
        <v>129</v>
      </c>
      <c r="H7" s="87" t="s">
        <v>199</v>
      </c>
      <c r="I7" s="26">
        <f>C7</f>
        <v>0.15</v>
      </c>
      <c r="J7" s="5" t="s">
        <v>129</v>
      </c>
      <c r="Q7" s="25" t="s">
        <v>197</v>
      </c>
      <c r="R7" s="25">
        <v>0.15</v>
      </c>
      <c r="S7" s="25" t="s">
        <v>129</v>
      </c>
    </row>
    <row r="8" spans="1:19" ht="15" customHeight="1">
      <c r="A8" s="87" t="s">
        <v>200</v>
      </c>
      <c r="C8" s="27">
        <f>PI()*(C7/2)^2</f>
        <v>1.7671458676442587E-2</v>
      </c>
      <c r="D8" s="27">
        <f>PI()*(D7/2)^2</f>
        <v>1.7671458676442587E-2</v>
      </c>
      <c r="E8" s="5" t="s">
        <v>133</v>
      </c>
      <c r="H8" s="87" t="s">
        <v>201</v>
      </c>
      <c r="I8" s="5">
        <v>1.3700000000000002E-2</v>
      </c>
      <c r="Q8" s="25" t="s">
        <v>202</v>
      </c>
      <c r="R8" s="25">
        <v>5.4000000000000006E-2</v>
      </c>
      <c r="S8" s="25"/>
    </row>
    <row r="9" spans="1:19" ht="15" customHeight="1">
      <c r="A9" s="87" t="s">
        <v>203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204</v>
      </c>
      <c r="I9" s="27">
        <f>PI()*(I7/2)^2</f>
        <v>1.7671458676442587E-2</v>
      </c>
      <c r="J9" s="5" t="s">
        <v>133</v>
      </c>
      <c r="L9" s="5" t="s">
        <v>613</v>
      </c>
      <c r="Q9" s="25" t="s">
        <v>200</v>
      </c>
      <c r="R9" s="25">
        <f>PI()*(R7/2)^2</f>
        <v>1.7671458676442587E-2</v>
      </c>
      <c r="S9" s="25" t="s">
        <v>133</v>
      </c>
    </row>
    <row r="10" spans="1:19" ht="15" customHeight="1">
      <c r="A10" s="421" t="s">
        <v>206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1077</v>
      </c>
      <c r="H10" s="87" t="s">
        <v>205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1098</v>
      </c>
      <c r="C11" s="264">
        <v>-99</v>
      </c>
      <c r="D11" s="264">
        <v>-99</v>
      </c>
      <c r="E11" s="5" t="s">
        <v>1097</v>
      </c>
      <c r="H11" s="87" t="s">
        <v>207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208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209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210</v>
      </c>
    </row>
    <row r="16" spans="1:19" ht="15" customHeight="1">
      <c r="A16" s="87" t="s">
        <v>211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212</v>
      </c>
    </row>
    <row r="17" spans="1:16" ht="15" customHeight="1">
      <c r="A17" s="87" t="s">
        <v>213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214</v>
      </c>
    </row>
    <row r="18" spans="1:16" ht="15" customHeight="1">
      <c r="A18" s="87" t="s">
        <v>215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216</v>
      </c>
    </row>
    <row r="19" spans="1:16" ht="15" customHeight="1">
      <c r="A19" s="87" t="s">
        <v>217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219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218</v>
      </c>
    </row>
    <row r="21" spans="1:16" ht="15" customHeight="1">
      <c r="A21" s="87" t="s">
        <v>220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221</v>
      </c>
    </row>
    <row r="24" spans="1:16" ht="15" customHeight="1">
      <c r="A24" s="11" t="s">
        <v>222</v>
      </c>
    </row>
    <row r="25" spans="1:16" ht="15" customHeight="1">
      <c r="A25" s="11" t="s">
        <v>223</v>
      </c>
    </row>
    <row r="28" spans="1:16" ht="15" customHeight="1">
      <c r="A28" s="4" t="s">
        <v>378</v>
      </c>
    </row>
    <row r="29" spans="1:16" ht="15" customHeight="1">
      <c r="A29" s="99"/>
      <c r="B29" s="100" t="s">
        <v>379</v>
      </c>
      <c r="C29" s="100" t="s">
        <v>380</v>
      </c>
      <c r="D29" s="100" t="s">
        <v>377</v>
      </c>
      <c r="E29" s="100"/>
    </row>
    <row r="30" spans="1:16" ht="15" customHeight="1">
      <c r="A30" s="87" t="s">
        <v>375</v>
      </c>
      <c r="C30" s="26">
        <f>Leakage!D58</f>
        <v>8.6804537217538037E-3</v>
      </c>
    </row>
    <row r="31" spans="1:16" ht="15" customHeight="1">
      <c r="A31" s="87" t="s">
        <v>376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376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376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1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224</v>
      </c>
      <c r="E1" s="275" t="s">
        <v>736</v>
      </c>
      <c r="Y1" s="5">
        <f>1/0.102</f>
        <v>9.8039215686274517</v>
      </c>
    </row>
    <row r="2" spans="1:44" ht="15" customHeight="1">
      <c r="A2" s="11" t="s">
        <v>427</v>
      </c>
      <c r="C2" s="5"/>
      <c r="F2" s="5"/>
      <c r="P2" s="2"/>
      <c r="AA2" s="494" t="s">
        <v>1372</v>
      </c>
    </row>
    <row r="3" spans="1:44" ht="15" customHeight="1">
      <c r="A3" s="11" t="s">
        <v>514</v>
      </c>
      <c r="C3" s="5"/>
      <c r="F3" s="29"/>
      <c r="P3" s="2"/>
      <c r="AC3" s="20" t="s">
        <v>1371</v>
      </c>
    </row>
    <row r="4" spans="1:44" ht="15" customHeight="1">
      <c r="A4" s="11"/>
      <c r="C4" s="5"/>
      <c r="F4" s="29" t="s">
        <v>228</v>
      </c>
      <c r="P4" s="2"/>
      <c r="AC4" s="29" t="s">
        <v>228</v>
      </c>
    </row>
    <row r="5" spans="1:44" s="11" customFormat="1" ht="15" customHeight="1">
      <c r="A5" s="85" t="s">
        <v>229</v>
      </c>
      <c r="B5" s="83" t="s">
        <v>406</v>
      </c>
      <c r="C5" s="84" t="s">
        <v>230</v>
      </c>
      <c r="D5" s="74" t="s">
        <v>231</v>
      </c>
      <c r="E5" s="75" t="s">
        <v>167</v>
      </c>
      <c r="F5" s="223" t="s">
        <v>627</v>
      </c>
      <c r="G5" s="73" t="s">
        <v>576</v>
      </c>
      <c r="H5" s="73" t="s">
        <v>577</v>
      </c>
      <c r="I5" s="73" t="s">
        <v>578</v>
      </c>
      <c r="J5" s="73" t="s">
        <v>579</v>
      </c>
      <c r="K5" s="73" t="s">
        <v>580</v>
      </c>
      <c r="L5" s="73" t="s">
        <v>581</v>
      </c>
      <c r="M5" s="73" t="s">
        <v>582</v>
      </c>
      <c r="N5" s="73" t="s">
        <v>583</v>
      </c>
      <c r="O5" s="73" t="s">
        <v>584</v>
      </c>
      <c r="P5" s="73" t="s">
        <v>585</v>
      </c>
      <c r="Q5" s="73" t="s">
        <v>586</v>
      </c>
      <c r="R5" s="73" t="s">
        <v>587</v>
      </c>
      <c r="S5" s="73">
        <v>7</v>
      </c>
      <c r="T5" s="223">
        <v>8</v>
      </c>
      <c r="U5" s="223" t="s">
        <v>805</v>
      </c>
      <c r="V5" s="223" t="s">
        <v>806</v>
      </c>
      <c r="W5" s="223"/>
      <c r="X5" s="223"/>
      <c r="Y5" s="20" t="s">
        <v>1</v>
      </c>
      <c r="Z5" s="20"/>
      <c r="AA5" s="20" t="s">
        <v>689</v>
      </c>
      <c r="AB5" s="20" t="s">
        <v>1326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232</v>
      </c>
      <c r="B6" s="80">
        <f>IF(B10=1, 1.05, IF(B10=2,1, 1.19))</f>
        <v>1</v>
      </c>
      <c r="C6" s="81">
        <f>A_wall_net</f>
        <v>182.2698</v>
      </c>
      <c r="D6" s="253" t="s">
        <v>233</v>
      </c>
      <c r="E6" s="501" t="s">
        <v>234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1321</v>
      </c>
      <c r="AB6" s="76" t="s">
        <v>234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235</v>
      </c>
      <c r="B7" s="80">
        <v>1</v>
      </c>
      <c r="C7" s="81">
        <f>A_windowSI</f>
        <v>50.165999999999997</v>
      </c>
      <c r="D7" s="253" t="s">
        <v>236</v>
      </c>
      <c r="E7" s="501" t="s">
        <v>234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1322</v>
      </c>
      <c r="AB7" s="76" t="s">
        <v>234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237</v>
      </c>
      <c r="B8" s="80">
        <v>1</v>
      </c>
      <c r="C8" s="81">
        <f>RaisedFloorSI</f>
        <v>18.579999999999998</v>
      </c>
      <c r="D8" s="253" t="s">
        <v>238</v>
      </c>
      <c r="E8" s="501" t="s">
        <v>234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1327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876</v>
      </c>
      <c r="B9" s="5">
        <v>1</v>
      </c>
      <c r="C9" s="38">
        <f>A_doors_SI</f>
        <v>3.7159999999999997</v>
      </c>
      <c r="D9" s="253" t="s">
        <v>877</v>
      </c>
      <c r="E9" s="253" t="s">
        <v>234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1323</v>
      </c>
      <c r="AB9" s="76" t="s">
        <v>234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420</v>
      </c>
      <c r="B10" s="118">
        <v>2</v>
      </c>
      <c r="C10" s="82"/>
      <c r="D10" s="253" t="s">
        <v>572</v>
      </c>
      <c r="E10" s="501" t="s">
        <v>240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1324</v>
      </c>
      <c r="AB10" s="214" t="s">
        <v>234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714</v>
      </c>
      <c r="C11" s="5"/>
      <c r="D11" s="502" t="s">
        <v>239</v>
      </c>
      <c r="E11" s="503" t="s">
        <v>240</v>
      </c>
      <c r="F11" s="504">
        <f>((1/F6)*$B$6*5.6783*$C$6)+(1/F9*$B$9*5.678*$C$9)</f>
        <v>83.833936164615395</v>
      </c>
      <c r="G11" s="504">
        <f t="shared" ref="G11:V11" si="7">((1/G6)*$B$6*5.6783*$C$6)+(1/G9*$B$9*5.678*$C$9)</f>
        <v>83.833936164615395</v>
      </c>
      <c r="H11" s="504">
        <f t="shared" si="7"/>
        <v>83.833936164615395</v>
      </c>
      <c r="I11" s="504">
        <f t="shared" si="7"/>
        <v>55.969019867000007</v>
      </c>
      <c r="J11" s="504">
        <f t="shared" si="7"/>
        <v>55.969019867000007</v>
      </c>
      <c r="K11" s="504">
        <f t="shared" si="7"/>
        <v>55.969019867000007</v>
      </c>
      <c r="L11" s="504">
        <f t="shared" si="7"/>
        <v>55.969019867000007</v>
      </c>
      <c r="M11" s="504">
        <f t="shared" si="7"/>
        <v>55.969019867000007</v>
      </c>
      <c r="N11" s="504">
        <f t="shared" si="7"/>
        <v>55.969019867000007</v>
      </c>
      <c r="O11" s="504">
        <f t="shared" si="7"/>
        <v>55.969019867000007</v>
      </c>
      <c r="P11" s="504">
        <f t="shared" si="7"/>
        <v>55.969019867000007</v>
      </c>
      <c r="Q11" s="504">
        <f t="shared" si="7"/>
        <v>45.619193813600006</v>
      </c>
      <c r="R11" s="504">
        <f t="shared" si="7"/>
        <v>45.619193813600006</v>
      </c>
      <c r="S11" s="504">
        <f t="shared" si="7"/>
        <v>45.619193813600006</v>
      </c>
      <c r="T11" s="504">
        <f t="shared" si="7"/>
        <v>45.619193813600006</v>
      </c>
      <c r="U11" s="504">
        <f t="shared" si="7"/>
        <v>83.833936164615395</v>
      </c>
      <c r="V11" s="504">
        <f t="shared" si="7"/>
        <v>55.969019867000007</v>
      </c>
      <c r="W11" s="229"/>
      <c r="X11" s="229"/>
      <c r="Y11"/>
      <c r="Z11" s="245"/>
      <c r="AA11" s="127" t="s">
        <v>1325</v>
      </c>
      <c r="AB11" s="214" t="s">
        <v>234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523</v>
      </c>
      <c r="B12" s="133">
        <v>1</v>
      </c>
      <c r="C12" s="5"/>
      <c r="D12" s="502" t="s">
        <v>241</v>
      </c>
      <c r="E12" s="503" t="s">
        <v>240</v>
      </c>
      <c r="F12" s="504">
        <f>1/F7*$B$7*5.678*$C$7</f>
        <v>113.93701919999998</v>
      </c>
      <c r="G12" s="504">
        <f t="shared" ref="G12:T12" si="8">1/G7*$B$7*5.678*$C$7</f>
        <v>113.93701919999998</v>
      </c>
      <c r="H12" s="504">
        <f t="shared" si="8"/>
        <v>113.93701919999998</v>
      </c>
      <c r="I12" s="504">
        <f t="shared" si="8"/>
        <v>85.452764399999992</v>
      </c>
      <c r="J12" s="504">
        <f t="shared" si="8"/>
        <v>85.452764399999992</v>
      </c>
      <c r="K12" s="504">
        <f t="shared" si="8"/>
        <v>85.452764399999992</v>
      </c>
      <c r="L12" s="504">
        <f t="shared" si="8"/>
        <v>85.452764399999992</v>
      </c>
      <c r="M12" s="504">
        <f t="shared" si="8"/>
        <v>85.452764399999992</v>
      </c>
      <c r="N12" s="504">
        <f t="shared" si="8"/>
        <v>76.907487959999997</v>
      </c>
      <c r="O12" s="504">
        <f t="shared" si="8"/>
        <v>76.907487959999997</v>
      </c>
      <c r="P12" s="504">
        <f t="shared" si="8"/>
        <v>76.907487959999997</v>
      </c>
      <c r="Q12" s="504">
        <f t="shared" si="8"/>
        <v>76.907487959999997</v>
      </c>
      <c r="R12" s="504">
        <f t="shared" si="8"/>
        <v>76.907487959999997</v>
      </c>
      <c r="S12" s="504">
        <f t="shared" si="8"/>
        <v>76.907487959999997</v>
      </c>
      <c r="T12" s="504">
        <f t="shared" si="8"/>
        <v>76.907487959999997</v>
      </c>
      <c r="U12" s="504">
        <f>G12</f>
        <v>113.93701919999998</v>
      </c>
      <c r="V12" s="504">
        <f>I12</f>
        <v>85.452764399999992</v>
      </c>
      <c r="W12" s="229"/>
      <c r="X12" s="229"/>
      <c r="Y12" s="11" t="s">
        <v>245</v>
      </c>
      <c r="Z12" s="127"/>
      <c r="AA12" s="127" t="s">
        <v>923</v>
      </c>
      <c r="AB12" s="76" t="s">
        <v>240</v>
      </c>
      <c r="AC12" s="521">
        <f>(1/AC6*$B$6*5.678*$C$6) + (1/AC9*$B$9*5.678*$C$9)</f>
        <v>57.001213744400005</v>
      </c>
      <c r="AD12" s="521">
        <f>(1/AD6*$B$6*5.678*$C$6) + (1/AD9*$B$9*5.678*$C$9)</f>
        <v>57.001213744400005</v>
      </c>
      <c r="AE12" s="521">
        <f t="shared" ref="AE12:AR12" si="9">(1/AE6*$B$6*5.678*$C$6) + (1/AE9*$B$9*5.678*$C$9)</f>
        <v>57.001213744400005</v>
      </c>
      <c r="AF12" s="521">
        <f t="shared" si="9"/>
        <v>57.001213744400005</v>
      </c>
      <c r="AG12" s="521">
        <f t="shared" si="9"/>
        <v>57.001213744400005</v>
      </c>
      <c r="AH12" s="521">
        <f t="shared" si="9"/>
        <v>71.490204685999998</v>
      </c>
      <c r="AI12" s="521">
        <f t="shared" si="9"/>
        <v>71.490204685999998</v>
      </c>
      <c r="AJ12" s="521">
        <f t="shared" si="9"/>
        <v>57.001213744400005</v>
      </c>
      <c r="AK12" s="521">
        <f t="shared" si="9"/>
        <v>57.001213744400005</v>
      </c>
      <c r="AL12" s="521">
        <f t="shared" si="9"/>
        <v>57.001213744400005</v>
      </c>
      <c r="AM12" s="521">
        <f t="shared" si="9"/>
        <v>57.001213744400005</v>
      </c>
      <c r="AN12" s="521">
        <f t="shared" si="9"/>
        <v>57.001213744400005</v>
      </c>
      <c r="AO12" s="521">
        <f t="shared" si="9"/>
        <v>57.001213744400005</v>
      </c>
      <c r="AP12" s="521">
        <f t="shared" si="9"/>
        <v>57.001213744400005</v>
      </c>
      <c r="AQ12" s="521">
        <f t="shared" si="9"/>
        <v>57.001213744400005</v>
      </c>
      <c r="AR12" s="521">
        <f t="shared" si="9"/>
        <v>57.001213744400005</v>
      </c>
    </row>
    <row r="13" spans="1:44" ht="15" customHeight="1">
      <c r="A13" s="133" t="s">
        <v>551</v>
      </c>
      <c r="B13" s="149">
        <f>IF(B12=1,Geometry!D11,0)</f>
        <v>48.158398458931252</v>
      </c>
      <c r="C13" s="5" t="s">
        <v>129</v>
      </c>
      <c r="D13" s="502" t="s">
        <v>242</v>
      </c>
      <c r="E13" s="503" t="s">
        <v>240</v>
      </c>
      <c r="F13" s="504">
        <f>IF($B$12=0, 1/F8*$B$8*5.678*$C$8, $B$13*$K$59)</f>
        <v>69.829677765450313</v>
      </c>
      <c r="G13" s="504">
        <f t="shared" ref="G13:V13" si="10">IF($B$12=0, 1/G8*$B$8*5.678*$C$8, $B$13*$K$59)</f>
        <v>69.829677765450313</v>
      </c>
      <c r="H13" s="504">
        <f t="shared" si="10"/>
        <v>69.829677765450313</v>
      </c>
      <c r="I13" s="504">
        <f t="shared" si="10"/>
        <v>69.829677765450313</v>
      </c>
      <c r="J13" s="504">
        <f t="shared" si="10"/>
        <v>69.829677765450313</v>
      </c>
      <c r="K13" s="504">
        <f t="shared" si="10"/>
        <v>69.829677765450313</v>
      </c>
      <c r="L13" s="504">
        <f t="shared" si="10"/>
        <v>69.829677765450313</v>
      </c>
      <c r="M13" s="504">
        <f t="shared" si="10"/>
        <v>69.829677765450313</v>
      </c>
      <c r="N13" s="504">
        <f t="shared" si="10"/>
        <v>69.829677765450313</v>
      </c>
      <c r="O13" s="504">
        <f>IF($B$12=0, 1/O8*$B$8*5.678*$C$8, $B$13*$K$59)</f>
        <v>69.829677765450313</v>
      </c>
      <c r="P13" s="504">
        <f t="shared" si="10"/>
        <v>69.829677765450313</v>
      </c>
      <c r="Q13" s="504">
        <f t="shared" si="10"/>
        <v>69.829677765450313</v>
      </c>
      <c r="R13" s="504">
        <f t="shared" si="10"/>
        <v>69.829677765450313</v>
      </c>
      <c r="S13" s="504">
        <f t="shared" si="10"/>
        <v>69.829677765450313</v>
      </c>
      <c r="T13" s="504">
        <f t="shared" si="10"/>
        <v>69.829677765450313</v>
      </c>
      <c r="U13" s="504">
        <f t="shared" si="10"/>
        <v>69.829677765450313</v>
      </c>
      <c r="V13" s="504">
        <f t="shared" si="10"/>
        <v>69.829677765450313</v>
      </c>
      <c r="W13" s="229"/>
      <c r="X13" s="229"/>
      <c r="Y13" s="11" t="s">
        <v>561</v>
      </c>
      <c r="Z13" s="127"/>
      <c r="AA13" s="238" t="s">
        <v>925</v>
      </c>
      <c r="AB13" s="76" t="s">
        <v>240</v>
      </c>
      <c r="AC13" s="521">
        <f t="shared" ref="AC13:AR13" si="11">1/AC7*$B$7*5.678*$C$7</f>
        <v>91.149615359999984</v>
      </c>
      <c r="AD13" s="521">
        <f t="shared" si="11"/>
        <v>91.149615359999984</v>
      </c>
      <c r="AE13" s="521">
        <f t="shared" si="11"/>
        <v>91.149615359999984</v>
      </c>
      <c r="AF13" s="521">
        <f t="shared" si="11"/>
        <v>91.149615359999984</v>
      </c>
      <c r="AG13" s="521">
        <f t="shared" si="11"/>
        <v>91.149615359999984</v>
      </c>
      <c r="AH13" s="521">
        <f t="shared" si="11"/>
        <v>91.149615359999984</v>
      </c>
      <c r="AI13" s="521">
        <f t="shared" si="11"/>
        <v>91.149615359999984</v>
      </c>
      <c r="AJ13" s="521">
        <f t="shared" si="11"/>
        <v>91.149615359999984</v>
      </c>
      <c r="AK13" s="521">
        <f t="shared" si="11"/>
        <v>91.149615359999984</v>
      </c>
      <c r="AL13" s="521">
        <f t="shared" si="11"/>
        <v>91.149615359999984</v>
      </c>
      <c r="AM13" s="521">
        <f t="shared" si="11"/>
        <v>91.149615359999984</v>
      </c>
      <c r="AN13" s="521">
        <f t="shared" si="11"/>
        <v>91.149615359999984</v>
      </c>
      <c r="AO13" s="521">
        <f t="shared" si="11"/>
        <v>91.149615359999984</v>
      </c>
      <c r="AP13" s="521">
        <f t="shared" si="11"/>
        <v>91.149615359999984</v>
      </c>
      <c r="AQ13" s="521">
        <f t="shared" si="11"/>
        <v>91.149615359999984</v>
      </c>
      <c r="AR13" s="521">
        <f t="shared" si="11"/>
        <v>91.149615359999984</v>
      </c>
    </row>
    <row r="14" spans="1:44" ht="15" customHeight="1">
      <c r="A14" s="80"/>
      <c r="B14" s="80"/>
      <c r="D14" s="253" t="s">
        <v>243</v>
      </c>
      <c r="E14" s="505" t="s">
        <v>240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746</v>
      </c>
      <c r="Z14" s="20"/>
      <c r="AA14" s="127" t="s">
        <v>924</v>
      </c>
      <c r="AB14" s="76" t="s">
        <v>240</v>
      </c>
      <c r="AC14" s="521">
        <f>(1/AC10*$B$8*5.678*$C$8) + IF($B$12=0,0,$B$13*$K$59)</f>
        <v>75.382164081239779</v>
      </c>
      <c r="AD14" s="521">
        <f t="shared" ref="AD14:AQ14" si="13">(1/AD10*$B$8*5.678*$C$8) + IF($B$12=0,0,$B$13*$K$59)</f>
        <v>75.382164081239779</v>
      </c>
      <c r="AE14" s="521">
        <f t="shared" si="13"/>
        <v>75.382164081239779</v>
      </c>
      <c r="AF14" s="521">
        <f t="shared" si="13"/>
        <v>75.382164081239779</v>
      </c>
      <c r="AG14" s="521">
        <f t="shared" si="13"/>
        <v>75.382164081239779</v>
      </c>
      <c r="AH14" s="521">
        <f t="shared" si="13"/>
        <v>75.382164081239779</v>
      </c>
      <c r="AI14" s="521">
        <f t="shared" si="13"/>
        <v>75.382164081239779</v>
      </c>
      <c r="AJ14" s="521">
        <f t="shared" si="13"/>
        <v>75.382164081239779</v>
      </c>
      <c r="AK14" s="521">
        <f t="shared" si="13"/>
        <v>75.382164081239779</v>
      </c>
      <c r="AL14" s="521">
        <f t="shared" si="13"/>
        <v>75.382164081239779</v>
      </c>
      <c r="AM14" s="521">
        <f t="shared" si="13"/>
        <v>75.382164081239779</v>
      </c>
      <c r="AN14" s="521">
        <f t="shared" si="13"/>
        <v>75.382164081239779</v>
      </c>
      <c r="AO14" s="521">
        <f t="shared" si="13"/>
        <v>75.382164081239779</v>
      </c>
      <c r="AP14" s="521">
        <f t="shared" si="13"/>
        <v>75.382164081239779</v>
      </c>
      <c r="AQ14" s="521">
        <f t="shared" si="13"/>
        <v>75.382164081239779</v>
      </c>
      <c r="AR14" s="521">
        <f>(1/AR10*$B$8*5.678*$C$8) + IF($B$12=0,0,$B$13*$K$60)</f>
        <v>46.487125005881033</v>
      </c>
    </row>
    <row r="15" spans="1:44" ht="15" customHeight="1">
      <c r="C15" s="5"/>
      <c r="D15" s="290" t="s">
        <v>244</v>
      </c>
      <c r="E15" s="291" t="s">
        <v>240</v>
      </c>
      <c r="F15" s="292">
        <f>IF($B$12=0,SUM(F11:F14),SUM(F10,F11,F12,F14))</f>
        <v>271.8205227300657</v>
      </c>
      <c r="G15" s="292">
        <f>IF($B$12=0,SUM(G11:G14),SUM(G10,G11,G12,G14))</f>
        <v>271.8205227300657</v>
      </c>
      <c r="H15" s="292">
        <f t="shared" ref="H15:V15" si="14">IF($B$12=0,SUM(H11:H14),SUM(H10,H11,H12,H14))</f>
        <v>271.8205227300657</v>
      </c>
      <c r="I15" s="292">
        <f t="shared" si="14"/>
        <v>215.47135163245031</v>
      </c>
      <c r="J15" s="292">
        <f t="shared" si="14"/>
        <v>215.47135163245031</v>
      </c>
      <c r="K15" s="292">
        <f t="shared" si="14"/>
        <v>215.47135163245031</v>
      </c>
      <c r="L15" s="292">
        <f t="shared" si="14"/>
        <v>215.47135163245031</v>
      </c>
      <c r="M15" s="292">
        <f t="shared" si="14"/>
        <v>215.47135163245031</v>
      </c>
      <c r="N15" s="292">
        <f t="shared" si="14"/>
        <v>206.9260751924503</v>
      </c>
      <c r="O15" s="292">
        <f t="shared" si="14"/>
        <v>206.9260751924503</v>
      </c>
      <c r="P15" s="292">
        <f t="shared" si="14"/>
        <v>206.9260751924503</v>
      </c>
      <c r="Q15" s="292">
        <f t="shared" si="14"/>
        <v>196.5762491390503</v>
      </c>
      <c r="R15" s="292">
        <f t="shared" si="14"/>
        <v>196.5762491390503</v>
      </c>
      <c r="S15" s="292">
        <f t="shared" si="14"/>
        <v>196.5762491390503</v>
      </c>
      <c r="T15" s="292">
        <f t="shared" si="14"/>
        <v>196.5762491390503</v>
      </c>
      <c r="U15" s="292">
        <f t="shared" si="14"/>
        <v>271.8205227300657</v>
      </c>
      <c r="V15" s="292">
        <f t="shared" si="14"/>
        <v>215.47135163245031</v>
      </c>
      <c r="W15" s="292"/>
      <c r="X15" s="292"/>
      <c r="Y15" s="20" t="s">
        <v>746</v>
      </c>
      <c r="Z15" s="20"/>
      <c r="AC15" s="29" t="s">
        <v>228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247</v>
      </c>
      <c r="C16" s="5"/>
      <c r="D16" s="290" t="s">
        <v>246</v>
      </c>
      <c r="E16" s="291" t="s">
        <v>240</v>
      </c>
      <c r="F16" s="292">
        <f>SUM(F11,F12,F14)</f>
        <v>201.99084496461535</v>
      </c>
      <c r="G16" s="292">
        <f t="shared" ref="G16:V16" si="15">SUM(G11,G12,G14)</f>
        <v>201.99084496461535</v>
      </c>
      <c r="H16" s="292">
        <f t="shared" si="15"/>
        <v>201.99084496461535</v>
      </c>
      <c r="I16" s="292">
        <f t="shared" si="15"/>
        <v>145.64167386699998</v>
      </c>
      <c r="J16" s="292">
        <f t="shared" si="15"/>
        <v>145.64167386699998</v>
      </c>
      <c r="K16" s="292">
        <f t="shared" si="15"/>
        <v>145.64167386699998</v>
      </c>
      <c r="L16" s="292">
        <f t="shared" si="15"/>
        <v>145.64167386699998</v>
      </c>
      <c r="M16" s="292">
        <f t="shared" si="15"/>
        <v>145.64167386699998</v>
      </c>
      <c r="N16" s="292">
        <f t="shared" si="15"/>
        <v>137.096397427</v>
      </c>
      <c r="O16" s="292">
        <f t="shared" si="15"/>
        <v>137.096397427</v>
      </c>
      <c r="P16" s="292">
        <f t="shared" si="15"/>
        <v>137.096397427</v>
      </c>
      <c r="Q16" s="292">
        <f t="shared" si="15"/>
        <v>126.74657137360001</v>
      </c>
      <c r="R16" s="292">
        <f t="shared" si="15"/>
        <v>126.74657137360001</v>
      </c>
      <c r="S16" s="292">
        <f t="shared" si="15"/>
        <v>126.74657137360001</v>
      </c>
      <c r="T16" s="292">
        <f t="shared" si="15"/>
        <v>126.74657137360001</v>
      </c>
      <c r="U16" s="292">
        <f t="shared" si="15"/>
        <v>201.99084496461535</v>
      </c>
      <c r="V16" s="292">
        <f t="shared" si="15"/>
        <v>145.64167386699998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225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252</v>
      </c>
      <c r="AB17" s="76" t="s">
        <v>234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1408</v>
      </c>
    </row>
    <row r="18" spans="1:46" ht="15" customHeight="1">
      <c r="A18" s="85" t="s">
        <v>248</v>
      </c>
      <c r="B18" s="83" t="s">
        <v>249</v>
      </c>
      <c r="C18" s="84" t="s">
        <v>250</v>
      </c>
      <c r="D18" s="253"/>
      <c r="E18" s="253"/>
      <c r="F18" s="225" t="s">
        <v>228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253</v>
      </c>
      <c r="AB18" s="499" t="s">
        <v>515</v>
      </c>
      <c r="AC18" s="500">
        <f>(1/AC17)^-1/5.678</f>
        <v>7.0447340612891862</v>
      </c>
      <c r="AD18" s="500">
        <f t="shared" ref="AD18:AR18" si="19">(1/AD17)^-1/5.678</f>
        <v>7.0447340612891862</v>
      </c>
      <c r="AE18" s="500">
        <f t="shared" si="19"/>
        <v>5.6812371462009565</v>
      </c>
      <c r="AF18" s="500">
        <f t="shared" si="19"/>
        <v>7.0447340612891862</v>
      </c>
      <c r="AG18" s="500">
        <f t="shared" si="19"/>
        <v>5.6812371462009565</v>
      </c>
      <c r="AH18" s="500">
        <f t="shared" si="19"/>
        <v>5.6812371462009565</v>
      </c>
      <c r="AI18" s="500">
        <f t="shared" si="19"/>
        <v>5.6812371462009565</v>
      </c>
      <c r="AJ18" s="500">
        <f t="shared" si="19"/>
        <v>7.0447340612891862</v>
      </c>
      <c r="AK18" s="500">
        <f t="shared" si="19"/>
        <v>7.0447340612891862</v>
      </c>
      <c r="AL18" s="500">
        <f t="shared" si="19"/>
        <v>7.0447340612891862</v>
      </c>
      <c r="AM18" s="500">
        <f t="shared" si="19"/>
        <v>7.0447340612891862</v>
      </c>
      <c r="AN18" s="500">
        <f t="shared" si="19"/>
        <v>7.0447340612891862</v>
      </c>
      <c r="AO18" s="500">
        <f t="shared" si="19"/>
        <v>7.0447340612891862</v>
      </c>
      <c r="AP18" s="500">
        <f t="shared" si="19"/>
        <v>7.0447340612891862</v>
      </c>
      <c r="AQ18" s="500">
        <f t="shared" si="19"/>
        <v>7.0447340612891862</v>
      </c>
      <c r="AR18" s="500">
        <f t="shared" si="19"/>
        <v>7.0447340612891862</v>
      </c>
    </row>
    <row r="19" spans="1:46" ht="15" customHeight="1">
      <c r="A19" s="86" t="s">
        <v>251</v>
      </c>
      <c r="B19" s="80" t="s">
        <v>11</v>
      </c>
      <c r="C19" s="76" t="s">
        <v>11</v>
      </c>
      <c r="D19" s="506" t="s">
        <v>231</v>
      </c>
      <c r="E19" s="507" t="s">
        <v>167</v>
      </c>
      <c r="F19" s="223" t="s">
        <v>627</v>
      </c>
      <c r="G19" s="223" t="s">
        <v>576</v>
      </c>
      <c r="H19" s="223" t="s">
        <v>577</v>
      </c>
      <c r="I19" s="223" t="s">
        <v>578</v>
      </c>
      <c r="J19" s="223" t="s">
        <v>579</v>
      </c>
      <c r="K19" s="223" t="s">
        <v>580</v>
      </c>
      <c r="L19" s="223" t="s">
        <v>581</v>
      </c>
      <c r="M19" s="223" t="s">
        <v>582</v>
      </c>
      <c r="N19" s="223" t="s">
        <v>583</v>
      </c>
      <c r="O19" s="223" t="s">
        <v>584</v>
      </c>
      <c r="P19" s="223" t="s">
        <v>585</v>
      </c>
      <c r="Q19" s="223" t="s">
        <v>586</v>
      </c>
      <c r="R19" s="223" t="s">
        <v>587</v>
      </c>
      <c r="S19" s="223">
        <v>7</v>
      </c>
      <c r="T19" s="223">
        <v>8</v>
      </c>
      <c r="U19" s="223" t="s">
        <v>805</v>
      </c>
      <c r="V19" s="223" t="s">
        <v>806</v>
      </c>
      <c r="W19" s="223"/>
      <c r="X19" s="223"/>
      <c r="AA19" s="498" t="s">
        <v>254</v>
      </c>
      <c r="AB19" s="499" t="s">
        <v>515</v>
      </c>
      <c r="AC19" s="500">
        <f>(1/AC17)^-1/5.678</f>
        <v>7.0447340612891862</v>
      </c>
      <c r="AD19" s="500">
        <f t="shared" ref="AD19:AR19" si="20">(1/AD17)^-1/5.678</f>
        <v>7.0447340612891862</v>
      </c>
      <c r="AE19" s="500">
        <f t="shared" si="20"/>
        <v>5.6812371462009565</v>
      </c>
      <c r="AF19" s="500">
        <f t="shared" si="20"/>
        <v>7.0447340612891862</v>
      </c>
      <c r="AG19" s="500">
        <f t="shared" si="20"/>
        <v>5.6812371462009565</v>
      </c>
      <c r="AH19" s="500">
        <f t="shared" si="20"/>
        <v>5.6812371462009565</v>
      </c>
      <c r="AI19" s="500">
        <f t="shared" si="20"/>
        <v>5.6812371462009565</v>
      </c>
      <c r="AJ19" s="500">
        <f t="shared" si="20"/>
        <v>7.0447340612891862</v>
      </c>
      <c r="AK19" s="500">
        <f t="shared" si="20"/>
        <v>7.0447340612891862</v>
      </c>
      <c r="AL19" s="500">
        <f t="shared" si="20"/>
        <v>7.0447340612891862</v>
      </c>
      <c r="AM19" s="500">
        <f t="shared" si="20"/>
        <v>7.0447340612891862</v>
      </c>
      <c r="AN19" s="500">
        <f t="shared" si="20"/>
        <v>7.0447340612891862</v>
      </c>
      <c r="AO19" s="500">
        <f t="shared" si="20"/>
        <v>7.0447340612891862</v>
      </c>
      <c r="AP19" s="500">
        <f t="shared" si="20"/>
        <v>7.0447340612891862</v>
      </c>
      <c r="AQ19" s="500">
        <f t="shared" si="20"/>
        <v>7.0447340612891862</v>
      </c>
      <c r="AR19" s="500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252</v>
      </c>
      <c r="E20" s="501" t="s">
        <v>234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253</v>
      </c>
      <c r="E21" s="509" t="s">
        <v>515</v>
      </c>
      <c r="F21" s="510">
        <f>(1/F20+$B$20)^-1/5.678</f>
        <v>3.3022190912293063</v>
      </c>
      <c r="G21" s="511">
        <f t="shared" ref="G21:T21" si="22">(1/G20+$B$20)^-1/5.678</f>
        <v>3.8025553171731401</v>
      </c>
      <c r="H21" s="511">
        <f t="shared" si="22"/>
        <v>3.8025553171731401</v>
      </c>
      <c r="I21" s="511">
        <f t="shared" si="22"/>
        <v>3.8025553171731401</v>
      </c>
      <c r="J21" s="511">
        <f t="shared" si="22"/>
        <v>3.8025553171731401</v>
      </c>
      <c r="K21" s="511">
        <f t="shared" si="22"/>
        <v>3.8025553171731401</v>
      </c>
      <c r="L21" s="511">
        <f t="shared" si="22"/>
        <v>4.358484457110734</v>
      </c>
      <c r="M21" s="511">
        <f t="shared" si="22"/>
        <v>4.358484457110734</v>
      </c>
      <c r="N21" s="511">
        <f t="shared" si="22"/>
        <v>4.358484457110734</v>
      </c>
      <c r="O21" s="511">
        <f t="shared" si="22"/>
        <v>4.358484457110734</v>
      </c>
      <c r="P21" s="511">
        <f t="shared" si="22"/>
        <v>4.358484457110734</v>
      </c>
      <c r="Q21" s="511">
        <f t="shared" si="22"/>
        <v>4.358484457110734</v>
      </c>
      <c r="R21" s="511">
        <f t="shared" si="22"/>
        <v>4.358484457110734</v>
      </c>
      <c r="S21" s="511">
        <f t="shared" si="22"/>
        <v>4.358484457110734</v>
      </c>
      <c r="T21" s="511">
        <f t="shared" si="22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1355</v>
      </c>
      <c r="AB21" s="76" t="s">
        <v>234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254</v>
      </c>
      <c r="E22" s="509" t="s">
        <v>515</v>
      </c>
      <c r="F22" s="510">
        <f>(1/F20+$B$21)^-1/5.678</f>
        <v>4.5943917791016435</v>
      </c>
      <c r="G22" s="511">
        <f t="shared" ref="G22:T22" si="23">(1/G20+$B$21)^-1/5.678</f>
        <v>5.6239473598527123</v>
      </c>
      <c r="H22" s="511">
        <f t="shared" si="23"/>
        <v>5.6239473598527123</v>
      </c>
      <c r="I22" s="511">
        <f t="shared" si="23"/>
        <v>5.6239473598527123</v>
      </c>
      <c r="J22" s="511">
        <f t="shared" si="23"/>
        <v>5.6239473598527123</v>
      </c>
      <c r="K22" s="511">
        <f t="shared" si="23"/>
        <v>5.6239473598527123</v>
      </c>
      <c r="L22" s="511">
        <f t="shared" si="23"/>
        <v>6.931565642633938</v>
      </c>
      <c r="M22" s="511">
        <f t="shared" si="23"/>
        <v>6.931565642633938</v>
      </c>
      <c r="N22" s="511">
        <f t="shared" si="23"/>
        <v>6.931565642633938</v>
      </c>
      <c r="O22" s="511">
        <f t="shared" si="23"/>
        <v>6.931565642633938</v>
      </c>
      <c r="P22" s="511">
        <f t="shared" si="23"/>
        <v>6.931565642633938</v>
      </c>
      <c r="Q22" s="511">
        <f t="shared" si="23"/>
        <v>6.931565642633938</v>
      </c>
      <c r="R22" s="511">
        <f t="shared" si="23"/>
        <v>6.931565642633938</v>
      </c>
      <c r="S22" s="511">
        <f t="shared" si="23"/>
        <v>6.931565642633938</v>
      </c>
      <c r="T22" s="511">
        <f t="shared" si="23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1356</v>
      </c>
      <c r="AB22" s="76" t="s">
        <v>234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255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1353</v>
      </c>
      <c r="AB23" s="76" t="s">
        <v>234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256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1354</v>
      </c>
      <c r="AB24" s="76" t="s">
        <v>234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1357</v>
      </c>
      <c r="AB25" s="76" t="s">
        <v>234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1361</v>
      </c>
    </row>
    <row r="26" spans="1:46" ht="15" customHeight="1">
      <c r="A26" s="4" t="s">
        <v>257</v>
      </c>
      <c r="D26" s="253"/>
      <c r="E26" s="253"/>
      <c r="F26" s="225" t="s">
        <v>228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554</v>
      </c>
      <c r="D27" s="506" t="s">
        <v>231</v>
      </c>
      <c r="E27" s="507"/>
      <c r="F27" s="223" t="s">
        <v>627</v>
      </c>
      <c r="G27" s="223" t="s">
        <v>576</v>
      </c>
      <c r="H27" s="223" t="s">
        <v>577</v>
      </c>
      <c r="I27" s="223" t="s">
        <v>578</v>
      </c>
      <c r="J27" s="223" t="s">
        <v>579</v>
      </c>
      <c r="K27" s="223" t="s">
        <v>580</v>
      </c>
      <c r="L27" s="223" t="s">
        <v>581</v>
      </c>
      <c r="M27" s="223" t="s">
        <v>582</v>
      </c>
      <c r="N27" s="223" t="s">
        <v>583</v>
      </c>
      <c r="O27" s="223" t="s">
        <v>584</v>
      </c>
      <c r="P27" s="223" t="s">
        <v>585</v>
      </c>
      <c r="Q27" s="223" t="s">
        <v>586</v>
      </c>
      <c r="R27" s="223" t="s">
        <v>587</v>
      </c>
      <c r="S27" s="223">
        <v>7</v>
      </c>
      <c r="T27" s="223">
        <v>8</v>
      </c>
      <c r="U27" s="223" t="s">
        <v>805</v>
      </c>
      <c r="V27" s="223" t="s">
        <v>806</v>
      </c>
      <c r="W27" s="223"/>
      <c r="X27" s="506"/>
      <c r="AA27" s="254" t="s">
        <v>1358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552</v>
      </c>
      <c r="B28" s="152">
        <v>25.6</v>
      </c>
      <c r="C28" s="5"/>
      <c r="D28" s="253" t="s">
        <v>258</v>
      </c>
      <c r="E28" s="513" t="s">
        <v>11</v>
      </c>
      <c r="F28" s="514">
        <f>F85</f>
        <v>0.25</v>
      </c>
      <c r="G28" s="514">
        <f t="shared" ref="G28:M28" si="24">G85</f>
        <v>0.25</v>
      </c>
      <c r="H28" s="514">
        <f t="shared" si="24"/>
        <v>0.25</v>
      </c>
      <c r="I28" s="514">
        <f t="shared" si="24"/>
        <v>0.27</v>
      </c>
      <c r="J28" s="514">
        <f t="shared" si="24"/>
        <v>0.27</v>
      </c>
      <c r="K28" s="514">
        <f t="shared" si="24"/>
        <v>0.27</v>
      </c>
      <c r="L28" s="514">
        <f t="shared" si="24"/>
        <v>0.27</v>
      </c>
      <c r="M28" s="514">
        <f t="shared" si="24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1359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553</v>
      </c>
      <c r="B29" s="38">
        <v>20.7</v>
      </c>
      <c r="D29" s="154" t="s">
        <v>555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1360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556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557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248</v>
      </c>
      <c r="B32" s="214" t="s">
        <v>687</v>
      </c>
      <c r="C32" s="214" t="s">
        <v>250</v>
      </c>
      <c r="D32" s="154" t="s">
        <v>558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716</v>
      </c>
      <c r="D33" s="154" t="s">
        <v>559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557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228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560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231</v>
      </c>
      <c r="E39" s="75" t="s">
        <v>167</v>
      </c>
      <c r="F39" s="223" t="s">
        <v>627</v>
      </c>
      <c r="G39" s="258" t="s">
        <v>576</v>
      </c>
      <c r="H39" s="258" t="s">
        <v>577</v>
      </c>
      <c r="I39" s="258" t="s">
        <v>578</v>
      </c>
      <c r="J39" s="258" t="s">
        <v>579</v>
      </c>
      <c r="K39" s="258" t="s">
        <v>580</v>
      </c>
      <c r="L39" s="258" t="s">
        <v>581</v>
      </c>
      <c r="M39" s="258" t="s">
        <v>582</v>
      </c>
      <c r="N39" s="258" t="s">
        <v>583</v>
      </c>
      <c r="O39" s="258" t="s">
        <v>584</v>
      </c>
      <c r="P39" s="258" t="s">
        <v>585</v>
      </c>
      <c r="Q39" s="258" t="s">
        <v>586</v>
      </c>
      <c r="R39" s="258" t="s">
        <v>587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233</v>
      </c>
      <c r="E40" s="76" t="s">
        <v>234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236</v>
      </c>
      <c r="E41" s="76" t="s">
        <v>234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238</v>
      </c>
      <c r="E42" s="76" t="s">
        <v>234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572</v>
      </c>
      <c r="E43" s="76" t="s">
        <v>240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239</v>
      </c>
      <c r="E44" s="77" t="s">
        <v>240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241</v>
      </c>
      <c r="E45" s="77" t="s">
        <v>240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242</v>
      </c>
      <c r="E46" s="77" t="s">
        <v>240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243</v>
      </c>
      <c r="E47" s="77" t="s">
        <v>240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244</v>
      </c>
      <c r="E48" s="78" t="s">
        <v>240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246</v>
      </c>
      <c r="E49" s="78" t="s">
        <v>240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48" t="s">
        <v>549</v>
      </c>
      <c r="E56" s="545"/>
      <c r="F56" s="549"/>
      <c r="G56" s="544" t="s">
        <v>543</v>
      </c>
      <c r="H56" s="545"/>
      <c r="I56" s="546"/>
      <c r="J56" s="547"/>
      <c r="K56" s="146" t="s">
        <v>541</v>
      </c>
      <c r="L56" s="147"/>
      <c r="M56" s="2" t="s">
        <v>1366</v>
      </c>
      <c r="N56" s="173" t="s">
        <v>566</v>
      </c>
      <c r="O56" s="74"/>
      <c r="P56" s="100"/>
      <c r="Q56" s="99"/>
      <c r="R56" s="176" t="s">
        <v>567</v>
      </c>
      <c r="S56" s="175"/>
      <c r="T56" s="175"/>
      <c r="U56" s="175"/>
      <c r="V56" s="175"/>
      <c r="W56" s="175"/>
      <c r="X56" s="100" t="s">
        <v>571</v>
      </c>
    </row>
    <row r="57" spans="2:24" ht="15" customHeight="1">
      <c r="D57" s="539" t="s">
        <v>542</v>
      </c>
      <c r="E57" s="540"/>
      <c r="F57" s="541"/>
      <c r="G57" s="542" t="s">
        <v>544</v>
      </c>
      <c r="H57" s="540"/>
      <c r="I57" s="543"/>
      <c r="J57" s="541"/>
      <c r="K57" s="538">
        <v>1.17</v>
      </c>
      <c r="L57" s="538"/>
      <c r="M57" s="2">
        <v>0.68</v>
      </c>
      <c r="N57" s="154" t="s">
        <v>568</v>
      </c>
      <c r="Q57" s="87"/>
      <c r="R57" s="5">
        <v>0.1</v>
      </c>
      <c r="S57" s="14" t="s">
        <v>570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9"/>
      <c r="E58" s="540"/>
      <c r="F58" s="541"/>
      <c r="G58" s="542" t="s">
        <v>1320</v>
      </c>
      <c r="H58" s="540"/>
      <c r="I58" s="543"/>
      <c r="J58" s="541"/>
      <c r="K58" s="538">
        <v>0.86</v>
      </c>
      <c r="L58" s="538"/>
      <c r="M58" s="2">
        <v>0.5</v>
      </c>
      <c r="N58" s="174" t="s">
        <v>569</v>
      </c>
      <c r="S58" s="14"/>
      <c r="T58" s="14"/>
      <c r="U58" s="14"/>
      <c r="V58" s="14"/>
      <c r="W58" s="14"/>
    </row>
    <row r="59" spans="2:24" ht="15" customHeight="1">
      <c r="D59" s="539" t="s">
        <v>545</v>
      </c>
      <c r="E59" s="540"/>
      <c r="F59" s="541"/>
      <c r="G59" s="542" t="s">
        <v>544</v>
      </c>
      <c r="H59" s="540"/>
      <c r="I59" s="543"/>
      <c r="J59" s="541"/>
      <c r="K59" s="538">
        <v>1.45</v>
      </c>
      <c r="L59" s="538"/>
      <c r="M59" s="2">
        <v>0.84</v>
      </c>
      <c r="S59" s="14"/>
      <c r="T59" s="14"/>
      <c r="U59" s="14"/>
      <c r="V59" s="14"/>
      <c r="W59" s="14"/>
    </row>
    <row r="60" spans="2:24" ht="15" customHeight="1">
      <c r="D60" s="539"/>
      <c r="E60" s="540"/>
      <c r="F60" s="541"/>
      <c r="G60" s="542" t="s">
        <v>1320</v>
      </c>
      <c r="H60" s="540"/>
      <c r="I60" s="543"/>
      <c r="J60" s="541"/>
      <c r="K60" s="538">
        <v>0.85</v>
      </c>
      <c r="L60" s="538"/>
      <c r="M60" s="2">
        <v>0.49</v>
      </c>
      <c r="S60" s="14"/>
      <c r="T60" s="14"/>
      <c r="U60" s="14"/>
      <c r="V60" s="14"/>
      <c r="W60" s="14"/>
    </row>
    <row r="61" spans="2:24" ht="15" customHeight="1">
      <c r="D61" s="539" t="s">
        <v>546</v>
      </c>
      <c r="E61" s="540"/>
      <c r="F61" s="541"/>
      <c r="G61" s="542" t="s">
        <v>544</v>
      </c>
      <c r="H61" s="540"/>
      <c r="I61" s="543"/>
      <c r="J61" s="541"/>
      <c r="K61" s="538">
        <v>2.0699999999999998</v>
      </c>
      <c r="L61" s="538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9"/>
      <c r="E62" s="540"/>
      <c r="F62" s="541"/>
      <c r="G62" s="542" t="s">
        <v>1320</v>
      </c>
      <c r="H62" s="540"/>
      <c r="I62" s="543"/>
      <c r="J62" s="541"/>
      <c r="K62" s="538">
        <v>0.92</v>
      </c>
      <c r="L62" s="538"/>
      <c r="M62" s="2">
        <v>0.53</v>
      </c>
      <c r="S62" s="14"/>
      <c r="T62" s="14"/>
      <c r="U62" s="14"/>
      <c r="V62" s="14"/>
      <c r="W62" s="14"/>
    </row>
    <row r="63" spans="2:24" ht="15" customHeight="1">
      <c r="D63" s="539" t="s">
        <v>547</v>
      </c>
      <c r="E63" s="540"/>
      <c r="F63" s="541"/>
      <c r="G63" s="542" t="s">
        <v>544</v>
      </c>
      <c r="H63" s="540"/>
      <c r="I63" s="543"/>
      <c r="J63" s="541"/>
      <c r="K63" s="538">
        <v>3.67</v>
      </c>
      <c r="L63" s="538"/>
      <c r="M63" s="2">
        <v>2.12</v>
      </c>
      <c r="S63" s="14"/>
      <c r="T63" s="14"/>
      <c r="U63" s="14"/>
      <c r="V63" s="14"/>
      <c r="W63" s="14"/>
    </row>
    <row r="64" spans="2:24" ht="15" customHeight="1">
      <c r="D64" s="539" t="s">
        <v>548</v>
      </c>
      <c r="E64" s="540"/>
      <c r="F64" s="541"/>
      <c r="G64" s="542" t="s">
        <v>1320</v>
      </c>
      <c r="H64" s="540"/>
      <c r="I64" s="543"/>
      <c r="J64" s="541"/>
      <c r="K64" s="538">
        <v>1.24</v>
      </c>
      <c r="L64" s="538"/>
      <c r="M64" s="2">
        <v>0.72</v>
      </c>
    </row>
    <row r="65" spans="4:25" ht="15" customHeight="1">
      <c r="D65" s="148" t="s">
        <v>550</v>
      </c>
    </row>
    <row r="66" spans="4:25" ht="15" customHeight="1">
      <c r="D66" s="2" t="s">
        <v>1367</v>
      </c>
      <c r="E66" s="214" t="s">
        <v>1368</v>
      </c>
    </row>
    <row r="69" spans="4:25" ht="15" customHeight="1">
      <c r="Y69" s="254" t="s">
        <v>675</v>
      </c>
    </row>
    <row r="71" spans="4:25" ht="15" customHeight="1">
      <c r="D71" s="268" t="s">
        <v>642</v>
      </c>
      <c r="F71" s="223" t="s">
        <v>627</v>
      </c>
      <c r="G71" s="258" t="s">
        <v>576</v>
      </c>
      <c r="H71" s="258" t="s">
        <v>577</v>
      </c>
      <c r="I71" s="258" t="s">
        <v>578</v>
      </c>
      <c r="J71" s="258" t="s">
        <v>579</v>
      </c>
      <c r="K71" s="258" t="s">
        <v>580</v>
      </c>
      <c r="L71" s="258" t="s">
        <v>581</v>
      </c>
      <c r="M71" s="258" t="s">
        <v>582</v>
      </c>
      <c r="N71" s="258" t="s">
        <v>583</v>
      </c>
      <c r="O71" s="258" t="s">
        <v>584</v>
      </c>
      <c r="P71" s="258" t="s">
        <v>585</v>
      </c>
      <c r="Q71" s="258" t="s">
        <v>586</v>
      </c>
      <c r="R71" s="258" t="s">
        <v>587</v>
      </c>
      <c r="S71" s="258">
        <v>7</v>
      </c>
      <c r="T71" s="223">
        <v>8</v>
      </c>
      <c r="U71" s="286"/>
      <c r="V71" s="286"/>
      <c r="W71" s="286"/>
      <c r="Y71" s="254" t="s">
        <v>667</v>
      </c>
    </row>
    <row r="72" spans="4:25" ht="15" customHeight="1">
      <c r="E72" s="214" t="s">
        <v>643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644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645</v>
      </c>
      <c r="O73" s="214" t="s">
        <v>645</v>
      </c>
      <c r="P73" s="214" t="s">
        <v>645</v>
      </c>
      <c r="Q73" s="214" t="s">
        <v>645</v>
      </c>
      <c r="R73" s="214" t="s">
        <v>645</v>
      </c>
      <c r="S73" s="214" t="s">
        <v>645</v>
      </c>
      <c r="T73" s="214" t="s">
        <v>645</v>
      </c>
      <c r="U73" s="214"/>
      <c r="V73" s="214"/>
      <c r="W73" s="214"/>
    </row>
    <row r="74" spans="4:25" ht="15" customHeight="1">
      <c r="E74" s="214" t="s">
        <v>251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646</v>
      </c>
      <c r="F75" s="2">
        <v>13</v>
      </c>
      <c r="G75" s="2">
        <v>13</v>
      </c>
      <c r="H75" s="2">
        <v>13</v>
      </c>
      <c r="I75" s="214" t="s">
        <v>647</v>
      </c>
      <c r="J75" s="214" t="s">
        <v>647</v>
      </c>
      <c r="K75" s="214" t="s">
        <v>647</v>
      </c>
      <c r="L75" s="214" t="s">
        <v>647</v>
      </c>
      <c r="M75" s="214" t="s">
        <v>647</v>
      </c>
      <c r="N75" s="214" t="s">
        <v>647</v>
      </c>
      <c r="O75" s="214" t="s">
        <v>647</v>
      </c>
      <c r="P75" s="214" t="s">
        <v>647</v>
      </c>
      <c r="Q75" s="254" t="s">
        <v>648</v>
      </c>
      <c r="R75" s="254" t="s">
        <v>648</v>
      </c>
      <c r="S75" s="254" t="s">
        <v>648</v>
      </c>
      <c r="T75" s="254" t="s">
        <v>648</v>
      </c>
    </row>
    <row r="76" spans="4:25" ht="15" customHeight="1">
      <c r="E76" s="214" t="s">
        <v>237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649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650</v>
      </c>
      <c r="M77" s="214" t="s">
        <v>650</v>
      </c>
      <c r="N77" s="214" t="s">
        <v>650</v>
      </c>
      <c r="O77" s="214" t="s">
        <v>650</v>
      </c>
      <c r="P77" s="214" t="s">
        <v>650</v>
      </c>
      <c r="Q77" s="254" t="s">
        <v>651</v>
      </c>
      <c r="R77" s="254" t="s">
        <v>651</v>
      </c>
      <c r="S77" s="254" t="s">
        <v>651</v>
      </c>
      <c r="T77" s="254" t="s">
        <v>651</v>
      </c>
    </row>
    <row r="78" spans="4:25" ht="15" customHeight="1">
      <c r="E78" s="214" t="s">
        <v>652</v>
      </c>
      <c r="F78" s="2">
        <v>0</v>
      </c>
      <c r="G78" s="2">
        <v>0</v>
      </c>
      <c r="H78" s="2">
        <v>0</v>
      </c>
      <c r="I78" s="267" t="s">
        <v>653</v>
      </c>
      <c r="J78" s="267" t="s">
        <v>654</v>
      </c>
      <c r="K78" s="267" t="s">
        <v>655</v>
      </c>
      <c r="L78" s="214" t="s">
        <v>656</v>
      </c>
      <c r="M78" s="214" t="s">
        <v>657</v>
      </c>
      <c r="N78" s="214" t="s">
        <v>658</v>
      </c>
      <c r="O78" s="214" t="s">
        <v>659</v>
      </c>
      <c r="P78" s="214" t="s">
        <v>660</v>
      </c>
      <c r="Q78" s="214" t="s">
        <v>661</v>
      </c>
      <c r="R78" s="214" t="s">
        <v>662</v>
      </c>
      <c r="S78" s="214" t="s">
        <v>663</v>
      </c>
      <c r="T78" s="214" t="s">
        <v>664</v>
      </c>
      <c r="U78" s="214"/>
      <c r="V78" s="214"/>
      <c r="W78" s="214"/>
    </row>
    <row r="79" spans="4:25" ht="15" customHeight="1">
      <c r="E79" s="214" t="s">
        <v>665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666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672</v>
      </c>
      <c r="E82" s="214" t="s">
        <v>671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674</v>
      </c>
    </row>
    <row r="83" spans="4:28" ht="15" customHeight="1">
      <c r="E83" s="214" t="s">
        <v>666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643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644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645</v>
      </c>
      <c r="O85" s="214" t="s">
        <v>645</v>
      </c>
      <c r="P85" s="214" t="s">
        <v>645</v>
      </c>
      <c r="Q85" s="214" t="s">
        <v>645</v>
      </c>
      <c r="R85" s="214" t="s">
        <v>645</v>
      </c>
      <c r="S85" s="214" t="s">
        <v>645</v>
      </c>
      <c r="T85" s="214" t="s">
        <v>645</v>
      </c>
      <c r="U85" s="214"/>
      <c r="V85" s="214"/>
      <c r="W85" s="214"/>
    </row>
    <row r="86" spans="4:28" ht="15" customHeight="1">
      <c r="E86" s="214" t="s">
        <v>673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676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677</v>
      </c>
    </row>
    <row r="93" spans="4:28" ht="15" customHeight="1">
      <c r="D93" s="268" t="s">
        <v>679</v>
      </c>
      <c r="Y93" s="214" t="s">
        <v>678</v>
      </c>
      <c r="Z93" s="214"/>
    </row>
    <row r="94" spans="4:28" ht="15" customHeight="1">
      <c r="E94" s="214" t="s">
        <v>680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681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682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690</v>
      </c>
      <c r="E101" s="268" t="s">
        <v>689</v>
      </c>
      <c r="F101" s="214" t="s">
        <v>688</v>
      </c>
      <c r="G101" s="214" t="s">
        <v>687</v>
      </c>
      <c r="Y101" s="254" t="s">
        <v>678</v>
      </c>
    </row>
    <row r="102" spans="1:44" ht="15" customHeight="1">
      <c r="E102" s="214" t="s">
        <v>683</v>
      </c>
      <c r="F102" s="2">
        <v>16</v>
      </c>
      <c r="G102" s="2">
        <v>0.23</v>
      </c>
    </row>
    <row r="103" spans="1:44" ht="15" customHeight="1">
      <c r="E103" s="214" t="s">
        <v>684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685</v>
      </c>
      <c r="F104" s="214">
        <v>16</v>
      </c>
      <c r="G104" s="2">
        <v>0.13</v>
      </c>
    </row>
    <row r="105" spans="1:44" ht="15" customHeight="1">
      <c r="E105" s="214" t="s">
        <v>686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699</v>
      </c>
      <c r="E107" s="268" t="s">
        <v>691</v>
      </c>
      <c r="F107" s="214" t="s">
        <v>369</v>
      </c>
      <c r="G107" s="214" t="s">
        <v>697</v>
      </c>
      <c r="H107" s="214" t="s">
        <v>698</v>
      </c>
      <c r="I107" s="2"/>
      <c r="J107" s="230" t="s">
        <v>707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692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693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694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695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696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706</v>
      </c>
      <c r="E114" s="271" t="s">
        <v>700</v>
      </c>
      <c r="F114" s="214" t="s">
        <v>701</v>
      </c>
      <c r="G114" s="214" t="s">
        <v>702</v>
      </c>
      <c r="H114" s="214" t="s">
        <v>703</v>
      </c>
      <c r="I114" s="214" t="s">
        <v>697</v>
      </c>
      <c r="J114" s="214" t="s">
        <v>698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704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705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627</v>
      </c>
      <c r="G119" s="258" t="s">
        <v>576</v>
      </c>
      <c r="H119" s="258" t="s">
        <v>577</v>
      </c>
      <c r="I119" s="258" t="s">
        <v>578</v>
      </c>
      <c r="J119" s="258" t="s">
        <v>579</v>
      </c>
      <c r="K119" s="258" t="s">
        <v>580</v>
      </c>
      <c r="L119" s="258" t="s">
        <v>581</v>
      </c>
      <c r="M119" s="258" t="s">
        <v>582</v>
      </c>
      <c r="N119" s="258" t="s">
        <v>583</v>
      </c>
      <c r="O119" s="258" t="s">
        <v>584</v>
      </c>
      <c r="P119" s="258" t="s">
        <v>585</v>
      </c>
      <c r="Q119" s="258" t="s">
        <v>586</v>
      </c>
      <c r="R119" s="258" t="s">
        <v>587</v>
      </c>
      <c r="S119" s="258">
        <v>7</v>
      </c>
      <c r="T119" s="223">
        <v>8</v>
      </c>
      <c r="U119" s="286"/>
      <c r="V119" s="286"/>
      <c r="W119" s="286"/>
      <c r="Y119" s="254" t="s">
        <v>708</v>
      </c>
    </row>
    <row r="120" spans="1:44" ht="15" customHeight="1">
      <c r="E120" s="269" t="s">
        <v>709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733</v>
      </c>
      <c r="B122" s="5">
        <v>0</v>
      </c>
      <c r="E122" s="274" t="s">
        <v>732</v>
      </c>
    </row>
    <row r="123" spans="1:44" ht="15" customHeight="1">
      <c r="B123" s="254" t="s">
        <v>727</v>
      </c>
      <c r="C123" s="5"/>
      <c r="D123" s="254" t="s">
        <v>687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234</v>
      </c>
      <c r="C124" s="254"/>
      <c r="D124" s="76" t="s">
        <v>234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730</v>
      </c>
      <c r="B125" s="5">
        <v>0.17</v>
      </c>
      <c r="C125" s="254" t="s">
        <v>726</v>
      </c>
      <c r="D125" s="5">
        <f>B125</f>
        <v>0.17</v>
      </c>
      <c r="E125" s="269"/>
    </row>
    <row r="126" spans="1:44" ht="15" customHeight="1">
      <c r="A126" s="254" t="s">
        <v>717</v>
      </c>
      <c r="B126" s="5">
        <v>0.67</v>
      </c>
      <c r="C126" s="254" t="s">
        <v>723</v>
      </c>
      <c r="D126" s="254">
        <f>B126</f>
        <v>0.67</v>
      </c>
      <c r="E126" s="76"/>
    </row>
    <row r="127" spans="1:44" ht="15" customHeight="1">
      <c r="A127" s="254" t="s">
        <v>728</v>
      </c>
      <c r="B127" s="254">
        <v>5</v>
      </c>
      <c r="C127" s="254" t="s">
        <v>728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718</v>
      </c>
      <c r="B128" s="5">
        <v>0.79</v>
      </c>
      <c r="C128" s="254" t="s">
        <v>721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719</v>
      </c>
      <c r="B129" s="5">
        <v>20</v>
      </c>
      <c r="C129" s="254" t="s">
        <v>724</v>
      </c>
      <c r="D129" s="5">
        <f>0.95*5.5</f>
        <v>5.2249999999999996</v>
      </c>
      <c r="E129" s="269"/>
    </row>
    <row r="130" spans="1:44" ht="15" customHeight="1">
      <c r="A130" s="254" t="s">
        <v>720</v>
      </c>
      <c r="B130" s="5">
        <v>0.55000000000000004</v>
      </c>
      <c r="C130" s="254" t="s">
        <v>722</v>
      </c>
      <c r="D130" s="254">
        <v>0.55000000000000004</v>
      </c>
      <c r="E130" s="269"/>
    </row>
    <row r="131" spans="1:44" ht="15" customHeight="1">
      <c r="A131" s="254" t="s">
        <v>729</v>
      </c>
      <c r="B131" s="5">
        <v>0.68</v>
      </c>
      <c r="C131" s="254" t="s">
        <v>725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359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731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687</v>
      </c>
      <c r="B136" s="5">
        <v>0.23</v>
      </c>
      <c r="E136" s="269"/>
    </row>
    <row r="137" spans="1:44" ht="15" customHeight="1">
      <c r="A137" s="254" t="s">
        <v>739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734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735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743</v>
      </c>
      <c r="B144" s="254" t="s">
        <v>744</v>
      </c>
      <c r="C144" s="254" t="s">
        <v>745</v>
      </c>
      <c r="E144" s="269"/>
    </row>
    <row r="145" spans="1:5" ht="15" customHeight="1">
      <c r="A145" s="254" t="s">
        <v>740</v>
      </c>
      <c r="B145" s="254">
        <v>8.5736552962920293E-2</v>
      </c>
      <c r="E145" s="269"/>
    </row>
    <row r="146" spans="1:5" ht="15" customHeight="1">
      <c r="A146" s="254" t="s">
        <v>737</v>
      </c>
      <c r="B146" s="5">
        <v>5.7476006036368224E-2</v>
      </c>
      <c r="E146" s="269"/>
    </row>
    <row r="147" spans="1:5" ht="15" customHeight="1">
      <c r="A147" s="254" t="s">
        <v>738</v>
      </c>
      <c r="B147" s="5">
        <v>6.2131032322258431E-2</v>
      </c>
      <c r="E147" s="269"/>
    </row>
    <row r="148" spans="1:5" ht="15" customHeight="1">
      <c r="A148" s="254" t="s">
        <v>741</v>
      </c>
      <c r="B148" s="5">
        <v>3.5893754486719311E-2</v>
      </c>
      <c r="E148" s="269"/>
    </row>
    <row r="149" spans="1:5" ht="15" customHeight="1">
      <c r="A149" s="254" t="s">
        <v>742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G31" sqref="G3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1333</v>
      </c>
      <c r="H1" s="165" t="s">
        <v>1335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809</v>
      </c>
      <c r="S1" s="324" t="s">
        <v>817</v>
      </c>
      <c r="T1" s="316" t="s">
        <v>432</v>
      </c>
      <c r="U1" s="317" t="s">
        <v>433</v>
      </c>
      <c r="V1" s="318" t="s">
        <v>434</v>
      </c>
    </row>
    <row r="2" spans="1:22" ht="15" customHeight="1" thickBot="1">
      <c r="A2" s="11" t="s">
        <v>421</v>
      </c>
      <c r="F2" s="517" t="s">
        <v>1334</v>
      </c>
      <c r="G2" s="215" t="s">
        <v>765</v>
      </c>
      <c r="H2" s="77" t="s">
        <v>563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90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5" t="s">
        <v>807</v>
      </c>
      <c r="S2" s="294">
        <v>13</v>
      </c>
      <c r="T2" s="319" t="s">
        <v>435</v>
      </c>
      <c r="U2" s="130" t="s">
        <v>436</v>
      </c>
      <c r="V2" s="320" t="s">
        <v>437</v>
      </c>
    </row>
    <row r="3" spans="1:22" ht="15" customHeight="1" thickBot="1">
      <c r="A3" s="11" t="s">
        <v>259</v>
      </c>
      <c r="B3" s="40"/>
      <c r="C3" s="200"/>
      <c r="F3" s="517" t="s">
        <v>1334</v>
      </c>
      <c r="G3" s="215" t="s">
        <v>766</v>
      </c>
      <c r="H3" s="2" t="s">
        <v>595</v>
      </c>
      <c r="I3" s="189">
        <f>L3*0.25</f>
        <v>29.625</v>
      </c>
      <c r="J3" s="44">
        <f>L3*0.5</f>
        <v>59.25</v>
      </c>
      <c r="K3" s="44">
        <f>L3*0.75</f>
        <v>88.875</v>
      </c>
      <c r="L3" s="289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5" t="s">
        <v>808</v>
      </c>
      <c r="S3" s="456">
        <v>17</v>
      </c>
      <c r="T3" s="319" t="s">
        <v>438</v>
      </c>
      <c r="U3" s="130" t="s">
        <v>439</v>
      </c>
      <c r="V3" s="320" t="s">
        <v>440</v>
      </c>
    </row>
    <row r="4" spans="1:22" ht="15" customHeight="1" thickBot="1">
      <c r="A4" s="11"/>
      <c r="B4" s="40"/>
      <c r="C4" s="200"/>
      <c r="F4" s="518">
        <v>2010</v>
      </c>
      <c r="G4" s="215" t="s">
        <v>765</v>
      </c>
      <c r="H4" s="77" t="s">
        <v>563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90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6" t="s">
        <v>1170</v>
      </c>
      <c r="S4" s="296">
        <v>1</v>
      </c>
      <c r="T4" s="319" t="s">
        <v>441</v>
      </c>
      <c r="U4" s="130" t="s">
        <v>439</v>
      </c>
      <c r="V4" s="320" t="s">
        <v>440</v>
      </c>
    </row>
    <row r="5" spans="1:22" ht="15" customHeight="1">
      <c r="A5" s="11" t="s">
        <v>513</v>
      </c>
      <c r="B5" s="288">
        <f>Nbedrooms</f>
        <v>4</v>
      </c>
      <c r="C5" s="200"/>
      <c r="F5" s="518">
        <v>2010</v>
      </c>
      <c r="G5" s="215" t="s">
        <v>766</v>
      </c>
      <c r="H5" s="214" t="s">
        <v>595</v>
      </c>
      <c r="I5" s="189">
        <f>L5*0.25</f>
        <v>16.125</v>
      </c>
      <c r="J5" s="251">
        <f>L5*0.5</f>
        <v>32.25</v>
      </c>
      <c r="K5" s="251">
        <f>L5*0.75</f>
        <v>48.375</v>
      </c>
      <c r="L5" s="289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T5" s="319" t="s">
        <v>442</v>
      </c>
      <c r="U5" s="130">
        <v>3</v>
      </c>
      <c r="V5" s="320" t="s">
        <v>440</v>
      </c>
    </row>
    <row r="6" spans="1:22" ht="15" customHeight="1">
      <c r="A6" s="127" t="s">
        <v>801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1399</v>
      </c>
      <c r="L6" s="215">
        <f>Qtot</f>
        <v>55.124499999999998</v>
      </c>
      <c r="M6" s="215"/>
      <c r="N6" s="215"/>
      <c r="O6" s="215"/>
      <c r="P6" s="215"/>
      <c r="Q6" s="215"/>
      <c r="T6" s="319" t="s">
        <v>443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444</v>
      </c>
      <c r="U7" s="130" t="s">
        <v>445</v>
      </c>
      <c r="V7" s="320" t="s">
        <v>446</v>
      </c>
    </row>
    <row r="8" spans="1:22" ht="15" customHeight="1">
      <c r="A8" s="1" t="s">
        <v>791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447</v>
      </c>
      <c r="U8" s="130">
        <v>7</v>
      </c>
      <c r="V8" s="320" t="s">
        <v>448</v>
      </c>
    </row>
    <row r="9" spans="1:22" ht="15" customHeight="1">
      <c r="A9" s="127" t="s">
        <v>773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449</v>
      </c>
      <c r="U9" s="130">
        <v>8</v>
      </c>
      <c r="V9" s="320" t="s">
        <v>450</v>
      </c>
    </row>
    <row r="10" spans="1:22" ht="15" customHeight="1">
      <c r="A10" s="1" t="s">
        <v>772</v>
      </c>
      <c r="B10" s="283">
        <f t="shared" ref="B10:Q10" si="0">IF(ASHRAEver="2013Inf",Aeq-B9,IF(AND(ASHRAEver="2016InfPhi", BalancedFan=0),Aeq-(B9/Aeq)*B9,IF(AND(ASHRAEver="2016InfPhi", BalancedFan=1),Aeq-B9,IF(ASHRAEver="None",0,IF(ASHRAEver="2010noInf",$L$4,Aeq)))))</f>
        <v>0</v>
      </c>
      <c r="C10" s="283">
        <f t="shared" si="0"/>
        <v>0</v>
      </c>
      <c r="D10" s="283">
        <f t="shared" si="0"/>
        <v>0</v>
      </c>
      <c r="E10" s="283">
        <f t="shared" si="0"/>
        <v>0</v>
      </c>
      <c r="F10" s="283">
        <f t="shared" si="0"/>
        <v>0</v>
      </c>
      <c r="G10" s="283">
        <f t="shared" si="0"/>
        <v>0</v>
      </c>
      <c r="H10" s="283">
        <f t="shared" si="0"/>
        <v>0</v>
      </c>
      <c r="I10" s="283">
        <f t="shared" si="0"/>
        <v>0</v>
      </c>
      <c r="J10" s="283">
        <f t="shared" si="0"/>
        <v>0</v>
      </c>
      <c r="K10" s="283">
        <f t="shared" si="0"/>
        <v>0</v>
      </c>
      <c r="L10" s="283">
        <f t="shared" si="0"/>
        <v>0</v>
      </c>
      <c r="M10" s="283">
        <f t="shared" si="0"/>
        <v>0</v>
      </c>
      <c r="N10" s="283">
        <f t="shared" si="0"/>
        <v>0</v>
      </c>
      <c r="O10" s="283">
        <f t="shared" si="0"/>
        <v>0</v>
      </c>
      <c r="P10" s="283">
        <f t="shared" si="0"/>
        <v>0</v>
      </c>
      <c r="Q10" s="283">
        <f t="shared" si="0"/>
        <v>0</v>
      </c>
      <c r="R10" s="283"/>
      <c r="T10" s="319" t="s">
        <v>451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452</v>
      </c>
      <c r="U11" s="130">
        <v>5</v>
      </c>
      <c r="V11" s="320" t="s">
        <v>453</v>
      </c>
    </row>
    <row r="12" spans="1:22" ht="15" customHeight="1">
      <c r="A12" s="80" t="s">
        <v>893</v>
      </c>
      <c r="B12" s="327">
        <f t="shared" ref="B12:Q12" si="1">IF(VentSystem="CFIS",0,0.4361*B13*-1000)</f>
        <v>0</v>
      </c>
      <c r="C12" s="327">
        <f t="shared" si="1"/>
        <v>0</v>
      </c>
      <c r="D12" s="327">
        <f t="shared" si="1"/>
        <v>0</v>
      </c>
      <c r="E12" s="327">
        <f t="shared" si="1"/>
        <v>0</v>
      </c>
      <c r="F12" s="327">
        <f t="shared" si="1"/>
        <v>0</v>
      </c>
      <c r="G12" s="327">
        <f t="shared" si="1"/>
        <v>0</v>
      </c>
      <c r="H12" s="327">
        <f t="shared" si="1"/>
        <v>0</v>
      </c>
      <c r="I12" s="327">
        <f t="shared" si="1"/>
        <v>0</v>
      </c>
      <c r="J12" s="327">
        <f t="shared" si="1"/>
        <v>0</v>
      </c>
      <c r="K12" s="327">
        <f t="shared" si="1"/>
        <v>0</v>
      </c>
      <c r="L12" s="327">
        <f t="shared" si="1"/>
        <v>0</v>
      </c>
      <c r="M12" s="327">
        <f t="shared" si="1"/>
        <v>0</v>
      </c>
      <c r="N12" s="327">
        <f t="shared" si="1"/>
        <v>0</v>
      </c>
      <c r="O12" s="327">
        <f t="shared" si="1"/>
        <v>0</v>
      </c>
      <c r="P12" s="327">
        <f t="shared" si="1"/>
        <v>0</v>
      </c>
      <c r="Q12" s="327">
        <f t="shared" si="1"/>
        <v>0</v>
      </c>
      <c r="R12" s="327"/>
      <c r="T12" s="319" t="s">
        <v>454</v>
      </c>
      <c r="U12" s="130" t="s">
        <v>455</v>
      </c>
      <c r="V12" s="320" t="s">
        <v>440</v>
      </c>
    </row>
    <row r="13" spans="1:22" ht="15" customHeight="1">
      <c r="A13" s="80" t="s">
        <v>894</v>
      </c>
      <c r="B13" s="327">
        <f>B10/-1000</f>
        <v>0</v>
      </c>
      <c r="C13" s="327">
        <f t="shared" ref="C13:Q13" si="2">C10/-1000</f>
        <v>0</v>
      </c>
      <c r="D13" s="327">
        <f t="shared" si="2"/>
        <v>0</v>
      </c>
      <c r="E13" s="327">
        <f t="shared" si="2"/>
        <v>0</v>
      </c>
      <c r="F13" s="327">
        <f t="shared" si="2"/>
        <v>0</v>
      </c>
      <c r="G13" s="327">
        <f t="shared" si="2"/>
        <v>0</v>
      </c>
      <c r="H13" s="327">
        <f t="shared" si="2"/>
        <v>0</v>
      </c>
      <c r="I13" s="327">
        <f t="shared" si="2"/>
        <v>0</v>
      </c>
      <c r="J13" s="327">
        <f t="shared" si="2"/>
        <v>0</v>
      </c>
      <c r="K13" s="327">
        <f t="shared" si="2"/>
        <v>0</v>
      </c>
      <c r="L13" s="327">
        <f t="shared" si="2"/>
        <v>0</v>
      </c>
      <c r="M13" s="327">
        <f t="shared" si="2"/>
        <v>0</v>
      </c>
      <c r="N13" s="327">
        <f t="shared" si="2"/>
        <v>0</v>
      </c>
      <c r="O13" s="327">
        <f t="shared" si="2"/>
        <v>0</v>
      </c>
      <c r="P13" s="327">
        <f t="shared" si="2"/>
        <v>0</v>
      </c>
      <c r="Q13" s="327">
        <f t="shared" si="2"/>
        <v>0</v>
      </c>
      <c r="R13" s="327"/>
      <c r="T13" s="319" t="s">
        <v>456</v>
      </c>
      <c r="U13" s="130" t="s">
        <v>457</v>
      </c>
      <c r="V13" s="320" t="s">
        <v>440</v>
      </c>
    </row>
    <row r="14" spans="1:22" ht="15" customHeight="1">
      <c r="A14" s="80" t="s">
        <v>895</v>
      </c>
      <c r="B14" s="328">
        <f t="shared" ref="B14:Q14" si="3">VLOOKUP(VentSystem,$R$2:$S$4,2,FALSE)</f>
        <v>1</v>
      </c>
      <c r="C14" s="328">
        <f t="shared" si="3"/>
        <v>1</v>
      </c>
      <c r="D14" s="328">
        <f t="shared" si="3"/>
        <v>1</v>
      </c>
      <c r="E14" s="328">
        <f t="shared" si="3"/>
        <v>1</v>
      </c>
      <c r="F14" s="328">
        <f t="shared" si="3"/>
        <v>1</v>
      </c>
      <c r="G14" s="328">
        <f t="shared" si="3"/>
        <v>1</v>
      </c>
      <c r="H14" s="328">
        <f t="shared" si="3"/>
        <v>1</v>
      </c>
      <c r="I14" s="328">
        <f t="shared" si="3"/>
        <v>1</v>
      </c>
      <c r="J14" s="328">
        <f t="shared" si="3"/>
        <v>1</v>
      </c>
      <c r="K14" s="328">
        <f t="shared" si="3"/>
        <v>1</v>
      </c>
      <c r="L14" s="328">
        <f t="shared" si="3"/>
        <v>1</v>
      </c>
      <c r="M14" s="328">
        <f t="shared" si="3"/>
        <v>1</v>
      </c>
      <c r="N14" s="328">
        <f t="shared" si="3"/>
        <v>1</v>
      </c>
      <c r="O14" s="328">
        <f t="shared" si="3"/>
        <v>1</v>
      </c>
      <c r="P14" s="328">
        <f t="shared" si="3"/>
        <v>1</v>
      </c>
      <c r="Q14" s="328">
        <f t="shared" si="3"/>
        <v>1</v>
      </c>
      <c r="R14" s="328"/>
      <c r="T14" s="319" t="s">
        <v>458</v>
      </c>
      <c r="U14" s="130" t="s">
        <v>459</v>
      </c>
      <c r="V14" s="320" t="s">
        <v>446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460</v>
      </c>
      <c r="U15" s="130">
        <v>7</v>
      </c>
      <c r="V15" s="320" t="s">
        <v>446</v>
      </c>
    </row>
    <row r="16" spans="1:22" ht="15" customHeight="1">
      <c r="T16" s="319" t="s">
        <v>461</v>
      </c>
      <c r="U16" s="130" t="s">
        <v>462</v>
      </c>
      <c r="V16" s="320" t="s">
        <v>446</v>
      </c>
    </row>
    <row r="17" spans="4:22" ht="15" customHeight="1">
      <c r="T17" s="319" t="s">
        <v>463</v>
      </c>
      <c r="U17" s="130">
        <v>4</v>
      </c>
      <c r="V17" s="320" t="s">
        <v>464</v>
      </c>
    </row>
    <row r="18" spans="4:22" ht="15" customHeight="1">
      <c r="T18" s="319" t="s">
        <v>465</v>
      </c>
      <c r="U18" s="130">
        <v>4</v>
      </c>
      <c r="V18" s="320" t="s">
        <v>464</v>
      </c>
    </row>
    <row r="19" spans="4:22" ht="15" customHeight="1" thickBot="1">
      <c r="T19" s="319" t="s">
        <v>466</v>
      </c>
      <c r="U19" s="130">
        <v>6</v>
      </c>
      <c r="V19" s="320" t="s">
        <v>440</v>
      </c>
    </row>
    <row r="20" spans="4:22" ht="15" customHeight="1" thickBot="1">
      <c r="D20" s="532"/>
      <c r="E20" s="533"/>
      <c r="G20" s="536"/>
      <c r="H20" s="536"/>
      <c r="J20" s="215"/>
      <c r="T20" s="319" t="s">
        <v>473</v>
      </c>
      <c r="U20" s="130"/>
      <c r="V20" s="320"/>
    </row>
    <row r="21" spans="4:22" ht="15" customHeight="1" thickBot="1">
      <c r="D21" s="534"/>
      <c r="E21" s="535"/>
      <c r="G21" s="536"/>
      <c r="H21" s="536"/>
      <c r="I21" s="215"/>
      <c r="J21" s="215"/>
      <c r="T21" s="319" t="s">
        <v>467</v>
      </c>
      <c r="U21" s="130" t="s">
        <v>468</v>
      </c>
      <c r="V21" s="320" t="s">
        <v>469</v>
      </c>
    </row>
    <row r="22" spans="4:22" ht="15" customHeight="1" thickBot="1">
      <c r="D22" s="534"/>
      <c r="E22" s="535"/>
      <c r="G22" s="536"/>
      <c r="H22" s="536"/>
      <c r="I22" s="215"/>
      <c r="J22" s="215"/>
      <c r="T22" s="319" t="s">
        <v>470</v>
      </c>
      <c r="U22" s="130" t="s">
        <v>370</v>
      </c>
      <c r="V22" s="320" t="s">
        <v>471</v>
      </c>
    </row>
    <row r="23" spans="4:22" ht="15" customHeight="1" thickBot="1">
      <c r="D23" s="534"/>
      <c r="E23" s="535"/>
      <c r="G23" s="536"/>
      <c r="H23" s="536"/>
      <c r="I23" s="215"/>
      <c r="J23" s="215"/>
      <c r="T23" s="321" t="s">
        <v>472</v>
      </c>
      <c r="U23" s="322"/>
      <c r="V23" s="323"/>
    </row>
    <row r="24" spans="4:22" ht="15" customHeight="1" thickBot="1">
      <c r="D24" s="534"/>
      <c r="E24" s="535"/>
      <c r="G24" s="536"/>
      <c r="H24" s="536"/>
      <c r="I24" s="215"/>
      <c r="J24" s="215"/>
    </row>
    <row r="48" spans="1:1" ht="15" customHeight="1">
      <c r="A48" s="494" t="s">
        <v>1332</v>
      </c>
    </row>
    <row r="50" spans="1:18" ht="15" customHeight="1">
      <c r="A50" s="84" t="s">
        <v>260</v>
      </c>
      <c r="B50" s="217" t="s">
        <v>625</v>
      </c>
      <c r="C50" s="217" t="s">
        <v>626</v>
      </c>
      <c r="D50" s="88" t="s">
        <v>125</v>
      </c>
      <c r="E50" s="88" t="s">
        <v>262</v>
      </c>
      <c r="F50" s="88" t="s">
        <v>125</v>
      </c>
      <c r="G50" s="88" t="s">
        <v>263</v>
      </c>
      <c r="H50" s="88" t="s">
        <v>501</v>
      </c>
      <c r="I50" s="88" t="s">
        <v>264</v>
      </c>
      <c r="J50" s="88"/>
      <c r="K50" s="88" t="s">
        <v>393</v>
      </c>
      <c r="L50" s="88" t="s">
        <v>394</v>
      </c>
      <c r="M50" s="88" t="s">
        <v>265</v>
      </c>
      <c r="N50" s="88"/>
      <c r="O50" s="88" t="s">
        <v>266</v>
      </c>
      <c r="P50" s="88" t="s">
        <v>267</v>
      </c>
      <c r="Q50" s="88" t="s">
        <v>268</v>
      </c>
      <c r="R50" s="88" t="s">
        <v>0</v>
      </c>
    </row>
    <row r="51" spans="1:18" ht="15" customHeight="1">
      <c r="A51" s="92" t="s">
        <v>269</v>
      </c>
      <c r="B51" s="215">
        <v>50</v>
      </c>
      <c r="C51" s="400">
        <f>E51/1000*-1</f>
        <v>-2.3596035865974516E-2</v>
      </c>
      <c r="D51" s="7" t="s">
        <v>270</v>
      </c>
      <c r="E51" s="44">
        <f>B51/2.119</f>
        <v>23.596035865974514</v>
      </c>
      <c r="F51" s="7" t="s">
        <v>184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271</v>
      </c>
      <c r="B52" s="215">
        <v>100</v>
      </c>
      <c r="C52" s="400">
        <f>E52/1000*-1</f>
        <v>-4.7192071731949031E-2</v>
      </c>
      <c r="D52" s="7" t="s">
        <v>270</v>
      </c>
      <c r="E52" s="44">
        <f>B52/2.119</f>
        <v>47.192071731949028</v>
      </c>
      <c r="F52" s="7" t="s">
        <v>184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272</v>
      </c>
      <c r="B53" s="214">
        <v>70</v>
      </c>
      <c r="C53" s="401">
        <f>E53/1000*-1</f>
        <v>-3.303445021236432E-2</v>
      </c>
      <c r="D53" s="2" t="s">
        <v>270</v>
      </c>
      <c r="E53" s="44">
        <f>B53/2.119</f>
        <v>33.03445021236432</v>
      </c>
      <c r="F53" s="7" t="s">
        <v>184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270</v>
      </c>
      <c r="E54" s="44">
        <f>B54/2.119</f>
        <v>70.788107597923542</v>
      </c>
      <c r="F54" s="7" t="s">
        <v>184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273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274</v>
      </c>
      <c r="B57" s="212" t="s">
        <v>625</v>
      </c>
      <c r="C57" s="213" t="s">
        <v>626</v>
      </c>
      <c r="D57" s="30" t="s">
        <v>275</v>
      </c>
      <c r="E57" s="30" t="s">
        <v>276</v>
      </c>
      <c r="F57" s="30" t="s">
        <v>31</v>
      </c>
      <c r="G57" s="74" t="s">
        <v>277</v>
      </c>
      <c r="H57" s="204" t="s">
        <v>184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278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424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279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280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281</v>
      </c>
      <c r="B62" s="210" t="s">
        <v>625</v>
      </c>
      <c r="C62" s="211" t="s">
        <v>626</v>
      </c>
      <c r="D62" s="30" t="s">
        <v>275</v>
      </c>
      <c r="E62" s="30" t="s">
        <v>276</v>
      </c>
      <c r="F62" s="30" t="s">
        <v>31</v>
      </c>
      <c r="G62" s="30" t="s">
        <v>277</v>
      </c>
      <c r="H62" s="204" t="s">
        <v>184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282</v>
      </c>
      <c r="B63" s="45">
        <v>50</v>
      </c>
      <c r="C63" s="202">
        <f t="shared" ref="C63:C68" si="7">H63/1000*-1</f>
        <v>-2.3596035865974516E-2</v>
      </c>
      <c r="D63" s="45" t="s">
        <v>283</v>
      </c>
      <c r="E63" s="45">
        <v>0.25</v>
      </c>
      <c r="F63" s="45">
        <v>10.199999999999999</v>
      </c>
      <c r="G63" s="45" t="s">
        <v>284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285</v>
      </c>
      <c r="B64" s="46">
        <v>50</v>
      </c>
      <c r="C64" s="202">
        <f t="shared" si="7"/>
        <v>-2.3596035865974516E-2</v>
      </c>
      <c r="D64" s="46" t="s">
        <v>283</v>
      </c>
      <c r="E64" s="46">
        <v>0.25</v>
      </c>
      <c r="F64" s="46">
        <v>10.199999999999999</v>
      </c>
      <c r="G64" s="46" t="s">
        <v>286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287</v>
      </c>
      <c r="B65" s="7">
        <v>50</v>
      </c>
      <c r="C65" s="202">
        <f t="shared" si="7"/>
        <v>-2.3596035865974516E-2</v>
      </c>
      <c r="D65" s="7" t="s">
        <v>283</v>
      </c>
      <c r="E65" s="7">
        <v>0.25</v>
      </c>
      <c r="F65" s="7">
        <v>11.2</v>
      </c>
      <c r="G65" s="7" t="s">
        <v>284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288</v>
      </c>
      <c r="B66" s="7">
        <v>50</v>
      </c>
      <c r="C66" s="202">
        <f t="shared" si="7"/>
        <v>-2.3596035865974516E-2</v>
      </c>
      <c r="D66" s="2" t="s">
        <v>283</v>
      </c>
      <c r="E66" s="7">
        <v>0.1</v>
      </c>
      <c r="F66" s="7">
        <v>19.7</v>
      </c>
      <c r="G66" s="2" t="s">
        <v>289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290</v>
      </c>
      <c r="B67" s="47">
        <v>50</v>
      </c>
      <c r="C67" s="202">
        <f t="shared" si="7"/>
        <v>-2.3596035865974516E-2</v>
      </c>
      <c r="D67" s="2" t="s">
        <v>283</v>
      </c>
      <c r="E67" s="7">
        <v>0.25</v>
      </c>
      <c r="F67" s="7">
        <v>11.8</v>
      </c>
      <c r="G67" s="2" t="s">
        <v>291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423</v>
      </c>
      <c r="B68" s="7">
        <v>50</v>
      </c>
      <c r="C68" s="202">
        <f t="shared" si="7"/>
        <v>-2.3596035865974516E-2</v>
      </c>
      <c r="F68" s="7">
        <v>55</v>
      </c>
      <c r="G68" s="7" t="s">
        <v>422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292</v>
      </c>
      <c r="B70" s="209" t="s">
        <v>625</v>
      </c>
      <c r="C70" s="216" t="s">
        <v>626</v>
      </c>
      <c r="D70" s="30" t="s">
        <v>275</v>
      </c>
      <c r="E70" s="30" t="s">
        <v>276</v>
      </c>
      <c r="F70" s="30" t="s">
        <v>31</v>
      </c>
      <c r="G70" s="30" t="s">
        <v>277</v>
      </c>
      <c r="H70" s="204" t="s">
        <v>184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293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294</v>
      </c>
      <c r="F71" s="48">
        <v>19.399999999999999</v>
      </c>
      <c r="G71" s="48" t="s">
        <v>295</v>
      </c>
      <c r="H71" s="203">
        <f t="shared" ref="H71:H76" si="10">B71/2.119</f>
        <v>33.03445021236432</v>
      </c>
    </row>
    <row r="72" spans="1:17" ht="15" customHeight="1">
      <c r="A72" s="91" t="s">
        <v>296</v>
      </c>
      <c r="B72" s="49">
        <v>72</v>
      </c>
      <c r="C72" s="202">
        <f t="shared" si="9"/>
        <v>-3.3978291647003306E-2</v>
      </c>
      <c r="D72" s="49">
        <v>0.64</v>
      </c>
      <c r="E72" s="49" t="s">
        <v>294</v>
      </c>
      <c r="F72" s="49">
        <v>20</v>
      </c>
      <c r="G72" s="49" t="s">
        <v>297</v>
      </c>
      <c r="H72" s="203">
        <f t="shared" si="10"/>
        <v>33.978291647003303</v>
      </c>
    </row>
    <row r="73" spans="1:17" ht="15" customHeight="1">
      <c r="A73" s="91" t="s">
        <v>298</v>
      </c>
      <c r="B73" s="49">
        <v>68</v>
      </c>
      <c r="C73" s="202">
        <f t="shared" si="9"/>
        <v>-3.2090608777725335E-2</v>
      </c>
      <c r="D73" s="49">
        <v>0.9</v>
      </c>
      <c r="E73" s="49" t="s">
        <v>294</v>
      </c>
      <c r="F73" s="49">
        <v>28.3</v>
      </c>
      <c r="G73" s="49" t="s">
        <v>299</v>
      </c>
      <c r="H73" s="203">
        <f t="shared" si="10"/>
        <v>32.090608777725336</v>
      </c>
    </row>
    <row r="74" spans="1:17" ht="15" customHeight="1">
      <c r="A74" s="91" t="s">
        <v>300</v>
      </c>
      <c r="B74" s="49">
        <v>70</v>
      </c>
      <c r="C74" s="202">
        <f t="shared" si="9"/>
        <v>-3.303445021236432E-2</v>
      </c>
      <c r="D74" s="49">
        <v>0.25</v>
      </c>
      <c r="E74" s="49" t="s">
        <v>294</v>
      </c>
      <c r="F74" s="49">
        <v>24.5</v>
      </c>
      <c r="G74" s="49" t="s">
        <v>301</v>
      </c>
      <c r="H74" s="203">
        <f t="shared" si="10"/>
        <v>33.03445021236432</v>
      </c>
    </row>
    <row r="75" spans="1:17" ht="15" customHeight="1">
      <c r="A75" s="92" t="s">
        <v>302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303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302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303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304</v>
      </c>
      <c r="B78" s="206" t="s">
        <v>625</v>
      </c>
      <c r="C78" s="207" t="s">
        <v>626</v>
      </c>
      <c r="D78" s="30" t="s">
        <v>275</v>
      </c>
      <c r="E78" s="30" t="s">
        <v>276</v>
      </c>
      <c r="F78" s="30" t="s">
        <v>31</v>
      </c>
      <c r="G78" s="30" t="s">
        <v>277</v>
      </c>
      <c r="H78" s="204" t="s">
        <v>184</v>
      </c>
    </row>
    <row r="79" spans="1:17" ht="15" customHeight="1">
      <c r="A79" s="90" t="s">
        <v>305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306</v>
      </c>
      <c r="H79" s="203">
        <f>B79/2.119</f>
        <v>39.16941953751769</v>
      </c>
    </row>
    <row r="80" spans="1:17" ht="15" customHeight="1">
      <c r="A80" s="91" t="s">
        <v>307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294</v>
      </c>
      <c r="F80" s="49">
        <v>23.6</v>
      </c>
      <c r="G80" s="49" t="s">
        <v>308</v>
      </c>
      <c r="H80" s="203">
        <f t="shared" ref="H80:H86" si="12">B80/2.119</f>
        <v>37.753657385559222</v>
      </c>
    </row>
    <row r="81" spans="1:10" ht="15" customHeight="1">
      <c r="A81" s="91" t="s">
        <v>309</v>
      </c>
      <c r="B81" s="49">
        <v>80</v>
      </c>
      <c r="C81" s="198">
        <f t="shared" si="11"/>
        <v>-3.7753657385559219E-2</v>
      </c>
      <c r="D81" s="49">
        <v>1</v>
      </c>
      <c r="E81" s="49" t="s">
        <v>294</v>
      </c>
      <c r="F81" s="49">
        <v>27.2</v>
      </c>
      <c r="G81" s="49" t="s">
        <v>310</v>
      </c>
      <c r="H81" s="203">
        <f t="shared" si="12"/>
        <v>37.753657385559222</v>
      </c>
    </row>
    <row r="82" spans="1:10" ht="15" customHeight="1">
      <c r="A82" s="92" t="s">
        <v>311</v>
      </c>
      <c r="B82" s="7">
        <v>83</v>
      </c>
      <c r="C82" s="198">
        <f t="shared" si="11"/>
        <v>-3.9169419537517687E-2</v>
      </c>
      <c r="D82" s="7">
        <v>0.7</v>
      </c>
      <c r="E82" s="2" t="s">
        <v>312</v>
      </c>
      <c r="F82" s="7">
        <v>24.11</v>
      </c>
      <c r="G82" s="2" t="s">
        <v>313</v>
      </c>
      <c r="H82" s="203">
        <f t="shared" si="12"/>
        <v>39.16941953751769</v>
      </c>
    </row>
    <row r="83" spans="1:10" ht="15" customHeight="1">
      <c r="A83" s="92" t="s">
        <v>314</v>
      </c>
      <c r="B83" s="7">
        <v>80</v>
      </c>
      <c r="C83" s="198">
        <f t="shared" si="11"/>
        <v>-3.7753657385559219E-2</v>
      </c>
      <c r="D83" s="7">
        <v>0.8</v>
      </c>
      <c r="E83" s="2" t="s">
        <v>312</v>
      </c>
      <c r="F83" s="7">
        <v>28.6</v>
      </c>
      <c r="G83" s="2" t="s">
        <v>315</v>
      </c>
      <c r="H83" s="203">
        <f t="shared" si="12"/>
        <v>37.753657385559222</v>
      </c>
    </row>
    <row r="84" spans="1:10" ht="15" customHeight="1">
      <c r="A84" s="92" t="s">
        <v>302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316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598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599</v>
      </c>
      <c r="H85" s="203">
        <f t="shared" si="12"/>
        <v>47.192071731949028</v>
      </c>
    </row>
    <row r="86" spans="1:10" ht="15" customHeight="1">
      <c r="A86" s="64" t="s">
        <v>596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597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600</v>
      </c>
      <c r="B88" s="208" t="s">
        <v>625</v>
      </c>
      <c r="C88" s="216" t="s">
        <v>626</v>
      </c>
      <c r="D88" s="30" t="s">
        <v>601</v>
      </c>
      <c r="E88" s="30" t="s">
        <v>602</v>
      </c>
      <c r="F88" s="30" t="s">
        <v>31</v>
      </c>
      <c r="G88" s="30" t="s">
        <v>277</v>
      </c>
      <c r="H88" s="74" t="s">
        <v>184</v>
      </c>
      <c r="J88" s="7">
        <f>AVERAGE(J63:J65,J75:J76,J84,J86)</f>
        <v>0.43605992857142867</v>
      </c>
    </row>
    <row r="89" spans="1:10" ht="15" customHeight="1">
      <c r="A89" s="90" t="s">
        <v>603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604</v>
      </c>
      <c r="H89" s="44">
        <f>B89/2.119</f>
        <v>42.000943841434633</v>
      </c>
    </row>
    <row r="90" spans="1:10" ht="15" customHeight="1">
      <c r="A90" s="92" t="s">
        <v>605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606</v>
      </c>
      <c r="H90" s="44">
        <f>B90/2.119</f>
        <v>53.79896177442189</v>
      </c>
    </row>
    <row r="91" spans="1:10" ht="15" customHeight="1">
      <c r="A91" s="1" t="s">
        <v>607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608</v>
      </c>
      <c r="H91" s="44">
        <f>B91/2.119</f>
        <v>73.147711184520986</v>
      </c>
    </row>
    <row r="92" spans="1:10" ht="15" customHeight="1">
      <c r="A92" s="110" t="s">
        <v>609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610</v>
      </c>
      <c r="H92" s="194">
        <v>40</v>
      </c>
      <c r="I92" s="195">
        <v>1200</v>
      </c>
    </row>
    <row r="93" spans="1:10" ht="15" customHeight="1">
      <c r="A93" s="110" t="s">
        <v>611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610</v>
      </c>
      <c r="H93" s="194">
        <v>56</v>
      </c>
      <c r="I93" s="195">
        <v>2100</v>
      </c>
    </row>
    <row r="94" spans="1:10" ht="15" customHeight="1">
      <c r="A94" s="110" t="s">
        <v>612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610</v>
      </c>
      <c r="H94" s="194">
        <v>65</v>
      </c>
      <c r="I94" s="195">
        <v>2700</v>
      </c>
    </row>
    <row r="97" spans="1:19" ht="15" customHeight="1">
      <c r="A97" s="1" t="s">
        <v>829</v>
      </c>
    </row>
    <row r="98" spans="1:19" ht="15" customHeight="1">
      <c r="A98" s="64" t="s">
        <v>768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773</v>
      </c>
      <c r="B99" s="64"/>
      <c r="C99" s="64" t="s">
        <v>565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770</v>
      </c>
      <c r="B100" s="64" t="s">
        <v>769</v>
      </c>
      <c r="C100" s="64" t="s">
        <v>627</v>
      </c>
      <c r="D100" s="64" t="s">
        <v>576</v>
      </c>
      <c r="E100" s="64" t="s">
        <v>577</v>
      </c>
      <c r="F100" s="64" t="s">
        <v>578</v>
      </c>
      <c r="G100" s="64" t="s">
        <v>579</v>
      </c>
      <c r="H100" s="64" t="s">
        <v>580</v>
      </c>
      <c r="I100" s="64" t="s">
        <v>581</v>
      </c>
      <c r="J100" s="64" t="s">
        <v>582</v>
      </c>
      <c r="K100" s="64" t="s">
        <v>583</v>
      </c>
      <c r="L100" s="64" t="s">
        <v>584</v>
      </c>
      <c r="M100" s="64" t="s">
        <v>585</v>
      </c>
      <c r="N100" s="64" t="s">
        <v>586</v>
      </c>
      <c r="O100" s="64" t="s">
        <v>587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781</v>
      </c>
      <c r="B107" s="64" t="s">
        <v>645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771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772</v>
      </c>
      <c r="B110" s="280"/>
      <c r="C110" s="280" t="s">
        <v>565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770</v>
      </c>
      <c r="B111" s="280" t="s">
        <v>769</v>
      </c>
      <c r="C111" s="280" t="s">
        <v>627</v>
      </c>
      <c r="D111" s="280" t="s">
        <v>576</v>
      </c>
      <c r="E111" s="280" t="s">
        <v>577</v>
      </c>
      <c r="F111" s="280" t="s">
        <v>578</v>
      </c>
      <c r="G111" s="280" t="s">
        <v>579</v>
      </c>
      <c r="H111" s="280" t="s">
        <v>580</v>
      </c>
      <c r="I111" s="280" t="s">
        <v>581</v>
      </c>
      <c r="J111" s="280" t="s">
        <v>582</v>
      </c>
      <c r="K111" s="280" t="s">
        <v>583</v>
      </c>
      <c r="L111" s="280" t="s">
        <v>584</v>
      </c>
      <c r="M111" s="280" t="s">
        <v>585</v>
      </c>
      <c r="N111" s="280" t="s">
        <v>586</v>
      </c>
      <c r="O111" s="280" t="s">
        <v>587</v>
      </c>
      <c r="P111" s="280">
        <v>7</v>
      </c>
      <c r="Q111" s="280">
        <v>8</v>
      </c>
      <c r="R111" s="1" t="s">
        <v>775</v>
      </c>
      <c r="S111" s="1" t="s">
        <v>774</v>
      </c>
    </row>
    <row r="112" spans="1:19" ht="15" customHeight="1">
      <c r="A112" s="280">
        <v>10</v>
      </c>
      <c r="B112" s="280">
        <f>Leakage!AF60</f>
        <v>0.77770722590935659</v>
      </c>
      <c r="C112" s="280">
        <f>IF(Age="existing",IF(Fans!$L$2-Fans!C101&lt;=0,0,Fans!$L$2-Fans!C101),IF(C101&lt;(2/3)*Fans!$L$2,Fans!$L$2-Fans!C101,(1/3)*Fans!$L$2))</f>
        <v>18.374833333333331</v>
      </c>
      <c r="D112" s="280">
        <f>IF(Age="existing",IF(Fans!$L$2-Fans!D101&lt;=0,0,Fans!$L$2-Fans!D101),IF(D101&lt;(2/3)*Fans!$L$2,Fans!$L$2-Fans!D101,(1/3)*Fans!$L$2))</f>
        <v>18.374833333333331</v>
      </c>
      <c r="E112" s="280">
        <f>IF(Age="existing",IF(Fans!$L$2-Fans!E101&lt;=0,0,Fans!$L$2-Fans!E101),IF(E101&lt;(2/3)*Fans!$L$2,Fans!$L$2-Fans!E101,(1/3)*Fans!$L$2))</f>
        <v>18.374833333333331</v>
      </c>
      <c r="F112" s="280">
        <f>IF(Age="existing",IF(Fans!$L$2-Fans!F101&lt;=0,0,Fans!$L$2-Fans!F101),IF(F101&lt;(2/3)*Fans!$L$2,Fans!$L$2-Fans!F101,(1/3)*Fans!$L$2))</f>
        <v>18.374833333333331</v>
      </c>
      <c r="G112" s="280">
        <f>IF(Age="existing",IF(Fans!$L$2-Fans!G101&lt;=0,0,Fans!$L$2-Fans!G101),IF(G101&lt;(2/3)*Fans!$L$2,Fans!$L$2-Fans!G101,(1/3)*Fans!$L$2))</f>
        <v>18.374833333333331</v>
      </c>
      <c r="H112" s="280">
        <f>IF(Age="existing",IF(Fans!$L$2-Fans!H101&lt;=0,0,Fans!$L$2-Fans!H101),IF(H101&lt;(2/3)*Fans!$L$2,Fans!$L$2-Fans!H101,(1/3)*Fans!$L$2))</f>
        <v>18.374833333333331</v>
      </c>
      <c r="I112" s="280">
        <f>IF(Age="existing",IF(Fans!$L$2-Fans!I101&lt;=0,0,Fans!$L$2-Fans!I101),IF(I101&lt;(2/3)*Fans!$L$2,Fans!$L$2-Fans!I101,(1/3)*Fans!$L$2))</f>
        <v>18.374833333333331</v>
      </c>
      <c r="J112" s="280">
        <f>IF(Age="existing",IF(Fans!$L$2-Fans!J101&lt;=0,0,Fans!$L$2-Fans!J101),IF(J101&lt;(2/3)*Fans!$L$2,Fans!$L$2-Fans!J101,(1/3)*Fans!$L$2))</f>
        <v>18.374833333333331</v>
      </c>
      <c r="K112" s="280">
        <f>IF(Age="existing",IF(Fans!$L$2-Fans!K101&lt;=0,0,Fans!$L$2-Fans!K101),IF(K101&lt;(2/3)*Fans!$L$2,Fans!$L$2-Fans!K101,(1/3)*Fans!$L$2))</f>
        <v>18.374833333333331</v>
      </c>
      <c r="L112" s="280">
        <f>IF(Age="existing",IF(Fans!$L$2-Fans!L101&lt;=0,0,Fans!$L$2-Fans!L101),IF(L101&lt;(2/3)*Fans!$L$2,Fans!$L$2-Fans!L101,(1/3)*Fans!$L$2))</f>
        <v>18.374833333333331</v>
      </c>
      <c r="M112" s="280">
        <f>IF(Age="existing",IF(Fans!$L$2-Fans!M101&lt;=0,0,Fans!$L$2-Fans!M101),IF(M101&lt;(2/3)*Fans!$L$2,Fans!$L$2-Fans!M101,(1/3)*Fans!$L$2))</f>
        <v>18.374833333333331</v>
      </c>
      <c r="N112" s="280">
        <f>IF(Age="existing",IF(Fans!$L$2-Fans!N101&lt;=0,0,Fans!$L$2-Fans!N101),IF(N101&lt;(2/3)*Fans!$L$2,Fans!$L$2-Fans!N101,(1/3)*Fans!$L$2))</f>
        <v>18.374833333333331</v>
      </c>
      <c r="O112" s="280">
        <f>IF(Age="existing",IF(Fans!$L$2-Fans!O101&lt;=0,0,Fans!$L$2-Fans!O101),IF(O101&lt;(2/3)*Fans!$L$2,Fans!$L$2-Fans!O101,(1/3)*Fans!$L$2))</f>
        <v>18.374833333333331</v>
      </c>
      <c r="P112" s="280">
        <f>IF(Age="existing",IF(Fans!$L$2-Fans!P101&lt;=0,0,Fans!$L$2-Fans!P101),IF(P101&lt;(2/3)*Fans!$L$2,Fans!$L$2-Fans!P101,(1/3)*Fans!$L$2))</f>
        <v>18.374833333333331</v>
      </c>
      <c r="Q112" s="280">
        <f>IF(Age="existing",IF(Fans!$L$2-Fans!Q101&lt;=0,0,Fans!$L$2-Fans!Q101),IF(Q101&lt;(2/3)*Fans!$L$2,Fans!$L$2-Fans!Q101,(1/3)*Fans!$L$2))</f>
        <v>18.374833333333331</v>
      </c>
      <c r="R112" s="90" t="s">
        <v>282</v>
      </c>
      <c r="S112" s="1">
        <v>50</v>
      </c>
    </row>
    <row r="113" spans="1:19" ht="15" customHeight="1">
      <c r="A113" s="280">
        <v>7</v>
      </c>
      <c r="B113" s="280">
        <f>Leakage!AF61</f>
        <v>0.54439505813654954</v>
      </c>
      <c r="C113" s="280">
        <f>IF(Age="existing",IF(Fans!$L$2-Fans!C102&lt;=0,0,Fans!$L$2-Fans!C102),IF(C102&lt;(2/3)*Fans!$L$2,Fans!$L$2-Fans!C102,(1/3)*Fans!$L$2))</f>
        <v>18.374833333333331</v>
      </c>
      <c r="D113" s="280">
        <f>IF(Age="existing",IF(Fans!$L$2-Fans!D102&lt;=0,0,Fans!$L$2-Fans!D102),IF(D102&lt;(2/3)*Fans!$L$2,Fans!$L$2-Fans!D102,(1/3)*Fans!$L$2))</f>
        <v>18.374833333333331</v>
      </c>
      <c r="E113" s="280">
        <f>IF(Age="existing",IF(Fans!$L$2-Fans!E102&lt;=0,0,Fans!$L$2-Fans!E102),IF(E102&lt;(2/3)*Fans!$L$2,Fans!$L$2-Fans!E102,(1/3)*Fans!$L$2))</f>
        <v>18.374833333333331</v>
      </c>
      <c r="F113" s="280">
        <f>IF(Age="existing",IF(Fans!$L$2-Fans!F102&lt;=0,0,Fans!$L$2-Fans!F102),IF(F102&lt;(2/3)*Fans!$L$2,Fans!$L$2-Fans!F102,(1/3)*Fans!$L$2))</f>
        <v>18.374833333333331</v>
      </c>
      <c r="G113" s="280">
        <f>IF(Age="existing",IF(Fans!$L$2-Fans!G102&lt;=0,0,Fans!$L$2-Fans!G102),IF(G102&lt;(2/3)*Fans!$L$2,Fans!$L$2-Fans!G102,(1/3)*Fans!$L$2))</f>
        <v>18.374833333333331</v>
      </c>
      <c r="H113" s="280">
        <f>IF(Age="existing",IF(Fans!$L$2-Fans!H102&lt;=0,0,Fans!$L$2-Fans!H102),IF(H102&lt;(2/3)*Fans!$L$2,Fans!$L$2-Fans!H102,(1/3)*Fans!$L$2))</f>
        <v>18.374833333333331</v>
      </c>
      <c r="I113" s="280">
        <f>IF(Age="existing",IF(Fans!$L$2-Fans!I102&lt;=0,0,Fans!$L$2-Fans!I102),IF(I102&lt;(2/3)*Fans!$L$2,Fans!$L$2-Fans!I102,(1/3)*Fans!$L$2))</f>
        <v>18.374833333333331</v>
      </c>
      <c r="J113" s="280">
        <f>IF(Age="existing",IF(Fans!$L$2-Fans!J102&lt;=0,0,Fans!$L$2-Fans!J102),IF(J102&lt;(2/3)*Fans!$L$2,Fans!$L$2-Fans!J102,(1/3)*Fans!$L$2))</f>
        <v>18.374833333333331</v>
      </c>
      <c r="K113" s="280">
        <f>IF(Age="existing",IF(Fans!$L$2-Fans!K102&lt;=0,0,Fans!$L$2-Fans!K102),IF(K102&lt;(2/3)*Fans!$L$2,Fans!$L$2-Fans!K102,(1/3)*Fans!$L$2))</f>
        <v>18.374833333333331</v>
      </c>
      <c r="L113" s="280">
        <f>IF(Age="existing",IF(Fans!$L$2-Fans!L102&lt;=0,0,Fans!$L$2-Fans!L102),IF(L102&lt;(2/3)*Fans!$L$2,Fans!$L$2-Fans!L102,(1/3)*Fans!$L$2))</f>
        <v>18.374833333333331</v>
      </c>
      <c r="M113" s="280">
        <f>IF(Age="existing",IF(Fans!$L$2-Fans!M102&lt;=0,0,Fans!$L$2-Fans!M102),IF(M102&lt;(2/3)*Fans!$L$2,Fans!$L$2-Fans!M102,(1/3)*Fans!$L$2))</f>
        <v>18.374833333333331</v>
      </c>
      <c r="N113" s="280">
        <f>IF(Age="existing",IF(Fans!$L$2-Fans!N102&lt;=0,0,Fans!$L$2-Fans!N102),IF(N102&lt;(2/3)*Fans!$L$2,Fans!$L$2-Fans!N102,(1/3)*Fans!$L$2))</f>
        <v>18.374833333333331</v>
      </c>
      <c r="O113" s="280">
        <f>IF(Age="existing",IF(Fans!$L$2-Fans!O102&lt;=0,0,Fans!$L$2-Fans!O102),IF(O102&lt;(2/3)*Fans!$L$2,Fans!$L$2-Fans!O102,(1/3)*Fans!$L$2))</f>
        <v>18.374833333333331</v>
      </c>
      <c r="P113" s="280">
        <f>IF(Age="existing",IF(Fans!$L$2-Fans!P102&lt;=0,0,Fans!$L$2-Fans!P102),IF(P102&lt;(2/3)*Fans!$L$2,Fans!$L$2-Fans!P102,(1/3)*Fans!$L$2))</f>
        <v>18.374833333333331</v>
      </c>
      <c r="Q113" s="280">
        <f>IF(Age="existing",IF(Fans!$L$2-Fans!Q102&lt;=0,0,Fans!$L$2-Fans!Q102),IF(Q102&lt;(2/3)*Fans!$L$2,Fans!$L$2-Fans!Q102,(1/3)*Fans!$L$2))</f>
        <v>18.374833333333331</v>
      </c>
      <c r="R113" s="90" t="s">
        <v>282</v>
      </c>
      <c r="S113" s="1">
        <v>50</v>
      </c>
    </row>
    <row r="114" spans="1:19" ht="15" customHeight="1">
      <c r="A114" s="280">
        <v>5</v>
      </c>
      <c r="B114" s="280">
        <f>Leakage!AF62</f>
        <v>0.3888536129546783</v>
      </c>
      <c r="C114" s="280">
        <f>IF(Age="existing",IF(Fans!$L$2-Fans!C103&lt;=0,0,Fans!$L$2-Fans!C103),IF(C103&lt;(2/3)*Fans!$L$2,Fans!$L$2-Fans!C103,(1/3)*Fans!$L$2))</f>
        <v>27.353790130317364</v>
      </c>
      <c r="D114" s="280">
        <f>IF(Age="existing",IF(Fans!$L$2-Fans!D103&lt;=0,0,Fans!$L$2-Fans!D103),IF(D103&lt;(2/3)*Fans!$L$2,Fans!$L$2-Fans!D103,(1/3)*Fans!$L$2))</f>
        <v>26.676455743251928</v>
      </c>
      <c r="E114" s="280">
        <f>IF(Age="existing",IF(Fans!$L$2-Fans!E103&lt;=0,0,Fans!$L$2-Fans!E103),IF(E103&lt;(2/3)*Fans!$L$2,Fans!$L$2-Fans!E103,(1/3)*Fans!$L$2))</f>
        <v>25.9991213561865</v>
      </c>
      <c r="F114" s="280">
        <f>IF(Age="existing",IF(Fans!$L$2-Fans!F103&lt;=0,0,Fans!$L$2-Fans!F103),IF(F103&lt;(2/3)*Fans!$L$2,Fans!$L$2-Fans!F103,(1/3)*Fans!$L$2))</f>
        <v>23.967118194990206</v>
      </c>
      <c r="G114" s="280">
        <f>IF(Age="existing",IF(Fans!$L$2-Fans!G103&lt;=0,0,Fans!$L$2-Fans!G103),IF(G103&lt;(2/3)*Fans!$L$2,Fans!$L$2-Fans!G103,(1/3)*Fans!$L$2))</f>
        <v>22.612449420859349</v>
      </c>
      <c r="H114" s="280">
        <f>IF(Age="existing",IF(Fans!$L$2-Fans!H103&lt;=0,0,Fans!$L$2-Fans!H103),IF(H103&lt;(2/3)*Fans!$L$2,Fans!$L$2-Fans!H103,(1/3)*Fans!$L$2))</f>
        <v>18.374833333333331</v>
      </c>
      <c r="I114" s="280">
        <f>IF(Age="existing",IF(Fans!$L$2-Fans!I103&lt;=0,0,Fans!$L$2-Fans!I103),IF(I103&lt;(2/3)*Fans!$L$2,Fans!$L$2-Fans!I103,(1/3)*Fans!$L$2))</f>
        <v>21.257780646728484</v>
      </c>
      <c r="J114" s="280">
        <f>IF(Age="existing",IF(Fans!$L$2-Fans!J103&lt;=0,0,Fans!$L$2-Fans!J103),IF(J103&lt;(2/3)*Fans!$L$2,Fans!$L$2-Fans!J103,(1/3)*Fans!$L$2))</f>
        <v>18.548443098466763</v>
      </c>
      <c r="K114" s="280">
        <f>IF(Age="existing",IF(Fans!$L$2-Fans!K103&lt;=0,0,Fans!$L$2-Fans!K103),IF(K103&lt;(2/3)*Fans!$L$2,Fans!$L$2-Fans!K103,(1/3)*Fans!$L$2))</f>
        <v>18.374833333333331</v>
      </c>
      <c r="L114" s="280">
        <f>IF(Age="existing",IF(Fans!$L$2-Fans!L103&lt;=0,0,Fans!$L$2-Fans!L103),IF(L103&lt;(2/3)*Fans!$L$2,Fans!$L$2-Fans!L103,(1/3)*Fans!$L$2))</f>
        <v>18.374833333333331</v>
      </c>
      <c r="M114" s="280">
        <f>IF(Age="existing",IF(Fans!$L$2-Fans!M103&lt;=0,0,Fans!$L$2-Fans!M103),IF(M103&lt;(2/3)*Fans!$L$2,Fans!$L$2-Fans!M103,(1/3)*Fans!$L$2))</f>
        <v>18.374833333333331</v>
      </c>
      <c r="N114" s="280">
        <f>IF(Age="existing",IF(Fans!$L$2-Fans!N103&lt;=0,0,Fans!$L$2-Fans!N103),IF(N103&lt;(2/3)*Fans!$L$2,Fans!$L$2-Fans!N103,(1/3)*Fans!$L$2))</f>
        <v>18.374833333333331</v>
      </c>
      <c r="O114" s="280">
        <f>IF(Age="existing",IF(Fans!$L$2-Fans!O103&lt;=0,0,Fans!$L$2-Fans!O103),IF(O103&lt;(2/3)*Fans!$L$2,Fans!$L$2-Fans!O103,(1/3)*Fans!$L$2))</f>
        <v>18.374833333333331</v>
      </c>
      <c r="P114" s="280">
        <f>IF(Age="existing",IF(Fans!$L$2-Fans!P103&lt;=0,0,Fans!$L$2-Fans!P103),IF(P103&lt;(2/3)*Fans!$L$2,Fans!$L$2-Fans!P103,(1/3)*Fans!$L$2))</f>
        <v>18.374833333333331</v>
      </c>
      <c r="Q114" s="280">
        <f>IF(Age="existing",IF(Fans!$L$2-Fans!Q103&lt;=0,0,Fans!$L$2-Fans!Q103),IF(Q103&lt;(2/3)*Fans!$L$2,Fans!$L$2-Fans!Q103,(1/3)*Fans!$L$2))</f>
        <v>18.374833333333331</v>
      </c>
      <c r="R114" s="90" t="s">
        <v>282</v>
      </c>
      <c r="S114" s="1">
        <v>50</v>
      </c>
    </row>
    <row r="115" spans="1:19" ht="15" customHeight="1">
      <c r="A115" s="280">
        <v>3</v>
      </c>
      <c r="B115" s="280">
        <f>Leakage!AF63</f>
        <v>0.23331216777280694</v>
      </c>
      <c r="C115" s="280">
        <f>IF(Age="existing",IF(Fans!$L$2-Fans!C104&lt;=0,0,Fans!$L$2-Fans!C104),IF(C104&lt;(2/3)*Fans!$L$2,Fans!$L$2-Fans!C104,(1/3)*Fans!$L$2))</f>
        <v>38.462074078190412</v>
      </c>
      <c r="D115" s="280">
        <f>IF(Age="existing",IF(Fans!$L$2-Fans!D104&lt;=0,0,Fans!$L$2-Fans!D104),IF(D104&lt;(2/3)*Fans!$L$2,Fans!$L$2-Fans!D104,(1/3)*Fans!$L$2))</f>
        <v>38.055673445951157</v>
      </c>
      <c r="E115" s="280">
        <f>IF(Age="existing",IF(Fans!$L$2-Fans!E104&lt;=0,0,Fans!$L$2-Fans!E104),IF(E104&lt;(2/3)*Fans!$L$2,Fans!$L$2-Fans!E104,(1/3)*Fans!$L$2))</f>
        <v>37.649272813711903</v>
      </c>
      <c r="F115" s="280">
        <f>IF(Age="existing",IF(Fans!$L$2-Fans!F104&lt;=0,0,Fans!$L$2-Fans!F104),IF(F104&lt;(2/3)*Fans!$L$2,Fans!$L$2-Fans!F104,(1/3)*Fans!$L$2))</f>
        <v>36.430070916994126</v>
      </c>
      <c r="G115" s="280">
        <f>IF(Age="existing",IF(Fans!$L$2-Fans!G104&lt;=0,0,Fans!$L$2-Fans!G104),IF(G104&lt;(2/3)*Fans!$L$2,Fans!$L$2-Fans!G104,(1/3)*Fans!$L$2))</f>
        <v>35.61726965251561</v>
      </c>
      <c r="H115" s="280">
        <f>IF(Age="existing",IF(Fans!$L$2-Fans!H104&lt;=0,0,Fans!$L$2-Fans!H104),IF(H104&lt;(2/3)*Fans!$L$2,Fans!$L$2-Fans!H104,(1/3)*Fans!$L$2))</f>
        <v>30.740462065644511</v>
      </c>
      <c r="I115" s="280">
        <f>IF(Age="existing",IF(Fans!$L$2-Fans!I104&lt;=0,0,Fans!$L$2-Fans!I104),IF(I104&lt;(2/3)*Fans!$L$2,Fans!$L$2-Fans!I104,(1/3)*Fans!$L$2))</f>
        <v>34.804468388037094</v>
      </c>
      <c r="J115" s="280">
        <f>IF(Age="existing",IF(Fans!$L$2-Fans!J104&lt;=0,0,Fans!$L$2-Fans!J104),IF(J104&lt;(2/3)*Fans!$L$2,Fans!$L$2-Fans!J104,(1/3)*Fans!$L$2))</f>
        <v>33.178865859080062</v>
      </c>
      <c r="K115" s="280">
        <f>IF(Age="existing",IF(Fans!$L$2-Fans!K104&lt;=0,0,Fans!$L$2-Fans!K104),IF(K104&lt;(2/3)*Fans!$L$2,Fans!$L$2-Fans!K104,(1/3)*Fans!$L$2))</f>
        <v>32.772465226840794</v>
      </c>
      <c r="L115" s="280">
        <f>IF(Age="existing",IF(Fans!$L$2-Fans!L104&lt;=0,0,Fans!$L$2-Fans!L104),IF(L104&lt;(2/3)*Fans!$L$2,Fans!$L$2-Fans!L104,(1/3)*Fans!$L$2))</f>
        <v>30.740462065644511</v>
      </c>
      <c r="M115" s="280">
        <f>IF(Age="existing",IF(Fans!$L$2-Fans!M104&lt;=0,0,Fans!$L$2-Fans!M104),IF(M104&lt;(2/3)*Fans!$L$2,Fans!$L$2-Fans!M104,(1/3)*Fans!$L$2))</f>
        <v>32.366064594601539</v>
      </c>
      <c r="N115" s="280">
        <f>IF(Age="existing",IF(Fans!$L$2-Fans!N104&lt;=0,0,Fans!$L$2-Fans!N104),IF(N104&lt;(2/3)*Fans!$L$2,Fans!$L$2-Fans!N104,(1/3)*Fans!$L$2))</f>
        <v>30.334061433405257</v>
      </c>
      <c r="O115" s="280">
        <f>IF(Age="existing",IF(Fans!$L$2-Fans!O104&lt;=0,0,Fans!$L$2-Fans!O104),IF(O104&lt;(2/3)*Fans!$L$2,Fans!$L$2-Fans!O104,(1/3)*Fans!$L$2))</f>
        <v>29.521260168926737</v>
      </c>
      <c r="P115" s="280">
        <f>IF(Age="existing",IF(Fans!$L$2-Fans!P104&lt;=0,0,Fans!$L$2-Fans!P104),IF(P104&lt;(2/3)*Fans!$L$2,Fans!$L$2-Fans!P104,(1/3)*Fans!$L$2))</f>
        <v>26.676455743251932</v>
      </c>
      <c r="Q115" s="280">
        <f>IF(Age="existing",IF(Fans!$L$2-Fans!Q104&lt;=0,0,Fans!$L$2-Fans!Q104),IF(Q104&lt;(2/3)*Fans!$L$2,Fans!$L$2-Fans!Q104,(1/3)*Fans!$L$2))</f>
        <v>26.676455743251932</v>
      </c>
      <c r="R115" s="92" t="s">
        <v>302</v>
      </c>
      <c r="S115" s="1">
        <v>70</v>
      </c>
    </row>
    <row r="116" spans="1:19" ht="15" customHeight="1">
      <c r="A116" s="280">
        <v>1.5</v>
      </c>
      <c r="B116" s="280">
        <f>Leakage!AF64</f>
        <v>0.11665608388640347</v>
      </c>
      <c r="C116" s="280">
        <f>IF(Age="existing",IF(Fans!$L$2-Fans!C105&lt;=0,0,Fans!$L$2-Fans!C105),IF(C105&lt;(2/3)*Fans!$L$2,Fans!$L$2-Fans!C105,(1/3)*Fans!$L$2))</f>
        <v>46.793287039095205</v>
      </c>
      <c r="D116" s="280">
        <f>IF(Age="existing",IF(Fans!$L$2-Fans!D105&lt;=0,0,Fans!$L$2-Fans!D105),IF(D105&lt;(2/3)*Fans!$L$2,Fans!$L$2-Fans!D105,(1/3)*Fans!$L$2))</f>
        <v>46.590086722975578</v>
      </c>
      <c r="E116" s="280">
        <f>IF(Age="existing",IF(Fans!$L$2-Fans!E105&lt;=0,0,Fans!$L$2-Fans!E105),IF(E105&lt;(2/3)*Fans!$L$2,Fans!$L$2-Fans!E105,(1/3)*Fans!$L$2))</f>
        <v>46.38688640685595</v>
      </c>
      <c r="F116" s="280">
        <f>IF(Age="existing",IF(Fans!$L$2-Fans!F105&lt;=0,0,Fans!$L$2-Fans!F105),IF(F105&lt;(2/3)*Fans!$L$2,Fans!$L$2-Fans!F105,(1/3)*Fans!$L$2))</f>
        <v>45.777285458497062</v>
      </c>
      <c r="G116" s="280">
        <f>IF(Age="existing",IF(Fans!$L$2-Fans!G105&lt;=0,0,Fans!$L$2-Fans!G105),IF(G105&lt;(2/3)*Fans!$L$2,Fans!$L$2-Fans!G105,(1/3)*Fans!$L$2))</f>
        <v>45.370884826257807</v>
      </c>
      <c r="H116" s="280">
        <f>IF(Age="existing",IF(Fans!$L$2-Fans!H105&lt;=0,0,Fans!$L$2-Fans!H105),IF(H105&lt;(2/3)*Fans!$L$2,Fans!$L$2-Fans!H105,(1/3)*Fans!$L$2))</f>
        <v>42.932481032822253</v>
      </c>
      <c r="I116" s="280">
        <f>IF(Age="existing",IF(Fans!$L$2-Fans!I105&lt;=0,0,Fans!$L$2-Fans!I105),IF(I105&lt;(2/3)*Fans!$L$2,Fans!$L$2-Fans!I105,(1/3)*Fans!$L$2))</f>
        <v>44.964484194018546</v>
      </c>
      <c r="J116" s="280">
        <f>IF(Age="existing",IF(Fans!$L$2-Fans!J105&lt;=0,0,Fans!$L$2-Fans!J105),IF(J105&lt;(2/3)*Fans!$L$2,Fans!$L$2-Fans!J105,(1/3)*Fans!$L$2))</f>
        <v>44.15168292954003</v>
      </c>
      <c r="K116" s="280">
        <f>IF(Age="existing",IF(Fans!$L$2-Fans!K105&lt;=0,0,Fans!$L$2-Fans!K105),IF(K105&lt;(2/3)*Fans!$L$2,Fans!$L$2-Fans!K105,(1/3)*Fans!$L$2))</f>
        <v>43.948482613420396</v>
      </c>
      <c r="L116" s="280">
        <f>IF(Age="existing",IF(Fans!$L$2-Fans!L105&lt;=0,0,Fans!$L$2-Fans!L105),IF(L105&lt;(2/3)*Fans!$L$2,Fans!$L$2-Fans!L105,(1/3)*Fans!$L$2))</f>
        <v>42.932481032822253</v>
      </c>
      <c r="M116" s="280">
        <f>IF(Age="existing",IF(Fans!$L$2-Fans!M105&lt;=0,0,Fans!$L$2-Fans!M105),IF(M105&lt;(2/3)*Fans!$L$2,Fans!$L$2-Fans!M105,(1/3)*Fans!$L$2))</f>
        <v>43.745282297300768</v>
      </c>
      <c r="N116" s="280">
        <f>IF(Age="existing",IF(Fans!$L$2-Fans!N105&lt;=0,0,Fans!$L$2-Fans!N105),IF(N105&lt;(2/3)*Fans!$L$2,Fans!$L$2-Fans!N105,(1/3)*Fans!$L$2))</f>
        <v>42.729280716702625</v>
      </c>
      <c r="O116" s="280">
        <f>IF(Age="existing",IF(Fans!$L$2-Fans!O105&lt;=0,0,Fans!$L$2-Fans!O105),IF(O105&lt;(2/3)*Fans!$L$2,Fans!$L$2-Fans!O105,(1/3)*Fans!$L$2))</f>
        <v>42.322880084463364</v>
      </c>
      <c r="P116" s="280">
        <f>IF(Age="existing",IF(Fans!$L$2-Fans!P105&lt;=0,0,Fans!$L$2-Fans!P105),IF(P105&lt;(2/3)*Fans!$L$2,Fans!$L$2-Fans!P105,(1/3)*Fans!$L$2))</f>
        <v>40.900477871625966</v>
      </c>
      <c r="Q116" s="280">
        <f>IF(Age="existing",IF(Fans!$L$2-Fans!Q105&lt;=0,0,Fans!$L$2-Fans!Q105),IF(Q105&lt;(2/3)*Fans!$L$2,Fans!$L$2-Fans!Q105,(1/3)*Fans!$L$2))</f>
        <v>40.900477871625966</v>
      </c>
      <c r="R116" s="92" t="s">
        <v>302</v>
      </c>
      <c r="S116" s="1">
        <v>80</v>
      </c>
    </row>
    <row r="117" spans="1:19" ht="15" customHeight="1">
      <c r="A117" s="280">
        <v>0.6</v>
      </c>
      <c r="B117" s="280">
        <f>Leakage!AF65</f>
        <v>4.66624335545614E-2</v>
      </c>
      <c r="C117" s="280">
        <f>IF(Age="existing",IF(Fans!$L$2-Fans!C106&lt;=0,0,Fans!$L$2-Fans!C106),IF(C106&lt;(2/3)*Fans!$L$2,Fans!$L$2-Fans!C106,(1/3)*Fans!$L$2))</f>
        <v>51.792014815638083</v>
      </c>
      <c r="D117" s="280">
        <f>IF(Age="existing",IF(Fans!$L$2-Fans!D106&lt;=0,0,Fans!$L$2-Fans!D106),IF(D106&lt;(2/3)*Fans!$L$2,Fans!$L$2-Fans!D106,(1/3)*Fans!$L$2))</f>
        <v>51.710734689190232</v>
      </c>
      <c r="E117" s="280">
        <f>IF(Age="existing",IF(Fans!$L$2-Fans!E106&lt;=0,0,Fans!$L$2-Fans!E106),IF(E106&lt;(2/3)*Fans!$L$2,Fans!$L$2-Fans!E106,(1/3)*Fans!$L$2))</f>
        <v>51.629454562742374</v>
      </c>
      <c r="F117" s="280">
        <f>IF(Age="existing",IF(Fans!$L$2-Fans!F106&lt;=0,0,Fans!$L$2-Fans!F106),IF(F106&lt;(2/3)*Fans!$L$2,Fans!$L$2-Fans!F106,(1/3)*Fans!$L$2))</f>
        <v>51.385614183398822</v>
      </c>
      <c r="G117" s="280">
        <f>IF(Age="existing",IF(Fans!$L$2-Fans!G106&lt;=0,0,Fans!$L$2-Fans!G106),IF(G106&lt;(2/3)*Fans!$L$2,Fans!$L$2-Fans!G106,(1/3)*Fans!$L$2))</f>
        <v>51.22305393050312</v>
      </c>
      <c r="H117" s="280">
        <f>IF(Age="existing",IF(Fans!$L$2-Fans!H106&lt;=0,0,Fans!$L$2-Fans!H106),IF(H106&lt;(2/3)*Fans!$L$2,Fans!$L$2-Fans!H106,(1/3)*Fans!$L$2))</f>
        <v>50.247692413128902</v>
      </c>
      <c r="I117" s="280">
        <f>IF(Age="existing",IF(Fans!$L$2-Fans!I106&lt;=0,0,Fans!$L$2-Fans!I106),IF(I106&lt;(2/3)*Fans!$L$2,Fans!$L$2-Fans!I106,(1/3)*Fans!$L$2))</f>
        <v>51.060493677607418</v>
      </c>
      <c r="J117" s="280">
        <f>IF(Age="existing",IF(Fans!$L$2-Fans!J106&lt;=0,0,Fans!$L$2-Fans!J106),IF(J106&lt;(2/3)*Fans!$L$2,Fans!$L$2-Fans!J106,(1/3)*Fans!$L$2))</f>
        <v>50.735373171816008</v>
      </c>
      <c r="K117" s="280">
        <f>IF(Age="existing",IF(Fans!$L$2-Fans!K106&lt;=0,0,Fans!$L$2-Fans!K106),IF(K106&lt;(2/3)*Fans!$L$2,Fans!$L$2-Fans!K106,(1/3)*Fans!$L$2))</f>
        <v>50.654093045368157</v>
      </c>
      <c r="L117" s="280">
        <f>IF(Age="existing",IF(Fans!$L$2-Fans!L106&lt;=0,0,Fans!$L$2-Fans!L106),IF(L106&lt;(2/3)*Fans!$L$2,Fans!$L$2-Fans!L106,(1/3)*Fans!$L$2))</f>
        <v>50.247692413128902</v>
      </c>
      <c r="M117" s="280">
        <f>IF(Age="existing",IF(Fans!$L$2-Fans!M106&lt;=0,0,Fans!$L$2-Fans!M106),IF(M106&lt;(2/3)*Fans!$L$2,Fans!$L$2-Fans!M106,(1/3)*Fans!$L$2))</f>
        <v>50.572812918920306</v>
      </c>
      <c r="N117" s="280">
        <f>IF(Age="existing",IF(Fans!$L$2-Fans!N106&lt;=0,0,Fans!$L$2-Fans!N106),IF(N106&lt;(2/3)*Fans!$L$2,Fans!$L$2-Fans!N106,(1/3)*Fans!$L$2))</f>
        <v>50.166412286681052</v>
      </c>
      <c r="O117" s="280">
        <f>IF(Age="existing",IF(Fans!$L$2-Fans!O106&lt;=0,0,Fans!$L$2-Fans!O106),IF(O106&lt;(2/3)*Fans!$L$2,Fans!$L$2-Fans!O106,(1/3)*Fans!$L$2))</f>
        <v>50.003852033785343</v>
      </c>
      <c r="P117" s="280">
        <f>IF(Age="existing",IF(Fans!$L$2-Fans!P106&lt;=0,0,Fans!$L$2-Fans!P106),IF(P106&lt;(2/3)*Fans!$L$2,Fans!$L$2-Fans!P106,(1/3)*Fans!$L$2))</f>
        <v>49.434891148650387</v>
      </c>
      <c r="Q117" s="280">
        <f>IF(Age="existing",IF(Fans!$L$2-Fans!Q106&lt;=0,0,Fans!$L$2-Fans!Q106),IF(Q106&lt;(2/3)*Fans!$L$2,Fans!$L$2-Fans!Q106,(1/3)*Fans!$L$2))</f>
        <v>49.434891148650387</v>
      </c>
      <c r="R117" s="110" t="s">
        <v>609</v>
      </c>
      <c r="S117" s="1">
        <v>84.5</v>
      </c>
    </row>
    <row r="118" spans="1:19" ht="15" customHeight="1">
      <c r="A118" s="280" t="s">
        <v>781</v>
      </c>
      <c r="B118" s="280" t="s">
        <v>645</v>
      </c>
      <c r="C118" s="281">
        <f>$L$2</f>
        <v>55.124499999999998</v>
      </c>
      <c r="D118" s="281">
        <f t="shared" ref="D118:Q118" si="14">$L$2</f>
        <v>55.124499999999998</v>
      </c>
      <c r="E118" s="281">
        <f t="shared" si="14"/>
        <v>55.124499999999998</v>
      </c>
      <c r="F118" s="281">
        <f t="shared" si="14"/>
        <v>55.124499999999998</v>
      </c>
      <c r="G118" s="281">
        <f t="shared" si="14"/>
        <v>55.124499999999998</v>
      </c>
      <c r="H118" s="281">
        <f t="shared" si="14"/>
        <v>55.124499999999998</v>
      </c>
      <c r="I118" s="281">
        <f t="shared" si="14"/>
        <v>55.124499999999998</v>
      </c>
      <c r="J118" s="281">
        <f t="shared" si="14"/>
        <v>55.124499999999998</v>
      </c>
      <c r="K118" s="281">
        <f t="shared" si="14"/>
        <v>55.124499999999998</v>
      </c>
      <c r="L118" s="281">
        <f t="shared" si="14"/>
        <v>55.124499999999998</v>
      </c>
      <c r="M118" s="281">
        <f t="shared" si="14"/>
        <v>55.124499999999998</v>
      </c>
      <c r="N118" s="281">
        <f t="shared" si="14"/>
        <v>55.124499999999998</v>
      </c>
      <c r="O118" s="281">
        <f t="shared" si="14"/>
        <v>55.124499999999998</v>
      </c>
      <c r="P118" s="281">
        <f t="shared" si="14"/>
        <v>55.124499999999998</v>
      </c>
      <c r="Q118" s="281">
        <f t="shared" si="14"/>
        <v>55.124499999999998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782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772</v>
      </c>
      <c r="B121" s="64"/>
      <c r="C121" s="64" t="s">
        <v>565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770</v>
      </c>
      <c r="B122" s="64" t="s">
        <v>769</v>
      </c>
      <c r="C122" s="64" t="s">
        <v>627</v>
      </c>
      <c r="D122" s="64" t="s">
        <v>576</v>
      </c>
      <c r="E122" s="64" t="s">
        <v>577</v>
      </c>
      <c r="F122" s="64" t="s">
        <v>578</v>
      </c>
      <c r="G122" s="64" t="s">
        <v>579</v>
      </c>
      <c r="H122" s="64" t="s">
        <v>580</v>
      </c>
      <c r="I122" s="64" t="s">
        <v>581</v>
      </c>
      <c r="J122" s="64" t="s">
        <v>582</v>
      </c>
      <c r="K122" s="64" t="s">
        <v>583</v>
      </c>
      <c r="L122" s="64" t="s">
        <v>584</v>
      </c>
      <c r="M122" s="64" t="s">
        <v>585</v>
      </c>
      <c r="N122" s="64" t="s">
        <v>586</v>
      </c>
      <c r="O122" s="64" t="s">
        <v>587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5">1.1*D112</f>
        <v>20.212316666666666</v>
      </c>
      <c r="E123" s="192">
        <f t="shared" si="15"/>
        <v>20.212316666666666</v>
      </c>
      <c r="F123" s="192">
        <f t="shared" si="15"/>
        <v>20.212316666666666</v>
      </c>
      <c r="G123" s="192">
        <f t="shared" si="15"/>
        <v>20.212316666666666</v>
      </c>
      <c r="H123" s="192">
        <f t="shared" si="15"/>
        <v>20.212316666666666</v>
      </c>
      <c r="I123" s="192">
        <f t="shared" si="15"/>
        <v>20.212316666666666</v>
      </c>
      <c r="J123" s="192">
        <f t="shared" si="15"/>
        <v>20.212316666666666</v>
      </c>
      <c r="K123" s="192">
        <f t="shared" si="15"/>
        <v>20.212316666666666</v>
      </c>
      <c r="L123" s="192">
        <f t="shared" si="15"/>
        <v>20.212316666666666</v>
      </c>
      <c r="M123" s="192">
        <f t="shared" si="15"/>
        <v>20.212316666666666</v>
      </c>
      <c r="N123" s="192">
        <f t="shared" si="15"/>
        <v>20.212316666666666</v>
      </c>
      <c r="O123" s="192">
        <f t="shared" si="15"/>
        <v>20.212316666666666</v>
      </c>
      <c r="P123" s="192">
        <f t="shared" si="15"/>
        <v>20.212316666666666</v>
      </c>
      <c r="Q123" s="192">
        <f t="shared" si="15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6">1.1*C113</f>
        <v>20.212316666666666</v>
      </c>
      <c r="D124" s="192">
        <f t="shared" si="16"/>
        <v>20.212316666666666</v>
      </c>
      <c r="E124" s="192">
        <f t="shared" si="16"/>
        <v>20.212316666666666</v>
      </c>
      <c r="F124" s="192">
        <f t="shared" si="16"/>
        <v>20.212316666666666</v>
      </c>
      <c r="G124" s="192">
        <f t="shared" si="16"/>
        <v>20.212316666666666</v>
      </c>
      <c r="H124" s="192">
        <f t="shared" si="16"/>
        <v>20.212316666666666</v>
      </c>
      <c r="I124" s="192">
        <f t="shared" si="16"/>
        <v>20.212316666666666</v>
      </c>
      <c r="J124" s="192">
        <f t="shared" si="16"/>
        <v>20.212316666666666</v>
      </c>
      <c r="K124" s="192">
        <f t="shared" si="16"/>
        <v>20.212316666666666</v>
      </c>
      <c r="L124" s="192">
        <f t="shared" si="16"/>
        <v>20.212316666666666</v>
      </c>
      <c r="M124" s="192">
        <f t="shared" si="16"/>
        <v>20.212316666666666</v>
      </c>
      <c r="N124" s="192">
        <f t="shared" si="16"/>
        <v>20.212316666666666</v>
      </c>
      <c r="O124" s="192">
        <f t="shared" si="16"/>
        <v>20.212316666666666</v>
      </c>
      <c r="P124" s="192">
        <f t="shared" si="16"/>
        <v>20.212316666666666</v>
      </c>
      <c r="Q124" s="192">
        <f t="shared" si="16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7">1.1*C114</f>
        <v>30.089169143349103</v>
      </c>
      <c r="D125" s="192">
        <f t="shared" si="17"/>
        <v>29.344101317577124</v>
      </c>
      <c r="E125" s="192">
        <f t="shared" si="17"/>
        <v>28.599033491805152</v>
      </c>
      <c r="F125" s="192">
        <f t="shared" si="17"/>
        <v>26.363830014489228</v>
      </c>
      <c r="G125" s="192">
        <f t="shared" si="17"/>
        <v>24.873694362945287</v>
      </c>
      <c r="H125" s="192">
        <f t="shared" si="17"/>
        <v>20.212316666666666</v>
      </c>
      <c r="I125" s="192">
        <f t="shared" si="17"/>
        <v>23.383558711401335</v>
      </c>
      <c r="J125" s="192">
        <f t="shared" si="17"/>
        <v>20.403287408313439</v>
      </c>
      <c r="K125" s="192">
        <f t="shared" si="17"/>
        <v>20.212316666666666</v>
      </c>
      <c r="L125" s="192">
        <f t="shared" si="17"/>
        <v>20.212316666666666</v>
      </c>
      <c r="M125" s="192">
        <f t="shared" si="17"/>
        <v>20.212316666666666</v>
      </c>
      <c r="N125" s="192">
        <f t="shared" si="17"/>
        <v>20.212316666666666</v>
      </c>
      <c r="O125" s="192">
        <f t="shared" si="17"/>
        <v>20.212316666666666</v>
      </c>
      <c r="P125" s="192">
        <f t="shared" si="17"/>
        <v>20.212316666666666</v>
      </c>
      <c r="Q125" s="192">
        <f t="shared" si="17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8">1.1*C115</f>
        <v>42.308281486009456</v>
      </c>
      <c r="D126" s="192">
        <f t="shared" si="18"/>
        <v>41.861240790546276</v>
      </c>
      <c r="E126" s="192">
        <f t="shared" si="18"/>
        <v>41.414200095083096</v>
      </c>
      <c r="F126" s="192">
        <f t="shared" si="18"/>
        <v>40.073078008693543</v>
      </c>
      <c r="G126" s="192">
        <f t="shared" si="18"/>
        <v>39.178996617767176</v>
      </c>
      <c r="H126" s="192">
        <f t="shared" si="18"/>
        <v>33.814508272208968</v>
      </c>
      <c r="I126" s="192">
        <f t="shared" si="18"/>
        <v>38.284915226840809</v>
      </c>
      <c r="J126" s="192">
        <f t="shared" si="18"/>
        <v>36.496752444988068</v>
      </c>
      <c r="K126" s="192">
        <f t="shared" si="18"/>
        <v>36.049711749524874</v>
      </c>
      <c r="L126" s="192">
        <f t="shared" si="18"/>
        <v>33.814508272208968</v>
      </c>
      <c r="M126" s="192">
        <f t="shared" si="18"/>
        <v>35.602671054061695</v>
      </c>
      <c r="N126" s="192">
        <f t="shared" si="18"/>
        <v>33.367467576745788</v>
      </c>
      <c r="O126" s="192">
        <f t="shared" si="18"/>
        <v>32.473386185819415</v>
      </c>
      <c r="P126" s="192">
        <f t="shared" si="18"/>
        <v>29.344101317577127</v>
      </c>
      <c r="Q126" s="192">
        <f t="shared" si="18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9">1.1*C116</f>
        <v>51.472615743004731</v>
      </c>
      <c r="D127" s="192">
        <f t="shared" si="19"/>
        <v>51.249095395273137</v>
      </c>
      <c r="E127" s="192">
        <f t="shared" si="19"/>
        <v>51.025575047541551</v>
      </c>
      <c r="F127" s="192">
        <f t="shared" si="19"/>
        <v>50.355014004346771</v>
      </c>
      <c r="G127" s="192">
        <f t="shared" si="19"/>
        <v>49.907973308883591</v>
      </c>
      <c r="H127" s="192">
        <f t="shared" si="19"/>
        <v>47.225729136104484</v>
      </c>
      <c r="I127" s="192">
        <f t="shared" si="19"/>
        <v>49.460932613420404</v>
      </c>
      <c r="J127" s="192">
        <f t="shared" si="19"/>
        <v>48.566851222494037</v>
      </c>
      <c r="K127" s="192">
        <f t="shared" si="19"/>
        <v>48.343330874762437</v>
      </c>
      <c r="L127" s="192">
        <f t="shared" si="19"/>
        <v>47.225729136104484</v>
      </c>
      <c r="M127" s="192">
        <f t="shared" si="19"/>
        <v>48.11981052703085</v>
      </c>
      <c r="N127" s="192">
        <f t="shared" si="19"/>
        <v>47.00220878837289</v>
      </c>
      <c r="O127" s="192">
        <f t="shared" si="19"/>
        <v>46.555168092909703</v>
      </c>
      <c r="P127" s="192">
        <f t="shared" si="19"/>
        <v>44.99052565878857</v>
      </c>
      <c r="Q127" s="192">
        <f t="shared" si="19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20">1.1*C117</f>
        <v>56.971216297201899</v>
      </c>
      <c r="D128" s="192">
        <f t="shared" si="20"/>
        <v>56.881808158109258</v>
      </c>
      <c r="E128" s="192">
        <f t="shared" si="20"/>
        <v>56.792400019016618</v>
      </c>
      <c r="F128" s="192">
        <f t="shared" si="20"/>
        <v>56.524175601738712</v>
      </c>
      <c r="G128" s="192">
        <f t="shared" si="20"/>
        <v>56.345359323553438</v>
      </c>
      <c r="H128" s="192">
        <f t="shared" si="20"/>
        <v>55.272461654441798</v>
      </c>
      <c r="I128" s="192">
        <f t="shared" si="20"/>
        <v>56.166543045368165</v>
      </c>
      <c r="J128" s="192">
        <f t="shared" si="20"/>
        <v>55.808910488997611</v>
      </c>
      <c r="K128" s="192">
        <f t="shared" si="20"/>
        <v>55.719502349904978</v>
      </c>
      <c r="L128" s="192">
        <f t="shared" si="20"/>
        <v>55.272461654441798</v>
      </c>
      <c r="M128" s="192">
        <f t="shared" si="20"/>
        <v>55.630094210812338</v>
      </c>
      <c r="N128" s="192">
        <f t="shared" si="20"/>
        <v>55.183053515349158</v>
      </c>
      <c r="O128" s="192">
        <f t="shared" si="20"/>
        <v>55.004237237163885</v>
      </c>
      <c r="P128" s="192">
        <f t="shared" si="20"/>
        <v>54.378380263515432</v>
      </c>
      <c r="Q128" s="192">
        <f t="shared" si="20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777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778</v>
      </c>
      <c r="B131" s="282"/>
      <c r="C131" s="280" t="s">
        <v>565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770</v>
      </c>
      <c r="B132" s="282"/>
      <c r="C132" s="280" t="s">
        <v>627</v>
      </c>
      <c r="D132" s="280" t="s">
        <v>576</v>
      </c>
      <c r="E132" s="280" t="s">
        <v>577</v>
      </c>
      <c r="F132" s="280" t="s">
        <v>578</v>
      </c>
      <c r="G132" s="280" t="s">
        <v>579</v>
      </c>
      <c r="H132" s="280" t="s">
        <v>580</v>
      </c>
      <c r="I132" s="280" t="s">
        <v>581</v>
      </c>
      <c r="J132" s="280" t="s">
        <v>582</v>
      </c>
      <c r="K132" s="280" t="s">
        <v>583</v>
      </c>
      <c r="L132" s="280" t="s">
        <v>584</v>
      </c>
      <c r="M132" s="280" t="s">
        <v>585</v>
      </c>
      <c r="N132" s="280" t="s">
        <v>586</v>
      </c>
      <c r="O132" s="280" t="s">
        <v>587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0.77770722590935659</v>
      </c>
      <c r="C133" s="282">
        <f>C112*0.4361</f>
        <v>8.0132648166666662</v>
      </c>
      <c r="D133" s="282">
        <f t="shared" ref="D133:Q133" si="21">D112*0.4361</f>
        <v>8.0132648166666662</v>
      </c>
      <c r="E133" s="282">
        <f t="shared" si="21"/>
        <v>8.0132648166666662</v>
      </c>
      <c r="F133" s="282">
        <f t="shared" si="21"/>
        <v>8.0132648166666662</v>
      </c>
      <c r="G133" s="282">
        <f t="shared" si="21"/>
        <v>8.0132648166666662</v>
      </c>
      <c r="H133" s="282">
        <f t="shared" si="21"/>
        <v>8.0132648166666662</v>
      </c>
      <c r="I133" s="282">
        <f t="shared" si="21"/>
        <v>8.0132648166666662</v>
      </c>
      <c r="J133" s="282">
        <f t="shared" si="21"/>
        <v>8.0132648166666662</v>
      </c>
      <c r="K133" s="282">
        <f t="shared" si="21"/>
        <v>8.0132648166666662</v>
      </c>
      <c r="L133" s="282">
        <f t="shared" si="21"/>
        <v>8.0132648166666662</v>
      </c>
      <c r="M133" s="282">
        <f t="shared" si="21"/>
        <v>8.0132648166666662</v>
      </c>
      <c r="N133" s="282">
        <f t="shared" si="21"/>
        <v>8.0132648166666662</v>
      </c>
      <c r="O133" s="282">
        <f t="shared" si="21"/>
        <v>8.0132648166666662</v>
      </c>
      <c r="P133" s="282">
        <f t="shared" si="21"/>
        <v>8.0132648166666662</v>
      </c>
      <c r="Q133" s="282">
        <f t="shared" si="21"/>
        <v>8.0132648166666662</v>
      </c>
    </row>
    <row r="134" spans="1:17" ht="15" customHeight="1">
      <c r="A134" s="280">
        <v>7</v>
      </c>
      <c r="B134" s="282">
        <f>Leakage!AF61</f>
        <v>0.54439505813654954</v>
      </c>
      <c r="C134" s="282">
        <f t="shared" ref="C134:Q134" si="22">C113*0.4361</f>
        <v>8.0132648166666662</v>
      </c>
      <c r="D134" s="282">
        <f t="shared" si="22"/>
        <v>8.0132648166666662</v>
      </c>
      <c r="E134" s="282">
        <f t="shared" si="22"/>
        <v>8.0132648166666662</v>
      </c>
      <c r="F134" s="282">
        <f t="shared" si="22"/>
        <v>8.0132648166666662</v>
      </c>
      <c r="G134" s="282">
        <f t="shared" si="22"/>
        <v>8.0132648166666662</v>
      </c>
      <c r="H134" s="282">
        <f t="shared" si="22"/>
        <v>8.0132648166666662</v>
      </c>
      <c r="I134" s="282">
        <f t="shared" si="22"/>
        <v>8.0132648166666662</v>
      </c>
      <c r="J134" s="282">
        <f t="shared" si="22"/>
        <v>8.0132648166666662</v>
      </c>
      <c r="K134" s="282">
        <f t="shared" si="22"/>
        <v>8.0132648166666662</v>
      </c>
      <c r="L134" s="282">
        <f t="shared" si="22"/>
        <v>8.0132648166666662</v>
      </c>
      <c r="M134" s="282">
        <f t="shared" si="22"/>
        <v>8.0132648166666662</v>
      </c>
      <c r="N134" s="282">
        <f t="shared" si="22"/>
        <v>8.0132648166666662</v>
      </c>
      <c r="O134" s="282">
        <f t="shared" si="22"/>
        <v>8.0132648166666662</v>
      </c>
      <c r="P134" s="282">
        <f t="shared" si="22"/>
        <v>8.0132648166666662</v>
      </c>
      <c r="Q134" s="282">
        <f t="shared" si="22"/>
        <v>8.0132648166666662</v>
      </c>
    </row>
    <row r="135" spans="1:17" ht="15" customHeight="1">
      <c r="A135" s="280">
        <v>5</v>
      </c>
      <c r="B135" s="282">
        <f>Leakage!AF62</f>
        <v>0.3888536129546783</v>
      </c>
      <c r="C135" s="282">
        <f t="shared" ref="C135:Q135" si="23">C114*0.4361</f>
        <v>11.928987875831401</v>
      </c>
      <c r="D135" s="282">
        <f t="shared" si="23"/>
        <v>11.633602349632165</v>
      </c>
      <c r="E135" s="282">
        <f t="shared" si="23"/>
        <v>11.338216823432932</v>
      </c>
      <c r="F135" s="282">
        <f t="shared" si="23"/>
        <v>10.452060244835229</v>
      </c>
      <c r="G135" s="282">
        <f t="shared" si="23"/>
        <v>9.8612891924367609</v>
      </c>
      <c r="H135" s="282">
        <f t="shared" si="23"/>
        <v>8.0132648166666662</v>
      </c>
      <c r="I135" s="282">
        <f t="shared" si="23"/>
        <v>9.2705181400382912</v>
      </c>
      <c r="J135" s="282">
        <f t="shared" si="23"/>
        <v>8.0889760352413553</v>
      </c>
      <c r="K135" s="282">
        <f t="shared" si="23"/>
        <v>8.0132648166666662</v>
      </c>
      <c r="L135" s="282">
        <f t="shared" si="23"/>
        <v>8.0132648166666662</v>
      </c>
      <c r="M135" s="282">
        <f t="shared" si="23"/>
        <v>8.0132648166666662</v>
      </c>
      <c r="N135" s="282">
        <f t="shared" si="23"/>
        <v>8.0132648166666662</v>
      </c>
      <c r="O135" s="282">
        <f t="shared" si="23"/>
        <v>8.0132648166666662</v>
      </c>
      <c r="P135" s="282">
        <f t="shared" si="23"/>
        <v>8.0132648166666662</v>
      </c>
      <c r="Q135" s="282">
        <f t="shared" si="23"/>
        <v>8.0132648166666662</v>
      </c>
    </row>
    <row r="136" spans="1:17" ht="15" customHeight="1">
      <c r="A136" s="280">
        <v>3</v>
      </c>
      <c r="B136" s="282">
        <f>Leakage!AF63</f>
        <v>0.23331216777280694</v>
      </c>
      <c r="C136" s="282">
        <f t="shared" ref="C136:Q136" si="24">C115*0.4361</f>
        <v>16.773310505498838</v>
      </c>
      <c r="D136" s="282">
        <f t="shared" si="24"/>
        <v>16.596079189779299</v>
      </c>
      <c r="E136" s="282">
        <f t="shared" si="24"/>
        <v>16.418847874059761</v>
      </c>
      <c r="F136" s="282">
        <f t="shared" si="24"/>
        <v>15.887153926901139</v>
      </c>
      <c r="G136" s="282">
        <f t="shared" si="24"/>
        <v>15.532691295462056</v>
      </c>
      <c r="H136" s="282">
        <f t="shared" si="24"/>
        <v>13.40591550682757</v>
      </c>
      <c r="I136" s="282">
        <f t="shared" si="24"/>
        <v>15.178228664022976</v>
      </c>
      <c r="J136" s="282">
        <f t="shared" si="24"/>
        <v>14.469303401144815</v>
      </c>
      <c r="K136" s="282">
        <f t="shared" si="24"/>
        <v>14.29207208542527</v>
      </c>
      <c r="L136" s="282">
        <f t="shared" si="24"/>
        <v>13.40591550682757</v>
      </c>
      <c r="M136" s="282">
        <f t="shared" si="24"/>
        <v>14.114840769705731</v>
      </c>
      <c r="N136" s="282">
        <f t="shared" si="24"/>
        <v>13.228684191108032</v>
      </c>
      <c r="O136" s="282">
        <f t="shared" si="24"/>
        <v>12.87422155966895</v>
      </c>
      <c r="P136" s="282">
        <f t="shared" si="24"/>
        <v>11.633602349632167</v>
      </c>
      <c r="Q136" s="282">
        <f t="shared" si="24"/>
        <v>11.633602349632167</v>
      </c>
    </row>
    <row r="137" spans="1:17" ht="15" customHeight="1">
      <c r="A137" s="280">
        <v>1.5</v>
      </c>
      <c r="B137" s="282">
        <f>Leakage!AF64</f>
        <v>0.11665608388640347</v>
      </c>
      <c r="C137" s="282">
        <f t="shared" ref="C137:Q137" si="25">C116*0.4361</f>
        <v>20.406552477749418</v>
      </c>
      <c r="D137" s="282">
        <f t="shared" si="25"/>
        <v>20.317936819889649</v>
      </c>
      <c r="E137" s="282">
        <f t="shared" si="25"/>
        <v>20.22932116202988</v>
      </c>
      <c r="F137" s="282">
        <f t="shared" si="25"/>
        <v>19.963474188450569</v>
      </c>
      <c r="G137" s="282">
        <f t="shared" si="25"/>
        <v>19.78624287273103</v>
      </c>
      <c r="H137" s="282">
        <f t="shared" si="25"/>
        <v>18.722854978413785</v>
      </c>
      <c r="I137" s="282">
        <f t="shared" si="25"/>
        <v>19.609011557011488</v>
      </c>
      <c r="J137" s="282">
        <f t="shared" si="25"/>
        <v>19.254548925572408</v>
      </c>
      <c r="K137" s="282">
        <f t="shared" si="25"/>
        <v>19.165933267712635</v>
      </c>
      <c r="L137" s="282">
        <f t="shared" si="25"/>
        <v>18.722854978413785</v>
      </c>
      <c r="M137" s="282">
        <f t="shared" si="25"/>
        <v>19.077317609852866</v>
      </c>
      <c r="N137" s="282">
        <f t="shared" si="25"/>
        <v>18.634239320554013</v>
      </c>
      <c r="O137" s="282">
        <f t="shared" si="25"/>
        <v>18.457008004834474</v>
      </c>
      <c r="P137" s="282">
        <f t="shared" si="25"/>
        <v>17.836698399816083</v>
      </c>
      <c r="Q137" s="282">
        <f t="shared" si="25"/>
        <v>17.836698399816083</v>
      </c>
    </row>
    <row r="138" spans="1:17" ht="15" customHeight="1">
      <c r="A138" s="280">
        <v>0.6</v>
      </c>
      <c r="B138" s="282">
        <f>Leakage!AF65</f>
        <v>4.66624335545614E-2</v>
      </c>
      <c r="C138" s="282">
        <f t="shared" ref="C138:Q138" si="26">C117*0.4361</f>
        <v>22.586497661099767</v>
      </c>
      <c r="D138" s="282">
        <f t="shared" si="26"/>
        <v>22.55105139795586</v>
      </c>
      <c r="E138" s="282">
        <f t="shared" si="26"/>
        <v>22.515605134811949</v>
      </c>
      <c r="F138" s="282">
        <f t="shared" si="26"/>
        <v>22.409266345380225</v>
      </c>
      <c r="G138" s="282">
        <f t="shared" si="26"/>
        <v>22.338373819092411</v>
      </c>
      <c r="H138" s="282">
        <f t="shared" si="26"/>
        <v>21.913018661365513</v>
      </c>
      <c r="I138" s="282">
        <f t="shared" si="26"/>
        <v>22.267481292804593</v>
      </c>
      <c r="J138" s="282">
        <f t="shared" si="26"/>
        <v>22.125696240228962</v>
      </c>
      <c r="K138" s="282">
        <f t="shared" si="26"/>
        <v>22.090249977085051</v>
      </c>
      <c r="L138" s="282">
        <f t="shared" si="26"/>
        <v>21.913018661365513</v>
      </c>
      <c r="M138" s="282">
        <f t="shared" si="26"/>
        <v>22.054803713941144</v>
      </c>
      <c r="N138" s="282">
        <f t="shared" si="26"/>
        <v>21.877572398221606</v>
      </c>
      <c r="O138" s="282">
        <f t="shared" si="26"/>
        <v>21.806679871933788</v>
      </c>
      <c r="P138" s="282">
        <f t="shared" si="26"/>
        <v>21.558556029926432</v>
      </c>
      <c r="Q138" s="282">
        <f t="shared" si="26"/>
        <v>21.558556029926432</v>
      </c>
    </row>
    <row r="139" spans="1:17" ht="15" customHeight="1">
      <c r="A139" s="280" t="s">
        <v>781</v>
      </c>
      <c r="B139" s="282" t="s">
        <v>645</v>
      </c>
      <c r="C139" s="282">
        <f t="shared" ref="C139:Q139" si="27">C118*0.4361</f>
        <v>24.039794449999999</v>
      </c>
      <c r="D139" s="282">
        <f t="shared" si="27"/>
        <v>24.039794449999999</v>
      </c>
      <c r="E139" s="282">
        <f t="shared" si="27"/>
        <v>24.039794449999999</v>
      </c>
      <c r="F139" s="282">
        <f t="shared" si="27"/>
        <v>24.039794449999999</v>
      </c>
      <c r="G139" s="282">
        <f t="shared" si="27"/>
        <v>24.039794449999999</v>
      </c>
      <c r="H139" s="282">
        <f t="shared" si="27"/>
        <v>24.039794449999999</v>
      </c>
      <c r="I139" s="282">
        <f t="shared" si="27"/>
        <v>24.039794449999999</v>
      </c>
      <c r="J139" s="282">
        <f t="shared" si="27"/>
        <v>24.039794449999999</v>
      </c>
      <c r="K139" s="282">
        <f t="shared" si="27"/>
        <v>24.039794449999999</v>
      </c>
      <c r="L139" s="282">
        <f t="shared" si="27"/>
        <v>24.039794449999999</v>
      </c>
      <c r="M139" s="282">
        <f t="shared" si="27"/>
        <v>24.039794449999999</v>
      </c>
      <c r="N139" s="282">
        <f t="shared" si="27"/>
        <v>24.039794449999999</v>
      </c>
      <c r="O139" s="282">
        <f t="shared" si="27"/>
        <v>24.039794449999999</v>
      </c>
      <c r="P139" s="282">
        <f t="shared" si="27"/>
        <v>24.039794449999999</v>
      </c>
      <c r="Q139" s="282">
        <f t="shared" si="27"/>
        <v>24.039794449999999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783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778</v>
      </c>
      <c r="B143" s="192"/>
      <c r="C143" s="64" t="s">
        <v>565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770</v>
      </c>
      <c r="B144" s="192"/>
      <c r="C144" s="64" t="s">
        <v>627</v>
      </c>
      <c r="D144" s="64" t="s">
        <v>576</v>
      </c>
      <c r="E144" s="64" t="s">
        <v>577</v>
      </c>
      <c r="F144" s="64" t="s">
        <v>578</v>
      </c>
      <c r="G144" s="64" t="s">
        <v>579</v>
      </c>
      <c r="H144" s="64" t="s">
        <v>580</v>
      </c>
      <c r="I144" s="64" t="s">
        <v>581</v>
      </c>
      <c r="J144" s="64" t="s">
        <v>582</v>
      </c>
      <c r="K144" s="64" t="s">
        <v>583</v>
      </c>
      <c r="L144" s="64" t="s">
        <v>584</v>
      </c>
      <c r="M144" s="64" t="s">
        <v>585</v>
      </c>
      <c r="N144" s="64" t="s">
        <v>586</v>
      </c>
      <c r="O144" s="64" t="s">
        <v>587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8">D133*1.1</f>
        <v>8.8145912983333332</v>
      </c>
      <c r="E145" s="192">
        <f t="shared" si="28"/>
        <v>8.8145912983333332</v>
      </c>
      <c r="F145" s="192">
        <f t="shared" si="28"/>
        <v>8.8145912983333332</v>
      </c>
      <c r="G145" s="192">
        <f t="shared" si="28"/>
        <v>8.8145912983333332</v>
      </c>
      <c r="H145" s="192">
        <f t="shared" si="28"/>
        <v>8.8145912983333332</v>
      </c>
      <c r="I145" s="192">
        <f t="shared" si="28"/>
        <v>8.8145912983333332</v>
      </c>
      <c r="J145" s="192">
        <f t="shared" si="28"/>
        <v>8.8145912983333332</v>
      </c>
      <c r="K145" s="192">
        <f t="shared" si="28"/>
        <v>8.8145912983333332</v>
      </c>
      <c r="L145" s="192">
        <f t="shared" si="28"/>
        <v>8.8145912983333332</v>
      </c>
      <c r="M145" s="192">
        <f t="shared" si="28"/>
        <v>8.8145912983333332</v>
      </c>
      <c r="N145" s="192">
        <f t="shared" si="28"/>
        <v>8.8145912983333332</v>
      </c>
      <c r="O145" s="192">
        <f t="shared" si="28"/>
        <v>8.8145912983333332</v>
      </c>
      <c r="P145" s="192">
        <f t="shared" si="28"/>
        <v>8.8145912983333332</v>
      </c>
      <c r="Q145" s="192">
        <f t="shared" si="28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9">C134*1.1</f>
        <v>8.8145912983333332</v>
      </c>
      <c r="D146" s="192">
        <f t="shared" si="29"/>
        <v>8.8145912983333332</v>
      </c>
      <c r="E146" s="192">
        <f t="shared" si="29"/>
        <v>8.8145912983333332</v>
      </c>
      <c r="F146" s="192">
        <f t="shared" si="29"/>
        <v>8.8145912983333332</v>
      </c>
      <c r="G146" s="192">
        <f t="shared" si="29"/>
        <v>8.8145912983333332</v>
      </c>
      <c r="H146" s="192">
        <f t="shared" si="29"/>
        <v>8.8145912983333332</v>
      </c>
      <c r="I146" s="192">
        <f t="shared" si="29"/>
        <v>8.8145912983333332</v>
      </c>
      <c r="J146" s="192">
        <f t="shared" si="29"/>
        <v>8.8145912983333332</v>
      </c>
      <c r="K146" s="192">
        <f t="shared" si="29"/>
        <v>8.8145912983333332</v>
      </c>
      <c r="L146" s="192">
        <f t="shared" si="29"/>
        <v>8.8145912983333332</v>
      </c>
      <c r="M146" s="192">
        <f t="shared" si="29"/>
        <v>8.8145912983333332</v>
      </c>
      <c r="N146" s="192">
        <f t="shared" si="29"/>
        <v>8.8145912983333332</v>
      </c>
      <c r="O146" s="192">
        <f t="shared" si="29"/>
        <v>8.8145912983333332</v>
      </c>
      <c r="P146" s="192">
        <f t="shared" si="29"/>
        <v>8.8145912983333332</v>
      </c>
      <c r="Q146" s="192">
        <f t="shared" si="29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30">C135*1.1</f>
        <v>13.121886663414543</v>
      </c>
      <c r="D147" s="192">
        <f t="shared" si="30"/>
        <v>12.796962584595382</v>
      </c>
      <c r="E147" s="192">
        <f t="shared" si="30"/>
        <v>12.472038505776226</v>
      </c>
      <c r="F147" s="192">
        <f t="shared" si="30"/>
        <v>11.497266269318752</v>
      </c>
      <c r="G147" s="192">
        <f t="shared" si="30"/>
        <v>10.847418111680438</v>
      </c>
      <c r="H147" s="192">
        <f t="shared" si="30"/>
        <v>8.8145912983333332</v>
      </c>
      <c r="I147" s="192">
        <f t="shared" si="30"/>
        <v>10.197569954042121</v>
      </c>
      <c r="J147" s="192">
        <f t="shared" si="30"/>
        <v>8.8978736387654909</v>
      </c>
      <c r="K147" s="192">
        <f t="shared" si="30"/>
        <v>8.8145912983333332</v>
      </c>
      <c r="L147" s="192">
        <f t="shared" si="30"/>
        <v>8.8145912983333332</v>
      </c>
      <c r="M147" s="192">
        <f t="shared" si="30"/>
        <v>8.8145912983333332</v>
      </c>
      <c r="N147" s="192">
        <f t="shared" si="30"/>
        <v>8.8145912983333332</v>
      </c>
      <c r="O147" s="192">
        <f t="shared" si="30"/>
        <v>8.8145912983333332</v>
      </c>
      <c r="P147" s="192">
        <f t="shared" si="30"/>
        <v>8.8145912983333332</v>
      </c>
      <c r="Q147" s="192">
        <f t="shared" si="30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1">C136*1.1</f>
        <v>18.450641556048723</v>
      </c>
      <c r="D148" s="192">
        <f t="shared" si="31"/>
        <v>18.255687108757233</v>
      </c>
      <c r="E148" s="192">
        <f t="shared" si="31"/>
        <v>18.060732661465739</v>
      </c>
      <c r="F148" s="192">
        <f t="shared" si="31"/>
        <v>17.475869319591254</v>
      </c>
      <c r="G148" s="192">
        <f t="shared" si="31"/>
        <v>17.085960425008263</v>
      </c>
      <c r="H148" s="192">
        <f t="shared" si="31"/>
        <v>14.746507057510328</v>
      </c>
      <c r="I148" s="192">
        <f t="shared" si="31"/>
        <v>16.696051530425276</v>
      </c>
      <c r="J148" s="192">
        <f t="shared" si="31"/>
        <v>15.916233741259298</v>
      </c>
      <c r="K148" s="192">
        <f t="shared" si="31"/>
        <v>15.721279293967799</v>
      </c>
      <c r="L148" s="192">
        <f t="shared" si="31"/>
        <v>14.746507057510328</v>
      </c>
      <c r="M148" s="192">
        <f t="shared" si="31"/>
        <v>15.526324846676305</v>
      </c>
      <c r="N148" s="192">
        <f t="shared" si="31"/>
        <v>14.551552610218836</v>
      </c>
      <c r="O148" s="192">
        <f t="shared" si="31"/>
        <v>14.161643715635845</v>
      </c>
      <c r="P148" s="192">
        <f t="shared" si="31"/>
        <v>12.796962584595384</v>
      </c>
      <c r="Q148" s="192">
        <f t="shared" si="31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2">C137*1.1</f>
        <v>22.447207725524361</v>
      </c>
      <c r="D149" s="192">
        <f t="shared" si="32"/>
        <v>22.349730501878614</v>
      </c>
      <c r="E149" s="192">
        <f t="shared" si="32"/>
        <v>22.252253278232871</v>
      </c>
      <c r="F149" s="192">
        <f t="shared" si="32"/>
        <v>21.959821607295627</v>
      </c>
      <c r="G149" s="192">
        <f t="shared" si="32"/>
        <v>21.764867160004133</v>
      </c>
      <c r="H149" s="192">
        <f t="shared" si="32"/>
        <v>20.595140476255164</v>
      </c>
      <c r="I149" s="192">
        <f t="shared" si="32"/>
        <v>21.56991271271264</v>
      </c>
      <c r="J149" s="192">
        <f t="shared" si="32"/>
        <v>21.180003818129649</v>
      </c>
      <c r="K149" s="192">
        <f t="shared" si="32"/>
        <v>21.082526594483902</v>
      </c>
      <c r="L149" s="192">
        <f t="shared" si="32"/>
        <v>20.595140476255164</v>
      </c>
      <c r="M149" s="192">
        <f t="shared" si="32"/>
        <v>20.985049370838155</v>
      </c>
      <c r="N149" s="192">
        <f t="shared" si="32"/>
        <v>20.497663252609417</v>
      </c>
      <c r="O149" s="192">
        <f t="shared" si="32"/>
        <v>20.302708805317923</v>
      </c>
      <c r="P149" s="192">
        <f t="shared" si="32"/>
        <v>19.620368239797692</v>
      </c>
      <c r="Q149" s="192">
        <f t="shared" si="32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3">C138*1.1</f>
        <v>24.845147427209746</v>
      </c>
      <c r="D150" s="192">
        <f t="shared" si="33"/>
        <v>24.806156537751448</v>
      </c>
      <c r="E150" s="192">
        <f t="shared" si="33"/>
        <v>24.767165648293147</v>
      </c>
      <c r="F150" s="192">
        <f t="shared" si="33"/>
        <v>24.650192979918248</v>
      </c>
      <c r="G150" s="192">
        <f t="shared" si="33"/>
        <v>24.572211201001654</v>
      </c>
      <c r="H150" s="192">
        <f t="shared" si="33"/>
        <v>24.104320527502065</v>
      </c>
      <c r="I150" s="192">
        <f t="shared" si="33"/>
        <v>24.494229422085056</v>
      </c>
      <c r="J150" s="192">
        <f t="shared" si="33"/>
        <v>24.338265864251859</v>
      </c>
      <c r="K150" s="192">
        <f t="shared" si="33"/>
        <v>24.299274974793558</v>
      </c>
      <c r="L150" s="192">
        <f t="shared" si="33"/>
        <v>24.104320527502065</v>
      </c>
      <c r="M150" s="192">
        <f t="shared" si="33"/>
        <v>24.260284085335261</v>
      </c>
      <c r="N150" s="192">
        <f t="shared" si="33"/>
        <v>24.065329638043767</v>
      </c>
      <c r="O150" s="192">
        <f t="shared" si="33"/>
        <v>23.987347859127169</v>
      </c>
      <c r="P150" s="192">
        <f t="shared" si="33"/>
        <v>23.714411632919077</v>
      </c>
      <c r="Q150" s="192">
        <f t="shared" si="33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317</v>
      </c>
      <c r="B1" s="4"/>
      <c r="C1" s="4"/>
      <c r="D1" s="4"/>
      <c r="E1" s="4"/>
      <c r="G1" s="5" t="s">
        <v>518</v>
      </c>
      <c r="O1" s="550" t="s">
        <v>505</v>
      </c>
      <c r="P1" s="141" t="s">
        <v>524</v>
      </c>
      <c r="Q1" s="141" t="s">
        <v>526</v>
      </c>
      <c r="R1" s="136" t="s">
        <v>527</v>
      </c>
    </row>
    <row r="2" spans="1:19" ht="15" customHeight="1">
      <c r="A2" s="11" t="s">
        <v>480</v>
      </c>
      <c r="G2" s="52" t="s">
        <v>517</v>
      </c>
      <c r="O2" s="551"/>
      <c r="P2" s="142" t="s">
        <v>525</v>
      </c>
      <c r="Q2" s="142" t="s">
        <v>525</v>
      </c>
      <c r="R2" s="140" t="s">
        <v>528</v>
      </c>
    </row>
    <row r="3" spans="1:19" ht="15" customHeight="1">
      <c r="G3" s="5" t="s">
        <v>519</v>
      </c>
      <c r="O3" s="138">
        <v>2</v>
      </c>
      <c r="P3" s="143">
        <v>7.8</v>
      </c>
      <c r="Q3" s="143">
        <v>3.2</v>
      </c>
      <c r="R3" s="137" t="s">
        <v>529</v>
      </c>
    </row>
    <row r="4" spans="1:19" ht="15" customHeight="1">
      <c r="A4" s="99" t="s">
        <v>425</v>
      </c>
      <c r="B4" s="100" t="s">
        <v>261</v>
      </c>
      <c r="C4" s="100" t="s">
        <v>125</v>
      </c>
      <c r="D4" s="100" t="s">
        <v>318</v>
      </c>
      <c r="E4" s="100" t="s">
        <v>125</v>
      </c>
      <c r="G4" s="5" t="s">
        <v>396</v>
      </c>
      <c r="O4" s="138">
        <v>3</v>
      </c>
      <c r="P4" s="143">
        <v>12.1</v>
      </c>
      <c r="Q4" s="143">
        <v>3.6</v>
      </c>
      <c r="R4" s="137" t="s">
        <v>530</v>
      </c>
    </row>
    <row r="5" spans="1:19" ht="15" customHeight="1">
      <c r="A5" s="76" t="s">
        <v>319</v>
      </c>
      <c r="B5" s="287">
        <f>SUM(A40:A43,A45,A47:A51)+SUM(B40:B41)*A_houseFT+SUM(C40:C43,C45,C47:C51)*Nbedrooms</f>
        <v>77188</v>
      </c>
      <c r="C5" s="5" t="s">
        <v>320</v>
      </c>
      <c r="D5" s="435">
        <f>B5/24/3412</f>
        <v>0.94260453302071112</v>
      </c>
      <c r="E5" s="5" t="s">
        <v>487</v>
      </c>
      <c r="O5" s="138">
        <v>4</v>
      </c>
      <c r="P5" s="143">
        <v>13.8</v>
      </c>
      <c r="Q5" s="143">
        <v>4</v>
      </c>
      <c r="R5" s="137" t="s">
        <v>531</v>
      </c>
    </row>
    <row r="6" spans="1:19" ht="15" customHeight="1">
      <c r="D6" s="265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532</v>
      </c>
    </row>
    <row r="7" spans="1:19" ht="15" customHeight="1">
      <c r="O7" s="135" t="s">
        <v>540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50" t="s">
        <v>533</v>
      </c>
      <c r="P9" s="552" t="s">
        <v>505</v>
      </c>
      <c r="Q9" s="141" t="s">
        <v>425</v>
      </c>
      <c r="R9" s="136" t="s">
        <v>535</v>
      </c>
      <c r="S9" s="136" t="s">
        <v>535</v>
      </c>
    </row>
    <row r="10" spans="1:19" ht="15" customHeight="1">
      <c r="A10" s="101" t="s">
        <v>426</v>
      </c>
      <c r="B10" s="102" t="s">
        <v>261</v>
      </c>
      <c r="C10" s="102" t="s">
        <v>125</v>
      </c>
      <c r="D10" s="102" t="s">
        <v>126</v>
      </c>
      <c r="E10" s="102" t="s">
        <v>125</v>
      </c>
      <c r="G10" s="5" t="s">
        <v>512</v>
      </c>
      <c r="O10" s="551"/>
      <c r="P10" s="553"/>
      <c r="Q10" s="142" t="s">
        <v>534</v>
      </c>
      <c r="R10" s="140" t="s">
        <v>525</v>
      </c>
      <c r="S10" s="140" t="s">
        <v>534</v>
      </c>
    </row>
    <row r="11" spans="1:19" ht="15" customHeight="1">
      <c r="A11" s="97" t="s">
        <v>319</v>
      </c>
      <c r="B11" s="63"/>
      <c r="C11" s="63"/>
      <c r="D11" s="63">
        <f>VLOOKUP(OccDensity,A29:F37,6,FALSE)</f>
        <v>6.5</v>
      </c>
      <c r="E11" s="63" t="s">
        <v>321</v>
      </c>
      <c r="G11" s="5" t="s">
        <v>506</v>
      </c>
      <c r="O11" s="138" t="s">
        <v>536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322</v>
      </c>
      <c r="G12" s="5" t="s">
        <v>507</v>
      </c>
      <c r="O12" s="138" t="s">
        <v>537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508</v>
      </c>
      <c r="O13" s="144" t="s">
        <v>538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509</v>
      </c>
      <c r="O14" s="134" t="s">
        <v>539</v>
      </c>
    </row>
    <row r="15" spans="1:19" ht="15" customHeight="1">
      <c r="A15" s="4" t="s">
        <v>481</v>
      </c>
      <c r="G15" s="5" t="s">
        <v>510</v>
      </c>
    </row>
    <row r="16" spans="1:19" ht="15" customHeight="1">
      <c r="A16" s="11" t="s">
        <v>482</v>
      </c>
      <c r="G16" s="5" t="s">
        <v>511</v>
      </c>
      <c r="Q16" s="254" t="s">
        <v>710</v>
      </c>
      <c r="R16" s="254" t="s">
        <v>711</v>
      </c>
      <c r="S16" s="254" t="s">
        <v>712</v>
      </c>
    </row>
    <row r="17" spans="1:18" ht="15" customHeight="1">
      <c r="P17" s="254" t="s">
        <v>320</v>
      </c>
      <c r="Q17" s="272">
        <v>43316</v>
      </c>
      <c r="R17" s="272">
        <v>4687</v>
      </c>
    </row>
    <row r="18" spans="1:18" ht="15" customHeight="1">
      <c r="A18" s="99" t="s">
        <v>483</v>
      </c>
      <c r="B18" s="74" t="s">
        <v>31</v>
      </c>
      <c r="C18" s="74" t="s">
        <v>487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484</v>
      </c>
      <c r="B19" s="12">
        <f>136+2.2*A_houseSI+22*B22</f>
        <v>775.82600000000002</v>
      </c>
      <c r="C19" s="14">
        <f>B19/1000</f>
        <v>0.77582600000000002</v>
      </c>
      <c r="Q19" s="254" t="s">
        <v>713</v>
      </c>
    </row>
    <row r="20" spans="1:18" ht="15" customHeight="1">
      <c r="A20" s="87" t="s">
        <v>485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997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996</v>
      </c>
      <c r="B23" s="332">
        <f>IF(HomeSize="Med",3,4)</f>
        <v>4</v>
      </c>
      <c r="F23" s="254"/>
      <c r="G23" s="254"/>
      <c r="H23" s="254"/>
    </row>
    <row r="24" spans="1:18" ht="15" customHeight="1">
      <c r="A24" s="245" t="s">
        <v>830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792</v>
      </c>
      <c r="B28" s="254" t="s">
        <v>798</v>
      </c>
      <c r="C28" s="254" t="s">
        <v>799</v>
      </c>
      <c r="D28" s="254" t="s">
        <v>796</v>
      </c>
      <c r="E28" s="254" t="s">
        <v>797</v>
      </c>
      <c r="F28" s="254" t="s">
        <v>426</v>
      </c>
      <c r="G28" s="254" t="s">
        <v>800</v>
      </c>
      <c r="H28" s="254" t="s">
        <v>810</v>
      </c>
      <c r="O28" s="254"/>
    </row>
    <row r="29" spans="1:18" ht="15" customHeight="1">
      <c r="A29" s="254" t="s">
        <v>794</v>
      </c>
      <c r="B29" s="254" t="s">
        <v>789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793</v>
      </c>
      <c r="B30" s="254" t="s">
        <v>789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795</v>
      </c>
      <c r="B31" s="254" t="s">
        <v>789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794</v>
      </c>
      <c r="B32" s="254" t="s">
        <v>793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793</v>
      </c>
      <c r="B33" s="254" t="s">
        <v>793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795</v>
      </c>
      <c r="B34" s="254" t="s">
        <v>793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794</v>
      </c>
      <c r="B35" s="254" t="s">
        <v>790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793</v>
      </c>
      <c r="B36" s="254" t="s">
        <v>790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795</v>
      </c>
      <c r="B37" s="254" t="s">
        <v>790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811</v>
      </c>
      <c r="B39" s="254" t="s">
        <v>812</v>
      </c>
      <c r="C39" s="254" t="s">
        <v>202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818</v>
      </c>
      <c r="E40" s="254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819</v>
      </c>
      <c r="E41" s="5" t="s">
        <v>878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820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821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822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823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824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825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826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827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828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486</v>
      </c>
    </row>
    <row r="54" spans="1:8" ht="15" customHeight="1">
      <c r="F54" s="5" t="s">
        <v>1351</v>
      </c>
      <c r="G54" s="5" t="s">
        <v>1352</v>
      </c>
    </row>
    <row r="55" spans="1:8" ht="15" customHeight="1">
      <c r="A55" s="5" t="s">
        <v>1341</v>
      </c>
      <c r="B55" s="5" t="s">
        <v>1338</v>
      </c>
      <c r="C55" s="5">
        <v>454</v>
      </c>
      <c r="D55" s="5">
        <v>37</v>
      </c>
      <c r="E55" s="5" t="s">
        <v>1337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1342</v>
      </c>
      <c r="B56" s="254" t="s">
        <v>1338</v>
      </c>
      <c r="C56" s="5">
        <v>0</v>
      </c>
      <c r="D56" s="5">
        <v>71</v>
      </c>
      <c r="E56" s="254" t="s">
        <v>1337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1343</v>
      </c>
      <c r="B57" s="254" t="s">
        <v>1338</v>
      </c>
      <c r="C57" s="5">
        <v>138</v>
      </c>
      <c r="D57" s="5">
        <v>16</v>
      </c>
      <c r="E57" s="254" t="s">
        <v>1337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1343</v>
      </c>
      <c r="B58" s="5" t="s">
        <v>1339</v>
      </c>
      <c r="C58" s="5">
        <v>6</v>
      </c>
      <c r="D58" s="5">
        <v>0.95</v>
      </c>
      <c r="E58" s="254" t="s">
        <v>1337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1343</v>
      </c>
      <c r="B59" s="5" t="s">
        <v>1339</v>
      </c>
      <c r="C59" s="5">
        <v>41</v>
      </c>
      <c r="D59" s="5">
        <v>4.79</v>
      </c>
      <c r="E59" s="254" t="s">
        <v>1337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1344</v>
      </c>
      <c r="B60" s="5" t="s">
        <v>1338</v>
      </c>
      <c r="C60" s="5">
        <v>84</v>
      </c>
      <c r="D60" s="5">
        <v>5.68</v>
      </c>
      <c r="E60" s="254" t="s">
        <v>1337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1344</v>
      </c>
      <c r="B61" s="5" t="s">
        <v>1339</v>
      </c>
      <c r="C61" s="5">
        <v>5</v>
      </c>
      <c r="D61" s="5">
        <v>0.3</v>
      </c>
      <c r="E61" s="254" t="s">
        <v>1337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1344</v>
      </c>
      <c r="B62" s="5" t="s">
        <v>1339</v>
      </c>
      <c r="C62" s="5">
        <v>0</v>
      </c>
      <c r="D62" s="5">
        <v>0</v>
      </c>
      <c r="E62" s="254" t="s">
        <v>1337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1345</v>
      </c>
      <c r="B63" s="254" t="s">
        <v>1338</v>
      </c>
      <c r="C63" s="5">
        <v>265</v>
      </c>
      <c r="D63" s="5">
        <v>31.8</v>
      </c>
      <c r="E63" s="254" t="s">
        <v>1337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1346</v>
      </c>
      <c r="B64" s="254" t="s">
        <v>1338</v>
      </c>
      <c r="C64" s="5">
        <v>76</v>
      </c>
      <c r="D64" s="5">
        <v>59.4</v>
      </c>
      <c r="E64" s="254" t="s">
        <v>1337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1347</v>
      </c>
      <c r="B65" s="254" t="s">
        <v>1338</v>
      </c>
      <c r="C65" s="5">
        <v>79</v>
      </c>
      <c r="D65" s="5">
        <v>55.4</v>
      </c>
      <c r="E65" s="254" t="s">
        <v>1337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818</v>
      </c>
      <c r="B66" s="254" t="s">
        <v>1338</v>
      </c>
      <c r="C66" s="5">
        <v>672</v>
      </c>
      <c r="D66" s="5">
        <v>235</v>
      </c>
      <c r="E66" s="254" t="s">
        <v>1337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1348</v>
      </c>
      <c r="B67" s="254" t="s">
        <v>1338</v>
      </c>
      <c r="C67" s="5">
        <v>100</v>
      </c>
      <c r="D67" s="5">
        <v>0.17749999999999999</v>
      </c>
      <c r="E67" s="5" t="s">
        <v>1340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1349</v>
      </c>
      <c r="B68" s="254" t="s">
        <v>1338</v>
      </c>
      <c r="C68" s="5">
        <v>8</v>
      </c>
      <c r="D68" s="5">
        <v>5.3199999999999997E-2</v>
      </c>
      <c r="E68" s="5" t="s">
        <v>1340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1350</v>
      </c>
      <c r="B69" s="254" t="s">
        <v>1338</v>
      </c>
      <c r="C69" s="5">
        <v>20</v>
      </c>
      <c r="D69" s="5">
        <v>6.3E-3</v>
      </c>
      <c r="E69" s="5" t="s">
        <v>1340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323</v>
      </c>
      <c r="G1" s="4"/>
    </row>
    <row r="2" spans="1:12" ht="15" customHeight="1">
      <c r="A2" s="127" t="s">
        <v>497</v>
      </c>
    </row>
    <row r="3" spans="1:12" ht="15" customHeight="1">
      <c r="A3" s="11" t="s">
        <v>324</v>
      </c>
    </row>
    <row r="4" spans="1:12" ht="15" customHeight="1">
      <c r="A4" s="11" t="s">
        <v>325</v>
      </c>
    </row>
    <row r="5" spans="1:12" ht="15" customHeight="1">
      <c r="A5" s="11" t="s">
        <v>326</v>
      </c>
    </row>
    <row r="6" spans="1:12" ht="15" customHeight="1">
      <c r="A6" s="11" t="s">
        <v>1111</v>
      </c>
    </row>
    <row r="7" spans="1:12" ht="15" customHeight="1">
      <c r="A7" s="11"/>
    </row>
    <row r="9" spans="1:12" ht="15" customHeight="1">
      <c r="A9" s="107"/>
      <c r="B9" s="100" t="s">
        <v>261</v>
      </c>
      <c r="C9" s="100" t="s">
        <v>125</v>
      </c>
      <c r="D9" s="100" t="s">
        <v>262</v>
      </c>
      <c r="E9" s="100" t="s">
        <v>125</v>
      </c>
      <c r="F9" s="100" t="s">
        <v>1</v>
      </c>
    </row>
    <row r="10" spans="1:12" ht="15" customHeight="1">
      <c r="A10" s="92" t="s">
        <v>1379</v>
      </c>
      <c r="B10" s="15"/>
      <c r="C10" s="1" t="s">
        <v>132</v>
      </c>
      <c r="D10" s="408">
        <f>A_ceilingSI/300</f>
        <v>0.44901666666666662</v>
      </c>
      <c r="E10" s="1" t="s">
        <v>133</v>
      </c>
      <c r="F10" s="11" t="s">
        <v>327</v>
      </c>
      <c r="G10" s="1" t="s">
        <v>715</v>
      </c>
      <c r="L10" s="1" t="s">
        <v>1377</v>
      </c>
    </row>
    <row r="11" spans="1:12" ht="15" customHeight="1">
      <c r="A11" s="109" t="s">
        <v>1380</v>
      </c>
      <c r="D11" s="22">
        <f>0.003*A_ceilingSI</f>
        <v>0.40411499999999995</v>
      </c>
      <c r="E11" s="1" t="s">
        <v>133</v>
      </c>
      <c r="F11" s="11" t="s">
        <v>1110</v>
      </c>
      <c r="L11" s="1" t="s">
        <v>1378</v>
      </c>
    </row>
    <row r="12" spans="1:12" ht="15" customHeight="1">
      <c r="A12" s="92" t="s">
        <v>328</v>
      </c>
      <c r="D12" s="1">
        <v>0.6</v>
      </c>
      <c r="F12" t="s">
        <v>1382</v>
      </c>
    </row>
    <row r="13" spans="1:12" ht="15" customHeight="1">
      <c r="A13" s="92" t="s">
        <v>1081</v>
      </c>
      <c r="D13" s="395">
        <v>0.65</v>
      </c>
      <c r="F13" s="245"/>
    </row>
    <row r="14" spans="1:12" ht="15" customHeight="1">
      <c r="A14" s="404" t="s">
        <v>329</v>
      </c>
      <c r="B14" s="405"/>
      <c r="C14" s="405"/>
      <c r="D14" s="406">
        <f>D11*D12/(SQRT(1.2/2)*4^(D13-0.5))</f>
        <v>0.25425622664367714</v>
      </c>
      <c r="E14" s="405" t="s">
        <v>1057</v>
      </c>
    </row>
    <row r="17" spans="1:7" ht="15" customHeight="1">
      <c r="A17" s="99" t="s">
        <v>330</v>
      </c>
      <c r="B17" s="108"/>
      <c r="C17" s="108"/>
      <c r="D17" s="108"/>
      <c r="E17" s="108"/>
      <c r="F17" s="1" t="s">
        <v>1</v>
      </c>
      <c r="G17" s="1" t="s">
        <v>1381</v>
      </c>
    </row>
    <row r="18" spans="1:7" ht="15" customHeight="1">
      <c r="A18" s="92" t="s">
        <v>73</v>
      </c>
      <c r="C18" s="2"/>
      <c r="D18" s="407">
        <f>(1-$D$22)*Geometry!D43</f>
        <v>0.2848101265822785</v>
      </c>
      <c r="E18" s="1" t="s">
        <v>11</v>
      </c>
      <c r="F18" s="5" t="s">
        <v>331</v>
      </c>
    </row>
    <row r="19" spans="1:7" ht="15" customHeight="1">
      <c r="A19" s="92" t="s">
        <v>332</v>
      </c>
      <c r="C19" s="2"/>
      <c r="D19" s="407">
        <f>(1-$D$22)*Geometry!D44</f>
        <v>0.2848101265822785</v>
      </c>
      <c r="E19" s="1" t="s">
        <v>11</v>
      </c>
      <c r="F19" s="5" t="s">
        <v>333</v>
      </c>
    </row>
    <row r="20" spans="1:7" ht="15" customHeight="1">
      <c r="A20" s="92" t="s">
        <v>334</v>
      </c>
      <c r="C20" s="2"/>
      <c r="D20" s="407">
        <f>(1-$D$22)*Geometry!D45</f>
        <v>0.16518987341772157</v>
      </c>
      <c r="E20" s="1" t="s">
        <v>11</v>
      </c>
      <c r="F20" s="5" t="s">
        <v>335</v>
      </c>
    </row>
    <row r="21" spans="1:7" ht="15" customHeight="1">
      <c r="A21" s="92" t="s">
        <v>336</v>
      </c>
      <c r="C21" s="2"/>
      <c r="D21" s="407">
        <f>(1-$D$22)*Geometry!D46</f>
        <v>0.16518987341772157</v>
      </c>
      <c r="E21" s="1" t="s">
        <v>11</v>
      </c>
      <c r="F21" s="5" t="s">
        <v>337</v>
      </c>
    </row>
    <row r="22" spans="1:7" ht="15" customHeight="1">
      <c r="A22" s="92" t="s">
        <v>338</v>
      </c>
      <c r="C22" s="2"/>
      <c r="D22" s="407">
        <v>0.1</v>
      </c>
      <c r="E22" s="1" t="s">
        <v>11</v>
      </c>
      <c r="F22" s="5" t="s">
        <v>339</v>
      </c>
    </row>
    <row r="23" spans="1:7" ht="15" customHeight="1">
      <c r="A23" s="92" t="s">
        <v>340</v>
      </c>
      <c r="D23" s="1">
        <f>SUM(D18:D22)</f>
        <v>1.0000000000000002</v>
      </c>
    </row>
    <row r="25" spans="1:7" ht="15" customHeight="1">
      <c r="A25" s="99" t="s">
        <v>504</v>
      </c>
      <c r="B25" s="100"/>
      <c r="C25" s="100"/>
    </row>
    <row r="26" spans="1:7" ht="15" customHeight="1">
      <c r="A26" s="92" t="s">
        <v>400</v>
      </c>
      <c r="B26" s="11"/>
      <c r="C26" s="15">
        <f>W_houseSI/2</f>
        <v>4.4195998585728047</v>
      </c>
    </row>
    <row r="27" spans="1:7" ht="15" customHeight="1">
      <c r="A27" s="92" t="s">
        <v>401</v>
      </c>
      <c r="C27" s="15">
        <f>L_houseSI</f>
        <v>15.239999512320015</v>
      </c>
    </row>
    <row r="28" spans="1:7" ht="15" customHeight="1">
      <c r="A28" s="92" t="s">
        <v>402</v>
      </c>
      <c r="C28" s="22" t="e">
        <f>C26*Geometry!#REF!</f>
        <v>#REF!</v>
      </c>
    </row>
    <row r="29" spans="1:7" ht="15" customHeight="1">
      <c r="A29" s="92" t="s">
        <v>403</v>
      </c>
      <c r="C29" s="22" t="e">
        <f>SQRT(C26^2+Geometry!#REF!^2)*Attic!C27</f>
        <v>#REF!</v>
      </c>
    </row>
    <row r="30" spans="1:7" ht="15" customHeight="1">
      <c r="A30" s="92" t="s">
        <v>404</v>
      </c>
      <c r="B30" s="17"/>
      <c r="C30" s="131" t="e">
        <f>C28/(C28*2+C29*2)</f>
        <v>#REF!</v>
      </c>
    </row>
    <row r="31" spans="1:7" ht="15" customHeight="1">
      <c r="A31" s="92" t="s">
        <v>405</v>
      </c>
      <c r="C31" s="22" t="e">
        <f>C29/(2*(C28+C29))</f>
        <v>#REF!</v>
      </c>
    </row>
    <row r="34" spans="1:4" ht="15" customHeight="1">
      <c r="A34" s="1" t="s">
        <v>1102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1103</v>
      </c>
      <c r="B35" s="1" t="e">
        <f>1*B34*SQRT(2/1.20411)*4^(0.5-0.65)</f>
        <v>#REF!</v>
      </c>
    </row>
    <row r="36" spans="1:4" ht="15" customHeight="1">
      <c r="A36" s="1" t="s">
        <v>1108</v>
      </c>
      <c r="B36" s="1" t="e">
        <f>B35*Leakage!H63</f>
        <v>#REF!</v>
      </c>
    </row>
    <row r="37" spans="1:4" ht="15" customHeight="1">
      <c r="A37" s="1" t="s">
        <v>1104</v>
      </c>
      <c r="B37" s="1">
        <f>Leakage!B4</f>
        <v>9.1024395236017248E-3</v>
      </c>
    </row>
    <row r="38" spans="1:4" ht="15" customHeight="1">
      <c r="A38" s="1" t="s">
        <v>1109</v>
      </c>
      <c r="B38" s="1">
        <f>B37*Leakage!H63</f>
        <v>4.5512197618008624E-3</v>
      </c>
    </row>
    <row r="39" spans="1:4" ht="15" customHeight="1">
      <c r="A39" s="1" t="s">
        <v>1105</v>
      </c>
      <c r="B39" s="1">
        <f>D14 * SQRT(1.20411 / 2) * 4^(D13 - 0.5)</f>
        <v>0.24288387323094632</v>
      </c>
    </row>
    <row r="40" spans="1:4" ht="15" customHeight="1">
      <c r="A40" s="1" t="s">
        <v>1106</v>
      </c>
      <c r="B40" s="1">
        <f>B38 * SQRT(1.20411 / 2) * 4^(D13 - 0.5)</f>
        <v>4.3476531460548513E-3</v>
      </c>
    </row>
    <row r="41" spans="1:4" ht="15" customHeight="1">
      <c r="A41" s="1" t="s">
        <v>1107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97</v>
      </c>
      <c r="G1" s="4" t="s">
        <v>341</v>
      </c>
    </row>
    <row r="2" spans="1:43" ht="15" customHeight="1">
      <c r="A2" s="11" t="s">
        <v>564</v>
      </c>
      <c r="G2" s="11" t="s">
        <v>342</v>
      </c>
    </row>
    <row r="4" spans="1:43" ht="15" customHeight="1">
      <c r="A4" s="99" t="s">
        <v>1099</v>
      </c>
      <c r="B4" s="100" t="s">
        <v>261</v>
      </c>
      <c r="C4" s="100" t="s">
        <v>125</v>
      </c>
      <c r="D4" s="100" t="s">
        <v>262</v>
      </c>
      <c r="E4" s="100" t="s">
        <v>125</v>
      </c>
      <c r="G4" s="5" t="s">
        <v>345</v>
      </c>
      <c r="P4" s="14"/>
    </row>
    <row r="5" spans="1:43" ht="15" customHeight="1">
      <c r="A5" s="103" t="s">
        <v>344</v>
      </c>
      <c r="B5" s="5">
        <v>1</v>
      </c>
      <c r="C5" s="5" t="s">
        <v>11</v>
      </c>
      <c r="G5" s="254" t="s">
        <v>359</v>
      </c>
      <c r="H5" s="96"/>
      <c r="I5" s="96"/>
      <c r="J5" s="99" t="s">
        <v>343</v>
      </c>
      <c r="K5" s="96"/>
      <c r="P5" s="14"/>
    </row>
    <row r="6" spans="1:43" ht="15" customHeight="1">
      <c r="A6" s="87" t="s">
        <v>346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129</v>
      </c>
      <c r="P6" s="14"/>
    </row>
    <row r="7" spans="1:43" ht="15" customHeight="1">
      <c r="A7" s="87" t="s">
        <v>347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129</v>
      </c>
      <c r="P7" s="14"/>
    </row>
    <row r="8" spans="1:43" ht="15" customHeight="1">
      <c r="A8" s="87" t="s">
        <v>348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129</v>
      </c>
      <c r="P8" s="14"/>
    </row>
    <row r="9" spans="1:43" ht="15" customHeight="1">
      <c r="A9" s="87" t="s">
        <v>349</v>
      </c>
      <c r="B9" s="5">
        <f>0.27*A_houseFT*IF(Stories=1,B5,B6)</f>
        <v>473.85</v>
      </c>
      <c r="C9" s="5" t="s">
        <v>490</v>
      </c>
      <c r="D9" s="14">
        <f>B9*0.3048^2</f>
        <v>44.022105504000002</v>
      </c>
      <c r="E9" s="5" t="s">
        <v>489</v>
      </c>
      <c r="G9" s="87">
        <v>1</v>
      </c>
      <c r="J9" s="14">
        <f>J6/4</f>
        <v>6.2500000000000003E-3</v>
      </c>
      <c r="K9" s="5" t="s">
        <v>129</v>
      </c>
      <c r="P9" s="14"/>
    </row>
    <row r="10" spans="1:43" ht="15" customHeight="1">
      <c r="A10" s="87" t="s">
        <v>350</v>
      </c>
      <c r="B10" s="5">
        <f>A_houseFT*IF(Stories=1,B7,B8)</f>
        <v>270</v>
      </c>
      <c r="C10" s="123" t="s">
        <v>490</v>
      </c>
      <c r="D10" s="14">
        <f>B10*0.3048^2</f>
        <v>25.083820800000002</v>
      </c>
      <c r="E10" s="123" t="s">
        <v>489</v>
      </c>
      <c r="P10" s="14"/>
    </row>
    <row r="11" spans="1:43" ht="15" customHeight="1">
      <c r="A11" s="20" t="s">
        <v>351</v>
      </c>
      <c r="G11" s="4" t="s">
        <v>226</v>
      </c>
      <c r="P11" s="14"/>
      <c r="Z11" s="4" t="s">
        <v>227</v>
      </c>
      <c r="AI11" s="14"/>
    </row>
    <row r="12" spans="1:43" ht="15" customHeight="1">
      <c r="A12" s="409" t="s">
        <v>352</v>
      </c>
      <c r="B12" s="410">
        <f>D12/(0.3048/12)</f>
        <v>9.8425196850393686</v>
      </c>
      <c r="C12" s="411" t="s">
        <v>198</v>
      </c>
      <c r="D12" s="415">
        <v>0.25</v>
      </c>
      <c r="E12" s="411" t="s">
        <v>129</v>
      </c>
      <c r="F12"/>
      <c r="G12" s="100" t="s">
        <v>353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353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354</v>
      </c>
      <c r="B13" s="410">
        <f>D13/(0.3048/12)</f>
        <v>17.716535433070867</v>
      </c>
      <c r="C13" s="411" t="s">
        <v>198</v>
      </c>
      <c r="D13" s="415">
        <v>0.45</v>
      </c>
      <c r="E13" s="411" t="s">
        <v>129</v>
      </c>
      <c r="F13"/>
      <c r="G13" s="5" t="s">
        <v>15</v>
      </c>
      <c r="H13" s="76" t="s">
        <v>516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516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355</v>
      </c>
      <c r="B14" s="413">
        <f>D14/(0.3048/12)</f>
        <v>30.921187535332606</v>
      </c>
      <c r="C14" s="414" t="s">
        <v>198</v>
      </c>
      <c r="D14" s="413">
        <f>PI()*D12</f>
        <v>0.78539816339744828</v>
      </c>
      <c r="E14" s="414" t="s">
        <v>129</v>
      </c>
      <c r="F14"/>
      <c r="G14" s="53" t="s">
        <v>343</v>
      </c>
      <c r="H14" s="79" t="s">
        <v>129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343</v>
      </c>
      <c r="AA14" s="79" t="s">
        <v>129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356</v>
      </c>
      <c r="B15" s="413">
        <f>D15/(0.3048/12)</f>
        <v>55.658137563598693</v>
      </c>
      <c r="C15" s="414" t="s">
        <v>198</v>
      </c>
      <c r="D15" s="413">
        <f>PI()*D13</f>
        <v>1.4137166941154069</v>
      </c>
      <c r="E15" s="414" t="s">
        <v>129</v>
      </c>
      <c r="G15" s="5" t="s">
        <v>357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357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358</v>
      </c>
      <c r="B16" s="410">
        <f>D16/0.3048</f>
        <v>183.89332536153628</v>
      </c>
      <c r="C16" s="411" t="s">
        <v>128</v>
      </c>
      <c r="D16" s="416">
        <f>D9/D14</f>
        <v>56.050685570196265</v>
      </c>
      <c r="E16" s="411" t="s">
        <v>129</v>
      </c>
      <c r="G16" s="53" t="s">
        <v>359</v>
      </c>
      <c r="H16" s="79" t="s">
        <v>515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359</v>
      </c>
      <c r="AA16" s="79" t="s">
        <v>515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360</v>
      </c>
      <c r="B17" s="410">
        <f>D17/0.3048</f>
        <v>58.212511985291648</v>
      </c>
      <c r="C17" s="411" t="s">
        <v>128</v>
      </c>
      <c r="D17" s="416">
        <f>D10/D15</f>
        <v>17.743173653116894</v>
      </c>
      <c r="E17" s="411" t="s">
        <v>129</v>
      </c>
    </row>
    <row r="18" spans="1:6" ht="15" customHeight="1">
      <c r="A18" s="245" t="s">
        <v>1117</v>
      </c>
      <c r="D18" s="264">
        <v>2.5000000000000001E-2</v>
      </c>
      <c r="F18" s="257" t="s">
        <v>1119</v>
      </c>
    </row>
    <row r="19" spans="1:6" ht="15" customHeight="1">
      <c r="A19" s="245" t="s">
        <v>1118</v>
      </c>
      <c r="D19" s="264">
        <v>2.5000000000000001E-2</v>
      </c>
      <c r="F19" s="257" t="s">
        <v>1121</v>
      </c>
    </row>
    <row r="20" spans="1:6" ht="15" customHeight="1">
      <c r="A20" s="245" t="s">
        <v>108</v>
      </c>
      <c r="D20" s="264">
        <v>0.6</v>
      </c>
      <c r="F20" s="254" t="s">
        <v>109</v>
      </c>
    </row>
    <row r="21" spans="1:6" ht="15" customHeight="1">
      <c r="A21" s="245" t="s">
        <v>110</v>
      </c>
      <c r="D21" s="264">
        <v>0.6</v>
      </c>
      <c r="F21" s="254" t="s">
        <v>111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361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362</v>
      </c>
      <c r="H2" s="245"/>
      <c r="J2" s="5" t="s">
        <v>630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363</v>
      </c>
      <c r="H3" s="245"/>
      <c r="J3" s="5" t="s">
        <v>631</v>
      </c>
      <c r="N3" s="5" t="s">
        <v>633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364</v>
      </c>
      <c r="H4" s="245"/>
      <c r="I4" s="55"/>
      <c r="J4" s="55" t="s">
        <v>632</v>
      </c>
      <c r="K4" s="55"/>
      <c r="L4" s="55"/>
      <c r="M4" s="55"/>
      <c r="N4" s="55" t="s">
        <v>634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635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627</v>
      </c>
      <c r="D8" s="258" t="s">
        <v>576</v>
      </c>
      <c r="E8" s="258" t="s">
        <v>577</v>
      </c>
      <c r="F8" s="258" t="s">
        <v>578</v>
      </c>
      <c r="G8" s="258" t="s">
        <v>579</v>
      </c>
      <c r="H8" s="258" t="s">
        <v>580</v>
      </c>
      <c r="I8" s="258" t="s">
        <v>581</v>
      </c>
      <c r="J8" s="258" t="s">
        <v>582</v>
      </c>
      <c r="K8" s="258" t="s">
        <v>583</v>
      </c>
      <c r="L8" s="258" t="s">
        <v>584</v>
      </c>
      <c r="M8" s="258" t="s">
        <v>585</v>
      </c>
      <c r="N8" s="258" t="s">
        <v>586</v>
      </c>
      <c r="O8" s="258" t="s">
        <v>587</v>
      </c>
      <c r="P8" s="258">
        <v>7</v>
      </c>
      <c r="Q8" s="223">
        <v>8</v>
      </c>
      <c r="R8" s="254" t="s">
        <v>805</v>
      </c>
      <c r="S8" s="254" t="s">
        <v>806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365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366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363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367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368</v>
      </c>
      <c r="C13" s="223" t="s">
        <v>627</v>
      </c>
      <c r="D13" s="258" t="s">
        <v>576</v>
      </c>
      <c r="E13" s="258" t="s">
        <v>577</v>
      </c>
      <c r="F13" s="258" t="s">
        <v>578</v>
      </c>
      <c r="G13" s="258" t="s">
        <v>579</v>
      </c>
      <c r="H13" s="258" t="s">
        <v>580</v>
      </c>
      <c r="I13" s="258" t="s">
        <v>581</v>
      </c>
      <c r="J13" s="258" t="s">
        <v>582</v>
      </c>
      <c r="K13" s="258" t="s">
        <v>583</v>
      </c>
      <c r="L13" s="258" t="s">
        <v>584</v>
      </c>
      <c r="M13" s="258" t="s">
        <v>585</v>
      </c>
      <c r="N13" s="258" t="s">
        <v>586</v>
      </c>
      <c r="O13" s="258" t="s">
        <v>587</v>
      </c>
      <c r="P13" s="258">
        <v>7</v>
      </c>
      <c r="Q13" s="223">
        <v>8</v>
      </c>
      <c r="R13" s="254" t="s">
        <v>805</v>
      </c>
      <c r="S13" s="254" t="s">
        <v>806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369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353</v>
      </c>
      <c r="B16" s="99"/>
      <c r="C16" s="223" t="s">
        <v>627</v>
      </c>
      <c r="D16" s="255" t="s">
        <v>576</v>
      </c>
      <c r="E16" s="255" t="s">
        <v>577</v>
      </c>
      <c r="F16" s="255" t="s">
        <v>578</v>
      </c>
      <c r="G16" s="255" t="s">
        <v>579</v>
      </c>
      <c r="H16" s="255" t="s">
        <v>580</v>
      </c>
      <c r="I16" s="255" t="s">
        <v>581</v>
      </c>
      <c r="J16" s="255" t="s">
        <v>582</v>
      </c>
      <c r="K16" s="255" t="s">
        <v>583</v>
      </c>
      <c r="L16" s="255" t="s">
        <v>584</v>
      </c>
      <c r="M16" s="255" t="s">
        <v>585</v>
      </c>
      <c r="N16" s="255" t="s">
        <v>586</v>
      </c>
      <c r="O16" s="255" t="s">
        <v>587</v>
      </c>
      <c r="P16" s="255">
        <v>7</v>
      </c>
      <c r="Q16" s="223">
        <v>8</v>
      </c>
      <c r="R16" s="254" t="s">
        <v>805</v>
      </c>
      <c r="S16" s="254" t="s">
        <v>806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1275</v>
      </c>
    </row>
    <row r="19" spans="1:20" ht="15" customHeight="1">
      <c r="A19" s="5" t="s">
        <v>1274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1181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1253</v>
      </c>
      <c r="B22" s="80">
        <v>70</v>
      </c>
      <c r="C22" s="80" t="s">
        <v>1254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1245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1246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1255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1209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239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1" t="s">
        <v>241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242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1182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2" t="s">
        <v>1195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3" t="s">
        <v>1232</v>
      </c>
      <c r="B34" s="472">
        <f>B33*B23</f>
        <v>18105.813123850741</v>
      </c>
      <c r="C34" s="472">
        <f t="shared" ref="C34:M34" si="5">C33*C23</f>
        <v>20063.198326429199</v>
      </c>
      <c r="D34" s="472">
        <f t="shared" si="5"/>
        <v>16933.564256414898</v>
      </c>
      <c r="E34" s="472">
        <f t="shared" si="5"/>
        <v>15659.081620627669</v>
      </c>
      <c r="F34" s="472">
        <f t="shared" si="5"/>
        <v>17431.610263956514</v>
      </c>
      <c r="G34" s="472">
        <f t="shared" si="5"/>
        <v>13137.82705361737</v>
      </c>
      <c r="H34" s="472">
        <f t="shared" si="5"/>
        <v>13663.340135762064</v>
      </c>
      <c r="I34" s="472">
        <f t="shared" si="5"/>
        <v>16148.427921272283</v>
      </c>
      <c r="J34" s="472">
        <f t="shared" si="5"/>
        <v>14191.042718693825</v>
      </c>
      <c r="K34" s="472">
        <f t="shared" si="5"/>
        <v>17127.120522561512</v>
      </c>
      <c r="L34" s="472">
        <f t="shared" si="5"/>
        <v>18595.159424495356</v>
      </c>
      <c r="M34" s="472">
        <f t="shared" si="5"/>
        <v>18595.159424495356</v>
      </c>
      <c r="N34" s="472">
        <f t="shared" ref="N34" si="6">N33*N23</f>
        <v>18595.159424495356</v>
      </c>
      <c r="O34" s="472">
        <f t="shared" ref="O34" si="7">O33*O23</f>
        <v>22509.929829652272</v>
      </c>
      <c r="P34" s="472">
        <f t="shared" ref="P34" si="8">P33*P23</f>
        <v>17127.120522561512</v>
      </c>
      <c r="Q34" s="472">
        <f t="shared" ref="Q34" si="9">Q33*Q23</f>
        <v>19966.129829652276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1183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1257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1256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1196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1197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1198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1199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1183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1196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1197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1198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1200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1201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1233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1202</v>
      </c>
      <c r="B53" s="469" t="s">
        <v>1203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1204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1205</v>
      </c>
      <c r="B55" s="80" t="s">
        <v>211</v>
      </c>
      <c r="C55" s="80" t="s">
        <v>1193</v>
      </c>
      <c r="D55" s="80" t="s">
        <v>211</v>
      </c>
      <c r="E55" s="80" t="s">
        <v>1193</v>
      </c>
      <c r="F55" s="80" t="s">
        <v>1194</v>
      </c>
      <c r="G55" s="80" t="s">
        <v>211</v>
      </c>
      <c r="H55" s="80" t="s">
        <v>1193</v>
      </c>
      <c r="I55" s="80" t="s">
        <v>1194</v>
      </c>
      <c r="J55" s="80" t="s">
        <v>1193</v>
      </c>
      <c r="K55" s="80" t="s">
        <v>1194</v>
      </c>
      <c r="L55" s="80" t="s">
        <v>1194</v>
      </c>
      <c r="M55" s="80" t="s">
        <v>1194</v>
      </c>
      <c r="N55" s="80"/>
      <c r="O55" s="80"/>
      <c r="P55" s="80"/>
      <c r="Q55" s="80"/>
      <c r="R55" s="201"/>
    </row>
    <row r="56" spans="1:21" ht="15" customHeight="1">
      <c r="A56" s="459" t="s">
        <v>1206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1207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1208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1210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211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1193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1194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1207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211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1193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1194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1208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211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1193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1194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1210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1207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1208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1210</v>
      </c>
      <c r="B80" s="470">
        <f>B29*B76</f>
        <v>172.89337502595211</v>
      </c>
      <c r="C80" s="470">
        <f t="shared" ref="C80:Q80" si="25">C29*C76</f>
        <v>2117.9438440679119</v>
      </c>
      <c r="D80" s="470">
        <f t="shared" si="25"/>
        <v>929.30189076449199</v>
      </c>
      <c r="E80" s="470">
        <f t="shared" si="25"/>
        <v>1361.5353283293716</v>
      </c>
      <c r="F80" s="470">
        <f t="shared" si="25"/>
        <v>1145.418609546932</v>
      </c>
      <c r="G80" s="470">
        <f t="shared" si="25"/>
        <v>1843.1459023224804</v>
      </c>
      <c r="H80" s="470">
        <f t="shared" si="25"/>
        <v>1978.6713363167805</v>
      </c>
      <c r="I80" s="470">
        <f t="shared" si="25"/>
        <v>1577.6520471118117</v>
      </c>
      <c r="J80" s="470">
        <f t="shared" si="25"/>
        <v>2550.1772816327916</v>
      </c>
      <c r="K80" s="470">
        <f t="shared" si="25"/>
        <v>2442.1189222415719</v>
      </c>
      <c r="L80" s="470">
        <f t="shared" si="25"/>
        <v>2766.2940004152315</v>
      </c>
      <c r="M80" s="470">
        <f t="shared" si="25"/>
        <v>2226.0022034591316</v>
      </c>
      <c r="N80" s="470">
        <f t="shared" si="25"/>
        <v>2658.2356410240118</v>
      </c>
      <c r="O80" s="470">
        <f t="shared" si="25"/>
        <v>2334.0605628503517</v>
      </c>
      <c r="P80" s="470">
        <f t="shared" si="25"/>
        <v>3630.7608755449914</v>
      </c>
      <c r="Q80" s="470">
        <f t="shared" si="25"/>
        <v>1037.360250155712</v>
      </c>
      <c r="R80" s="471"/>
    </row>
    <row r="81" spans="1:18" ht="15" customHeight="1">
      <c r="A81" s="459" t="s">
        <v>1207</v>
      </c>
      <c r="B81" s="470">
        <f t="shared" ref="B81:Q81" si="26">B32*B77</f>
        <v>1435.4516380049997</v>
      </c>
      <c r="C81" s="470">
        <f t="shared" si="26"/>
        <v>2609.9120690999998</v>
      </c>
      <c r="D81" s="470">
        <f t="shared" si="26"/>
        <v>2144.4777501105</v>
      </c>
      <c r="E81" s="470">
        <f t="shared" si="26"/>
        <v>2153.1774570074995</v>
      </c>
      <c r="F81" s="470">
        <f t="shared" si="26"/>
        <v>2292.3727673594999</v>
      </c>
      <c r="G81" s="470">
        <f t="shared" si="26"/>
        <v>2514.215293233</v>
      </c>
      <c r="H81" s="470">
        <f t="shared" si="26"/>
        <v>2588.1628018575002</v>
      </c>
      <c r="I81" s="470">
        <f t="shared" si="26"/>
        <v>2283.6730604624995</v>
      </c>
      <c r="J81" s="470">
        <f t="shared" si="26"/>
        <v>2870.9032760099994</v>
      </c>
      <c r="K81" s="470">
        <f t="shared" si="26"/>
        <v>2805.6554742824997</v>
      </c>
      <c r="L81" s="470">
        <f t="shared" si="26"/>
        <v>3001.3988794649995</v>
      </c>
      <c r="M81" s="470">
        <f t="shared" si="26"/>
        <v>2675.1598708274996</v>
      </c>
      <c r="N81" s="470">
        <f t="shared" si="26"/>
        <v>2936.1510777374997</v>
      </c>
      <c r="O81" s="470">
        <f t="shared" si="26"/>
        <v>2740.4076725549994</v>
      </c>
      <c r="P81" s="470">
        <f t="shared" si="26"/>
        <v>3523.3812932849996</v>
      </c>
      <c r="Q81" s="470">
        <f t="shared" si="26"/>
        <v>1957.4340518249996</v>
      </c>
      <c r="R81" s="471"/>
    </row>
    <row r="82" spans="1:18" ht="15" customHeight="1">
      <c r="A82" s="460" t="s">
        <v>1208</v>
      </c>
      <c r="B82" s="472">
        <f t="shared" ref="B82:Q82" si="27">B32*B78</f>
        <v>913.4692241849998</v>
      </c>
      <c r="C82" s="472">
        <f t="shared" si="27"/>
        <v>2087.9296552799997</v>
      </c>
      <c r="D82" s="472">
        <f t="shared" si="27"/>
        <v>1552.8976811145001</v>
      </c>
      <c r="E82" s="472">
        <f t="shared" si="27"/>
        <v>1631.1950431874998</v>
      </c>
      <c r="F82" s="472">
        <f t="shared" si="27"/>
        <v>1700.7926983635</v>
      </c>
      <c r="G82" s="472">
        <f t="shared" si="27"/>
        <v>1922.6352242370001</v>
      </c>
      <c r="H82" s="472">
        <f t="shared" si="27"/>
        <v>1996.5827328615001</v>
      </c>
      <c r="I82" s="472">
        <f t="shared" si="27"/>
        <v>1761.6906466424998</v>
      </c>
      <c r="J82" s="472">
        <f t="shared" si="27"/>
        <v>2348.9208621899998</v>
      </c>
      <c r="K82" s="472">
        <f t="shared" si="27"/>
        <v>2283.6730604624995</v>
      </c>
      <c r="L82" s="472">
        <f t="shared" si="27"/>
        <v>2479.4164656449998</v>
      </c>
      <c r="M82" s="472">
        <f t="shared" si="27"/>
        <v>2153.1774570074995</v>
      </c>
      <c r="N82" s="472">
        <f t="shared" si="27"/>
        <v>2414.1686639174995</v>
      </c>
      <c r="O82" s="472">
        <f t="shared" si="27"/>
        <v>2218.4252587349997</v>
      </c>
      <c r="P82" s="472">
        <f t="shared" si="27"/>
        <v>3001.3988794649995</v>
      </c>
      <c r="Q82" s="472">
        <f t="shared" si="27"/>
        <v>1435.4516380049997</v>
      </c>
      <c r="R82" s="473"/>
    </row>
    <row r="85" spans="1:18" ht="15" customHeight="1">
      <c r="A85" s="458" t="s">
        <v>1247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1211</v>
      </c>
      <c r="B86" s="80" t="s">
        <v>1236</v>
      </c>
      <c r="C86" s="80"/>
      <c r="D86" s="80"/>
      <c r="E86" s="80"/>
      <c r="F86" s="80"/>
      <c r="G86" s="80"/>
      <c r="H86" s="80"/>
      <c r="I86" s="80" t="s">
        <v>1237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1215</v>
      </c>
      <c r="C87" s="80" t="s">
        <v>1235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1212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1213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1214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1212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1213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1214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1216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1212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1213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1214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1234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1239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1240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1217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1265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1248</v>
      </c>
      <c r="B117" s="474">
        <f>SUM(B48,B80,IF(Inputs!$C$110=1,B81, B82),B103:B107,B111:B113)</f>
        <v>15167.300909977548</v>
      </c>
      <c r="C117" s="474">
        <f>SUM(C48,C80,IF(Inputs!$C$110=1,C81, C82),C103:C107,C111:C113)</f>
        <v>21471.187422625211</v>
      </c>
      <c r="D117" s="474">
        <f>SUM(D48,D80,IF(Inputs!$C$110=1,D81, D82),D103:D107,D111:D113)</f>
        <v>17870.28485787012</v>
      </c>
      <c r="E117" s="474">
        <f>SUM(E48,E80,IF(Inputs!$C$110=1,E81, E82),E103:E107,E111:E113)</f>
        <v>19431.853749983678</v>
      </c>
      <c r="F117" s="474">
        <f>SUM(F48,F80,IF(Inputs!$C$110=1,F81, F82),F103:F107,F111:F113)</f>
        <v>18468.778137913287</v>
      </c>
      <c r="G117" s="474">
        <f>SUM(G48,G80,IF(Inputs!$C$110=1,G81, G82),G103:G107,G111:G113)</f>
        <v>19258.327393484535</v>
      </c>
      <c r="H117" s="474">
        <f>SUM(H48,H80,IF(Inputs!$C$110=1,H81, H82),H103:H107,H111:H113)</f>
        <v>19578.552906488057</v>
      </c>
      <c r="I117" s="474">
        <f>SUM(I48,I80,IF(Inputs!$C$110=1,I81, I82),I103:I107,I111:I113)</f>
        <v>19969.299714417917</v>
      </c>
      <c r="J117" s="474">
        <f>SUM(J48,J80,IF(Inputs!$C$110=1,J81, J82),J103:J107,J111:J113)</f>
        <v>22007.455636686049</v>
      </c>
      <c r="K117" s="474">
        <f>SUM(K48,K80,IF(Inputs!$C$110=1,K81, K82),K103:K107,K111:K113)</f>
        <v>22310.977050404283</v>
      </c>
      <c r="L117" s="474">
        <f>SUM(L48,L80,IF(Inputs!$C$110=1,L81, L82),L103:L107,L111:L113)</f>
        <v>23222.136896015872</v>
      </c>
      <c r="M117" s="474">
        <f>SUM(M48,M80,IF(Inputs!$C$110=1,M81, M82),M103:M107,M111:M113)</f>
        <v>21770.77851558532</v>
      </c>
      <c r="N117" s="474">
        <f>SUM(N48,N80,IF(Inputs!$C$110=1,N81, N82),N103:N107,N111:N113)</f>
        <v>22905.4405442364</v>
      </c>
      <c r="O117" s="474">
        <f>SUM(O48,O80,IF(Inputs!$C$110=1,O81, O82),O103:O107,O111:O113)</f>
        <v>22089.24437689783</v>
      </c>
      <c r="P117" s="474">
        <f>SUM(P48,P80,IF(Inputs!$C$110=1,P81, P82),P103:P107,P111:P113)</f>
        <v>25523.705349253385</v>
      </c>
      <c r="Q117" s="474">
        <f>SUM(Q48,Q80,IF(Inputs!$C$110=1,Q81, Q82),Q103:Q107,Q111:Q113)</f>
        <v>17967.717501129817</v>
      </c>
      <c r="R117" s="475"/>
    </row>
    <row r="118" spans="1:18" s="254" customFormat="1" ht="15" customHeight="1">
      <c r="A118" s="459" t="s">
        <v>1249</v>
      </c>
      <c r="B118" s="474">
        <f>SUM(B34,B43)</f>
        <v>18513.193540790064</v>
      </c>
      <c r="C118" s="474">
        <f t="shared" ref="C118:Q118" si="38">SUM(C34,C43)</f>
        <v>20458.192176637262</v>
      </c>
      <c r="D118" s="474">
        <f t="shared" si="38"/>
        <v>17294.544201154571</v>
      </c>
      <c r="E118" s="474">
        <f t="shared" si="38"/>
        <v>15961.077914266087</v>
      </c>
      <c r="F118" s="474">
        <f t="shared" si="38"/>
        <v>17789.444413970785</v>
      </c>
      <c r="G118" s="474">
        <f t="shared" si="38"/>
        <v>13344.269832471757</v>
      </c>
      <c r="H118" s="474">
        <f t="shared" si="38"/>
        <v>13857.592960055525</v>
      </c>
      <c r="I118" s="474">
        <f t="shared" si="38"/>
        <v>16369.026776390971</v>
      </c>
      <c r="J118" s="474">
        <f t="shared" si="38"/>
        <v>14413.411083345551</v>
      </c>
      <c r="K118" s="474">
        <f t="shared" si="38"/>
        <v>17416.140412957655</v>
      </c>
      <c r="L118" s="474">
        <f t="shared" si="38"/>
        <v>18968.722548136626</v>
      </c>
      <c r="M118" s="474">
        <f t="shared" si="38"/>
        <v>18976.193810609453</v>
      </c>
      <c r="N118" s="474">
        <f t="shared" si="38"/>
        <v>18931.366235772501</v>
      </c>
      <c r="O118" s="474">
        <f t="shared" si="38"/>
        <v>23025.446940277227</v>
      </c>
      <c r="P118" s="474">
        <f t="shared" si="38"/>
        <v>17443.666116804907</v>
      </c>
      <c r="Q118" s="474">
        <f t="shared" si="38"/>
        <v>20364.0728624154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1250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1241</v>
      </c>
      <c r="B121" s="466">
        <f>B117/SUM(B117,B120)</f>
        <v>0.92366325059559828</v>
      </c>
      <c r="C121" s="466">
        <f t="shared" ref="C121:Q121" si="40">C117/SUM(C117,C120)</f>
        <v>0.94831867019399996</v>
      </c>
      <c r="D121" s="466">
        <f t="shared" si="40"/>
        <v>0.95103852831615443</v>
      </c>
      <c r="E121" s="466">
        <f t="shared" si="40"/>
        <v>0.94584782637214426</v>
      </c>
      <c r="F121" s="466">
        <f t="shared" si="40"/>
        <v>0.95254987222732668</v>
      </c>
      <c r="G121" s="466">
        <f t="shared" si="40"/>
        <v>0.95440652824886452</v>
      </c>
      <c r="H121" s="466">
        <f t="shared" si="40"/>
        <v>0.94764567866270655</v>
      </c>
      <c r="I121" s="466">
        <f t="shared" si="40"/>
        <v>0.95595831298427825</v>
      </c>
      <c r="J121" s="466">
        <f t="shared" si="40"/>
        <v>0.95987343669622394</v>
      </c>
      <c r="K121" s="466">
        <f t="shared" si="40"/>
        <v>0.95556825178499349</v>
      </c>
      <c r="L121" s="466">
        <f t="shared" si="40"/>
        <v>0.96189235426993935</v>
      </c>
      <c r="M121" s="466">
        <f t="shared" si="40"/>
        <v>0.95553939460213322</v>
      </c>
      <c r="N121" s="466">
        <f t="shared" si="40"/>
        <v>0.96138581369390219</v>
      </c>
      <c r="O121" s="466">
        <f t="shared" si="40"/>
        <v>0.95713421677699861</v>
      </c>
      <c r="P121" s="466">
        <f t="shared" si="40"/>
        <v>0.96520911166384726</v>
      </c>
      <c r="Q121" s="466">
        <f t="shared" si="40"/>
        <v>0.94142855389883617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1251</v>
      </c>
      <c r="B123" s="478">
        <f>SUM(B117,B120)</f>
        <v>16420.812347137704</v>
      </c>
      <c r="C123" s="479">
        <f t="shared" ref="C123:Q123" si="41">SUM(C117,C120)</f>
        <v>22641.321000495325</v>
      </c>
      <c r="D123" s="479">
        <f t="shared" si="41"/>
        <v>18790.28485787012</v>
      </c>
      <c r="E123" s="479">
        <f t="shared" si="41"/>
        <v>20544.37638717817</v>
      </c>
      <c r="F123" s="479">
        <f t="shared" si="41"/>
        <v>19388.778137913287</v>
      </c>
      <c r="G123" s="479">
        <f t="shared" si="41"/>
        <v>20178.327393484535</v>
      </c>
      <c r="H123" s="479">
        <f t="shared" si="41"/>
        <v>20660.203858172827</v>
      </c>
      <c r="I123" s="479">
        <f t="shared" si="41"/>
        <v>20889.299714417917</v>
      </c>
      <c r="J123" s="479">
        <f t="shared" si="41"/>
        <v>22927.455636686049</v>
      </c>
      <c r="K123" s="479">
        <f t="shared" si="41"/>
        <v>23348.386688996379</v>
      </c>
      <c r="L123" s="479">
        <f t="shared" si="41"/>
        <v>24142.136896015872</v>
      </c>
      <c r="M123" s="479">
        <f t="shared" si="41"/>
        <v>22783.758198321295</v>
      </c>
      <c r="N123" s="479">
        <f t="shared" si="41"/>
        <v>23825.4405442364</v>
      </c>
      <c r="O123" s="479">
        <f t="shared" si="41"/>
        <v>23078.523356191301</v>
      </c>
      <c r="P123" s="479">
        <f t="shared" si="41"/>
        <v>26443.705349253385</v>
      </c>
      <c r="Q123" s="479">
        <f t="shared" si="41"/>
        <v>19085.587989357489</v>
      </c>
      <c r="R123" s="480"/>
    </row>
    <row r="124" spans="1:18" s="254" customFormat="1" ht="15" customHeight="1">
      <c r="A124" s="460" t="s">
        <v>1252</v>
      </c>
      <c r="B124" s="481">
        <f>B118</f>
        <v>18513.193540790064</v>
      </c>
      <c r="C124" s="476">
        <f t="shared" ref="C124:Q124" si="42">C118</f>
        <v>20458.192176637262</v>
      </c>
      <c r="D124" s="476">
        <f t="shared" si="42"/>
        <v>17294.544201154571</v>
      </c>
      <c r="E124" s="476">
        <f t="shared" si="42"/>
        <v>15961.077914266087</v>
      </c>
      <c r="F124" s="476">
        <f t="shared" si="42"/>
        <v>17789.444413970785</v>
      </c>
      <c r="G124" s="476">
        <f t="shared" si="42"/>
        <v>13344.269832471757</v>
      </c>
      <c r="H124" s="476">
        <f t="shared" si="42"/>
        <v>13857.592960055525</v>
      </c>
      <c r="I124" s="476">
        <f t="shared" si="42"/>
        <v>16369.026776390971</v>
      </c>
      <c r="J124" s="476">
        <f t="shared" si="42"/>
        <v>14413.411083345551</v>
      </c>
      <c r="K124" s="476">
        <f t="shared" si="42"/>
        <v>17416.140412957655</v>
      </c>
      <c r="L124" s="476">
        <f t="shared" si="42"/>
        <v>18968.722548136626</v>
      </c>
      <c r="M124" s="476">
        <f t="shared" si="42"/>
        <v>18976.193810609453</v>
      </c>
      <c r="N124" s="476">
        <f t="shared" si="42"/>
        <v>18931.366235772501</v>
      </c>
      <c r="O124" s="476">
        <f t="shared" si="42"/>
        <v>23025.446940277227</v>
      </c>
      <c r="P124" s="476">
        <f t="shared" si="42"/>
        <v>17443.666116804907</v>
      </c>
      <c r="Q124" s="476">
        <f t="shared" si="42"/>
        <v>20364.0728624154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1264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1266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1267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1.5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1268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1242</v>
      </c>
    </row>
    <row r="131" spans="1:19" s="254" customFormat="1" ht="15" customHeight="1">
      <c r="A131" s="459" t="s">
        <v>1269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302.40000000000003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1243</v>
      </c>
    </row>
    <row r="132" spans="1:19" s="254" customFormat="1" ht="15" customHeight="1">
      <c r="A132" s="459" t="s">
        <v>1244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1.3227513227513226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1270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1260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1261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1258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1271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1262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403.2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1263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1259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161.28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1272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1273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1218</v>
      </c>
    </row>
    <row r="145" spans="1:19" ht="15" customHeight="1">
      <c r="A145" s="254" t="s">
        <v>1231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1219</v>
      </c>
      <c r="B146" s="5" t="s">
        <v>1230</v>
      </c>
    </row>
    <row r="147" spans="1:19" ht="15" customHeight="1">
      <c r="A147" s="5" t="s">
        <v>1220</v>
      </c>
      <c r="B147" s="5">
        <v>0.3</v>
      </c>
    </row>
    <row r="148" spans="1:19" ht="15" customHeight="1">
      <c r="A148" s="5" t="s">
        <v>1221</v>
      </c>
      <c r="B148" s="5">
        <v>0.2</v>
      </c>
    </row>
    <row r="149" spans="1:19" ht="15" customHeight="1">
      <c r="A149" s="5" t="s">
        <v>1222</v>
      </c>
      <c r="B149" s="5">
        <v>0.15</v>
      </c>
    </row>
    <row r="150" spans="1:19" ht="15" customHeight="1">
      <c r="A150" s="5" t="s">
        <v>1223</v>
      </c>
      <c r="B150" s="5">
        <v>0.1</v>
      </c>
    </row>
    <row r="151" spans="1:19" ht="15" customHeight="1">
      <c r="A151" s="5" t="s">
        <v>1224</v>
      </c>
    </row>
    <row r="152" spans="1:19" ht="15" customHeight="1">
      <c r="A152" s="254" t="s">
        <v>1220</v>
      </c>
      <c r="B152" s="5">
        <v>0.15</v>
      </c>
    </row>
    <row r="153" spans="1:19" ht="15" customHeight="1">
      <c r="A153" s="254" t="s">
        <v>1221</v>
      </c>
      <c r="B153" s="5">
        <v>0.1</v>
      </c>
    </row>
    <row r="154" spans="1:19" ht="15" customHeight="1">
      <c r="A154" s="254" t="s">
        <v>1222</v>
      </c>
      <c r="B154" s="5">
        <v>0.05</v>
      </c>
    </row>
    <row r="155" spans="1:19" ht="15" customHeight="1">
      <c r="A155" s="254" t="s">
        <v>1223</v>
      </c>
      <c r="B155" s="5">
        <v>0</v>
      </c>
    </row>
    <row r="156" spans="1:19" ht="15" customHeight="1">
      <c r="A156" s="5" t="s">
        <v>1225</v>
      </c>
    </row>
    <row r="157" spans="1:19" ht="15" customHeight="1">
      <c r="A157" s="5" t="s">
        <v>1226</v>
      </c>
      <c r="B157" s="5">
        <v>0.1</v>
      </c>
    </row>
    <row r="158" spans="1:19" ht="15" customHeight="1">
      <c r="A158" s="5" t="s">
        <v>1227</v>
      </c>
      <c r="B158" s="5">
        <v>0.05</v>
      </c>
    </row>
    <row r="159" spans="1:19" ht="15" customHeight="1">
      <c r="A159" s="5" t="s">
        <v>1228</v>
      </c>
      <c r="B159" s="5">
        <v>0</v>
      </c>
    </row>
    <row r="160" spans="1:19" ht="15" customHeight="1">
      <c r="A160" s="5" t="s">
        <v>1229</v>
      </c>
      <c r="B160" s="5">
        <v>0</v>
      </c>
    </row>
    <row r="167" spans="1:19" ht="15" customHeight="1">
      <c r="A167" s="268" t="s">
        <v>672</v>
      </c>
      <c r="B167" s="214" t="s">
        <v>668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674</v>
      </c>
    </row>
    <row r="168" spans="1:19" ht="15" customHeight="1">
      <c r="A168" s="214"/>
      <c r="B168" s="214" t="s">
        <v>669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670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699</v>
      </c>
      <c r="D172" s="430" t="s">
        <v>691</v>
      </c>
      <c r="E172" s="429" t="s">
        <v>369</v>
      </c>
      <c r="F172" s="429" t="s">
        <v>697</v>
      </c>
      <c r="G172" s="429" t="s">
        <v>698</v>
      </c>
      <c r="H172" s="214"/>
      <c r="I172" s="230" t="s">
        <v>707</v>
      </c>
      <c r="J172" s="214"/>
      <c r="K172" s="214"/>
      <c r="S172" s="254" t="s">
        <v>678</v>
      </c>
    </row>
    <row r="173" spans="1:19" ht="15" customHeight="1">
      <c r="C173" s="214"/>
      <c r="D173" s="232" t="s">
        <v>692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693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694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695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696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706</v>
      </c>
      <c r="D179" s="433" t="s">
        <v>700</v>
      </c>
      <c r="E179" s="432" t="s">
        <v>701</v>
      </c>
      <c r="F179" s="432" t="s">
        <v>702</v>
      </c>
      <c r="G179" s="432" t="s">
        <v>703</v>
      </c>
      <c r="H179" s="432" t="s">
        <v>697</v>
      </c>
      <c r="I179" s="432" t="s">
        <v>698</v>
      </c>
      <c r="J179" s="214"/>
      <c r="K179" s="214"/>
    </row>
    <row r="180" spans="3:18" ht="15" customHeight="1">
      <c r="C180" s="214"/>
      <c r="D180" s="232" t="s">
        <v>704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705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T36" sqref="T36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574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575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565</v>
      </c>
      <c r="B4" s="223" t="s">
        <v>627</v>
      </c>
      <c r="C4" s="258" t="s">
        <v>576</v>
      </c>
      <c r="D4" s="258" t="s">
        <v>577</v>
      </c>
      <c r="E4" s="258" t="s">
        <v>578</v>
      </c>
      <c r="F4" s="258" t="s">
        <v>579</v>
      </c>
      <c r="G4" s="258" t="s">
        <v>580</v>
      </c>
      <c r="H4" s="258" t="s">
        <v>581</v>
      </c>
      <c r="I4" s="258" t="s">
        <v>582</v>
      </c>
      <c r="J4" s="258" t="s">
        <v>583</v>
      </c>
      <c r="K4" s="258" t="s">
        <v>584</v>
      </c>
      <c r="L4" s="258" t="s">
        <v>585</v>
      </c>
      <c r="M4" s="258" t="s">
        <v>586</v>
      </c>
      <c r="N4" s="258" t="s">
        <v>587</v>
      </c>
      <c r="O4" s="258">
        <v>7</v>
      </c>
      <c r="P4" s="223">
        <v>8</v>
      </c>
      <c r="Q4" s="170">
        <v>16</v>
      </c>
    </row>
    <row r="5" spans="1:22">
      <c r="A5" s="181" t="s">
        <v>589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590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565</v>
      </c>
      <c r="B10" s="170" t="s">
        <v>576</v>
      </c>
      <c r="C10" s="170" t="s">
        <v>577</v>
      </c>
      <c r="D10" s="170" t="s">
        <v>578</v>
      </c>
      <c r="E10" s="170" t="s">
        <v>579</v>
      </c>
      <c r="F10" s="170" t="s">
        <v>580</v>
      </c>
      <c r="G10" s="170" t="s">
        <v>581</v>
      </c>
      <c r="H10" s="170" t="s">
        <v>582</v>
      </c>
      <c r="I10" s="170" t="s">
        <v>583</v>
      </c>
      <c r="J10" s="170" t="s">
        <v>584</v>
      </c>
      <c r="K10" s="170" t="s">
        <v>585</v>
      </c>
      <c r="L10" s="170" t="s">
        <v>586</v>
      </c>
      <c r="M10" s="170" t="s">
        <v>587</v>
      </c>
      <c r="N10" s="170" t="s">
        <v>588</v>
      </c>
      <c r="O10" s="122"/>
      <c r="P10" s="122"/>
      <c r="Q10" s="122"/>
    </row>
    <row r="11" spans="1:22">
      <c r="A11" s="168" t="s">
        <v>166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165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628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591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565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166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165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628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764</v>
      </c>
    </row>
    <row r="22" spans="1:26">
      <c r="A22" s="183" t="s">
        <v>565</v>
      </c>
      <c r="B22" s="245" t="s">
        <v>627</v>
      </c>
      <c r="C22" s="245" t="s">
        <v>576</v>
      </c>
      <c r="D22" s="245" t="s">
        <v>577</v>
      </c>
      <c r="E22" s="245" t="s">
        <v>578</v>
      </c>
      <c r="F22" s="245" t="s">
        <v>579</v>
      </c>
      <c r="G22" s="245" t="s">
        <v>580</v>
      </c>
      <c r="H22" s="245" t="s">
        <v>581</v>
      </c>
      <c r="I22" s="245" t="s">
        <v>582</v>
      </c>
      <c r="J22" s="245" t="s">
        <v>583</v>
      </c>
      <c r="K22" s="245" t="s">
        <v>584</v>
      </c>
      <c r="L22" s="245" t="s">
        <v>585</v>
      </c>
      <c r="M22" s="245" t="s">
        <v>586</v>
      </c>
      <c r="N22" s="245" t="s">
        <v>587</v>
      </c>
      <c r="O22" s="276">
        <v>7</v>
      </c>
      <c r="P22" s="276">
        <v>8</v>
      </c>
      <c r="Q22" s="276" t="s">
        <v>1075</v>
      </c>
      <c r="R22" s="276" t="s">
        <v>1076</v>
      </c>
    </row>
    <row r="23" spans="1:26">
      <c r="A23" s="183" t="s">
        <v>762</v>
      </c>
      <c r="B23" s="245" t="s">
        <v>747</v>
      </c>
      <c r="C23" s="245" t="s">
        <v>748</v>
      </c>
      <c r="D23" s="245" t="s">
        <v>749</v>
      </c>
      <c r="E23" s="245" t="s">
        <v>750</v>
      </c>
      <c r="F23" s="245" t="s">
        <v>751</v>
      </c>
      <c r="G23" s="245" t="s">
        <v>752</v>
      </c>
      <c r="H23" s="245" t="s">
        <v>753</v>
      </c>
      <c r="I23" s="245" t="s">
        <v>754</v>
      </c>
      <c r="J23" s="245" t="s">
        <v>755</v>
      </c>
      <c r="K23" s="245" t="s">
        <v>756</v>
      </c>
      <c r="L23" s="245" t="s">
        <v>757</v>
      </c>
      <c r="M23" s="245" t="s">
        <v>758</v>
      </c>
      <c r="N23" s="245" t="s">
        <v>759</v>
      </c>
      <c r="O23" s="245" t="s">
        <v>760</v>
      </c>
      <c r="P23" s="245" t="s">
        <v>761</v>
      </c>
      <c r="Q23" s="245" t="s">
        <v>804</v>
      </c>
      <c r="R23" s="245" t="s">
        <v>803</v>
      </c>
    </row>
    <row r="24" spans="1:26">
      <c r="A24" s="183" t="s">
        <v>763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589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1187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1189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1190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1191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1192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1188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211</v>
      </c>
      <c r="C33" t="s">
        <v>1193</v>
      </c>
      <c r="D33" t="s">
        <v>1194</v>
      </c>
      <c r="E33" t="s">
        <v>1193</v>
      </c>
      <c r="F33" t="s">
        <v>1194</v>
      </c>
      <c r="G33" t="s">
        <v>1193</v>
      </c>
      <c r="H33" t="s">
        <v>1193</v>
      </c>
      <c r="I33" t="s">
        <v>1194</v>
      </c>
      <c r="J33" t="s">
        <v>1194</v>
      </c>
      <c r="K33" t="s">
        <v>1193</v>
      </c>
      <c r="L33" t="s">
        <v>1194</v>
      </c>
      <c r="M33" t="s">
        <v>1193</v>
      </c>
      <c r="N33" t="s">
        <v>1194</v>
      </c>
      <c r="O33" t="s">
        <v>1193</v>
      </c>
      <c r="P33" t="s">
        <v>1193</v>
      </c>
      <c r="Q33" t="s">
        <v>1193</v>
      </c>
      <c r="R33" t="s">
        <v>211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1184</v>
      </c>
    </row>
    <row r="37" spans="1:18">
      <c r="B37" t="s">
        <v>1185</v>
      </c>
    </row>
    <row r="38" spans="1:18">
      <c r="B38" t="s">
        <v>1186</v>
      </c>
    </row>
    <row r="39" spans="1:18" s="245" customFormat="1"/>
    <row r="40" spans="1:18" s="245" customFormat="1" ht="18">
      <c r="A40" s="519" t="s">
        <v>1369</v>
      </c>
    </row>
    <row r="41" spans="1:18">
      <c r="A41" t="s">
        <v>565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1300</v>
      </c>
      <c r="B42" s="124" t="s">
        <v>1284</v>
      </c>
      <c r="C42" s="124" t="s">
        <v>1285</v>
      </c>
      <c r="D42" s="124" t="s">
        <v>1286</v>
      </c>
      <c r="E42" s="124" t="s">
        <v>1287</v>
      </c>
      <c r="F42" s="124" t="s">
        <v>1288</v>
      </c>
      <c r="G42" s="124" t="s">
        <v>1289</v>
      </c>
      <c r="H42" s="124" t="s">
        <v>1290</v>
      </c>
      <c r="I42" s="124" t="s">
        <v>1291</v>
      </c>
      <c r="J42" s="124" t="s">
        <v>1292</v>
      </c>
      <c r="K42" s="124" t="s">
        <v>1293</v>
      </c>
      <c r="L42" s="124" t="s">
        <v>1294</v>
      </c>
      <c r="M42" s="124" t="s">
        <v>1295</v>
      </c>
      <c r="N42" s="124" t="s">
        <v>1296</v>
      </c>
      <c r="O42" s="124" t="s">
        <v>1297</v>
      </c>
      <c r="P42" s="124" t="s">
        <v>1298</v>
      </c>
      <c r="Q42" s="124" t="s">
        <v>1299</v>
      </c>
    </row>
    <row r="43" spans="1:18">
      <c r="A43" t="s">
        <v>763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1365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1187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1362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1363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1191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1192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1188</v>
      </c>
      <c r="B50" t="s">
        <v>211</v>
      </c>
      <c r="C50" t="s">
        <v>1194</v>
      </c>
      <c r="D50" t="s">
        <v>1193</v>
      </c>
      <c r="E50" t="s">
        <v>1194</v>
      </c>
      <c r="F50" t="s">
        <v>1193</v>
      </c>
      <c r="G50" t="s">
        <v>211</v>
      </c>
      <c r="H50" t="s">
        <v>211</v>
      </c>
      <c r="I50" t="s">
        <v>1194</v>
      </c>
      <c r="J50" t="s">
        <v>1193</v>
      </c>
      <c r="K50" t="s">
        <v>1194</v>
      </c>
      <c r="L50" t="s">
        <v>1194</v>
      </c>
      <c r="M50" t="s">
        <v>1194</v>
      </c>
      <c r="N50" t="s">
        <v>1194</v>
      </c>
      <c r="O50" t="s">
        <v>1194</v>
      </c>
      <c r="P50" t="s">
        <v>1194</v>
      </c>
      <c r="Q50" t="s">
        <v>1193</v>
      </c>
    </row>
    <row r="51" spans="1:17">
      <c r="A51" s="245" t="s">
        <v>1370</v>
      </c>
      <c r="B51" t="s">
        <v>1364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1184</v>
      </c>
    </row>
    <row r="54" spans="1:17">
      <c r="B54" s="245" t="s">
        <v>1185</v>
      </c>
    </row>
    <row r="55" spans="1:17">
      <c r="B55" s="245" t="s">
        <v>1186</v>
      </c>
    </row>
    <row r="56" spans="1:17">
      <c r="B56" s="529" t="s">
        <v>1409</v>
      </c>
      <c r="C56" s="529" t="s">
        <v>1410</v>
      </c>
      <c r="D56" s="529" t="s">
        <v>1411</v>
      </c>
      <c r="E56" s="529" t="s">
        <v>1412</v>
      </c>
      <c r="F56" s="529" t="s">
        <v>1413</v>
      </c>
      <c r="G56" s="529" t="s">
        <v>1414</v>
      </c>
      <c r="H56" s="529" t="s">
        <v>1415</v>
      </c>
      <c r="I56" s="529" t="s">
        <v>1416</v>
      </c>
      <c r="J56" s="529" t="s">
        <v>1417</v>
      </c>
      <c r="K56" s="529" t="s">
        <v>1418</v>
      </c>
      <c r="L56" s="529" t="s">
        <v>1419</v>
      </c>
      <c r="M56" s="529" t="s">
        <v>1420</v>
      </c>
      <c r="N56" s="529" t="s">
        <v>1421</v>
      </c>
      <c r="O56" s="529" t="s">
        <v>1422</v>
      </c>
      <c r="P56" s="529" t="s">
        <v>1423</v>
      </c>
      <c r="Q56" s="529" t="s">
        <v>1424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1019</v>
      </c>
    </row>
    <row r="2" spans="1:3">
      <c r="A2" t="s">
        <v>1026</v>
      </c>
      <c r="B2" t="s">
        <v>1027</v>
      </c>
    </row>
    <row r="7" spans="1:3">
      <c r="A7" t="s">
        <v>1018</v>
      </c>
      <c r="B7" s="376" t="str">
        <f>DehumidType</f>
        <v>No</v>
      </c>
    </row>
    <row r="8" spans="1:3">
      <c r="A8" s="245" t="s">
        <v>1021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1022</v>
      </c>
      <c r="B9" s="419">
        <v>1.85</v>
      </c>
      <c r="C9" s="245"/>
    </row>
    <row r="10" spans="1:3">
      <c r="A10" s="245" t="s">
        <v>1023</v>
      </c>
      <c r="B10" s="419">
        <v>55</v>
      </c>
      <c r="C10" s="245"/>
    </row>
    <row r="11" spans="1:3">
      <c r="A11" s="245" t="s">
        <v>1024</v>
      </c>
      <c r="B11" s="419">
        <v>2.5</v>
      </c>
      <c r="C11" s="245" t="s">
        <v>1025</v>
      </c>
    </row>
    <row r="14" spans="1:3">
      <c r="A14" t="s">
        <v>1028</v>
      </c>
    </row>
    <row r="15" spans="1:3">
      <c r="A15" t="s">
        <v>1029</v>
      </c>
      <c r="B15" t="s">
        <v>1030</v>
      </c>
    </row>
    <row r="16" spans="1:3">
      <c r="A16" t="s">
        <v>1031</v>
      </c>
      <c r="B16">
        <v>1.85</v>
      </c>
    </row>
    <row r="17" spans="1:9">
      <c r="A17" t="s">
        <v>1032</v>
      </c>
      <c r="B17">
        <v>2.8</v>
      </c>
    </row>
    <row r="19" spans="1:9" ht="15" thickBot="1">
      <c r="A19" t="s">
        <v>1034</v>
      </c>
      <c r="E19" s="126" t="s">
        <v>1033</v>
      </c>
    </row>
    <row r="20" spans="1:9" ht="28">
      <c r="A20" s="366" t="s">
        <v>1036</v>
      </c>
      <c r="B20" s="367" t="s">
        <v>1023</v>
      </c>
      <c r="C20" s="367" t="s">
        <v>1037</v>
      </c>
      <c r="D20" s="368" t="s">
        <v>1021</v>
      </c>
      <c r="E20" t="s">
        <v>788</v>
      </c>
      <c r="F20" t="s">
        <v>1035</v>
      </c>
      <c r="G20" t="s">
        <v>1040</v>
      </c>
      <c r="H20" t="s">
        <v>171</v>
      </c>
    </row>
    <row r="21" spans="1:9">
      <c r="A21" s="369" t="s">
        <v>1038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1038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1038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1038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1039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1039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1039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1039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788</v>
      </c>
      <c r="C34" s="285" t="s">
        <v>792</v>
      </c>
      <c r="D34" s="285" t="s">
        <v>1101</v>
      </c>
    </row>
    <row r="35" spans="1:5">
      <c r="B35" t="s">
        <v>789</v>
      </c>
      <c r="C35" t="s">
        <v>794</v>
      </c>
      <c r="D35" s="363">
        <v>46</v>
      </c>
      <c r="E35" s="363"/>
    </row>
    <row r="36" spans="1:5">
      <c r="C36" t="s">
        <v>793</v>
      </c>
      <c r="D36" s="363">
        <v>52</v>
      </c>
      <c r="E36" s="364"/>
    </row>
    <row r="37" spans="1:5">
      <c r="A37" s="362"/>
      <c r="C37" t="s">
        <v>795</v>
      </c>
      <c r="D37" s="362">
        <v>62</v>
      </c>
      <c r="E37" s="362"/>
    </row>
    <row r="38" spans="1:5">
      <c r="A38" s="362"/>
      <c r="B38" s="364" t="s">
        <v>793</v>
      </c>
      <c r="C38" s="245" t="s">
        <v>794</v>
      </c>
      <c r="D38" s="363">
        <v>46</v>
      </c>
      <c r="E38" s="362"/>
    </row>
    <row r="39" spans="1:5">
      <c r="C39" s="245" t="s">
        <v>793</v>
      </c>
      <c r="D39" s="363">
        <v>52</v>
      </c>
    </row>
    <row r="40" spans="1:5">
      <c r="C40" s="245" t="s">
        <v>795</v>
      </c>
      <c r="D40" s="362">
        <v>62</v>
      </c>
    </row>
    <row r="41" spans="1:5">
      <c r="B41" s="362" t="s">
        <v>790</v>
      </c>
      <c r="C41" s="245" t="s">
        <v>794</v>
      </c>
      <c r="D41" s="363">
        <v>66</v>
      </c>
    </row>
    <row r="42" spans="1:5">
      <c r="C42" s="245" t="s">
        <v>793</v>
      </c>
      <c r="D42" s="363">
        <v>72</v>
      </c>
    </row>
    <row r="43" spans="1:5">
      <c r="C43" s="245" t="s">
        <v>795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1134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1126</v>
      </c>
      <c r="B2" s="554" t="s">
        <v>1135</v>
      </c>
      <c r="C2" s="554"/>
      <c r="D2" s="554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1127</v>
      </c>
      <c r="B9" t="s">
        <v>1136</v>
      </c>
      <c r="C9" s="445" t="s">
        <v>1128</v>
      </c>
      <c r="D9" s="450"/>
      <c r="E9" s="440"/>
      <c r="F9" s="440"/>
      <c r="G9" s="440"/>
      <c r="H9" s="438"/>
    </row>
    <row r="10" spans="1:8">
      <c r="A10" s="439" t="s">
        <v>1146</v>
      </c>
      <c r="B10" t="s">
        <v>1112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1020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1020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1020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1138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1126</v>
      </c>
      <c r="B17" s="437" t="s">
        <v>1130</v>
      </c>
      <c r="C17" s="442" t="s">
        <v>1132</v>
      </c>
      <c r="D17" s="442" t="s">
        <v>1133</v>
      </c>
      <c r="E17" s="438"/>
      <c r="F17" s="438"/>
      <c r="G17" s="438"/>
      <c r="H17" s="438"/>
    </row>
    <row r="18" spans="1:8">
      <c r="A18" s="447">
        <v>1</v>
      </c>
      <c r="B18" s="437" t="s">
        <v>1129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1129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1129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1131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1131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1131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1139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1126</v>
      </c>
      <c r="B27" s="437" t="s">
        <v>1136</v>
      </c>
      <c r="C27" s="448" t="s">
        <v>1137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1112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1112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1112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1020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1020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1020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2017-05-01T22:56:12Z</dcterms:modified>
</cp:coreProperties>
</file>