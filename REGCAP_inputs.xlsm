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300" yWindow="0" windowWidth="27700" windowHeight="1610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2" l="1"/>
  <c r="D7" i="2"/>
  <c r="D8" i="2"/>
  <c r="B22" i="7"/>
  <c r="B23" i="7"/>
  <c r="L2" i="6"/>
  <c r="D20" i="2"/>
  <c r="X31" i="3"/>
  <c r="D15" i="2"/>
  <c r="X34" i="3"/>
  <c r="R9" i="6"/>
  <c r="R10" i="6"/>
  <c r="R13" i="6"/>
  <c r="S50" i="1"/>
  <c r="S68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J31" i="3"/>
  <c r="J34" i="3"/>
  <c r="D9" i="6"/>
  <c r="D10" i="6"/>
  <c r="D13" i="6"/>
  <c r="E50" i="1"/>
  <c r="E68" i="1"/>
  <c r="K31" i="3"/>
  <c r="K34" i="3"/>
  <c r="E9" i="6"/>
  <c r="E10" i="6"/>
  <c r="E13" i="6"/>
  <c r="F50" i="1"/>
  <c r="F68" i="1"/>
  <c r="L31" i="3"/>
  <c r="L34" i="3"/>
  <c r="F9" i="6"/>
  <c r="F10" i="6"/>
  <c r="F13" i="6"/>
  <c r="G50" i="1"/>
  <c r="G68" i="1"/>
  <c r="M31" i="3"/>
  <c r="M34" i="3"/>
  <c r="G9" i="6"/>
  <c r="G10" i="6"/>
  <c r="G13" i="6"/>
  <c r="H50" i="1"/>
  <c r="H68" i="1"/>
  <c r="N31" i="3"/>
  <c r="N34" i="3"/>
  <c r="H9" i="6"/>
  <c r="H10" i="6"/>
  <c r="H13" i="6"/>
  <c r="I50" i="1"/>
  <c r="I68" i="1"/>
  <c r="O31" i="3"/>
  <c r="O34" i="3"/>
  <c r="I9" i="6"/>
  <c r="I10" i="6"/>
  <c r="I13" i="6"/>
  <c r="J50" i="1"/>
  <c r="J68" i="1"/>
  <c r="P31" i="3"/>
  <c r="P34" i="3"/>
  <c r="J9" i="6"/>
  <c r="J10" i="6"/>
  <c r="J13" i="6"/>
  <c r="K50" i="1"/>
  <c r="K68" i="1"/>
  <c r="Q31" i="3"/>
  <c r="Q34" i="3"/>
  <c r="K9" i="6"/>
  <c r="K10" i="6"/>
  <c r="K13" i="6"/>
  <c r="L50" i="1"/>
  <c r="L68" i="1"/>
  <c r="R31" i="3"/>
  <c r="R34" i="3"/>
  <c r="L9" i="6"/>
  <c r="L10" i="6"/>
  <c r="L13" i="6"/>
  <c r="M50" i="1"/>
  <c r="M68" i="1"/>
  <c r="S31" i="3"/>
  <c r="S34" i="3"/>
  <c r="M9" i="6"/>
  <c r="M10" i="6"/>
  <c r="M13" i="6"/>
  <c r="N50" i="1"/>
  <c r="N68" i="1"/>
  <c r="T31" i="3"/>
  <c r="T34" i="3"/>
  <c r="N9" i="6"/>
  <c r="N10" i="6"/>
  <c r="N13" i="6"/>
  <c r="O50" i="1"/>
  <c r="O68" i="1"/>
  <c r="U31" i="3"/>
  <c r="U34" i="3"/>
  <c r="O9" i="6"/>
  <c r="O10" i="6"/>
  <c r="O13" i="6"/>
  <c r="P50" i="1"/>
  <c r="P68" i="1"/>
  <c r="V31" i="3"/>
  <c r="V34" i="3"/>
  <c r="P9" i="6"/>
  <c r="P10" i="6"/>
  <c r="P13" i="6"/>
  <c r="Q50" i="1"/>
  <c r="Q68" i="1"/>
  <c r="W31" i="3"/>
  <c r="W34" i="3"/>
  <c r="Q9" i="6"/>
  <c r="Q10" i="6"/>
  <c r="Q13" i="6"/>
  <c r="R50" i="1"/>
  <c r="R68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67" i="1"/>
  <c r="D69" i="1"/>
  <c r="I31" i="3"/>
  <c r="I34" i="3"/>
  <c r="C9" i="6"/>
  <c r="C10" i="6"/>
  <c r="C13" i="6"/>
  <c r="D50" i="1"/>
  <c r="D68" i="1"/>
  <c r="H31" i="3"/>
  <c r="H34" i="3"/>
  <c r="B9" i="6"/>
  <c r="B10" i="6"/>
  <c r="B13" i="6"/>
  <c r="C50" i="1"/>
  <c r="C68" i="1"/>
  <c r="C50" i="15"/>
  <c r="C68" i="15"/>
  <c r="D11" i="2"/>
  <c r="D16" i="2"/>
  <c r="D19" i="2"/>
  <c r="C6" i="5"/>
  <c r="B29" i="10"/>
  <c r="C7" i="5"/>
  <c r="B30" i="10"/>
  <c r="D9" i="2"/>
  <c r="C8" i="5"/>
  <c r="B31" i="10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B99" i="6"/>
  <c r="B89" i="6"/>
  <c r="B78" i="6"/>
  <c r="B111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<sst xmlns="http://schemas.openxmlformats.org/spreadsheetml/2006/main" count="2792" uniqueCount="1358">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</sst>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3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50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165" fontId="4" fillId="42" borderId="0" xfId="4" applyNumberFormat="1" applyFont="1" applyFill="1" applyAlignment="1">
      <alignment horizontal="center"/>
    </xf>
    <xf numFmtId="171" fontId="4" fillId="0" borderId="0" xfId="4" applyNumberFormat="1" applyBorder="1" applyAlignment="1">
      <alignment horizontal="right"/>
    </xf>
  </cellXfs>
  <cellStyles count="330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0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2">
        <v>42718</v>
      </c>
    </row>
    <row r="5" spans="1:2" ht="15" thickBot="1"/>
    <row r="6" spans="1:2">
      <c r="A6" s="413" t="s">
        <v>3</v>
      </c>
      <c r="B6" s="423" t="s">
        <v>0</v>
      </c>
    </row>
    <row r="7" spans="1:2">
      <c r="A7" s="401" t="s">
        <v>1196</v>
      </c>
      <c r="B7" s="403" t="s">
        <v>1197</v>
      </c>
    </row>
    <row r="8" spans="1:2" s="266" customFormat="1">
      <c r="A8" s="401" t="s">
        <v>966</v>
      </c>
      <c r="B8" s="403" t="s">
        <v>1141</v>
      </c>
    </row>
    <row r="9" spans="1:2">
      <c r="A9" s="401" t="s">
        <v>1129</v>
      </c>
      <c r="B9" s="403" t="s">
        <v>1142</v>
      </c>
    </row>
    <row r="10" spans="1:2">
      <c r="A10" s="401" t="s">
        <v>1130</v>
      </c>
      <c r="B10" s="403" t="s">
        <v>1143</v>
      </c>
    </row>
    <row r="11" spans="1:2">
      <c r="A11" s="401" t="s">
        <v>14</v>
      </c>
      <c r="B11" s="403" t="s">
        <v>1144</v>
      </c>
    </row>
    <row r="12" spans="1:2">
      <c r="A12" s="401" t="s">
        <v>7</v>
      </c>
      <c r="B12" s="403" t="s">
        <v>1145</v>
      </c>
    </row>
    <row r="13" spans="1:2">
      <c r="A13" s="401" t="s">
        <v>22</v>
      </c>
      <c r="B13" s="403" t="s">
        <v>1146</v>
      </c>
    </row>
    <row r="14" spans="1:2">
      <c r="A14" s="401" t="s">
        <v>45</v>
      </c>
      <c r="B14" s="403" t="s">
        <v>1147</v>
      </c>
    </row>
    <row r="15" spans="1:2">
      <c r="A15" s="401" t="s">
        <v>50</v>
      </c>
      <c r="B15" s="403" t="s">
        <v>1148</v>
      </c>
    </row>
    <row r="16" spans="1:2">
      <c r="A16" s="401" t="s">
        <v>336</v>
      </c>
      <c r="B16" s="403" t="s">
        <v>1149</v>
      </c>
    </row>
    <row r="17" spans="1:4">
      <c r="A17" s="401" t="s">
        <v>74</v>
      </c>
      <c r="B17" s="403" t="s">
        <v>1150</v>
      </c>
    </row>
    <row r="18" spans="1:4">
      <c r="A18" s="401" t="s">
        <v>102</v>
      </c>
      <c r="B18" s="403" t="s">
        <v>1151</v>
      </c>
    </row>
    <row r="19" spans="1:4">
      <c r="A19" s="401" t="s">
        <v>1152</v>
      </c>
      <c r="B19" s="403" t="s">
        <v>1153</v>
      </c>
    </row>
    <row r="20" spans="1:4">
      <c r="A20" s="401" t="s">
        <v>1095</v>
      </c>
      <c r="B20" s="403" t="s">
        <v>1154</v>
      </c>
    </row>
    <row r="21" spans="1:4">
      <c r="A21" s="401" t="s">
        <v>1182</v>
      </c>
      <c r="B21" s="403" t="s">
        <v>1155</v>
      </c>
    </row>
    <row r="22" spans="1:4" ht="15" thickBot="1">
      <c r="A22" s="404" t="s">
        <v>1120</v>
      </c>
      <c r="B22" s="407" t="s">
        <v>1156</v>
      </c>
    </row>
    <row r="24" spans="1:4" ht="18">
      <c r="A24" s="333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3" t="s">
        <v>1132</v>
      </c>
    </row>
    <row r="30" spans="1:4">
      <c r="A30" s="424" t="s">
        <v>1126</v>
      </c>
      <c r="B30" s="424" t="s">
        <v>0</v>
      </c>
      <c r="C30" s="424" t="s">
        <v>1128</v>
      </c>
      <c r="D30" s="424" t="s">
        <v>1133</v>
      </c>
    </row>
    <row r="31" spans="1:4">
      <c r="A31" t="s">
        <v>1127</v>
      </c>
      <c r="B31" t="s">
        <v>1176</v>
      </c>
      <c r="C31" s="421">
        <v>42465</v>
      </c>
      <c r="D31" t="s">
        <v>1134</v>
      </c>
    </row>
    <row r="32" spans="1:4">
      <c r="A32" t="s">
        <v>1195</v>
      </c>
      <c r="B32" s="394" t="s">
        <v>1204</v>
      </c>
      <c r="C32" s="475">
        <v>42585</v>
      </c>
      <c r="D32" t="s">
        <v>1198</v>
      </c>
    </row>
    <row r="33" spans="1:4">
      <c r="A33" s="266" t="s">
        <v>1205</v>
      </c>
      <c r="B33" s="394" t="s">
        <v>1206</v>
      </c>
      <c r="C33" s="475">
        <v>42605</v>
      </c>
      <c r="D33" t="s">
        <v>1134</v>
      </c>
    </row>
    <row r="34" spans="1:4">
      <c r="B34" t="s">
        <v>1207</v>
      </c>
      <c r="C34" s="475">
        <v>42710</v>
      </c>
      <c r="D34" t="s">
        <v>1198</v>
      </c>
    </row>
    <row r="35" spans="1:4">
      <c r="B35" t="s">
        <v>1229</v>
      </c>
      <c r="C35" s="475">
        <v>42710</v>
      </c>
      <c r="D35" t="s">
        <v>1198</v>
      </c>
    </row>
    <row r="36" spans="1:4">
      <c r="B36" t="s">
        <v>1234</v>
      </c>
      <c r="C36" s="475">
        <v>42711</v>
      </c>
      <c r="D36" t="s">
        <v>1198</v>
      </c>
    </row>
    <row r="37" spans="1:4">
      <c r="A37" t="s">
        <v>1237</v>
      </c>
      <c r="B37" t="s">
        <v>1236</v>
      </c>
      <c r="C37" s="475">
        <v>42717</v>
      </c>
      <c r="D37" t="s">
        <v>1198</v>
      </c>
    </row>
    <row r="38" spans="1:4">
      <c r="B38" t="s">
        <v>1245</v>
      </c>
      <c r="C38" s="475">
        <v>42723</v>
      </c>
      <c r="D38" t="s">
        <v>1198</v>
      </c>
    </row>
    <row r="39" spans="1:4">
      <c r="B39" t="s">
        <v>1246</v>
      </c>
      <c r="C39" s="475">
        <v>42723</v>
      </c>
      <c r="D39" t="s">
        <v>1198</v>
      </c>
    </row>
    <row r="40" spans="1:4">
      <c r="B40" t="s">
        <v>1251</v>
      </c>
      <c r="C40" s="475">
        <v>42723</v>
      </c>
      <c r="D40" t="s">
        <v>1198</v>
      </c>
    </row>
    <row r="41" spans="1:4">
      <c r="B41" t="s">
        <v>1253</v>
      </c>
      <c r="C41" s="475">
        <v>42723</v>
      </c>
      <c r="D41" s="266" t="s">
        <v>1198</v>
      </c>
    </row>
    <row r="42" spans="1:4">
      <c r="B42" t="s">
        <v>1254</v>
      </c>
      <c r="C42" s="475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5">
        <v>42739</v>
      </c>
      <c r="D44" t="s">
        <v>1198</v>
      </c>
    </row>
    <row r="45" spans="1:4">
      <c r="B45" t="s">
        <v>1320</v>
      </c>
      <c r="C45" s="475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G2" sqref="G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3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4" t="s">
        <v>821</v>
      </c>
      <c r="B2" s="330"/>
      <c r="C2" s="331" t="s">
        <v>827</v>
      </c>
      <c r="E2" s="334" t="s">
        <v>1238</v>
      </c>
      <c r="F2" s="330"/>
      <c r="G2" s="331">
        <v>1</v>
      </c>
      <c r="I2" s="310" t="s">
        <v>965</v>
      </c>
      <c r="J2" s="266"/>
      <c r="K2" s="339" t="s">
        <v>1122</v>
      </c>
      <c r="M2" s="266"/>
    </row>
    <row r="3" spans="1:17" ht="15" thickBot="1">
      <c r="A3" s="324" t="s">
        <v>822</v>
      </c>
      <c r="B3" s="337"/>
      <c r="C3" s="325" t="str">
        <f>IF(B3&lt;&gt;"",A3,"")</f>
        <v/>
      </c>
      <c r="E3" s="324">
        <v>0</v>
      </c>
      <c r="F3" s="337" t="s">
        <v>967</v>
      </c>
      <c r="G3" s="325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4" t="s">
        <v>827</v>
      </c>
      <c r="B4" s="337" t="s">
        <v>967</v>
      </c>
      <c r="C4" s="325" t="str">
        <f>IF(B4&lt;&gt;"",A4,"")</f>
        <v>Med</v>
      </c>
      <c r="E4" s="324">
        <v>1</v>
      </c>
      <c r="F4" s="337" t="s">
        <v>967</v>
      </c>
      <c r="G4" s="325">
        <f t="shared" si="0"/>
        <v>1</v>
      </c>
      <c r="H4" t="s">
        <v>1241</v>
      </c>
      <c r="I4" s="341" t="s">
        <v>968</v>
      </c>
      <c r="J4" s="335"/>
      <c r="K4" s="336" t="str">
        <f>D45 &amp; "_" &amp;D51 &amp; "_"</f>
        <v>Full_1st_</v>
      </c>
      <c r="M4" s="266"/>
      <c r="N4" s="266"/>
    </row>
    <row r="5" spans="1:17" ht="15" thickBot="1">
      <c r="A5" s="326" t="s">
        <v>823</v>
      </c>
      <c r="B5" s="338"/>
      <c r="C5" s="327" t="str">
        <f>IF(B5&lt;&gt;"",A5,"")</f>
        <v/>
      </c>
      <c r="E5" s="324">
        <v>2</v>
      </c>
      <c r="F5" s="337" t="s">
        <v>967</v>
      </c>
      <c r="G5" s="325">
        <f t="shared" si="0"/>
        <v>2</v>
      </c>
      <c r="H5" t="s">
        <v>1242</v>
      </c>
      <c r="M5" s="266"/>
      <c r="N5" s="266"/>
    </row>
    <row r="6" spans="1:17" ht="15" thickBot="1">
      <c r="E6" s="328">
        <v>3</v>
      </c>
      <c r="F6" s="337" t="s">
        <v>967</v>
      </c>
      <c r="G6" s="325">
        <f t="shared" si="0"/>
        <v>3</v>
      </c>
      <c r="H6" t="s">
        <v>1243</v>
      </c>
      <c r="I6" s="413" t="s">
        <v>969</v>
      </c>
      <c r="J6" s="414"/>
      <c r="K6" s="414"/>
      <c r="L6" s="415" t="s">
        <v>964</v>
      </c>
      <c r="M6" s="266"/>
      <c r="N6" s="5"/>
    </row>
    <row r="7" spans="1:17" ht="15">
      <c r="A7" s="334" t="s">
        <v>826</v>
      </c>
      <c r="B7" s="330"/>
      <c r="C7" s="331" t="s">
        <v>827</v>
      </c>
      <c r="E7" s="328">
        <v>4</v>
      </c>
      <c r="F7" s="337" t="s">
        <v>967</v>
      </c>
      <c r="G7" s="325">
        <f t="shared" si="0"/>
        <v>4</v>
      </c>
      <c r="H7" t="s">
        <v>1244</v>
      </c>
      <c r="I7" s="342">
        <f>InputFiles!C1</f>
        <v>1</v>
      </c>
      <c r="J7" s="337" t="s">
        <v>967</v>
      </c>
      <c r="K7" s="19">
        <f t="shared" ref="K7:K23" si="1">IF(J7&lt;&gt;"",I7,"")</f>
        <v>1</v>
      </c>
      <c r="L7" s="416" t="str">
        <f t="shared" ref="L7:L23" si="2">IF(J7&lt;&gt;"",BaseName &amp; IF(ISNUMBER(I7),I7,LEFT(I7,1)) &amp; "_" &amp; HumControl,"")</f>
        <v>Full_1st_1_1</v>
      </c>
      <c r="M7" s="129"/>
      <c r="N7" s="5"/>
    </row>
    <row r="8" spans="1:17">
      <c r="A8" s="324" t="s">
        <v>828</v>
      </c>
      <c r="B8" s="337"/>
      <c r="C8" s="325" t="str">
        <f>IF(B8&lt;&gt;"",A8,"")</f>
        <v/>
      </c>
      <c r="E8" s="328">
        <v>5</v>
      </c>
      <c r="F8" s="337"/>
      <c r="G8" s="325" t="str">
        <f t="shared" si="0"/>
        <v/>
      </c>
      <c r="I8" s="342">
        <f>InputFiles!D1</f>
        <v>2</v>
      </c>
      <c r="J8" s="337" t="s">
        <v>967</v>
      </c>
      <c r="K8" s="19">
        <f t="shared" si="1"/>
        <v>2</v>
      </c>
      <c r="L8" s="416" t="str">
        <f t="shared" si="2"/>
        <v>Full_1st_2_1</v>
      </c>
      <c r="M8" s="129"/>
      <c r="N8" s="5"/>
    </row>
    <row r="9" spans="1:17">
      <c r="A9" s="324" t="s">
        <v>827</v>
      </c>
      <c r="B9" s="337" t="s">
        <v>967</v>
      </c>
      <c r="C9" s="325" t="str">
        <f>IF(B9&lt;&gt;"",A9,"")</f>
        <v>Med</v>
      </c>
      <c r="E9" s="328">
        <v>6</v>
      </c>
      <c r="F9" s="337"/>
      <c r="G9" s="325" t="str">
        <f t="shared" si="0"/>
        <v/>
      </c>
      <c r="I9" s="342">
        <f>InputFiles!E1</f>
        <v>3</v>
      </c>
      <c r="J9" s="337" t="s">
        <v>967</v>
      </c>
      <c r="K9" s="19">
        <f t="shared" si="1"/>
        <v>3</v>
      </c>
      <c r="L9" s="416" t="str">
        <f t="shared" si="2"/>
        <v>Full_1st_3_1</v>
      </c>
      <c r="M9" s="129"/>
      <c r="N9" s="5"/>
    </row>
    <row r="10" spans="1:17" ht="15" thickBot="1">
      <c r="A10" s="326" t="s">
        <v>829</v>
      </c>
      <c r="B10" s="338"/>
      <c r="C10" s="327" t="str">
        <f>IF(B10&lt;&gt;"",A10,"")</f>
        <v/>
      </c>
      <c r="E10" s="328">
        <v>7</v>
      </c>
      <c r="F10" s="337"/>
      <c r="G10" s="325" t="str">
        <f t="shared" si="0"/>
        <v/>
      </c>
      <c r="I10" s="342">
        <f>InputFiles!F1</f>
        <v>4</v>
      </c>
      <c r="J10" s="337" t="s">
        <v>967</v>
      </c>
      <c r="K10" s="19">
        <f t="shared" si="1"/>
        <v>4</v>
      </c>
      <c r="L10" s="416" t="str">
        <f t="shared" si="2"/>
        <v>Full_1st_4_1</v>
      </c>
      <c r="M10" s="129"/>
      <c r="N10" s="5"/>
    </row>
    <row r="11" spans="1:17" ht="15" thickBot="1">
      <c r="E11" s="328">
        <v>8</v>
      </c>
      <c r="F11" s="337"/>
      <c r="G11" s="325" t="str">
        <f t="shared" si="0"/>
        <v/>
      </c>
      <c r="I11" s="342">
        <f>InputFiles!G1</f>
        <v>5</v>
      </c>
      <c r="J11" s="337" t="s">
        <v>967</v>
      </c>
      <c r="K11" s="19">
        <f t="shared" si="1"/>
        <v>5</v>
      </c>
      <c r="L11" s="416" t="str">
        <f t="shared" si="2"/>
        <v>Full_1st_5_1</v>
      </c>
      <c r="M11" s="129"/>
      <c r="N11" s="5"/>
    </row>
    <row r="12" spans="1:17" ht="15">
      <c r="A12" s="334" t="s">
        <v>812</v>
      </c>
      <c r="B12" s="330"/>
      <c r="C12" s="331">
        <v>1</v>
      </c>
      <c r="E12" s="328">
        <v>9</v>
      </c>
      <c r="F12" s="337"/>
      <c r="G12" s="325" t="str">
        <f t="shared" si="0"/>
        <v/>
      </c>
      <c r="I12" s="342">
        <f>InputFiles!H1</f>
        <v>6</v>
      </c>
      <c r="J12" s="337" t="s">
        <v>967</v>
      </c>
      <c r="K12" s="19">
        <f t="shared" si="1"/>
        <v>6</v>
      </c>
      <c r="L12" s="416" t="str">
        <f t="shared" si="2"/>
        <v>Full_1st_6_1</v>
      </c>
      <c r="M12" s="129"/>
      <c r="N12" s="5"/>
    </row>
    <row r="13" spans="1:17">
      <c r="A13" s="324">
        <v>1</v>
      </c>
      <c r="B13" s="337" t="s">
        <v>967</v>
      </c>
      <c r="C13" s="325">
        <f>IF(B13&lt;&gt;"",A13,"")</f>
        <v>1</v>
      </c>
      <c r="E13" s="328">
        <v>10</v>
      </c>
      <c r="F13" s="337"/>
      <c r="G13" s="325" t="str">
        <f t="shared" si="0"/>
        <v/>
      </c>
      <c r="I13" s="342">
        <f>InputFiles!I1</f>
        <v>7</v>
      </c>
      <c r="J13" s="337" t="s">
        <v>967</v>
      </c>
      <c r="K13" s="19">
        <f t="shared" si="1"/>
        <v>7</v>
      </c>
      <c r="L13" s="416" t="str">
        <f t="shared" si="2"/>
        <v>Full_1st_7_1</v>
      </c>
      <c r="M13" s="129"/>
      <c r="N13" s="5"/>
    </row>
    <row r="14" spans="1:17">
      <c r="A14" s="324">
        <v>2</v>
      </c>
      <c r="B14" s="337"/>
      <c r="C14" s="325" t="str">
        <f>IF(B14&lt;&gt;"",A14,"")</f>
        <v/>
      </c>
      <c r="E14" s="328">
        <v>11</v>
      </c>
      <c r="F14" s="337"/>
      <c r="G14" s="325" t="str">
        <f t="shared" si="0"/>
        <v/>
      </c>
      <c r="I14" s="342">
        <f>InputFiles!J1</f>
        <v>8</v>
      </c>
      <c r="J14" s="337" t="s">
        <v>967</v>
      </c>
      <c r="K14" s="19">
        <f t="shared" si="1"/>
        <v>8</v>
      </c>
      <c r="L14" s="416" t="str">
        <f t="shared" si="2"/>
        <v>Full_1st_8_1</v>
      </c>
      <c r="M14" s="129"/>
      <c r="N14" s="5"/>
    </row>
    <row r="15" spans="1:17" ht="15" thickBot="1">
      <c r="A15" s="326"/>
      <c r="B15" s="338"/>
      <c r="C15" s="327"/>
      <c r="E15" s="328">
        <v>12</v>
      </c>
      <c r="F15" s="337"/>
      <c r="G15" s="325" t="str">
        <f t="shared" si="0"/>
        <v/>
      </c>
      <c r="I15" s="342">
        <f>InputFiles!K1</f>
        <v>9</v>
      </c>
      <c r="J15" s="337" t="s">
        <v>967</v>
      </c>
      <c r="K15" s="19">
        <f t="shared" si="1"/>
        <v>9</v>
      </c>
      <c r="L15" s="416" t="str">
        <f t="shared" si="2"/>
        <v>Full_1st_9_1</v>
      </c>
      <c r="M15" s="129"/>
      <c r="N15" s="5"/>
    </row>
    <row r="16" spans="1:17" ht="15" thickBot="1">
      <c r="E16" s="328">
        <v>13</v>
      </c>
      <c r="F16" s="337"/>
      <c r="G16" s="325" t="str">
        <f t="shared" si="0"/>
        <v/>
      </c>
      <c r="I16" s="342">
        <f>InputFiles!L1</f>
        <v>10</v>
      </c>
      <c r="J16" s="337" t="s">
        <v>967</v>
      </c>
      <c r="K16" s="19">
        <f t="shared" si="1"/>
        <v>10</v>
      </c>
      <c r="L16" s="416" t="str">
        <f t="shared" si="2"/>
        <v>Full_1st_10_1</v>
      </c>
      <c r="M16" s="129"/>
      <c r="N16" s="5"/>
    </row>
    <row r="17" spans="1:17" ht="15">
      <c r="A17" s="334" t="s">
        <v>836</v>
      </c>
      <c r="B17" s="330"/>
      <c r="C17" s="331">
        <v>1</v>
      </c>
      <c r="E17" s="328">
        <v>14</v>
      </c>
      <c r="F17" s="337"/>
      <c r="G17" s="325" t="str">
        <f t="shared" si="0"/>
        <v/>
      </c>
      <c r="I17" s="342">
        <f>InputFiles!M1</f>
        <v>11</v>
      </c>
      <c r="J17" s="337" t="s">
        <v>967</v>
      </c>
      <c r="K17" s="19">
        <f t="shared" si="1"/>
        <v>11</v>
      </c>
      <c r="L17" s="416" t="str">
        <f t="shared" si="2"/>
        <v>Full_1st_11_1</v>
      </c>
      <c r="M17" s="129"/>
      <c r="N17" s="5"/>
    </row>
    <row r="18" spans="1:17">
      <c r="A18" s="324">
        <v>0</v>
      </c>
      <c r="B18" s="337"/>
      <c r="C18" s="325" t="str">
        <f>IF(B18&lt;&gt;"",A18,"")</f>
        <v/>
      </c>
      <c r="E18" s="328">
        <v>15</v>
      </c>
      <c r="F18" s="337"/>
      <c r="G18" s="325" t="str">
        <f t="shared" si="0"/>
        <v/>
      </c>
      <c r="I18" s="342">
        <f>InputFiles!N1</f>
        <v>12</v>
      </c>
      <c r="J18" s="337" t="s">
        <v>967</v>
      </c>
      <c r="K18" s="19">
        <f t="shared" si="1"/>
        <v>12</v>
      </c>
      <c r="L18" s="416" t="str">
        <f t="shared" si="2"/>
        <v>Full_1st_12_1</v>
      </c>
      <c r="M18" s="129"/>
      <c r="N18" s="5"/>
    </row>
    <row r="19" spans="1:17">
      <c r="A19" s="324">
        <v>0.5</v>
      </c>
      <c r="B19" s="337"/>
      <c r="C19" s="325" t="str">
        <f>IF(B19&lt;&gt;"",A19,"")</f>
        <v/>
      </c>
      <c r="E19" s="328">
        <v>16</v>
      </c>
      <c r="F19" s="337"/>
      <c r="G19" s="325" t="str">
        <f t="shared" si="0"/>
        <v/>
      </c>
      <c r="I19" s="342">
        <f>InputFiles!O1</f>
        <v>13</v>
      </c>
      <c r="J19" s="337" t="s">
        <v>967</v>
      </c>
      <c r="K19" s="19">
        <f t="shared" si="1"/>
        <v>13</v>
      </c>
      <c r="L19" s="416" t="str">
        <f t="shared" si="2"/>
        <v>Full_1st_13_1</v>
      </c>
      <c r="M19" s="129"/>
      <c r="N19" s="5"/>
    </row>
    <row r="20" spans="1:17" ht="15" thickBot="1">
      <c r="A20" s="326">
        <v>1</v>
      </c>
      <c r="B20" s="338" t="s">
        <v>967</v>
      </c>
      <c r="C20" s="332">
        <f>IF(B20&lt;&gt;"",A20,"")</f>
        <v>1</v>
      </c>
      <c r="E20" s="328">
        <v>17</v>
      </c>
      <c r="F20" s="337"/>
      <c r="G20" s="325" t="str">
        <f t="shared" si="0"/>
        <v/>
      </c>
      <c r="I20" s="342">
        <f>InputFiles!P1</f>
        <v>14</v>
      </c>
      <c r="J20" s="337" t="s">
        <v>967</v>
      </c>
      <c r="K20" s="19">
        <f t="shared" si="1"/>
        <v>14</v>
      </c>
      <c r="L20" s="416" t="str">
        <f t="shared" si="2"/>
        <v>Full_1st_14_1</v>
      </c>
      <c r="M20" s="129"/>
      <c r="N20" s="5"/>
    </row>
    <row r="21" spans="1:17" ht="15" thickBot="1">
      <c r="E21" s="328">
        <v>18</v>
      </c>
      <c r="F21" s="337"/>
      <c r="G21" s="325" t="str">
        <f t="shared" si="0"/>
        <v/>
      </c>
      <c r="I21" s="342">
        <f>InputFiles!Q1</f>
        <v>15</v>
      </c>
      <c r="J21" s="337" t="s">
        <v>967</v>
      </c>
      <c r="K21" s="19">
        <f t="shared" si="1"/>
        <v>15</v>
      </c>
      <c r="L21" s="416" t="str">
        <f t="shared" si="2"/>
        <v>Full_1st_15_1</v>
      </c>
      <c r="M21" s="129"/>
      <c r="N21" s="5"/>
    </row>
    <row r="22" spans="1:17" ht="15">
      <c r="A22" s="334" t="s">
        <v>949</v>
      </c>
      <c r="B22" s="330"/>
      <c r="C22" s="331" t="s">
        <v>1121</v>
      </c>
      <c r="E22" s="328">
        <v>19</v>
      </c>
      <c r="F22" s="337"/>
      <c r="G22" s="325" t="str">
        <f t="shared" si="0"/>
        <v/>
      </c>
      <c r="I22" s="342" t="str">
        <f>InputFiles!R1</f>
        <v>Orlando</v>
      </c>
      <c r="J22" s="337"/>
      <c r="K22" s="19" t="str">
        <f t="shared" si="1"/>
        <v/>
      </c>
      <c r="L22" s="416" t="str">
        <f t="shared" si="2"/>
        <v/>
      </c>
      <c r="M22" s="129"/>
      <c r="N22" s="5"/>
    </row>
    <row r="23" spans="1:17" ht="15" thickBot="1">
      <c r="A23" s="324" t="s">
        <v>817</v>
      </c>
      <c r="B23" s="337" t="s">
        <v>967</v>
      </c>
      <c r="C23" s="325" t="str">
        <f>IF(B23&lt;&gt;"",A23,"")</f>
        <v>new</v>
      </c>
      <c r="E23" s="329">
        <v>20</v>
      </c>
      <c r="F23" s="338"/>
      <c r="G23" s="327" t="str">
        <f t="shared" si="0"/>
        <v/>
      </c>
      <c r="I23" s="343" t="str">
        <f>InputFiles!S1</f>
        <v>Charleston</v>
      </c>
      <c r="J23" s="338"/>
      <c r="K23" s="417" t="str">
        <f t="shared" si="1"/>
        <v/>
      </c>
      <c r="L23" s="416" t="str">
        <f t="shared" si="2"/>
        <v/>
      </c>
      <c r="M23" s="129"/>
      <c r="N23" s="5"/>
    </row>
    <row r="24" spans="1:17" ht="15" thickBot="1">
      <c r="A24" s="324" t="s">
        <v>818</v>
      </c>
      <c r="B24" s="337"/>
      <c r="C24" s="325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6"/>
      <c r="B25" s="338"/>
      <c r="C25" s="332" t="str">
        <f>IF(B25&lt;&gt;"",A25,"")</f>
        <v/>
      </c>
      <c r="F25" s="266"/>
      <c r="I25" s="341" t="s">
        <v>1096</v>
      </c>
      <c r="J25" s="418"/>
      <c r="K25" s="419">
        <f>COUNTA(B3:B5)*COUNTA(B8:B10)*COUNTA(B13:B14)*COUNTA(B18:B20) * COUNTA(B28:B33)*COUNTA(B36:B38)*COUNTA(F3:F23)*COUNTA(J7:J23)*COUNTA(B46:B49)*COUNTA(B52:B54)</f>
        <v>900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4" t="s">
        <v>970</v>
      </c>
      <c r="B27" s="330"/>
      <c r="C27" s="331">
        <v>7</v>
      </c>
      <c r="F27" s="266"/>
      <c r="M27" s="266"/>
      <c r="P27" s="266"/>
    </row>
    <row r="28" spans="1:17">
      <c r="A28" s="324">
        <v>10</v>
      </c>
      <c r="B28" s="344"/>
      <c r="C28" s="325" t="str">
        <f t="shared" ref="C28:C33" si="3">IF(B28&lt;&gt;"",A28,"")</f>
        <v/>
      </c>
      <c r="F28" s="266"/>
      <c r="J28" s="266"/>
      <c r="M28" s="266"/>
      <c r="P28" s="266"/>
    </row>
    <row r="29" spans="1:17">
      <c r="A29" s="324">
        <v>7</v>
      </c>
      <c r="B29" s="345"/>
      <c r="C29" s="325" t="str">
        <f t="shared" si="3"/>
        <v/>
      </c>
      <c r="F29" s="266"/>
      <c r="J29" s="266"/>
      <c r="M29" s="266"/>
      <c r="P29" s="266"/>
    </row>
    <row r="30" spans="1:17">
      <c r="A30" s="324">
        <v>5</v>
      </c>
      <c r="B30" s="345"/>
      <c r="C30" s="325" t="str">
        <f t="shared" si="3"/>
        <v/>
      </c>
      <c r="F30" s="266"/>
      <c r="J30" s="266"/>
      <c r="M30" s="266"/>
      <c r="P30" s="266"/>
    </row>
    <row r="31" spans="1:17">
      <c r="A31" s="324">
        <v>3</v>
      </c>
      <c r="B31" s="345" t="s">
        <v>967</v>
      </c>
      <c r="C31" s="325">
        <f t="shared" si="3"/>
        <v>3</v>
      </c>
      <c r="F31" s="266"/>
      <c r="J31" s="266"/>
      <c r="M31" s="266"/>
      <c r="P31" s="266"/>
    </row>
    <row r="32" spans="1:17">
      <c r="A32" s="324">
        <v>1.5</v>
      </c>
      <c r="B32" s="345"/>
      <c r="C32" s="325" t="str">
        <f t="shared" si="3"/>
        <v/>
      </c>
      <c r="F32" s="266"/>
      <c r="J32" s="266"/>
      <c r="M32" s="266"/>
      <c r="P32" s="266"/>
    </row>
    <row r="33" spans="1:16" ht="15" thickBot="1">
      <c r="A33" s="326">
        <v>0.6</v>
      </c>
      <c r="B33" s="346"/>
      <c r="C33" s="327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4" t="s">
        <v>845</v>
      </c>
      <c r="B35" s="330"/>
      <c r="C35" s="331" t="s">
        <v>1252</v>
      </c>
    </row>
    <row r="36" spans="1:16">
      <c r="A36" s="324" t="s">
        <v>843</v>
      </c>
      <c r="B36" s="337"/>
      <c r="C36" s="325" t="str">
        <f>IF(B36&lt;&gt;"",A36,"")</f>
        <v/>
      </c>
    </row>
    <row r="37" spans="1:16">
      <c r="A37" s="324" t="s">
        <v>844</v>
      </c>
      <c r="B37" s="337"/>
      <c r="C37" s="325" t="str">
        <f>IF(B37&lt;&gt;"",A37,"")</f>
        <v/>
      </c>
    </row>
    <row r="38" spans="1:16" ht="15" thickBot="1">
      <c r="A38" s="326" t="s">
        <v>1252</v>
      </c>
      <c r="B38" s="338" t="s">
        <v>967</v>
      </c>
      <c r="C38" s="327" t="str">
        <f>IF(B38&lt;&gt;"",A38,"")</f>
        <v>Simple Exhaust</v>
      </c>
    </row>
    <row r="39" spans="1:16" ht="15" thickBot="1"/>
    <row r="40" spans="1:16" ht="15">
      <c r="A40" s="334" t="s">
        <v>1120</v>
      </c>
      <c r="B40" s="330"/>
      <c r="C40" s="331" t="s">
        <v>1194</v>
      </c>
    </row>
    <row r="41" spans="1:16">
      <c r="A41" s="324" t="s">
        <v>1099</v>
      </c>
      <c r="B41" s="337"/>
      <c r="C41" s="325" t="str">
        <f>IF(B41&lt;&gt;"",A41,"")</f>
        <v/>
      </c>
    </row>
    <row r="42" spans="1:16">
      <c r="A42" s="324" t="s">
        <v>1194</v>
      </c>
      <c r="B42" s="337" t="s">
        <v>967</v>
      </c>
      <c r="C42" s="325" t="str">
        <f>IF(B42&lt;&gt;"",A42,"")</f>
        <v>No</v>
      </c>
    </row>
    <row r="43" spans="1:16" ht="15" thickBot="1">
      <c r="A43" s="326"/>
      <c r="B43" s="338"/>
      <c r="C43" s="327" t="str">
        <f>IF(B43&lt;&gt;"",A43,"")</f>
        <v/>
      </c>
    </row>
    <row r="44" spans="1:16" ht="15" thickBot="1"/>
    <row r="45" spans="1:16" ht="15">
      <c r="A45" s="334" t="s">
        <v>1247</v>
      </c>
      <c r="B45" s="330"/>
      <c r="C45" s="331" t="s">
        <v>905</v>
      </c>
      <c r="D45" t="str">
        <f>IF(occSchedule="occ_full.txt","Full",IF(occSchedule="occ_1stShift.txt","1st",IF(occSchedule="occ_3rdShift.txt","3rd","1stExt")))</f>
        <v>Full</v>
      </c>
    </row>
    <row r="46" spans="1:16">
      <c r="A46" s="324" t="s">
        <v>905</v>
      </c>
      <c r="B46" s="344" t="s">
        <v>967</v>
      </c>
      <c r="C46" s="325" t="str">
        <f>IF(B46&lt;&gt;"",A46,"")</f>
        <v>occ_full.txt</v>
      </c>
    </row>
    <row r="47" spans="1:16">
      <c r="A47" s="324" t="s">
        <v>1248</v>
      </c>
      <c r="B47" s="345" t="s">
        <v>967</v>
      </c>
      <c r="C47" s="325" t="str">
        <f t="shared" ref="C47:C48" si="4">IF(B47&lt;&gt;"",A47,"")</f>
        <v>occ_1stShift.txt</v>
      </c>
    </row>
    <row r="48" spans="1:16">
      <c r="A48" s="493" t="s">
        <v>1249</v>
      </c>
      <c r="B48" s="494" t="s">
        <v>967</v>
      </c>
      <c r="C48" s="325" t="str">
        <f t="shared" si="4"/>
        <v>occ_3rdShift.txt</v>
      </c>
    </row>
    <row r="49" spans="1:4" s="266" customFormat="1">
      <c r="A49" s="19" t="s">
        <v>1261</v>
      </c>
      <c r="B49" s="494" t="s">
        <v>967</v>
      </c>
      <c r="C49" s="325" t="str">
        <f t="shared" ref="C49" si="5">IF(B49&lt;&gt;"",A49,"")</f>
        <v>occ_1stShift_extended.txt</v>
      </c>
    </row>
    <row r="50" spans="1:4" ht="15" thickBot="1">
      <c r="A50" s="19"/>
      <c r="B50" s="495"/>
      <c r="C50" s="19"/>
    </row>
    <row r="51" spans="1:4" ht="15">
      <c r="A51" s="334" t="s">
        <v>1250</v>
      </c>
      <c r="B51" s="330"/>
      <c r="C51" s="331" t="s">
        <v>1259</v>
      </c>
      <c r="D51" t="str">
        <f>IF(fanSchedule="REGCAP_FanSchedule_1stShift.txt", "1st",IF(fanSchedule="REGCAP_FanSchedule_3rdShift.txt","3rd", "1stExt"))</f>
        <v>1st</v>
      </c>
    </row>
    <row r="52" spans="1:4">
      <c r="A52" s="324" t="s">
        <v>1259</v>
      </c>
      <c r="B52" s="344" t="s">
        <v>967</v>
      </c>
      <c r="C52" s="325" t="str">
        <f>IF(B52&lt;&gt;"",A52,"")</f>
        <v>REGCAP_FanSchedule_1stShift.txt</v>
      </c>
    </row>
    <row r="53" spans="1:4">
      <c r="A53" s="493" t="s">
        <v>1260</v>
      </c>
      <c r="B53" s="494" t="s">
        <v>967</v>
      </c>
      <c r="C53" s="325" t="str">
        <f>IF(B53&lt;&gt;"",A53,"")</f>
        <v>REGCAP_FanSchedule_3rdShift.txt</v>
      </c>
    </row>
    <row r="54" spans="1:4">
      <c r="A54" s="19" t="s">
        <v>1262</v>
      </c>
      <c r="B54" s="494" t="s">
        <v>967</v>
      </c>
      <c r="C54" s="325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43" activePane="bottomLeft" state="frozen"/>
      <selection pane="bottomLeft" activeCell="C49" sqref="C49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3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1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0" t="str">
        <f>fanSchedule</f>
        <v>REGCAP_FanSchedule_1stShift.txt</v>
      </c>
      <c r="D3" t="s">
        <v>900</v>
      </c>
      <c r="G3" t="s">
        <v>336</v>
      </c>
      <c r="I3" s="340" t="s">
        <v>1137</v>
      </c>
    </row>
    <row r="4" spans="1:23">
      <c r="B4" s="266" t="s">
        <v>896</v>
      </c>
      <c r="C4" s="340" t="s">
        <v>906</v>
      </c>
      <c r="D4" t="s">
        <v>901</v>
      </c>
      <c r="G4" t="s">
        <v>11</v>
      </c>
      <c r="I4" s="370" t="s">
        <v>1160</v>
      </c>
    </row>
    <row r="5" spans="1:23">
      <c r="B5" s="266" t="s">
        <v>897</v>
      </c>
      <c r="C5" s="340" t="str">
        <f>occSchedule</f>
        <v>occ_full.txt</v>
      </c>
      <c r="D5" t="s">
        <v>902</v>
      </c>
      <c r="G5" t="s">
        <v>11</v>
      </c>
      <c r="I5" s="371" t="s">
        <v>1138</v>
      </c>
    </row>
    <row r="6" spans="1:23">
      <c r="A6" s="366"/>
      <c r="B6" s="366" t="s">
        <v>898</v>
      </c>
      <c r="C6" s="340" t="s">
        <v>904</v>
      </c>
      <c r="D6" s="366" t="s">
        <v>903</v>
      </c>
      <c r="E6" s="366"/>
      <c r="F6" s="366"/>
      <c r="G6" s="366" t="s">
        <v>11</v>
      </c>
      <c r="W6" s="5"/>
    </row>
    <row r="7" spans="1:23">
      <c r="A7" s="1" t="s">
        <v>907</v>
      </c>
      <c r="B7" t="s">
        <v>1222</v>
      </c>
      <c r="C7" s="372">
        <f>Leakage!H32</f>
        <v>3.125E-2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3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3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3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3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3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3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3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6"/>
      <c r="B15" s="366" t="s">
        <v>18</v>
      </c>
      <c r="C15" s="374">
        <f>Leakage!H11</f>
        <v>0</v>
      </c>
      <c r="D15" s="366" t="s">
        <v>457</v>
      </c>
      <c r="E15" s="366"/>
      <c r="F15" s="366" t="s">
        <v>16</v>
      </c>
      <c r="G15" s="366" t="s">
        <v>7</v>
      </c>
      <c r="W15" s="5"/>
    </row>
    <row r="16" spans="1:23">
      <c r="A16" s="266" t="s">
        <v>19</v>
      </c>
      <c r="B16" t="s">
        <v>977</v>
      </c>
      <c r="C16" s="465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5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990</v>
      </c>
      <c r="C19" s="382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6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5">
        <f>H_flueSI</f>
        <v>4.6166666666666663</v>
      </c>
      <c r="D21" t="s">
        <v>23</v>
      </c>
      <c r="G21" t="s">
        <v>24</v>
      </c>
      <c r="W21" s="5"/>
    </row>
    <row r="22" spans="1:25">
      <c r="A22" s="366"/>
      <c r="B22" s="366" t="s">
        <v>993</v>
      </c>
      <c r="C22" s="374">
        <f>Flue!D11</f>
        <v>-99</v>
      </c>
      <c r="D22" s="366" t="s">
        <v>25</v>
      </c>
      <c r="E22" s="366"/>
      <c r="F22" s="366"/>
      <c r="G22" s="366" t="s">
        <v>22</v>
      </c>
      <c r="W22" s="5"/>
    </row>
    <row r="23" spans="1:25">
      <c r="A23" s="266" t="s">
        <v>27</v>
      </c>
      <c r="B23" t="s">
        <v>978</v>
      </c>
      <c r="C23" s="375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5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5">
        <f>Leakage!M6</f>
        <v>0.16666666666666666</v>
      </c>
      <c r="D25" t="s">
        <v>396</v>
      </c>
      <c r="G25" t="s">
        <v>7</v>
      </c>
      <c r="W25" s="5"/>
    </row>
    <row r="26" spans="1:25">
      <c r="B26" s="366" t="s">
        <v>981</v>
      </c>
      <c r="C26" s="376">
        <f>C25</f>
        <v>0.16666666666666666</v>
      </c>
      <c r="D26" s="366" t="s">
        <v>397</v>
      </c>
      <c r="E26" s="366"/>
      <c r="F26" s="366"/>
      <c r="G26" s="366" t="s">
        <v>7</v>
      </c>
      <c r="W26" s="5"/>
    </row>
    <row r="27" spans="1:25">
      <c r="B27" t="s">
        <v>982</v>
      </c>
      <c r="C27" s="375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5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5">
        <f>C25</f>
        <v>0.16666666666666666</v>
      </c>
      <c r="D29" t="s">
        <v>36</v>
      </c>
      <c r="G29" t="s">
        <v>7</v>
      </c>
    </row>
    <row r="30" spans="1:25">
      <c r="B30" s="366" t="s">
        <v>985</v>
      </c>
      <c r="C30" s="376">
        <f>C26</f>
        <v>0.16666666666666666</v>
      </c>
      <c r="D30" s="366" t="s">
        <v>1000</v>
      </c>
      <c r="E30" s="366"/>
      <c r="F30" s="366"/>
      <c r="G30" s="366" t="s">
        <v>7</v>
      </c>
    </row>
    <row r="31" spans="1:25">
      <c r="B31" t="s">
        <v>986</v>
      </c>
      <c r="C31" s="367">
        <v>1</v>
      </c>
      <c r="D31" t="s">
        <v>37</v>
      </c>
      <c r="G31" t="s">
        <v>11</v>
      </c>
    </row>
    <row r="32" spans="1:25">
      <c r="A32" s="366"/>
      <c r="B32" s="366" t="s">
        <v>995</v>
      </c>
      <c r="C32" s="362">
        <v>0</v>
      </c>
      <c r="D32" s="366" t="s">
        <v>38</v>
      </c>
      <c r="E32" s="366" t="s">
        <v>39</v>
      </c>
      <c r="F32" s="366"/>
      <c r="G32" s="366" t="s">
        <v>11</v>
      </c>
    </row>
    <row r="33" spans="1:7">
      <c r="A33" s="266" t="s">
        <v>1089</v>
      </c>
      <c r="B33" t="s">
        <v>405</v>
      </c>
      <c r="C33" s="373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2" t="s">
        <v>813</v>
      </c>
      <c r="D34" t="s">
        <v>1135</v>
      </c>
      <c r="G34" t="s">
        <v>11</v>
      </c>
    </row>
    <row r="35" spans="1:7">
      <c r="B35" t="s">
        <v>997</v>
      </c>
      <c r="C35" s="377">
        <f>V_houseSI</f>
        <v>500</v>
      </c>
      <c r="D35" t="s">
        <v>41</v>
      </c>
      <c r="G35" t="s">
        <v>14</v>
      </c>
    </row>
    <row r="36" spans="1:7">
      <c r="B36" t="s">
        <v>998</v>
      </c>
      <c r="C36" s="377">
        <f>A_houseSI</f>
        <v>200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7">
        <f>planareaSI</f>
        <v>200</v>
      </c>
      <c r="D37" t="s">
        <v>404</v>
      </c>
      <c r="G37" t="s">
        <v>14</v>
      </c>
    </row>
    <row r="38" spans="1:7">
      <c r="B38" t="s">
        <v>909</v>
      </c>
      <c r="C38" s="377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8">
        <f>UA!F11</f>
        <v>57.092894810105378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8">
        <f>UA!F13</f>
        <v>87.353846153846163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6"/>
      <c r="B41" s="366" t="s">
        <v>1004</v>
      </c>
      <c r="C41" s="379">
        <f>UA!F12</f>
        <v>90.847999999999999</v>
      </c>
      <c r="D41" s="366" t="s">
        <v>948</v>
      </c>
      <c r="E41" s="366" t="s">
        <v>1009</v>
      </c>
      <c r="F41" s="366"/>
      <c r="G41" s="366" t="s">
        <v>45</v>
      </c>
    </row>
    <row r="42" spans="1:7">
      <c r="A42" s="266" t="s">
        <v>46</v>
      </c>
      <c r="B42" t="s">
        <v>1005</v>
      </c>
      <c r="C42" s="367">
        <v>0</v>
      </c>
      <c r="D42" t="s">
        <v>47</v>
      </c>
      <c r="G42" t="s">
        <v>11</v>
      </c>
    </row>
    <row r="43" spans="1:7">
      <c r="B43" t="s">
        <v>911</v>
      </c>
      <c r="C43" s="362">
        <v>0</v>
      </c>
    </row>
    <row r="44" spans="1:7">
      <c r="B44" t="s">
        <v>912</v>
      </c>
      <c r="C44" s="362">
        <v>0</v>
      </c>
    </row>
    <row r="45" spans="1:7">
      <c r="B45" t="s">
        <v>913</v>
      </c>
      <c r="C45" s="362">
        <v>0</v>
      </c>
    </row>
    <row r="46" spans="1:7">
      <c r="B46" t="s">
        <v>914</v>
      </c>
      <c r="C46" s="362">
        <v>0</v>
      </c>
    </row>
    <row r="47" spans="1:7">
      <c r="A47" s="366"/>
      <c r="B47" s="366" t="s">
        <v>915</v>
      </c>
      <c r="C47" s="362">
        <v>0</v>
      </c>
      <c r="D47" s="366"/>
      <c r="E47" s="366"/>
      <c r="F47" s="366"/>
      <c r="G47" s="366"/>
    </row>
    <row r="48" spans="1:7">
      <c r="A48" s="266" t="s">
        <v>48</v>
      </c>
      <c r="B48" t="s">
        <v>1006</v>
      </c>
      <c r="C48" s="367">
        <v>6</v>
      </c>
      <c r="D48" t="s">
        <v>49</v>
      </c>
      <c r="G48" t="s">
        <v>11</v>
      </c>
    </row>
    <row r="49" spans="2:7">
      <c r="B49" t="s">
        <v>1012</v>
      </c>
      <c r="C49" s="380">
        <f>Fans!B12</f>
        <v>23.936228961264781</v>
      </c>
      <c r="D49" t="s">
        <v>646</v>
      </c>
      <c r="G49" t="s">
        <v>50</v>
      </c>
    </row>
    <row r="50" spans="2:7">
      <c r="B50" t="s">
        <v>1010</v>
      </c>
      <c r="C50" s="385">
        <f>Fans!B13</f>
        <v>-4.2290157175379477E-2</v>
      </c>
      <c r="D50" t="s">
        <v>51</v>
      </c>
      <c r="G50" t="s">
        <v>50</v>
      </c>
    </row>
    <row r="51" spans="2:7">
      <c r="B51" s="366" t="s">
        <v>1011</v>
      </c>
      <c r="C51" s="469">
        <f>Fans!B14</f>
        <v>1</v>
      </c>
      <c r="D51" s="366" t="s">
        <v>647</v>
      </c>
      <c r="E51" s="366"/>
      <c r="F51" s="366" t="s">
        <v>52</v>
      </c>
      <c r="G51" s="366" t="s">
        <v>50</v>
      </c>
    </row>
    <row r="52" spans="2:7">
      <c r="B52" s="266" t="s">
        <v>1013</v>
      </c>
      <c r="C52" s="373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1">
        <f>Fans!C20</f>
        <v>-7.0788107597923547E-2</v>
      </c>
      <c r="D53" t="s">
        <v>53</v>
      </c>
      <c r="G53" t="s">
        <v>50</v>
      </c>
    </row>
    <row r="54" spans="2:7">
      <c r="B54" s="366" t="s">
        <v>1015</v>
      </c>
      <c r="C54" s="362">
        <v>23</v>
      </c>
      <c r="D54" s="366" t="s">
        <v>649</v>
      </c>
      <c r="E54" s="366"/>
      <c r="F54" s="366"/>
      <c r="G54" s="366"/>
    </row>
    <row r="55" spans="2:7">
      <c r="B55" s="266" t="s">
        <v>1016</v>
      </c>
      <c r="C55" s="382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1">
        <f>Fans!C18</f>
        <v>-4.7192071731949031E-2</v>
      </c>
      <c r="D56" t="s">
        <v>54</v>
      </c>
      <c r="G56" t="s">
        <v>50</v>
      </c>
    </row>
    <row r="57" spans="2:7">
      <c r="B57" s="366" t="s">
        <v>1018</v>
      </c>
      <c r="C57" s="362">
        <v>24</v>
      </c>
      <c r="D57" s="366" t="s">
        <v>651</v>
      </c>
      <c r="E57" s="366"/>
      <c r="F57" s="366"/>
      <c r="G57" s="366"/>
    </row>
    <row r="58" spans="2:7">
      <c r="B58" s="266" t="s">
        <v>1019</v>
      </c>
      <c r="C58" s="373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1">
        <f>IF(Fans!B6&gt;0,Fans!C17,0)</f>
        <v>-2.3596035865974516E-2</v>
      </c>
      <c r="D59" t="s">
        <v>56</v>
      </c>
      <c r="G59" t="s">
        <v>50</v>
      </c>
    </row>
    <row r="60" spans="2:7">
      <c r="B60" s="366" t="s">
        <v>1021</v>
      </c>
      <c r="C60" s="362">
        <v>25</v>
      </c>
      <c r="D60" s="366" t="s">
        <v>653</v>
      </c>
      <c r="E60" s="366"/>
      <c r="F60" s="366"/>
      <c r="G60" s="366"/>
    </row>
    <row r="61" spans="2:7">
      <c r="B61" s="266" t="s">
        <v>1022</v>
      </c>
      <c r="C61" s="373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1">
        <f>IF(Fans!B6&gt;1,Fans!C17,0)</f>
        <v>-2.3596035865974516E-2</v>
      </c>
      <c r="D62" t="s">
        <v>524</v>
      </c>
      <c r="G62" s="266" t="s">
        <v>50</v>
      </c>
    </row>
    <row r="63" spans="2:7">
      <c r="B63" s="366" t="s">
        <v>1024</v>
      </c>
      <c r="C63" s="362">
        <v>26</v>
      </c>
      <c r="D63" s="366" t="s">
        <v>654</v>
      </c>
      <c r="E63" s="366"/>
      <c r="F63" s="366"/>
      <c r="G63" s="366"/>
    </row>
    <row r="64" spans="2:7">
      <c r="B64" s="266" t="s">
        <v>1025</v>
      </c>
      <c r="C64" s="373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1">
        <f>IF(Fans!B6&gt;2,Fans!C17,0)</f>
        <v>0</v>
      </c>
      <c r="D65" t="s">
        <v>525</v>
      </c>
      <c r="G65" s="266" t="s">
        <v>50</v>
      </c>
    </row>
    <row r="66" spans="1:7">
      <c r="B66" s="366" t="s">
        <v>1027</v>
      </c>
      <c r="C66" s="362">
        <v>27</v>
      </c>
      <c r="D66" s="366" t="s">
        <v>656</v>
      </c>
      <c r="E66" s="366"/>
      <c r="F66" s="366"/>
      <c r="G66" s="366"/>
    </row>
    <row r="67" spans="1:7">
      <c r="B67" s="266" t="s">
        <v>1028</v>
      </c>
      <c r="C67" s="369">
        <v>0</v>
      </c>
      <c r="D67" t="s">
        <v>1094</v>
      </c>
      <c r="G67" s="266"/>
    </row>
    <row r="68" spans="1:7">
      <c r="B68" s="266" t="s">
        <v>1029</v>
      </c>
      <c r="C68" s="363">
        <f>-1*C50</f>
        <v>4.2290157175379477E-2</v>
      </c>
      <c r="D68" t="s">
        <v>525</v>
      </c>
      <c r="G68" s="266"/>
    </row>
    <row r="69" spans="1:7">
      <c r="B69" s="366" t="s">
        <v>1030</v>
      </c>
      <c r="C69" s="362">
        <v>1</v>
      </c>
      <c r="D69" s="366" t="s">
        <v>527</v>
      </c>
      <c r="E69" s="366"/>
      <c r="F69" s="366"/>
      <c r="G69" s="366"/>
    </row>
    <row r="70" spans="1:7">
      <c r="B70" s="266" t="s">
        <v>1031</v>
      </c>
      <c r="C70" s="369">
        <v>0</v>
      </c>
      <c r="D70" t="s">
        <v>1093</v>
      </c>
      <c r="G70" s="266"/>
    </row>
    <row r="71" spans="1:7">
      <c r="B71" s="266" t="s">
        <v>1032</v>
      </c>
      <c r="C71" s="363">
        <v>0</v>
      </c>
      <c r="D71" t="s">
        <v>525</v>
      </c>
      <c r="G71" s="266"/>
    </row>
    <row r="72" spans="1:7">
      <c r="A72" s="366"/>
      <c r="B72" s="366" t="s">
        <v>1033</v>
      </c>
      <c r="C72" s="362">
        <v>0</v>
      </c>
      <c r="D72" s="366" t="s">
        <v>527</v>
      </c>
      <c r="E72" s="366"/>
      <c r="F72" s="366"/>
      <c r="G72" s="366"/>
    </row>
    <row r="73" spans="1:7">
      <c r="A73" s="266" t="s">
        <v>57</v>
      </c>
      <c r="B73" t="s">
        <v>406</v>
      </c>
      <c r="C73" s="375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5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5">
        <f>A_windowSI/4</f>
        <v>10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5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6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6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3">
        <f>'Internal gains'!D12</f>
        <v>7.5231481481481474E-5</v>
      </c>
      <c r="D79" t="s">
        <v>67</v>
      </c>
      <c r="G79" t="s">
        <v>68</v>
      </c>
    </row>
    <row r="80" spans="1:7">
      <c r="A80" s="366"/>
      <c r="B80" s="366" t="s">
        <v>1038</v>
      </c>
      <c r="C80" s="384">
        <f>'Internal gains'!D6</f>
        <v>784.24891084927458</v>
      </c>
      <c r="D80" s="366" t="s">
        <v>69</v>
      </c>
      <c r="E80" s="366"/>
      <c r="F80" s="366"/>
      <c r="G80" s="366" t="s">
        <v>68</v>
      </c>
    </row>
    <row r="81" spans="1:7">
      <c r="A81" s="266" t="s">
        <v>70</v>
      </c>
      <c r="B81" t="s">
        <v>1039</v>
      </c>
      <c r="C81" s="377">
        <f>Geometry!D25</f>
        <v>166.66666666666663</v>
      </c>
      <c r="D81" t="s">
        <v>502</v>
      </c>
      <c r="G81" s="266" t="s">
        <v>14</v>
      </c>
    </row>
    <row r="82" spans="1:7">
      <c r="B82" t="s">
        <v>1040</v>
      </c>
      <c r="C82" s="375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6" t="s">
        <v>1041</v>
      </c>
      <c r="C83" s="376">
        <f>Attic!D14</f>
        <v>0.65</v>
      </c>
      <c r="D83" s="366" t="s">
        <v>75</v>
      </c>
      <c r="E83" s="366" t="s">
        <v>76</v>
      </c>
      <c r="F83" s="366" t="s">
        <v>73</v>
      </c>
      <c r="G83" s="366" t="s">
        <v>74</v>
      </c>
    </row>
    <row r="84" spans="1:7">
      <c r="B84" t="s">
        <v>1042</v>
      </c>
      <c r="C84" s="373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3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3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3">
        <f>Attic!D22</f>
        <v>0.1</v>
      </c>
      <c r="D87" t="s">
        <v>81</v>
      </c>
      <c r="E87" t="s">
        <v>32</v>
      </c>
      <c r="G87" t="s">
        <v>74</v>
      </c>
    </row>
    <row r="88" spans="1:7">
      <c r="B88" s="366" t="s">
        <v>1046</v>
      </c>
      <c r="C88" s="374">
        <f>Attic!D23</f>
        <v>0.1</v>
      </c>
      <c r="D88" s="366" t="s">
        <v>82</v>
      </c>
      <c r="E88" s="366"/>
      <c r="F88" s="366"/>
      <c r="G88" s="366" t="s">
        <v>74</v>
      </c>
    </row>
    <row r="89" spans="1:7">
      <c r="B89" t="s">
        <v>1047</v>
      </c>
      <c r="C89" s="373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3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3">
        <f>H_soffitSI</f>
        <v>2.9499999999999997</v>
      </c>
      <c r="D91" t="s">
        <v>85</v>
      </c>
      <c r="G91" t="s">
        <v>14</v>
      </c>
    </row>
    <row r="92" spans="1:7">
      <c r="A92" s="366"/>
      <c r="B92" s="366" t="s">
        <v>1050</v>
      </c>
      <c r="C92" s="374">
        <f>H_soffitSI</f>
        <v>2.9499999999999997</v>
      </c>
      <c r="D92" s="366" t="s">
        <v>86</v>
      </c>
      <c r="E92" s="366"/>
      <c r="F92" s="366"/>
      <c r="G92" s="366" t="s">
        <v>14</v>
      </c>
    </row>
    <row r="93" spans="1:7">
      <c r="A93" s="266" t="s">
        <v>87</v>
      </c>
      <c r="B93" t="s">
        <v>1051</v>
      </c>
      <c r="C93" s="367">
        <v>2</v>
      </c>
      <c r="D93" t="s">
        <v>88</v>
      </c>
      <c r="G93" t="s">
        <v>11</v>
      </c>
    </row>
    <row r="94" spans="1:7">
      <c r="B94" t="s">
        <v>1164</v>
      </c>
      <c r="C94" s="362">
        <v>1</v>
      </c>
      <c r="D94" t="s">
        <v>89</v>
      </c>
      <c r="G94" t="s">
        <v>74</v>
      </c>
    </row>
    <row r="95" spans="1:7">
      <c r="B95" t="s">
        <v>1165</v>
      </c>
      <c r="C95" s="375">
        <f>H_attic.ventSI</f>
        <v>3.7833333333333332</v>
      </c>
      <c r="D95" t="s">
        <v>90</v>
      </c>
      <c r="G95" s="266" t="s">
        <v>14</v>
      </c>
    </row>
    <row r="96" spans="1:7">
      <c r="B96" t="s">
        <v>1166</v>
      </c>
      <c r="C96" s="375">
        <f>Attic!D12*Attic!D19*2</f>
        <v>0.18666666666666665</v>
      </c>
      <c r="D96" t="s">
        <v>91</v>
      </c>
      <c r="G96" t="s">
        <v>74</v>
      </c>
    </row>
    <row r="97" spans="1:7">
      <c r="B97" s="366" t="s">
        <v>1167</v>
      </c>
      <c r="C97" s="362">
        <v>0.5</v>
      </c>
      <c r="D97" s="366" t="s">
        <v>92</v>
      </c>
      <c r="E97" s="366"/>
      <c r="F97" s="366"/>
      <c r="G97" s="366" t="s">
        <v>11</v>
      </c>
    </row>
    <row r="98" spans="1:7">
      <c r="B98" s="266" t="s">
        <v>1168</v>
      </c>
      <c r="C98" s="367">
        <v>3</v>
      </c>
      <c r="D98" t="s">
        <v>89</v>
      </c>
      <c r="G98" t="s">
        <v>11</v>
      </c>
    </row>
    <row r="99" spans="1:7">
      <c r="B99" s="266" t="s">
        <v>1169</v>
      </c>
      <c r="C99" s="375">
        <f>H_attic.ventSI</f>
        <v>3.7833333333333332</v>
      </c>
      <c r="D99" t="s">
        <v>90</v>
      </c>
      <c r="G99" s="266" t="s">
        <v>14</v>
      </c>
    </row>
    <row r="100" spans="1:7">
      <c r="B100" s="266" t="s">
        <v>1170</v>
      </c>
      <c r="C100" s="375">
        <f>Attic!D12*Attic!D21*2</f>
        <v>5.3333333333333337E-2</v>
      </c>
      <c r="D100" t="s">
        <v>91</v>
      </c>
      <c r="G100" t="s">
        <v>74</v>
      </c>
    </row>
    <row r="101" spans="1:7">
      <c r="A101" s="366"/>
      <c r="B101" s="366" t="s">
        <v>1171</v>
      </c>
      <c r="C101" s="362">
        <v>0.5</v>
      </c>
      <c r="D101" s="366" t="s">
        <v>92</v>
      </c>
      <c r="E101" s="366"/>
      <c r="F101" s="366"/>
      <c r="G101" s="366" t="s">
        <v>11</v>
      </c>
    </row>
    <row r="102" spans="1:7">
      <c r="A102" s="266" t="s">
        <v>152</v>
      </c>
      <c r="B102" t="s">
        <v>1052</v>
      </c>
      <c r="C102" s="375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2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7">
        <f>H_peak</f>
        <v>4.6166666666666663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2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2">
        <v>0</v>
      </c>
      <c r="D109" s="277" t="s">
        <v>98</v>
      </c>
      <c r="E109" s="277"/>
      <c r="F109" s="277"/>
      <c r="G109" s="3" t="s">
        <v>11</v>
      </c>
    </row>
    <row r="110" spans="1:7">
      <c r="A110" s="366"/>
      <c r="B110" s="366" t="s">
        <v>1060</v>
      </c>
      <c r="C110" s="362">
        <v>1</v>
      </c>
      <c r="D110" s="101" t="s">
        <v>100</v>
      </c>
      <c r="E110" s="101"/>
      <c r="F110" s="101"/>
      <c r="G110" s="368" t="s">
        <v>11</v>
      </c>
    </row>
    <row r="111" spans="1:7">
      <c r="A111" s="266" t="s">
        <v>99</v>
      </c>
      <c r="B111" t="s">
        <v>1061</v>
      </c>
      <c r="C111" s="367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5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5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5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5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2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2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7">
        <f>Ducts!D16</f>
        <v>68.757185308095615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7">
        <f>Ducts!D17</f>
        <v>7.0737844967176553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3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3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5">
        <f>HVAC!B135</f>
        <v>0.47199999999999998</v>
      </c>
      <c r="D122" s="277" t="s">
        <v>661</v>
      </c>
      <c r="E122" s="277" t="str">
        <f>"q=" &amp;TEXT(Inputs!C122/0.3048^3*60,"0")&amp; " CFM"</f>
        <v>q=1000 CFM</v>
      </c>
      <c r="F122" s="277"/>
      <c r="G122" s="3" t="s">
        <v>111</v>
      </c>
    </row>
    <row r="123" spans="1:7">
      <c r="B123" t="s">
        <v>1069</v>
      </c>
      <c r="C123" s="385">
        <f>HVAC!B139</f>
        <v>0.23788799999999999</v>
      </c>
      <c r="D123" s="277" t="s">
        <v>112</v>
      </c>
      <c r="E123" s="277" t="str">
        <f>"q=" &amp;TEXT(Inputs!C123/0.3048^3*60,"0")&amp; " CFM"</f>
        <v>q=504 CFM</v>
      </c>
      <c r="F123" s="277"/>
      <c r="G123" s="3" t="s">
        <v>111</v>
      </c>
    </row>
    <row r="124" spans="1:7">
      <c r="B124" t="s">
        <v>113</v>
      </c>
      <c r="C124" s="373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3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7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6"/>
      <c r="B127" s="366" t="s">
        <v>119</v>
      </c>
      <c r="C127" s="387">
        <f>HVAC!B142</f>
        <v>0</v>
      </c>
      <c r="D127" s="101" t="s">
        <v>120</v>
      </c>
      <c r="E127" s="101"/>
      <c r="F127" s="101"/>
      <c r="G127" s="368" t="s">
        <v>111</v>
      </c>
    </row>
    <row r="128" spans="1:7">
      <c r="A128" s="266" t="s">
        <v>504</v>
      </c>
      <c r="B128" t="s">
        <v>410</v>
      </c>
      <c r="C128" s="385">
        <f>HVAC!B133</f>
        <v>2.5</v>
      </c>
      <c r="D128" s="277" t="s">
        <v>121</v>
      </c>
      <c r="E128" s="277" t="str">
        <f>"= "&amp;TEXT(Inputs!C128*12*1055/1000,"0.0")&amp;"kJ"</f>
        <v>= 31.7kJ</v>
      </c>
      <c r="F128" s="277"/>
      <c r="G128" s="3" t="s">
        <v>111</v>
      </c>
    </row>
    <row r="129" spans="1:7">
      <c r="B129" t="s">
        <v>411</v>
      </c>
      <c r="C129" s="388">
        <f>12*C128</f>
        <v>30</v>
      </c>
      <c r="D129" s="277" t="s">
        <v>122</v>
      </c>
      <c r="E129" s="277" t="str">
        <f>"= "&amp;TEXT(Inputs!C129*1055*1000/(3600)/1000,"0.0")&amp;"kW"</f>
        <v>= 8.8kW</v>
      </c>
      <c r="F129" s="277"/>
      <c r="G129" s="3" t="s">
        <v>111</v>
      </c>
    </row>
    <row r="130" spans="1:7">
      <c r="B130" t="s">
        <v>409</v>
      </c>
      <c r="C130" s="386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6">
        <f>12000/1000*HVAC!B137</f>
        <v>30</v>
      </c>
      <c r="D131" s="277" t="s">
        <v>125</v>
      </c>
      <c r="E131" s="277" t="str">
        <f>"= "&amp;TEXT(Inputs!C131*1055*1000/(3600)/1000,"0.0")&amp;"kW"</f>
        <v>= 8.8kW</v>
      </c>
      <c r="F131" s="277"/>
      <c r="G131" s="3" t="s">
        <v>111</v>
      </c>
    </row>
    <row r="132" spans="1:7">
      <c r="B132" t="s">
        <v>1071</v>
      </c>
      <c r="C132" s="386">
        <f>HVAC!B140</f>
        <v>201.6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6">
        <f>HVAC!B136</f>
        <v>400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2">
        <v>1</v>
      </c>
      <c r="D134" s="84" t="s">
        <v>455</v>
      </c>
      <c r="E134" s="277"/>
      <c r="F134" s="277"/>
      <c r="G134" s="3" t="s">
        <v>11</v>
      </c>
    </row>
    <row r="135" spans="1:7">
      <c r="A135" s="366"/>
      <c r="B135" s="366" t="s">
        <v>392</v>
      </c>
      <c r="C135" s="389">
        <f>HVAC!C14</f>
        <v>0.8</v>
      </c>
      <c r="D135" s="123" t="s">
        <v>452</v>
      </c>
      <c r="E135" s="101"/>
      <c r="F135" s="101"/>
      <c r="G135" s="368" t="s">
        <v>111</v>
      </c>
    </row>
    <row r="136" spans="1:7">
      <c r="A136" s="266" t="s">
        <v>1090</v>
      </c>
      <c r="B136" t="s">
        <v>1073</v>
      </c>
      <c r="C136" s="391">
        <f>Nbedrooms</f>
        <v>3</v>
      </c>
      <c r="D136" t="s">
        <v>624</v>
      </c>
      <c r="G136" s="365" t="s">
        <v>336</v>
      </c>
    </row>
    <row r="137" spans="1:7">
      <c r="B137" t="s">
        <v>1074</v>
      </c>
      <c r="C137" s="392">
        <f>Stories</f>
        <v>1</v>
      </c>
      <c r="D137" t="s">
        <v>668</v>
      </c>
      <c r="G137" s="365" t="s">
        <v>1077</v>
      </c>
    </row>
    <row r="138" spans="1:7">
      <c r="B138" t="s">
        <v>625</v>
      </c>
      <c r="C138" s="390">
        <f>Weather!B25</f>
        <v>0.41</v>
      </c>
      <c r="D138" t="s">
        <v>626</v>
      </c>
      <c r="G138" s="365" t="s">
        <v>1095</v>
      </c>
    </row>
    <row r="139" spans="1:7">
      <c r="B139" t="s">
        <v>916</v>
      </c>
      <c r="C139" s="362">
        <v>2</v>
      </c>
      <c r="D139" t="s">
        <v>925</v>
      </c>
      <c r="E139" t="s">
        <v>934</v>
      </c>
    </row>
    <row r="140" spans="1:7">
      <c r="B140" t="s">
        <v>1230</v>
      </c>
      <c r="C140" s="362">
        <f>Qtot/1000*3600/V_houseSI</f>
        <v>0.31679999999999997</v>
      </c>
      <c r="D140" t="s">
        <v>1231</v>
      </c>
    </row>
    <row r="141" spans="1:7" s="266" customFormat="1">
      <c r="B141" s="266" t="s">
        <v>1232</v>
      </c>
      <c r="C141" s="362">
        <v>0</v>
      </c>
      <c r="D141" s="266" t="s">
        <v>1235</v>
      </c>
      <c r="E141" s="266" t="s">
        <v>1233</v>
      </c>
    </row>
    <row r="142" spans="1:7">
      <c r="A142" s="366"/>
      <c r="B142" s="366" t="s">
        <v>917</v>
      </c>
      <c r="C142" s="362">
        <v>1</v>
      </c>
      <c r="D142" s="366" t="s">
        <v>926</v>
      </c>
      <c r="E142" s="366" t="s">
        <v>935</v>
      </c>
      <c r="F142" s="366"/>
      <c r="G142" s="366"/>
    </row>
    <row r="143" spans="1:7">
      <c r="A143" s="266" t="s">
        <v>1091</v>
      </c>
      <c r="B143" t="s">
        <v>918</v>
      </c>
      <c r="C143" s="367">
        <v>0.82</v>
      </c>
      <c r="D143" t="s">
        <v>927</v>
      </c>
    </row>
    <row r="144" spans="1:7">
      <c r="B144" t="s">
        <v>919</v>
      </c>
      <c r="C144" s="362">
        <v>0.63</v>
      </c>
      <c r="D144" t="s">
        <v>928</v>
      </c>
      <c r="E144" t="s">
        <v>936</v>
      </c>
    </row>
    <row r="145" spans="1:7">
      <c r="B145" t="s">
        <v>920</v>
      </c>
      <c r="C145" s="362">
        <v>0.51</v>
      </c>
      <c r="D145" t="s">
        <v>929</v>
      </c>
      <c r="E145" t="s">
        <v>936</v>
      </c>
    </row>
    <row r="146" spans="1:7">
      <c r="B146" t="s">
        <v>921</v>
      </c>
      <c r="C146" s="362">
        <v>0</v>
      </c>
      <c r="D146" t="s">
        <v>930</v>
      </c>
      <c r="E146" t="s">
        <v>937</v>
      </c>
    </row>
    <row r="147" spans="1:7">
      <c r="B147" t="s">
        <v>922</v>
      </c>
      <c r="C147" s="362">
        <v>8</v>
      </c>
      <c r="D147" t="s">
        <v>931</v>
      </c>
      <c r="E147" t="s">
        <v>938</v>
      </c>
    </row>
    <row r="148" spans="1:7">
      <c r="B148" t="s">
        <v>923</v>
      </c>
      <c r="C148" s="362">
        <v>0</v>
      </c>
      <c r="D148" t="s">
        <v>932</v>
      </c>
      <c r="E148" t="s">
        <v>939</v>
      </c>
    </row>
    <row r="149" spans="1:7">
      <c r="A149" s="366"/>
      <c r="B149" s="366" t="s">
        <v>924</v>
      </c>
      <c r="C149" s="362">
        <v>1</v>
      </c>
      <c r="D149" s="366" t="s">
        <v>933</v>
      </c>
      <c r="E149" s="366" t="s">
        <v>940</v>
      </c>
      <c r="F149" s="366"/>
      <c r="G149" s="366"/>
    </row>
    <row r="150" spans="1:7">
      <c r="A150" s="266" t="s">
        <v>808</v>
      </c>
      <c r="B150" t="s">
        <v>850</v>
      </c>
      <c r="C150" s="393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3">
        <f>HumControl</f>
        <v>1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3">
        <f>IF(OR(HumControl=2, HumControl=4),1,0)</f>
        <v>0</v>
      </c>
      <c r="D152" s="266" t="s">
        <v>1256</v>
      </c>
    </row>
    <row r="153" spans="1:7">
      <c r="A153" s="266" t="s">
        <v>1092</v>
      </c>
      <c r="B153" t="s">
        <v>1078</v>
      </c>
      <c r="C153" s="412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0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09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1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2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tabSelected="1" zoomScale="85" zoomScaleNormal="85" zoomScalePageLayoutView="85" workbookViewId="0">
      <pane xSplit="2" ySplit="1" topLeftCell="C37" activePane="bottomRight" state="frozen"/>
      <selection pane="topRight" activeCell="C1" sqref="C1"/>
      <selection pane="bottomLeft" activeCell="A2" sqref="A2"/>
      <selection pane="bottomRight" activeCell="C69" sqref="C69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REGCAP_FanSchedule_1stShift.txt</v>
      </c>
      <c r="D3" s="56" t="str">
        <f>Inputs!$C$3</f>
        <v>REGCAP_FanSchedule_1stShift.txt</v>
      </c>
      <c r="E3" s="56" t="str">
        <f>Inputs!$C$3</f>
        <v>REGCAP_FanSchedule_1stShift.txt</v>
      </c>
      <c r="F3" s="56" t="str">
        <f>Inputs!$C$3</f>
        <v>REGCAP_FanSchedule_1stShift.txt</v>
      </c>
      <c r="G3" s="56" t="str">
        <f>Inputs!$C$3</f>
        <v>REGCAP_FanSchedule_1stShift.txt</v>
      </c>
      <c r="H3" s="56" t="str">
        <f>Inputs!$C$3</f>
        <v>REGCAP_FanSchedule_1stShift.txt</v>
      </c>
      <c r="I3" s="56" t="str">
        <f>Inputs!$C$3</f>
        <v>REGCAP_FanSchedule_1stShift.txt</v>
      </c>
      <c r="J3" s="56" t="str">
        <f>Inputs!$C$3</f>
        <v>REGCAP_FanSchedule_1stShift.txt</v>
      </c>
      <c r="K3" s="56" t="str">
        <f>Inputs!$C$3</f>
        <v>REGCAP_FanSchedule_1stShift.txt</v>
      </c>
      <c r="L3" s="56" t="str">
        <f>Inputs!$C$3</f>
        <v>REGCAP_FanSchedule_1stShift.txt</v>
      </c>
      <c r="M3" s="56" t="str">
        <f>Inputs!$C$3</f>
        <v>REGCAP_FanSchedule_1stShift.txt</v>
      </c>
      <c r="N3" s="56" t="str">
        <f>Inputs!$C$3</f>
        <v>REGCAP_FanSchedule_1stShift.txt</v>
      </c>
      <c r="O3" s="56" t="str">
        <f>Inputs!$C$3</f>
        <v>REGCAP_FanSchedule_1stShift.txt</v>
      </c>
      <c r="P3" s="56" t="str">
        <f>Inputs!$C$3</f>
        <v>REGCAP_FanSchedule_1stShift.txt</v>
      </c>
      <c r="Q3" s="56" t="str">
        <f>Inputs!$C$3</f>
        <v>REGCAP_FanSchedule_1stShift.txt</v>
      </c>
      <c r="R3" s="56" t="str">
        <f>Inputs!$C$3</f>
        <v>REGCAP_FanSchedule_1stShift.txt</v>
      </c>
      <c r="S3" s="56" t="str">
        <f>Inputs!$C$3</f>
        <v>REGCAP_FanSchedule_1stShift.txt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occ_full.txt</v>
      </c>
      <c r="D5" s="56" t="str">
        <f>Inputs!$C$5</f>
        <v>occ_full.txt</v>
      </c>
      <c r="E5" s="56" t="str">
        <f>Inputs!$C$5</f>
        <v>occ_full.txt</v>
      </c>
      <c r="F5" s="56" t="str">
        <f>Inputs!$C$5</f>
        <v>occ_full.txt</v>
      </c>
      <c r="G5" s="56" t="str">
        <f>Inputs!$C$5</f>
        <v>occ_full.txt</v>
      </c>
      <c r="H5" s="56" t="str">
        <f>Inputs!$C$5</f>
        <v>occ_full.txt</v>
      </c>
      <c r="I5" s="56" t="str">
        <f>Inputs!$C$5</f>
        <v>occ_full.txt</v>
      </c>
      <c r="J5" s="56" t="str">
        <f>Inputs!$C$5</f>
        <v>occ_full.txt</v>
      </c>
      <c r="K5" s="56" t="str">
        <f>Inputs!$C$5</f>
        <v>occ_full.txt</v>
      </c>
      <c r="L5" s="56" t="str">
        <f>Inputs!$C$5</f>
        <v>occ_full.txt</v>
      </c>
      <c r="M5" s="56" t="str">
        <f>Inputs!$C$5</f>
        <v>occ_full.txt</v>
      </c>
      <c r="N5" s="56" t="str">
        <f>Inputs!$C$5</f>
        <v>occ_full.txt</v>
      </c>
      <c r="O5" s="56" t="str">
        <f>Inputs!$C$5</f>
        <v>occ_full.txt</v>
      </c>
      <c r="P5" s="56" t="str">
        <f>Inputs!$C$5</f>
        <v>occ_full.txt</v>
      </c>
      <c r="Q5" s="56" t="str">
        <f>Inputs!$C$5</f>
        <v>occ_full.txt</v>
      </c>
      <c r="R5" s="56" t="str">
        <f>Inputs!$C$5</f>
        <v>occ_full.txt</v>
      </c>
      <c r="S5" s="56" t="str">
        <f>Inputs!$C$5</f>
        <v>occ_full.txt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4.6166666666666663</v>
      </c>
      <c r="D18" s="158">
        <f t="shared" si="2"/>
        <v>4.6166666666666663</v>
      </c>
      <c r="E18" s="158">
        <f t="shared" si="2"/>
        <v>4.6166666666666663</v>
      </c>
      <c r="F18" s="158">
        <f t="shared" si="2"/>
        <v>4.6166666666666663</v>
      </c>
      <c r="G18" s="158">
        <f t="shared" si="2"/>
        <v>4.6166666666666663</v>
      </c>
      <c r="H18" s="158">
        <f t="shared" si="2"/>
        <v>4.6166666666666663</v>
      </c>
      <c r="I18" s="158">
        <f t="shared" si="2"/>
        <v>4.6166666666666663</v>
      </c>
      <c r="J18" s="158">
        <f t="shared" si="2"/>
        <v>4.6166666666666663</v>
      </c>
      <c r="K18" s="158">
        <f t="shared" si="2"/>
        <v>4.6166666666666663</v>
      </c>
      <c r="L18" s="158">
        <f t="shared" si="2"/>
        <v>4.6166666666666663</v>
      </c>
      <c r="M18" s="158">
        <f t="shared" si="2"/>
        <v>4.6166666666666663</v>
      </c>
      <c r="N18" s="158">
        <f t="shared" si="2"/>
        <v>4.6166666666666663</v>
      </c>
      <c r="O18" s="158">
        <f t="shared" si="2"/>
        <v>4.6166666666666663</v>
      </c>
      <c r="P18" s="158">
        <f t="shared" si="2"/>
        <v>4.6166666666666663</v>
      </c>
      <c r="Q18" s="158">
        <f t="shared" si="2"/>
        <v>4.6166666666666663</v>
      </c>
      <c r="R18" s="158">
        <f t="shared" si="2"/>
        <v>4.6166666666666663</v>
      </c>
      <c r="S18" s="158">
        <f t="shared" si="2"/>
        <v>4.6166666666666663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4.6166666666666663</v>
      </c>
      <c r="D21" s="158">
        <f t="shared" si="2"/>
        <v>4.6166666666666663</v>
      </c>
      <c r="E21" s="158">
        <f t="shared" si="2"/>
        <v>4.6166666666666663</v>
      </c>
      <c r="F21" s="158">
        <f t="shared" si="2"/>
        <v>4.6166666666666663</v>
      </c>
      <c r="G21" s="158">
        <f t="shared" si="2"/>
        <v>4.6166666666666663</v>
      </c>
      <c r="H21" s="158">
        <f t="shared" si="2"/>
        <v>4.6166666666666663</v>
      </c>
      <c r="I21" s="158">
        <f t="shared" si="2"/>
        <v>4.6166666666666663</v>
      </c>
      <c r="J21" s="158">
        <f t="shared" si="2"/>
        <v>4.6166666666666663</v>
      </c>
      <c r="K21" s="158">
        <f t="shared" si="2"/>
        <v>4.6166666666666663</v>
      </c>
      <c r="L21" s="158">
        <f t="shared" si="2"/>
        <v>4.6166666666666663</v>
      </c>
      <c r="M21" s="158">
        <f t="shared" si="2"/>
        <v>4.6166666666666663</v>
      </c>
      <c r="N21" s="158">
        <f t="shared" si="2"/>
        <v>4.6166666666666663</v>
      </c>
      <c r="O21" s="158">
        <f t="shared" si="2"/>
        <v>4.6166666666666663</v>
      </c>
      <c r="P21" s="158">
        <f t="shared" si="2"/>
        <v>4.6166666666666663</v>
      </c>
      <c r="Q21" s="158">
        <f t="shared" si="2"/>
        <v>4.6166666666666663</v>
      </c>
      <c r="R21" s="158">
        <f t="shared" si="2"/>
        <v>4.6166666666666663</v>
      </c>
      <c r="S21" s="158">
        <f t="shared" si="2"/>
        <v>4.6166666666666663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4">
        <f t="shared" si="3"/>
        <v>500</v>
      </c>
      <c r="T35" s="303"/>
    </row>
    <row r="36" spans="1:22" ht="15" customHeight="1">
      <c r="B36" s="277" t="s">
        <v>998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4">
        <f t="shared" si="3"/>
        <v>200</v>
      </c>
      <c r="T36" s="303"/>
    </row>
    <row r="37" spans="1:22" ht="15" customHeight="1">
      <c r="B37" s="277" t="s">
        <v>999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4">
        <f t="shared" si="3"/>
        <v>200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03"/>
      <c r="V39" s="277"/>
    </row>
    <row r="40" spans="1:22" ht="15" customHeight="1">
      <c r="B40" s="277" t="s">
        <v>1003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03"/>
    </row>
    <row r="41" spans="1:22" s="277" customFormat="1" ht="15" customHeight="1">
      <c r="B41" s="277" t="s">
        <v>1004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6</v>
      </c>
      <c r="D48" s="133">
        <f t="shared" ref="D48:S48" si="21">C48</f>
        <v>6</v>
      </c>
      <c r="E48" s="133">
        <f t="shared" si="21"/>
        <v>6</v>
      </c>
      <c r="F48" s="133">
        <f t="shared" si="21"/>
        <v>6</v>
      </c>
      <c r="G48" s="133">
        <f t="shared" si="21"/>
        <v>6</v>
      </c>
      <c r="H48" s="133">
        <f t="shared" si="21"/>
        <v>6</v>
      </c>
      <c r="I48" s="133">
        <f t="shared" si="21"/>
        <v>6</v>
      </c>
      <c r="J48" s="133">
        <f t="shared" si="21"/>
        <v>6</v>
      </c>
      <c r="K48" s="133">
        <f t="shared" si="21"/>
        <v>6</v>
      </c>
      <c r="L48" s="133">
        <f t="shared" si="21"/>
        <v>6</v>
      </c>
      <c r="M48" s="133">
        <f t="shared" si="21"/>
        <v>6</v>
      </c>
      <c r="N48" s="133">
        <f t="shared" si="21"/>
        <v>6</v>
      </c>
      <c r="O48" s="133">
        <f t="shared" si="21"/>
        <v>6</v>
      </c>
      <c r="P48" s="133">
        <f t="shared" si="21"/>
        <v>6</v>
      </c>
      <c r="Q48" s="133">
        <f t="shared" si="21"/>
        <v>6</v>
      </c>
      <c r="R48" s="133">
        <f t="shared" si="21"/>
        <v>6</v>
      </c>
      <c r="S48" s="133">
        <f t="shared" si="21"/>
        <v>6</v>
      </c>
      <c r="T48" s="303"/>
    </row>
    <row r="49" spans="2:20" ht="15" customHeight="1">
      <c r="B49" s="277" t="s">
        <v>1012</v>
      </c>
      <c r="C49" s="360">
        <f>Fans!B12</f>
        <v>23.936228961264781</v>
      </c>
      <c r="D49" s="360">
        <f>Fans!C12</f>
        <v>23.888444906407543</v>
      </c>
      <c r="E49" s="360">
        <f>Fans!D12</f>
        <v>23.839509428541689</v>
      </c>
      <c r="F49" s="360">
        <f>Fans!E12</f>
        <v>24.058023928397564</v>
      </c>
      <c r="G49" s="360">
        <f>Fans!F12</f>
        <v>23.982861593113416</v>
      </c>
      <c r="H49" s="360">
        <f>Fans!G12</f>
        <v>23.464721239239712</v>
      </c>
      <c r="I49" s="360">
        <f>Fans!H12</f>
        <v>23.904500860583134</v>
      </c>
      <c r="J49" s="360">
        <f>Fans!I12</f>
        <v>23.738184203784172</v>
      </c>
      <c r="K49" s="360">
        <f>Fans!J12</f>
        <v>23.69460604130559</v>
      </c>
      <c r="L49" s="360">
        <f>Fans!K12</f>
        <v>23.982861593113416</v>
      </c>
      <c r="M49" s="360">
        <f>Fans!L12</f>
        <v>24.101586098889911</v>
      </c>
      <c r="N49" s="360">
        <f>Fans!M12</f>
        <v>23.951901107770841</v>
      </c>
      <c r="O49" s="360">
        <f>Fans!N12</f>
        <v>23.888444906407543</v>
      </c>
      <c r="P49" s="360">
        <f>Fans!O12</f>
        <v>23.650228279515485</v>
      </c>
      <c r="Q49" s="360">
        <f>Fans!P12</f>
        <v>24.198753407227461</v>
      </c>
      <c r="R49" s="360">
        <f>Fans!Q12</f>
        <v>24.072672587784862</v>
      </c>
      <c r="S49" s="360">
        <f>Fans!R12</f>
        <v>24.164770436487284</v>
      </c>
      <c r="T49" s="303"/>
    </row>
    <row r="50" spans="2:20" ht="15" customHeight="1">
      <c r="B50" s="277" t="s">
        <v>1010</v>
      </c>
      <c r="C50" s="549">
        <f>Fans!B13</f>
        <v>-4.2290157175379477E-2</v>
      </c>
      <c r="D50" s="193">
        <f>Fans!C13</f>
        <v>-4.2205733050190007E-2</v>
      </c>
      <c r="E50" s="193">
        <f>Fans!D13</f>
        <v>-4.2119274608730904E-2</v>
      </c>
      <c r="F50" s="193">
        <f>Fans!E13</f>
        <v>-4.250534262967768E-2</v>
      </c>
      <c r="G50" s="193">
        <f>Fans!F13</f>
        <v>-4.2372546984299327E-2</v>
      </c>
      <c r="H50" s="193">
        <f>Fans!G13</f>
        <v>-4.1457104662967696E-2</v>
      </c>
      <c r="I50" s="193">
        <f>Fans!H13</f>
        <v>-4.2234100460394233E-2</v>
      </c>
      <c r="J50" s="193">
        <f>Fans!I13</f>
        <v>-4.1940254777003839E-2</v>
      </c>
      <c r="K50" s="193">
        <f>Fans!J13</f>
        <v>-4.1863261557077022E-2</v>
      </c>
      <c r="L50" s="193">
        <f>Fans!K13</f>
        <v>-4.2372546984299327E-2</v>
      </c>
      <c r="M50" s="193">
        <f>Fans!L13</f>
        <v>-4.2582307595211859E-2</v>
      </c>
      <c r="N50" s="193">
        <f>Fans!M13</f>
        <v>-4.2317846480160501E-2</v>
      </c>
      <c r="O50" s="193">
        <f>Fans!N13</f>
        <v>-4.2205733050190007E-2</v>
      </c>
      <c r="P50" s="193">
        <f>Fans!O13</f>
        <v>-4.1784855617518532E-2</v>
      </c>
      <c r="Q50" s="193">
        <f>Fans!P13</f>
        <v>-4.2753981284854171E-2</v>
      </c>
      <c r="R50" s="193">
        <f>Fans!Q13</f>
        <v>-4.2531223653330147E-2</v>
      </c>
      <c r="S50" s="193">
        <f>Fans!R13</f>
        <v>-4.2693940700507575E-2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v>0</v>
      </c>
      <c r="D67" s="225">
        <f>C67</f>
        <v>0</v>
      </c>
      <c r="E67" s="225">
        <f t="shared" si="33"/>
        <v>0</v>
      </c>
      <c r="F67" s="225">
        <f t="shared" si="33"/>
        <v>0</v>
      </c>
      <c r="G67" s="225">
        <f t="shared" si="33"/>
        <v>0</v>
      </c>
      <c r="H67" s="225">
        <f t="shared" si="33"/>
        <v>0</v>
      </c>
      <c r="I67" s="225">
        <f t="shared" si="33"/>
        <v>0</v>
      </c>
      <c r="J67" s="225">
        <f t="shared" si="33"/>
        <v>0</v>
      </c>
      <c r="K67" s="225">
        <f t="shared" si="33"/>
        <v>0</v>
      </c>
      <c r="L67" s="225">
        <f t="shared" si="33"/>
        <v>0</v>
      </c>
      <c r="M67" s="225">
        <f t="shared" si="33"/>
        <v>0</v>
      </c>
      <c r="N67" s="225">
        <f t="shared" si="33"/>
        <v>0</v>
      </c>
      <c r="O67" s="225">
        <f t="shared" si="33"/>
        <v>0</v>
      </c>
      <c r="P67" s="225">
        <f t="shared" si="33"/>
        <v>0</v>
      </c>
      <c r="Q67" s="225">
        <f t="shared" si="33"/>
        <v>0</v>
      </c>
      <c r="R67" s="225">
        <f t="shared" si="33"/>
        <v>0</v>
      </c>
      <c r="S67" s="225">
        <f t="shared" si="33"/>
        <v>0</v>
      </c>
      <c r="T67" s="66"/>
    </row>
    <row r="68" spans="1:20" s="128" customFormat="1" ht="15" customHeight="1">
      <c r="A68" s="277"/>
      <c r="B68" s="277" t="s">
        <v>1029</v>
      </c>
      <c r="C68" s="285">
        <f>-1*C50</f>
        <v>4.2290157175379477E-2</v>
      </c>
      <c r="D68" s="285">
        <f t="shared" ref="D68:S68" si="34">-1*D50</f>
        <v>4.2205733050190007E-2</v>
      </c>
      <c r="E68" s="285">
        <f t="shared" ref="E68:S68" si="35">-1*E50</f>
        <v>4.2119274608730904E-2</v>
      </c>
      <c r="F68" s="285">
        <f t="shared" si="35"/>
        <v>4.250534262967768E-2</v>
      </c>
      <c r="G68" s="285">
        <f t="shared" si="35"/>
        <v>4.2372546984299327E-2</v>
      </c>
      <c r="H68" s="285">
        <f t="shared" si="35"/>
        <v>4.1457104662967696E-2</v>
      </c>
      <c r="I68" s="285">
        <f t="shared" si="35"/>
        <v>4.2234100460394233E-2</v>
      </c>
      <c r="J68" s="285">
        <f t="shared" si="35"/>
        <v>4.1940254777003839E-2</v>
      </c>
      <c r="K68" s="285">
        <f t="shared" si="35"/>
        <v>4.1863261557077022E-2</v>
      </c>
      <c r="L68" s="285">
        <f t="shared" si="35"/>
        <v>4.2372546984299327E-2</v>
      </c>
      <c r="M68" s="285">
        <f t="shared" si="35"/>
        <v>4.2582307595211859E-2</v>
      </c>
      <c r="N68" s="285">
        <f t="shared" si="35"/>
        <v>4.2317846480160501E-2</v>
      </c>
      <c r="O68" s="285">
        <f t="shared" si="35"/>
        <v>4.2205733050190007E-2</v>
      </c>
      <c r="P68" s="285">
        <f t="shared" si="35"/>
        <v>4.1784855617518532E-2</v>
      </c>
      <c r="Q68" s="285">
        <f t="shared" si="35"/>
        <v>4.2753981284854171E-2</v>
      </c>
      <c r="R68" s="285">
        <f t="shared" si="35"/>
        <v>4.2531223653330147E-2</v>
      </c>
      <c r="S68" s="285">
        <f>-1*S50</f>
        <v>4.2693940700507575E-2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1</v>
      </c>
      <c r="D69" s="192">
        <f>C69</f>
        <v>1</v>
      </c>
      <c r="E69" s="192">
        <f t="shared" ref="E69:S69" si="36">D69</f>
        <v>1</v>
      </c>
      <c r="F69" s="192">
        <f t="shared" si="36"/>
        <v>1</v>
      </c>
      <c r="G69" s="192">
        <f t="shared" si="36"/>
        <v>1</v>
      </c>
      <c r="H69" s="192">
        <f t="shared" si="36"/>
        <v>1</v>
      </c>
      <c r="I69" s="192">
        <f t="shared" si="36"/>
        <v>1</v>
      </c>
      <c r="J69" s="192">
        <f t="shared" si="36"/>
        <v>1</v>
      </c>
      <c r="K69" s="192">
        <f t="shared" si="36"/>
        <v>1</v>
      </c>
      <c r="L69" s="192">
        <f t="shared" si="36"/>
        <v>1</v>
      </c>
      <c r="M69" s="192">
        <f t="shared" si="36"/>
        <v>1</v>
      </c>
      <c r="N69" s="192">
        <f t="shared" si="36"/>
        <v>1</v>
      </c>
      <c r="O69" s="192">
        <f t="shared" si="36"/>
        <v>1</v>
      </c>
      <c r="P69" s="192">
        <f t="shared" si="36"/>
        <v>1</v>
      </c>
      <c r="Q69" s="192">
        <f t="shared" si="36"/>
        <v>1</v>
      </c>
      <c r="R69" s="192">
        <f t="shared" si="36"/>
        <v>1</v>
      </c>
      <c r="S69" s="192">
        <f t="shared" si="36"/>
        <v>1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7">D70</f>
        <v>0</v>
      </c>
      <c r="F70" s="197">
        <f t="shared" si="37"/>
        <v>0</v>
      </c>
      <c r="G70" s="197">
        <f t="shared" si="37"/>
        <v>0</v>
      </c>
      <c r="H70" s="197">
        <f t="shared" si="37"/>
        <v>0</v>
      </c>
      <c r="I70" s="197">
        <f t="shared" si="37"/>
        <v>0</v>
      </c>
      <c r="J70" s="197">
        <f t="shared" si="37"/>
        <v>0</v>
      </c>
      <c r="K70" s="197">
        <f t="shared" si="37"/>
        <v>0</v>
      </c>
      <c r="L70" s="197">
        <f t="shared" si="37"/>
        <v>0</v>
      </c>
      <c r="M70" s="197">
        <f t="shared" si="37"/>
        <v>0</v>
      </c>
      <c r="N70" s="197">
        <f t="shared" si="37"/>
        <v>0</v>
      </c>
      <c r="O70" s="197">
        <f t="shared" si="37"/>
        <v>0</v>
      </c>
      <c r="P70" s="197">
        <f t="shared" si="37"/>
        <v>0</v>
      </c>
      <c r="Q70" s="197">
        <f t="shared" si="37"/>
        <v>0</v>
      </c>
      <c r="R70" s="197">
        <f t="shared" ref="R70:S72" si="38">Q70</f>
        <v>0</v>
      </c>
      <c r="S70" s="197">
        <f t="shared" si="38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8"/>
        <v>0</v>
      </c>
      <c r="S71" s="193">
        <f t="shared" si="38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8"/>
        <v>0</v>
      </c>
      <c r="S72" s="192">
        <f t="shared" si="38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20</v>
      </c>
      <c r="D73" s="158">
        <f t="shared" ref="D73:S73" si="39">C73</f>
        <v>20</v>
      </c>
      <c r="E73" s="158">
        <f t="shared" si="39"/>
        <v>20</v>
      </c>
      <c r="F73" s="158">
        <f t="shared" si="39"/>
        <v>20</v>
      </c>
      <c r="G73" s="158">
        <f t="shared" si="39"/>
        <v>20</v>
      </c>
      <c r="H73" s="158">
        <f t="shared" si="39"/>
        <v>20</v>
      </c>
      <c r="I73" s="158">
        <f t="shared" si="39"/>
        <v>20</v>
      </c>
      <c r="J73" s="158">
        <f t="shared" si="39"/>
        <v>20</v>
      </c>
      <c r="K73" s="158">
        <f t="shared" si="39"/>
        <v>20</v>
      </c>
      <c r="L73" s="158">
        <f t="shared" si="39"/>
        <v>20</v>
      </c>
      <c r="M73" s="158">
        <f t="shared" si="39"/>
        <v>20</v>
      </c>
      <c r="N73" s="158">
        <f t="shared" si="39"/>
        <v>20</v>
      </c>
      <c r="O73" s="158">
        <f t="shared" si="39"/>
        <v>20</v>
      </c>
      <c r="P73" s="158">
        <f t="shared" si="39"/>
        <v>20</v>
      </c>
      <c r="Q73" s="158">
        <f t="shared" si="39"/>
        <v>20</v>
      </c>
      <c r="R73" s="158">
        <f t="shared" si="39"/>
        <v>20</v>
      </c>
      <c r="S73" s="158">
        <f t="shared" si="39"/>
        <v>20</v>
      </c>
    </row>
    <row r="74" spans="1:20" ht="15" customHeight="1">
      <c r="B74" s="277" t="s">
        <v>407</v>
      </c>
      <c r="C74" s="158">
        <f>Inputs!C74</f>
        <v>10</v>
      </c>
      <c r="D74" s="158">
        <f t="shared" ref="D74:S74" si="40">C74</f>
        <v>10</v>
      </c>
      <c r="E74" s="158">
        <f t="shared" si="40"/>
        <v>10</v>
      </c>
      <c r="F74" s="158">
        <f t="shared" si="40"/>
        <v>10</v>
      </c>
      <c r="G74" s="158">
        <f t="shared" si="40"/>
        <v>10</v>
      </c>
      <c r="H74" s="158">
        <f t="shared" si="40"/>
        <v>10</v>
      </c>
      <c r="I74" s="158">
        <f t="shared" si="40"/>
        <v>10</v>
      </c>
      <c r="J74" s="158">
        <f t="shared" si="40"/>
        <v>10</v>
      </c>
      <c r="K74" s="158">
        <f t="shared" si="40"/>
        <v>10</v>
      </c>
      <c r="L74" s="158">
        <f t="shared" si="40"/>
        <v>10</v>
      </c>
      <c r="M74" s="158">
        <f t="shared" si="40"/>
        <v>10</v>
      </c>
      <c r="N74" s="158">
        <f t="shared" si="40"/>
        <v>10</v>
      </c>
      <c r="O74" s="158">
        <f t="shared" si="40"/>
        <v>10</v>
      </c>
      <c r="P74" s="158">
        <f t="shared" si="40"/>
        <v>10</v>
      </c>
      <c r="Q74" s="158">
        <f t="shared" si="40"/>
        <v>10</v>
      </c>
      <c r="R74" s="158">
        <f t="shared" si="40"/>
        <v>10</v>
      </c>
      <c r="S74" s="158">
        <f t="shared" si="40"/>
        <v>10</v>
      </c>
    </row>
    <row r="75" spans="1:20" ht="15" customHeight="1">
      <c r="B75" s="277" t="s">
        <v>408</v>
      </c>
      <c r="C75" s="158">
        <f>Inputs!C75</f>
        <v>10</v>
      </c>
      <c r="D75" s="158">
        <f t="shared" ref="D75:S91" si="41">C75</f>
        <v>10</v>
      </c>
      <c r="E75" s="158">
        <f t="shared" si="41"/>
        <v>10</v>
      </c>
      <c r="F75" s="158">
        <f t="shared" si="41"/>
        <v>10</v>
      </c>
      <c r="G75" s="158">
        <f t="shared" si="41"/>
        <v>10</v>
      </c>
      <c r="H75" s="158">
        <f t="shared" si="41"/>
        <v>10</v>
      </c>
      <c r="I75" s="158">
        <f t="shared" si="41"/>
        <v>10</v>
      </c>
      <c r="J75" s="158">
        <f t="shared" si="41"/>
        <v>10</v>
      </c>
      <c r="K75" s="158">
        <f t="shared" si="41"/>
        <v>10</v>
      </c>
      <c r="L75" s="158">
        <f t="shared" si="41"/>
        <v>10</v>
      </c>
      <c r="M75" s="158">
        <f t="shared" si="41"/>
        <v>10</v>
      </c>
      <c r="N75" s="158">
        <f t="shared" si="41"/>
        <v>10</v>
      </c>
      <c r="O75" s="158">
        <f t="shared" si="41"/>
        <v>10</v>
      </c>
      <c r="P75" s="158">
        <f t="shared" si="41"/>
        <v>10</v>
      </c>
      <c r="Q75" s="158">
        <f t="shared" si="41"/>
        <v>10</v>
      </c>
      <c r="R75" s="158">
        <f t="shared" si="41"/>
        <v>10</v>
      </c>
      <c r="S75" s="158">
        <f t="shared" si="41"/>
        <v>10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2">C79</f>
        <v>7.5231481481481474E-5</v>
      </c>
      <c r="E79" s="196">
        <f t="shared" si="41"/>
        <v>7.5231481481481474E-5</v>
      </c>
      <c r="F79" s="196">
        <f t="shared" si="41"/>
        <v>7.5231481481481474E-5</v>
      </c>
      <c r="G79" s="196">
        <f t="shared" si="41"/>
        <v>7.5231481481481474E-5</v>
      </c>
      <c r="H79" s="196">
        <f t="shared" si="41"/>
        <v>7.5231481481481474E-5</v>
      </c>
      <c r="I79" s="196">
        <f t="shared" si="41"/>
        <v>7.5231481481481474E-5</v>
      </c>
      <c r="J79" s="196">
        <f t="shared" si="41"/>
        <v>7.5231481481481474E-5</v>
      </c>
      <c r="K79" s="196">
        <f t="shared" si="41"/>
        <v>7.5231481481481474E-5</v>
      </c>
      <c r="L79" s="196">
        <f t="shared" si="41"/>
        <v>7.5231481481481474E-5</v>
      </c>
      <c r="M79" s="196">
        <f t="shared" si="41"/>
        <v>7.5231481481481474E-5</v>
      </c>
      <c r="N79" s="196">
        <f t="shared" si="41"/>
        <v>7.5231481481481474E-5</v>
      </c>
      <c r="O79" s="196">
        <f t="shared" si="41"/>
        <v>7.5231481481481474E-5</v>
      </c>
      <c r="P79" s="196">
        <f t="shared" si="41"/>
        <v>7.5231481481481474E-5</v>
      </c>
      <c r="Q79" s="196">
        <f t="shared" si="41"/>
        <v>7.5231481481481474E-5</v>
      </c>
      <c r="R79" s="196">
        <f t="shared" si="41"/>
        <v>7.5231481481481474E-5</v>
      </c>
      <c r="S79" s="196">
        <f t="shared" si="41"/>
        <v>7.5231481481481474E-5</v>
      </c>
    </row>
    <row r="80" spans="1:20" ht="15" customHeight="1">
      <c r="B80" s="277" t="s">
        <v>1038</v>
      </c>
      <c r="C80" s="8">
        <f>Inputs!C80</f>
        <v>784.24891084927458</v>
      </c>
      <c r="D80" s="8">
        <f t="shared" si="42"/>
        <v>784.24891084927458</v>
      </c>
      <c r="E80" s="8">
        <f t="shared" si="41"/>
        <v>784.24891084927458</v>
      </c>
      <c r="F80" s="8">
        <f t="shared" si="41"/>
        <v>784.24891084927458</v>
      </c>
      <c r="G80" s="8">
        <f t="shared" si="41"/>
        <v>784.24891084927458</v>
      </c>
      <c r="H80" s="8">
        <f t="shared" si="41"/>
        <v>784.24891084927458</v>
      </c>
      <c r="I80" s="8">
        <f t="shared" si="41"/>
        <v>784.24891084927458</v>
      </c>
      <c r="J80" s="8">
        <f t="shared" si="41"/>
        <v>784.24891084927458</v>
      </c>
      <c r="K80" s="8">
        <f t="shared" si="41"/>
        <v>784.24891084927458</v>
      </c>
      <c r="L80" s="8">
        <f t="shared" si="41"/>
        <v>784.24891084927458</v>
      </c>
      <c r="M80" s="8">
        <f t="shared" si="41"/>
        <v>784.24891084927458</v>
      </c>
      <c r="N80" s="8">
        <f t="shared" si="41"/>
        <v>784.24891084927458</v>
      </c>
      <c r="O80" s="8">
        <f t="shared" si="41"/>
        <v>784.24891084927458</v>
      </c>
      <c r="P80" s="8">
        <f t="shared" si="41"/>
        <v>784.24891084927458</v>
      </c>
      <c r="Q80" s="8">
        <f t="shared" si="41"/>
        <v>784.24891084927458</v>
      </c>
      <c r="R80" s="8">
        <f t="shared" si="41"/>
        <v>784.24891084927458</v>
      </c>
      <c r="S80" s="254">
        <f t="shared" si="41"/>
        <v>784.24891084927458</v>
      </c>
    </row>
    <row r="81" spans="1:19" ht="15" customHeight="1">
      <c r="A81" s="277" t="s">
        <v>70</v>
      </c>
      <c r="B81" s="277" t="s">
        <v>1039</v>
      </c>
      <c r="C81" s="8">
        <f>Inputs!C81</f>
        <v>166.66666666666663</v>
      </c>
      <c r="D81" s="8">
        <f t="shared" si="42"/>
        <v>166.66666666666663</v>
      </c>
      <c r="E81" s="8">
        <f t="shared" si="41"/>
        <v>166.66666666666663</v>
      </c>
      <c r="F81" s="8">
        <f t="shared" si="41"/>
        <v>166.66666666666663</v>
      </c>
      <c r="G81" s="8">
        <f t="shared" si="41"/>
        <v>166.66666666666663</v>
      </c>
      <c r="H81" s="8">
        <f t="shared" si="41"/>
        <v>166.66666666666663</v>
      </c>
      <c r="I81" s="8">
        <f t="shared" si="41"/>
        <v>166.66666666666663</v>
      </c>
      <c r="J81" s="8">
        <f t="shared" si="41"/>
        <v>166.66666666666663</v>
      </c>
      <c r="K81" s="8">
        <f t="shared" si="41"/>
        <v>166.66666666666663</v>
      </c>
      <c r="L81" s="8">
        <f t="shared" si="41"/>
        <v>166.66666666666663</v>
      </c>
      <c r="M81" s="8">
        <f t="shared" si="41"/>
        <v>166.66666666666663</v>
      </c>
      <c r="N81" s="8">
        <f t="shared" si="41"/>
        <v>166.66666666666663</v>
      </c>
      <c r="O81" s="8">
        <f t="shared" si="41"/>
        <v>166.66666666666663</v>
      </c>
      <c r="P81" s="8">
        <f t="shared" si="41"/>
        <v>166.66666666666663</v>
      </c>
      <c r="Q81" s="8">
        <f t="shared" si="41"/>
        <v>166.66666666666663</v>
      </c>
      <c r="R81" s="8">
        <f t="shared" si="41"/>
        <v>166.66666666666663</v>
      </c>
      <c r="S81" s="254">
        <f t="shared" si="41"/>
        <v>166.66666666666663</v>
      </c>
    </row>
    <row r="82" spans="1:19" ht="15" customHeight="1">
      <c r="B82" s="277" t="s">
        <v>1040</v>
      </c>
      <c r="C82" s="158">
        <f>Inputs!C82</f>
        <v>0.37750080048057194</v>
      </c>
      <c r="D82" s="158">
        <f t="shared" si="42"/>
        <v>0.37750080048057194</v>
      </c>
      <c r="E82" s="158">
        <f t="shared" si="41"/>
        <v>0.37750080048057194</v>
      </c>
      <c r="F82" s="158">
        <f t="shared" si="41"/>
        <v>0.37750080048057194</v>
      </c>
      <c r="G82" s="158">
        <f t="shared" si="41"/>
        <v>0.37750080048057194</v>
      </c>
      <c r="H82" s="158">
        <f t="shared" si="41"/>
        <v>0.37750080048057194</v>
      </c>
      <c r="I82" s="158">
        <f t="shared" si="41"/>
        <v>0.37750080048057194</v>
      </c>
      <c r="J82" s="158">
        <f t="shared" si="41"/>
        <v>0.37750080048057194</v>
      </c>
      <c r="K82" s="158">
        <f t="shared" si="41"/>
        <v>0.37750080048057194</v>
      </c>
      <c r="L82" s="158">
        <f t="shared" si="41"/>
        <v>0.37750080048057194</v>
      </c>
      <c r="M82" s="158">
        <f t="shared" si="41"/>
        <v>0.37750080048057194</v>
      </c>
      <c r="N82" s="158">
        <f t="shared" si="41"/>
        <v>0.37750080048057194</v>
      </c>
      <c r="O82" s="158">
        <f t="shared" si="41"/>
        <v>0.37750080048057194</v>
      </c>
      <c r="P82" s="158">
        <f t="shared" si="41"/>
        <v>0.37750080048057194</v>
      </c>
      <c r="Q82" s="158">
        <f t="shared" si="41"/>
        <v>0.37750080048057194</v>
      </c>
      <c r="R82" s="158">
        <f t="shared" si="41"/>
        <v>0.37750080048057194</v>
      </c>
      <c r="S82" s="158">
        <f t="shared" si="41"/>
        <v>0.37750080048057194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2"/>
        <v>0.65</v>
      </c>
      <c r="E83" s="158">
        <f t="shared" si="41"/>
        <v>0.65</v>
      </c>
      <c r="F83" s="158">
        <f t="shared" si="41"/>
        <v>0.65</v>
      </c>
      <c r="G83" s="158">
        <f t="shared" si="41"/>
        <v>0.65</v>
      </c>
      <c r="H83" s="158">
        <f t="shared" si="41"/>
        <v>0.65</v>
      </c>
      <c r="I83" s="158">
        <f t="shared" si="41"/>
        <v>0.65</v>
      </c>
      <c r="J83" s="158">
        <f t="shared" si="41"/>
        <v>0.65</v>
      </c>
      <c r="K83" s="158">
        <f t="shared" si="41"/>
        <v>0.65</v>
      </c>
      <c r="L83" s="158">
        <f t="shared" si="41"/>
        <v>0.65</v>
      </c>
      <c r="M83" s="158">
        <f t="shared" si="41"/>
        <v>0.65</v>
      </c>
      <c r="N83" s="158">
        <f t="shared" si="41"/>
        <v>0.65</v>
      </c>
      <c r="O83" s="158">
        <f t="shared" si="41"/>
        <v>0.65</v>
      </c>
      <c r="P83" s="158">
        <f t="shared" si="41"/>
        <v>0.65</v>
      </c>
      <c r="Q83" s="158">
        <f t="shared" si="41"/>
        <v>0.65</v>
      </c>
      <c r="R83" s="158">
        <f t="shared" si="41"/>
        <v>0.65</v>
      </c>
      <c r="S83" s="158">
        <f t="shared" si="41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2"/>
        <v>0.35</v>
      </c>
      <c r="E84" s="158">
        <f t="shared" si="41"/>
        <v>0.35</v>
      </c>
      <c r="F84" s="158">
        <f t="shared" si="41"/>
        <v>0.35</v>
      </c>
      <c r="G84" s="158">
        <f t="shared" si="41"/>
        <v>0.35</v>
      </c>
      <c r="H84" s="158">
        <f t="shared" si="41"/>
        <v>0.35</v>
      </c>
      <c r="I84" s="158">
        <f t="shared" si="41"/>
        <v>0.35</v>
      </c>
      <c r="J84" s="158">
        <f t="shared" si="41"/>
        <v>0.35</v>
      </c>
      <c r="K84" s="158">
        <f t="shared" si="41"/>
        <v>0.35</v>
      </c>
      <c r="L84" s="158">
        <f t="shared" si="41"/>
        <v>0.35</v>
      </c>
      <c r="M84" s="158">
        <f t="shared" si="41"/>
        <v>0.35</v>
      </c>
      <c r="N84" s="158">
        <f t="shared" si="41"/>
        <v>0.35</v>
      </c>
      <c r="O84" s="158">
        <f t="shared" si="41"/>
        <v>0.35</v>
      </c>
      <c r="P84" s="158">
        <f t="shared" si="41"/>
        <v>0.35</v>
      </c>
      <c r="Q84" s="158">
        <f t="shared" si="41"/>
        <v>0.35</v>
      </c>
      <c r="R84" s="158">
        <f t="shared" si="41"/>
        <v>0.35</v>
      </c>
      <c r="S84" s="158">
        <f t="shared" si="41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2"/>
        <v>0.35</v>
      </c>
      <c r="E85" s="158">
        <f t="shared" si="41"/>
        <v>0.35</v>
      </c>
      <c r="F85" s="158">
        <f t="shared" si="41"/>
        <v>0.35</v>
      </c>
      <c r="G85" s="158">
        <f t="shared" si="41"/>
        <v>0.35</v>
      </c>
      <c r="H85" s="158">
        <f t="shared" si="41"/>
        <v>0.35</v>
      </c>
      <c r="I85" s="158">
        <f t="shared" si="41"/>
        <v>0.35</v>
      </c>
      <c r="J85" s="158">
        <f t="shared" si="41"/>
        <v>0.35</v>
      </c>
      <c r="K85" s="158">
        <f t="shared" si="41"/>
        <v>0.35</v>
      </c>
      <c r="L85" s="158">
        <f t="shared" si="41"/>
        <v>0.35</v>
      </c>
      <c r="M85" s="158">
        <f t="shared" si="41"/>
        <v>0.35</v>
      </c>
      <c r="N85" s="158">
        <f t="shared" si="41"/>
        <v>0.35</v>
      </c>
      <c r="O85" s="158">
        <f t="shared" si="41"/>
        <v>0.35</v>
      </c>
      <c r="P85" s="158">
        <f t="shared" si="41"/>
        <v>0.35</v>
      </c>
      <c r="Q85" s="158">
        <f t="shared" si="41"/>
        <v>0.35</v>
      </c>
      <c r="R85" s="158">
        <f t="shared" si="41"/>
        <v>0.35</v>
      </c>
      <c r="S85" s="158">
        <f t="shared" si="41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2"/>
        <v>0.1</v>
      </c>
      <c r="E86" s="158">
        <f t="shared" si="41"/>
        <v>0.1</v>
      </c>
      <c r="F86" s="158">
        <f t="shared" si="41"/>
        <v>0.1</v>
      </c>
      <c r="G86" s="158">
        <f t="shared" si="41"/>
        <v>0.1</v>
      </c>
      <c r="H86" s="158">
        <f t="shared" si="41"/>
        <v>0.1</v>
      </c>
      <c r="I86" s="158">
        <f t="shared" si="41"/>
        <v>0.1</v>
      </c>
      <c r="J86" s="158">
        <f t="shared" si="41"/>
        <v>0.1</v>
      </c>
      <c r="K86" s="158">
        <f t="shared" si="41"/>
        <v>0.1</v>
      </c>
      <c r="L86" s="158">
        <f t="shared" si="41"/>
        <v>0.1</v>
      </c>
      <c r="M86" s="158">
        <f t="shared" si="41"/>
        <v>0.1</v>
      </c>
      <c r="N86" s="158">
        <f t="shared" si="41"/>
        <v>0.1</v>
      </c>
      <c r="O86" s="158">
        <f t="shared" si="41"/>
        <v>0.1</v>
      </c>
      <c r="P86" s="158">
        <f t="shared" si="41"/>
        <v>0.1</v>
      </c>
      <c r="Q86" s="158">
        <f t="shared" si="41"/>
        <v>0.1</v>
      </c>
      <c r="R86" s="158">
        <f t="shared" si="41"/>
        <v>0.1</v>
      </c>
      <c r="S86" s="158">
        <f t="shared" si="41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2"/>
        <v>0.1</v>
      </c>
      <c r="E87" s="158">
        <f t="shared" si="41"/>
        <v>0.1</v>
      </c>
      <c r="F87" s="158">
        <f t="shared" si="41"/>
        <v>0.1</v>
      </c>
      <c r="G87" s="158">
        <f t="shared" si="41"/>
        <v>0.1</v>
      </c>
      <c r="H87" s="158">
        <f t="shared" si="41"/>
        <v>0.1</v>
      </c>
      <c r="I87" s="158">
        <f t="shared" si="41"/>
        <v>0.1</v>
      </c>
      <c r="J87" s="158">
        <f t="shared" si="41"/>
        <v>0.1</v>
      </c>
      <c r="K87" s="158">
        <f t="shared" si="41"/>
        <v>0.1</v>
      </c>
      <c r="L87" s="158">
        <f t="shared" si="41"/>
        <v>0.1</v>
      </c>
      <c r="M87" s="158">
        <f t="shared" si="41"/>
        <v>0.1</v>
      </c>
      <c r="N87" s="158">
        <f t="shared" si="41"/>
        <v>0.1</v>
      </c>
      <c r="O87" s="158">
        <f t="shared" si="41"/>
        <v>0.1</v>
      </c>
      <c r="P87" s="158">
        <f t="shared" si="41"/>
        <v>0.1</v>
      </c>
      <c r="Q87" s="158">
        <f t="shared" si="41"/>
        <v>0.1</v>
      </c>
      <c r="R87" s="158">
        <f t="shared" si="41"/>
        <v>0.1</v>
      </c>
      <c r="S87" s="158">
        <f t="shared" si="41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2"/>
        <v>0.1</v>
      </c>
      <c r="E88" s="158">
        <f t="shared" si="41"/>
        <v>0.1</v>
      </c>
      <c r="F88" s="158">
        <f t="shared" si="41"/>
        <v>0.1</v>
      </c>
      <c r="G88" s="158">
        <f t="shared" si="41"/>
        <v>0.1</v>
      </c>
      <c r="H88" s="158">
        <f t="shared" si="41"/>
        <v>0.1</v>
      </c>
      <c r="I88" s="158">
        <f t="shared" si="41"/>
        <v>0.1</v>
      </c>
      <c r="J88" s="158">
        <f t="shared" si="41"/>
        <v>0.1</v>
      </c>
      <c r="K88" s="158">
        <f t="shared" si="41"/>
        <v>0.1</v>
      </c>
      <c r="L88" s="158">
        <f t="shared" si="41"/>
        <v>0.1</v>
      </c>
      <c r="M88" s="158">
        <f t="shared" si="41"/>
        <v>0.1</v>
      </c>
      <c r="N88" s="158">
        <f t="shared" si="41"/>
        <v>0.1</v>
      </c>
      <c r="O88" s="158">
        <f t="shared" si="41"/>
        <v>0.1</v>
      </c>
      <c r="P88" s="158">
        <f t="shared" si="41"/>
        <v>0.1</v>
      </c>
      <c r="Q88" s="158">
        <f t="shared" si="41"/>
        <v>0.1</v>
      </c>
      <c r="R88" s="158">
        <f t="shared" si="41"/>
        <v>0.1</v>
      </c>
      <c r="S88" s="158">
        <f t="shared" si="41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2"/>
        <v>2.9499999999999997</v>
      </c>
      <c r="E89" s="158">
        <f t="shared" si="41"/>
        <v>2.9499999999999997</v>
      </c>
      <c r="F89" s="158">
        <f t="shared" si="41"/>
        <v>2.9499999999999997</v>
      </c>
      <c r="G89" s="158">
        <f t="shared" si="41"/>
        <v>2.9499999999999997</v>
      </c>
      <c r="H89" s="158">
        <f t="shared" si="41"/>
        <v>2.9499999999999997</v>
      </c>
      <c r="I89" s="158">
        <f t="shared" si="41"/>
        <v>2.9499999999999997</v>
      </c>
      <c r="J89" s="158">
        <f t="shared" si="41"/>
        <v>2.9499999999999997</v>
      </c>
      <c r="K89" s="158">
        <f t="shared" si="41"/>
        <v>2.9499999999999997</v>
      </c>
      <c r="L89" s="158">
        <f t="shared" si="41"/>
        <v>2.9499999999999997</v>
      </c>
      <c r="M89" s="158">
        <f t="shared" si="41"/>
        <v>2.9499999999999997</v>
      </c>
      <c r="N89" s="158">
        <f t="shared" si="41"/>
        <v>2.9499999999999997</v>
      </c>
      <c r="O89" s="158">
        <f t="shared" si="41"/>
        <v>2.9499999999999997</v>
      </c>
      <c r="P89" s="158">
        <f t="shared" si="41"/>
        <v>2.9499999999999997</v>
      </c>
      <c r="Q89" s="158">
        <f t="shared" si="41"/>
        <v>2.9499999999999997</v>
      </c>
      <c r="R89" s="158">
        <f t="shared" si="41"/>
        <v>2.9499999999999997</v>
      </c>
      <c r="S89" s="158">
        <f t="shared" si="41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2"/>
        <v>2.9499999999999997</v>
      </c>
      <c r="E90" s="158">
        <f t="shared" si="41"/>
        <v>2.9499999999999997</v>
      </c>
      <c r="F90" s="158">
        <f t="shared" si="41"/>
        <v>2.9499999999999997</v>
      </c>
      <c r="G90" s="158">
        <f t="shared" si="41"/>
        <v>2.9499999999999997</v>
      </c>
      <c r="H90" s="158">
        <f t="shared" si="41"/>
        <v>2.9499999999999997</v>
      </c>
      <c r="I90" s="158">
        <f t="shared" si="41"/>
        <v>2.9499999999999997</v>
      </c>
      <c r="J90" s="158">
        <f t="shared" si="41"/>
        <v>2.9499999999999997</v>
      </c>
      <c r="K90" s="158">
        <f t="shared" si="41"/>
        <v>2.9499999999999997</v>
      </c>
      <c r="L90" s="158">
        <f t="shared" si="41"/>
        <v>2.9499999999999997</v>
      </c>
      <c r="M90" s="158">
        <f t="shared" si="41"/>
        <v>2.9499999999999997</v>
      </c>
      <c r="N90" s="158">
        <f t="shared" si="41"/>
        <v>2.9499999999999997</v>
      </c>
      <c r="O90" s="158">
        <f t="shared" si="41"/>
        <v>2.9499999999999997</v>
      </c>
      <c r="P90" s="158">
        <f t="shared" si="41"/>
        <v>2.9499999999999997</v>
      </c>
      <c r="Q90" s="158">
        <f t="shared" si="41"/>
        <v>2.9499999999999997</v>
      </c>
      <c r="R90" s="158">
        <f t="shared" si="41"/>
        <v>2.9499999999999997</v>
      </c>
      <c r="S90" s="158">
        <f t="shared" si="41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2"/>
        <v>2.9499999999999997</v>
      </c>
      <c r="E91" s="158">
        <f t="shared" si="41"/>
        <v>2.9499999999999997</v>
      </c>
      <c r="F91" s="158">
        <f t="shared" si="41"/>
        <v>2.9499999999999997</v>
      </c>
      <c r="G91" s="158">
        <f t="shared" si="41"/>
        <v>2.9499999999999997</v>
      </c>
      <c r="H91" s="158">
        <f t="shared" si="41"/>
        <v>2.9499999999999997</v>
      </c>
      <c r="I91" s="158">
        <f t="shared" si="41"/>
        <v>2.9499999999999997</v>
      </c>
      <c r="J91" s="158">
        <f t="shared" si="41"/>
        <v>2.9499999999999997</v>
      </c>
      <c r="K91" s="158">
        <f t="shared" si="41"/>
        <v>2.9499999999999997</v>
      </c>
      <c r="L91" s="158">
        <f t="shared" si="41"/>
        <v>2.9499999999999997</v>
      </c>
      <c r="M91" s="158">
        <f t="shared" si="41"/>
        <v>2.9499999999999997</v>
      </c>
      <c r="N91" s="158">
        <f t="shared" si="41"/>
        <v>2.9499999999999997</v>
      </c>
      <c r="O91" s="158">
        <f t="shared" si="41"/>
        <v>2.9499999999999997</v>
      </c>
      <c r="P91" s="158">
        <f t="shared" si="41"/>
        <v>2.9499999999999997</v>
      </c>
      <c r="Q91" s="158">
        <f t="shared" si="41"/>
        <v>2.9499999999999997</v>
      </c>
      <c r="R91" s="158">
        <f t="shared" si="41"/>
        <v>2.9499999999999997</v>
      </c>
      <c r="S91" s="158">
        <f t="shared" si="41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2"/>
        <v>2.9499999999999997</v>
      </c>
      <c r="E92" s="158">
        <f t="shared" ref="E92:S92" si="43">D92</f>
        <v>2.9499999999999997</v>
      </c>
      <c r="F92" s="158">
        <f t="shared" si="43"/>
        <v>2.9499999999999997</v>
      </c>
      <c r="G92" s="158">
        <f t="shared" si="43"/>
        <v>2.9499999999999997</v>
      </c>
      <c r="H92" s="158">
        <f t="shared" si="43"/>
        <v>2.9499999999999997</v>
      </c>
      <c r="I92" s="158">
        <f t="shared" si="43"/>
        <v>2.9499999999999997</v>
      </c>
      <c r="J92" s="158">
        <f t="shared" si="43"/>
        <v>2.9499999999999997</v>
      </c>
      <c r="K92" s="158">
        <f t="shared" si="43"/>
        <v>2.9499999999999997</v>
      </c>
      <c r="L92" s="158">
        <f t="shared" si="43"/>
        <v>2.9499999999999997</v>
      </c>
      <c r="M92" s="158">
        <f t="shared" si="43"/>
        <v>2.9499999999999997</v>
      </c>
      <c r="N92" s="158">
        <f t="shared" si="43"/>
        <v>2.9499999999999997</v>
      </c>
      <c r="O92" s="158">
        <f t="shared" si="43"/>
        <v>2.9499999999999997</v>
      </c>
      <c r="P92" s="158">
        <f t="shared" si="43"/>
        <v>2.9499999999999997</v>
      </c>
      <c r="Q92" s="158">
        <f t="shared" si="43"/>
        <v>2.9499999999999997</v>
      </c>
      <c r="R92" s="158">
        <f t="shared" si="43"/>
        <v>2.9499999999999997</v>
      </c>
      <c r="S92" s="158">
        <f t="shared" si="43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2"/>
        <v>2</v>
      </c>
      <c r="E93" s="133">
        <f t="shared" ref="E93:S93" si="44">D93</f>
        <v>2</v>
      </c>
      <c r="F93" s="133">
        <f t="shared" si="44"/>
        <v>2</v>
      </c>
      <c r="G93" s="133">
        <f t="shared" si="44"/>
        <v>2</v>
      </c>
      <c r="H93" s="133">
        <f t="shared" si="44"/>
        <v>2</v>
      </c>
      <c r="I93" s="133">
        <f t="shared" si="44"/>
        <v>2</v>
      </c>
      <c r="J93" s="133">
        <f t="shared" si="44"/>
        <v>2</v>
      </c>
      <c r="K93" s="133">
        <f t="shared" si="44"/>
        <v>2</v>
      </c>
      <c r="L93" s="133">
        <f t="shared" si="44"/>
        <v>2</v>
      </c>
      <c r="M93" s="133">
        <f t="shared" si="44"/>
        <v>2</v>
      </c>
      <c r="N93" s="133">
        <f t="shared" si="44"/>
        <v>2</v>
      </c>
      <c r="O93" s="133">
        <f t="shared" si="44"/>
        <v>2</v>
      </c>
      <c r="P93" s="133">
        <f t="shared" si="44"/>
        <v>2</v>
      </c>
      <c r="Q93" s="133">
        <f t="shared" si="44"/>
        <v>2</v>
      </c>
      <c r="R93" s="133">
        <f t="shared" si="44"/>
        <v>2</v>
      </c>
      <c r="S93" s="133">
        <f t="shared" si="44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2"/>
        <v>1</v>
      </c>
      <c r="E94" s="6">
        <f t="shared" ref="E94:S94" si="45">D94</f>
        <v>1</v>
      </c>
      <c r="F94" s="6">
        <f t="shared" si="45"/>
        <v>1</v>
      </c>
      <c r="G94" s="6">
        <f t="shared" si="45"/>
        <v>1</v>
      </c>
      <c r="H94" s="6">
        <f t="shared" si="45"/>
        <v>1</v>
      </c>
      <c r="I94" s="6">
        <f t="shared" si="45"/>
        <v>1</v>
      </c>
      <c r="J94" s="6">
        <f t="shared" si="45"/>
        <v>1</v>
      </c>
      <c r="K94" s="6">
        <f t="shared" si="45"/>
        <v>1</v>
      </c>
      <c r="L94" s="6">
        <f t="shared" si="45"/>
        <v>1</v>
      </c>
      <c r="M94" s="6">
        <f t="shared" si="45"/>
        <v>1</v>
      </c>
      <c r="N94" s="6">
        <f t="shared" si="45"/>
        <v>1</v>
      </c>
      <c r="O94" s="6">
        <f t="shared" si="45"/>
        <v>1</v>
      </c>
      <c r="P94" s="6">
        <f t="shared" si="45"/>
        <v>1</v>
      </c>
      <c r="Q94" s="6">
        <f t="shared" si="45"/>
        <v>1</v>
      </c>
      <c r="R94" s="6">
        <f t="shared" si="45"/>
        <v>1</v>
      </c>
      <c r="S94" s="6">
        <f t="shared" si="45"/>
        <v>1</v>
      </c>
    </row>
    <row r="95" spans="1:19" ht="15" customHeight="1">
      <c r="B95" s="277" t="s">
        <v>1165</v>
      </c>
      <c r="C95" s="6">
        <f>Inputs!C95</f>
        <v>3.7833333333333332</v>
      </c>
      <c r="D95" s="6">
        <f t="shared" si="42"/>
        <v>3.7833333333333332</v>
      </c>
      <c r="E95" s="6">
        <f t="shared" ref="E95:S95" si="46">D95</f>
        <v>3.7833333333333332</v>
      </c>
      <c r="F95" s="6">
        <f t="shared" si="46"/>
        <v>3.7833333333333332</v>
      </c>
      <c r="G95" s="6">
        <f t="shared" si="46"/>
        <v>3.7833333333333332</v>
      </c>
      <c r="H95" s="6">
        <f t="shared" si="46"/>
        <v>3.7833333333333332</v>
      </c>
      <c r="I95" s="6">
        <f t="shared" si="46"/>
        <v>3.7833333333333332</v>
      </c>
      <c r="J95" s="6">
        <f t="shared" si="46"/>
        <v>3.7833333333333332</v>
      </c>
      <c r="K95" s="6">
        <f t="shared" si="46"/>
        <v>3.7833333333333332</v>
      </c>
      <c r="L95" s="6">
        <f t="shared" si="46"/>
        <v>3.7833333333333332</v>
      </c>
      <c r="M95" s="6">
        <f t="shared" si="46"/>
        <v>3.7833333333333332</v>
      </c>
      <c r="N95" s="6">
        <f t="shared" si="46"/>
        <v>3.7833333333333332</v>
      </c>
      <c r="O95" s="6">
        <f t="shared" si="46"/>
        <v>3.7833333333333332</v>
      </c>
      <c r="P95" s="6">
        <f t="shared" si="46"/>
        <v>3.7833333333333332</v>
      </c>
      <c r="Q95" s="6">
        <f t="shared" si="46"/>
        <v>3.7833333333333332</v>
      </c>
      <c r="R95" s="6">
        <f t="shared" si="46"/>
        <v>3.7833333333333332</v>
      </c>
      <c r="S95" s="6">
        <f t="shared" si="46"/>
        <v>3.7833333333333332</v>
      </c>
    </row>
    <row r="96" spans="1:19" ht="15" customHeight="1">
      <c r="B96" s="277" t="s">
        <v>1166</v>
      </c>
      <c r="C96" s="6">
        <f>Inputs!C96</f>
        <v>0.18666666666666665</v>
      </c>
      <c r="D96" s="6">
        <f t="shared" ref="D96:S111" si="47">C96</f>
        <v>0.18666666666666665</v>
      </c>
      <c r="E96" s="6">
        <f t="shared" si="47"/>
        <v>0.18666666666666665</v>
      </c>
      <c r="F96" s="6">
        <f t="shared" si="47"/>
        <v>0.18666666666666665</v>
      </c>
      <c r="G96" s="6">
        <f t="shared" si="47"/>
        <v>0.18666666666666665</v>
      </c>
      <c r="H96" s="6">
        <f t="shared" si="47"/>
        <v>0.18666666666666665</v>
      </c>
      <c r="I96" s="6">
        <f t="shared" si="47"/>
        <v>0.18666666666666665</v>
      </c>
      <c r="J96" s="6">
        <f t="shared" si="47"/>
        <v>0.18666666666666665</v>
      </c>
      <c r="K96" s="6">
        <f t="shared" si="47"/>
        <v>0.18666666666666665</v>
      </c>
      <c r="L96" s="6">
        <f t="shared" si="47"/>
        <v>0.18666666666666665</v>
      </c>
      <c r="M96" s="6">
        <f t="shared" si="47"/>
        <v>0.18666666666666665</v>
      </c>
      <c r="N96" s="6">
        <f t="shared" si="47"/>
        <v>0.18666666666666665</v>
      </c>
      <c r="O96" s="6">
        <f t="shared" si="47"/>
        <v>0.18666666666666665</v>
      </c>
      <c r="P96" s="6">
        <f t="shared" si="47"/>
        <v>0.18666666666666665</v>
      </c>
      <c r="Q96" s="6">
        <f t="shared" si="47"/>
        <v>0.18666666666666665</v>
      </c>
      <c r="R96" s="6">
        <f t="shared" si="47"/>
        <v>0.18666666666666665</v>
      </c>
      <c r="S96" s="6">
        <f t="shared" si="47"/>
        <v>0.18666666666666665</v>
      </c>
    </row>
    <row r="97" spans="1:19" ht="15" customHeight="1">
      <c r="B97" s="277" t="s">
        <v>1167</v>
      </c>
      <c r="C97" s="6">
        <f>Inputs!C97</f>
        <v>0.5</v>
      </c>
      <c r="D97" s="6">
        <f t="shared" si="47"/>
        <v>0.5</v>
      </c>
      <c r="E97" s="6">
        <f t="shared" si="47"/>
        <v>0.5</v>
      </c>
      <c r="F97" s="6">
        <f t="shared" si="47"/>
        <v>0.5</v>
      </c>
      <c r="G97" s="6">
        <f t="shared" si="47"/>
        <v>0.5</v>
      </c>
      <c r="H97" s="6">
        <f t="shared" si="47"/>
        <v>0.5</v>
      </c>
      <c r="I97" s="6">
        <f t="shared" si="47"/>
        <v>0.5</v>
      </c>
      <c r="J97" s="6">
        <f t="shared" si="47"/>
        <v>0.5</v>
      </c>
      <c r="K97" s="6">
        <f t="shared" si="47"/>
        <v>0.5</v>
      </c>
      <c r="L97" s="6">
        <f t="shared" si="47"/>
        <v>0.5</v>
      </c>
      <c r="M97" s="6">
        <f t="shared" si="47"/>
        <v>0.5</v>
      </c>
      <c r="N97" s="6">
        <f t="shared" si="47"/>
        <v>0.5</v>
      </c>
      <c r="O97" s="6">
        <f t="shared" si="47"/>
        <v>0.5</v>
      </c>
      <c r="P97" s="6">
        <f t="shared" si="47"/>
        <v>0.5</v>
      </c>
      <c r="Q97" s="6">
        <f t="shared" si="47"/>
        <v>0.5</v>
      </c>
      <c r="R97" s="6">
        <f t="shared" si="47"/>
        <v>0.5</v>
      </c>
      <c r="S97" s="6">
        <f t="shared" si="47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7"/>
        <v>3</v>
      </c>
      <c r="E98" s="133">
        <f t="shared" si="47"/>
        <v>3</v>
      </c>
      <c r="F98" s="133">
        <f t="shared" si="47"/>
        <v>3</v>
      </c>
      <c r="G98" s="133">
        <f t="shared" si="47"/>
        <v>3</v>
      </c>
      <c r="H98" s="133">
        <f t="shared" si="47"/>
        <v>3</v>
      </c>
      <c r="I98" s="133">
        <f t="shared" si="47"/>
        <v>3</v>
      </c>
      <c r="J98" s="133">
        <f t="shared" si="47"/>
        <v>3</v>
      </c>
      <c r="K98" s="133">
        <f t="shared" si="47"/>
        <v>3</v>
      </c>
      <c r="L98" s="133">
        <f t="shared" si="47"/>
        <v>3</v>
      </c>
      <c r="M98" s="133">
        <f t="shared" si="47"/>
        <v>3</v>
      </c>
      <c r="N98" s="133">
        <f t="shared" si="47"/>
        <v>3</v>
      </c>
      <c r="O98" s="133">
        <f t="shared" si="47"/>
        <v>3</v>
      </c>
      <c r="P98" s="133">
        <f t="shared" si="47"/>
        <v>3</v>
      </c>
      <c r="Q98" s="133">
        <f t="shared" si="47"/>
        <v>3</v>
      </c>
      <c r="R98" s="133">
        <f t="shared" si="47"/>
        <v>3</v>
      </c>
      <c r="S98" s="133">
        <f t="shared" si="47"/>
        <v>3</v>
      </c>
    </row>
    <row r="99" spans="1:19" ht="15" customHeight="1">
      <c r="B99" s="277" t="s">
        <v>1169</v>
      </c>
      <c r="C99" s="158">
        <f>Inputs!C99</f>
        <v>3.7833333333333332</v>
      </c>
      <c r="D99" s="158">
        <f t="shared" si="47"/>
        <v>3.7833333333333332</v>
      </c>
      <c r="E99" s="158">
        <f t="shared" si="47"/>
        <v>3.7833333333333332</v>
      </c>
      <c r="F99" s="158">
        <f t="shared" si="47"/>
        <v>3.7833333333333332</v>
      </c>
      <c r="G99" s="158">
        <f t="shared" si="47"/>
        <v>3.7833333333333332</v>
      </c>
      <c r="H99" s="158">
        <f t="shared" si="47"/>
        <v>3.7833333333333332</v>
      </c>
      <c r="I99" s="158">
        <f t="shared" si="47"/>
        <v>3.7833333333333332</v>
      </c>
      <c r="J99" s="158">
        <f t="shared" si="47"/>
        <v>3.7833333333333332</v>
      </c>
      <c r="K99" s="158">
        <f t="shared" si="47"/>
        <v>3.7833333333333332</v>
      </c>
      <c r="L99" s="158">
        <f t="shared" si="47"/>
        <v>3.7833333333333332</v>
      </c>
      <c r="M99" s="158">
        <f t="shared" si="47"/>
        <v>3.7833333333333332</v>
      </c>
      <c r="N99" s="158">
        <f t="shared" si="47"/>
        <v>3.7833333333333332</v>
      </c>
      <c r="O99" s="158">
        <f t="shared" si="47"/>
        <v>3.7833333333333332</v>
      </c>
      <c r="P99" s="158">
        <f t="shared" si="47"/>
        <v>3.7833333333333332</v>
      </c>
      <c r="Q99" s="158">
        <f t="shared" si="47"/>
        <v>3.7833333333333332</v>
      </c>
      <c r="R99" s="158">
        <f t="shared" si="47"/>
        <v>3.7833333333333332</v>
      </c>
      <c r="S99" s="158">
        <f t="shared" si="47"/>
        <v>3.7833333333333332</v>
      </c>
    </row>
    <row r="100" spans="1:19" ht="15" customHeight="1">
      <c r="B100" s="277" t="s">
        <v>1170</v>
      </c>
      <c r="C100" s="158">
        <f>Inputs!C100</f>
        <v>5.3333333333333337E-2</v>
      </c>
      <c r="D100" s="158">
        <f t="shared" si="47"/>
        <v>5.3333333333333337E-2</v>
      </c>
      <c r="E100" s="158">
        <f t="shared" si="47"/>
        <v>5.3333333333333337E-2</v>
      </c>
      <c r="F100" s="158">
        <f t="shared" si="47"/>
        <v>5.3333333333333337E-2</v>
      </c>
      <c r="G100" s="158">
        <f t="shared" si="47"/>
        <v>5.3333333333333337E-2</v>
      </c>
      <c r="H100" s="158">
        <f t="shared" si="47"/>
        <v>5.3333333333333337E-2</v>
      </c>
      <c r="I100" s="158">
        <f t="shared" si="47"/>
        <v>5.3333333333333337E-2</v>
      </c>
      <c r="J100" s="158">
        <f t="shared" si="47"/>
        <v>5.3333333333333337E-2</v>
      </c>
      <c r="K100" s="158">
        <f t="shared" si="47"/>
        <v>5.3333333333333337E-2</v>
      </c>
      <c r="L100" s="158">
        <f t="shared" si="47"/>
        <v>5.3333333333333337E-2</v>
      </c>
      <c r="M100" s="158">
        <f t="shared" si="47"/>
        <v>5.3333333333333337E-2</v>
      </c>
      <c r="N100" s="158">
        <f t="shared" si="47"/>
        <v>5.3333333333333337E-2</v>
      </c>
      <c r="O100" s="158">
        <f t="shared" si="47"/>
        <v>5.3333333333333337E-2</v>
      </c>
      <c r="P100" s="158">
        <f t="shared" si="47"/>
        <v>5.3333333333333337E-2</v>
      </c>
      <c r="Q100" s="158">
        <f t="shared" si="47"/>
        <v>5.3333333333333337E-2</v>
      </c>
      <c r="R100" s="158">
        <f t="shared" si="47"/>
        <v>5.3333333333333337E-2</v>
      </c>
      <c r="S100" s="158">
        <f t="shared" si="47"/>
        <v>5.3333333333333337E-2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7"/>
        <v>0.5</v>
      </c>
      <c r="E101" s="8">
        <f t="shared" si="47"/>
        <v>0.5</v>
      </c>
      <c r="F101" s="8">
        <f t="shared" si="47"/>
        <v>0.5</v>
      </c>
      <c r="G101" s="8">
        <f t="shared" si="47"/>
        <v>0.5</v>
      </c>
      <c r="H101" s="8">
        <f t="shared" si="47"/>
        <v>0.5</v>
      </c>
      <c r="I101" s="8">
        <f t="shared" si="47"/>
        <v>0.5</v>
      </c>
      <c r="J101" s="8">
        <f t="shared" si="47"/>
        <v>0.5</v>
      </c>
      <c r="K101" s="8">
        <f t="shared" si="47"/>
        <v>0.5</v>
      </c>
      <c r="L101" s="8">
        <f t="shared" si="47"/>
        <v>0.5</v>
      </c>
      <c r="M101" s="8">
        <f t="shared" si="47"/>
        <v>0.5</v>
      </c>
      <c r="N101" s="8">
        <f t="shared" si="47"/>
        <v>0.5</v>
      </c>
      <c r="O101" s="8">
        <f t="shared" si="47"/>
        <v>0.5</v>
      </c>
      <c r="P101" s="8">
        <f t="shared" si="47"/>
        <v>0.5</v>
      </c>
      <c r="Q101" s="8">
        <f t="shared" si="47"/>
        <v>0.5</v>
      </c>
      <c r="R101" s="8">
        <f t="shared" si="47"/>
        <v>0.5</v>
      </c>
      <c r="S101" s="254">
        <f t="shared" si="47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7"/>
        <v>18.43494882292201</v>
      </c>
      <c r="E102" s="158">
        <f t="shared" si="47"/>
        <v>18.43494882292201</v>
      </c>
      <c r="F102" s="158">
        <f t="shared" si="47"/>
        <v>18.43494882292201</v>
      </c>
      <c r="G102" s="158">
        <f t="shared" si="47"/>
        <v>18.43494882292201</v>
      </c>
      <c r="H102" s="158">
        <f t="shared" si="47"/>
        <v>18.43494882292201</v>
      </c>
      <c r="I102" s="158">
        <f t="shared" si="47"/>
        <v>18.43494882292201</v>
      </c>
      <c r="J102" s="158">
        <f t="shared" si="47"/>
        <v>18.43494882292201</v>
      </c>
      <c r="K102" s="158">
        <f t="shared" si="47"/>
        <v>18.43494882292201</v>
      </c>
      <c r="L102" s="158">
        <f t="shared" si="47"/>
        <v>18.43494882292201</v>
      </c>
      <c r="M102" s="158">
        <f t="shared" si="47"/>
        <v>18.43494882292201</v>
      </c>
      <c r="N102" s="158">
        <f t="shared" si="47"/>
        <v>18.43494882292201</v>
      </c>
      <c r="O102" s="158">
        <f t="shared" si="47"/>
        <v>18.43494882292201</v>
      </c>
      <c r="P102" s="158">
        <f t="shared" si="47"/>
        <v>18.43494882292201</v>
      </c>
      <c r="Q102" s="158">
        <f t="shared" si="47"/>
        <v>18.43494882292201</v>
      </c>
      <c r="R102" s="158">
        <f t="shared" si="47"/>
        <v>18.43494882292201</v>
      </c>
      <c r="S102" s="158">
        <f t="shared" si="47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7"/>
        <v>P</v>
      </c>
      <c r="E103" s="6" t="str">
        <f t="shared" si="47"/>
        <v>P</v>
      </c>
      <c r="F103" s="6" t="str">
        <f t="shared" si="47"/>
        <v>P</v>
      </c>
      <c r="G103" s="6" t="str">
        <f t="shared" si="47"/>
        <v>P</v>
      </c>
      <c r="H103" s="6" t="str">
        <f t="shared" si="47"/>
        <v>P</v>
      </c>
      <c r="I103" s="6" t="str">
        <f t="shared" si="47"/>
        <v>P</v>
      </c>
      <c r="J103" s="6" t="str">
        <f t="shared" si="47"/>
        <v>P</v>
      </c>
      <c r="K103" s="6" t="str">
        <f t="shared" si="47"/>
        <v>P</v>
      </c>
      <c r="L103" s="6" t="str">
        <f t="shared" si="47"/>
        <v>P</v>
      </c>
      <c r="M103" s="6" t="str">
        <f t="shared" si="47"/>
        <v>P</v>
      </c>
      <c r="N103" s="6" t="str">
        <f t="shared" si="47"/>
        <v>P</v>
      </c>
      <c r="O103" s="6" t="str">
        <f t="shared" si="47"/>
        <v>P</v>
      </c>
      <c r="P103" s="6" t="str">
        <f t="shared" si="47"/>
        <v>P</v>
      </c>
      <c r="Q103" s="6" t="str">
        <f t="shared" si="47"/>
        <v>P</v>
      </c>
      <c r="R103" s="6" t="str">
        <f t="shared" si="47"/>
        <v>P</v>
      </c>
      <c r="S103" s="6" t="str">
        <f t="shared" si="47"/>
        <v>P</v>
      </c>
    </row>
    <row r="104" spans="1:19" ht="15" customHeight="1">
      <c r="B104" s="277" t="s">
        <v>1054</v>
      </c>
      <c r="C104" s="8">
        <f>Inputs!C104</f>
        <v>4.6166666666666663</v>
      </c>
      <c r="D104" s="8">
        <f>C104</f>
        <v>4.6166666666666663</v>
      </c>
      <c r="E104" s="8">
        <f t="shared" si="47"/>
        <v>4.6166666666666663</v>
      </c>
      <c r="F104" s="8">
        <f t="shared" si="47"/>
        <v>4.6166666666666663</v>
      </c>
      <c r="G104" s="8">
        <f t="shared" si="47"/>
        <v>4.6166666666666663</v>
      </c>
      <c r="H104" s="8">
        <f t="shared" si="47"/>
        <v>4.6166666666666663</v>
      </c>
      <c r="I104" s="8">
        <f t="shared" si="47"/>
        <v>4.6166666666666663</v>
      </c>
      <c r="J104" s="8">
        <f t="shared" si="47"/>
        <v>4.6166666666666663</v>
      </c>
      <c r="K104" s="8">
        <f t="shared" si="47"/>
        <v>4.6166666666666663</v>
      </c>
      <c r="L104" s="8">
        <f t="shared" si="47"/>
        <v>4.6166666666666663</v>
      </c>
      <c r="M104" s="8">
        <f t="shared" si="47"/>
        <v>4.6166666666666663</v>
      </c>
      <c r="N104" s="8">
        <f t="shared" si="47"/>
        <v>4.6166666666666663</v>
      </c>
      <c r="O104" s="8">
        <f t="shared" si="47"/>
        <v>4.6166666666666663</v>
      </c>
      <c r="P104" s="8">
        <f t="shared" si="47"/>
        <v>4.6166666666666663</v>
      </c>
      <c r="Q104" s="8">
        <f t="shared" si="47"/>
        <v>4.6166666666666663</v>
      </c>
      <c r="R104" s="8">
        <f t="shared" si="47"/>
        <v>4.6166666666666663</v>
      </c>
      <c r="S104" s="254">
        <f t="shared" si="47"/>
        <v>4.6166666666666663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7"/>
        <v>0</v>
      </c>
      <c r="E105" s="133">
        <f t="shared" si="47"/>
        <v>0</v>
      </c>
      <c r="F105" s="133">
        <f t="shared" si="47"/>
        <v>0</v>
      </c>
      <c r="G105" s="133">
        <f t="shared" si="47"/>
        <v>0</v>
      </c>
      <c r="H105" s="133">
        <f t="shared" si="47"/>
        <v>0</v>
      </c>
      <c r="I105" s="133">
        <f t="shared" si="47"/>
        <v>0</v>
      </c>
      <c r="J105" s="133">
        <f t="shared" si="47"/>
        <v>0</v>
      </c>
      <c r="K105" s="133">
        <f t="shared" si="47"/>
        <v>0</v>
      </c>
      <c r="L105" s="133">
        <f t="shared" si="47"/>
        <v>0</v>
      </c>
      <c r="M105" s="133">
        <f t="shared" si="47"/>
        <v>0</v>
      </c>
      <c r="N105" s="133">
        <f t="shared" si="47"/>
        <v>0</v>
      </c>
      <c r="O105" s="133">
        <f t="shared" si="47"/>
        <v>0</v>
      </c>
      <c r="P105" s="133">
        <f t="shared" si="47"/>
        <v>0</v>
      </c>
      <c r="Q105" s="133">
        <f t="shared" si="47"/>
        <v>0</v>
      </c>
      <c r="R105" s="133">
        <f t="shared" si="47"/>
        <v>0</v>
      </c>
      <c r="S105" s="133">
        <f t="shared" si="47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7"/>
        <v>0</v>
      </c>
      <c r="E109" s="133">
        <f t="shared" si="47"/>
        <v>0</v>
      </c>
      <c r="F109" s="133">
        <f t="shared" si="47"/>
        <v>0</v>
      </c>
      <c r="G109" s="133">
        <f t="shared" si="47"/>
        <v>0</v>
      </c>
      <c r="H109" s="133">
        <f t="shared" si="47"/>
        <v>0</v>
      </c>
      <c r="I109" s="133">
        <f t="shared" si="47"/>
        <v>0</v>
      </c>
      <c r="J109" s="133">
        <f t="shared" si="47"/>
        <v>0</v>
      </c>
      <c r="K109" s="133">
        <f t="shared" si="47"/>
        <v>0</v>
      </c>
      <c r="L109" s="133">
        <f t="shared" si="47"/>
        <v>0</v>
      </c>
      <c r="M109" s="133">
        <f t="shared" si="47"/>
        <v>0</v>
      </c>
      <c r="N109" s="133">
        <f t="shared" si="47"/>
        <v>0</v>
      </c>
      <c r="O109" s="133">
        <f t="shared" si="47"/>
        <v>0</v>
      </c>
      <c r="P109" s="133">
        <f t="shared" si="47"/>
        <v>0</v>
      </c>
      <c r="Q109" s="133">
        <f t="shared" si="47"/>
        <v>0</v>
      </c>
      <c r="R109" s="133">
        <f t="shared" si="47"/>
        <v>0</v>
      </c>
      <c r="S109" s="133">
        <f t="shared" si="47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7"/>
        <v>1</v>
      </c>
      <c r="E110" s="133">
        <f t="shared" si="47"/>
        <v>1</v>
      </c>
      <c r="F110" s="133">
        <f t="shared" si="47"/>
        <v>1</v>
      </c>
      <c r="G110" s="133">
        <f t="shared" si="47"/>
        <v>1</v>
      </c>
      <c r="H110" s="133">
        <f t="shared" si="47"/>
        <v>1</v>
      </c>
      <c r="I110" s="133">
        <f t="shared" si="47"/>
        <v>1</v>
      </c>
      <c r="J110" s="133">
        <f t="shared" si="47"/>
        <v>1</v>
      </c>
      <c r="K110" s="133">
        <f t="shared" si="47"/>
        <v>1</v>
      </c>
      <c r="L110" s="133">
        <f t="shared" si="47"/>
        <v>1</v>
      </c>
      <c r="M110" s="133">
        <f t="shared" si="47"/>
        <v>1</v>
      </c>
      <c r="N110" s="133">
        <f t="shared" si="47"/>
        <v>1</v>
      </c>
      <c r="O110" s="133">
        <f t="shared" si="47"/>
        <v>1</v>
      </c>
      <c r="P110" s="133">
        <f t="shared" si="47"/>
        <v>1</v>
      </c>
      <c r="Q110" s="133">
        <f t="shared" si="47"/>
        <v>1</v>
      </c>
      <c r="R110" s="133">
        <f t="shared" si="47"/>
        <v>1</v>
      </c>
      <c r="S110" s="133">
        <f t="shared" si="47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7"/>
        <v>1</v>
      </c>
      <c r="E111" s="133">
        <f t="shared" si="47"/>
        <v>1</v>
      </c>
      <c r="F111" s="133">
        <f t="shared" si="47"/>
        <v>1</v>
      </c>
      <c r="G111" s="133">
        <f t="shared" si="47"/>
        <v>1</v>
      </c>
      <c r="H111" s="133">
        <f t="shared" si="47"/>
        <v>1</v>
      </c>
      <c r="I111" s="133">
        <f t="shared" si="47"/>
        <v>1</v>
      </c>
      <c r="J111" s="133">
        <f t="shared" si="47"/>
        <v>1</v>
      </c>
      <c r="K111" s="133">
        <f t="shared" si="47"/>
        <v>1</v>
      </c>
      <c r="L111" s="133">
        <f t="shared" si="47"/>
        <v>1</v>
      </c>
      <c r="M111" s="133">
        <f t="shared" si="47"/>
        <v>1</v>
      </c>
      <c r="N111" s="133">
        <f t="shared" si="47"/>
        <v>1</v>
      </c>
      <c r="O111" s="133">
        <f t="shared" si="47"/>
        <v>1</v>
      </c>
      <c r="P111" s="133">
        <f t="shared" si="47"/>
        <v>1</v>
      </c>
      <c r="Q111" s="133">
        <f t="shared" si="47"/>
        <v>1</v>
      </c>
      <c r="R111" s="133">
        <f t="shared" si="47"/>
        <v>1</v>
      </c>
      <c r="S111" s="133">
        <f t="shared" si="47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8">C116</f>
        <v>0</v>
      </c>
      <c r="E116" s="158">
        <f t="shared" si="48"/>
        <v>0</v>
      </c>
      <c r="F116" s="158">
        <f t="shared" si="48"/>
        <v>0</v>
      </c>
      <c r="G116" s="158">
        <f t="shared" si="48"/>
        <v>0</v>
      </c>
      <c r="H116" s="158">
        <f t="shared" si="48"/>
        <v>0</v>
      </c>
      <c r="I116" s="158">
        <f t="shared" si="48"/>
        <v>0</v>
      </c>
      <c r="J116" s="158">
        <f t="shared" si="48"/>
        <v>0</v>
      </c>
      <c r="K116" s="158">
        <f t="shared" si="48"/>
        <v>0</v>
      </c>
      <c r="L116" s="158">
        <f t="shared" si="48"/>
        <v>0</v>
      </c>
      <c r="M116" s="158">
        <f t="shared" si="48"/>
        <v>0</v>
      </c>
      <c r="N116" s="158">
        <f t="shared" si="48"/>
        <v>0</v>
      </c>
      <c r="O116" s="158">
        <f t="shared" si="48"/>
        <v>0</v>
      </c>
      <c r="P116" s="158">
        <f t="shared" si="48"/>
        <v>0</v>
      </c>
      <c r="Q116" s="158">
        <f t="shared" si="48"/>
        <v>0</v>
      </c>
      <c r="R116" s="158">
        <f t="shared" si="48"/>
        <v>0</v>
      </c>
      <c r="S116" s="158">
        <f t="shared" si="48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8"/>
        <v>0</v>
      </c>
      <c r="E117" s="158">
        <f t="shared" si="48"/>
        <v>0</v>
      </c>
      <c r="F117" s="158">
        <f t="shared" si="48"/>
        <v>0</v>
      </c>
      <c r="G117" s="158">
        <f t="shared" si="48"/>
        <v>0</v>
      </c>
      <c r="H117" s="158">
        <f t="shared" si="48"/>
        <v>0</v>
      </c>
      <c r="I117" s="158">
        <f t="shared" si="48"/>
        <v>0</v>
      </c>
      <c r="J117" s="158">
        <f t="shared" si="48"/>
        <v>0</v>
      </c>
      <c r="K117" s="158">
        <f t="shared" si="48"/>
        <v>0</v>
      </c>
      <c r="L117" s="158">
        <f t="shared" si="48"/>
        <v>0</v>
      </c>
      <c r="M117" s="158">
        <f t="shared" si="48"/>
        <v>0</v>
      </c>
      <c r="N117" s="158">
        <f t="shared" si="48"/>
        <v>0</v>
      </c>
      <c r="O117" s="158">
        <f t="shared" si="48"/>
        <v>0</v>
      </c>
      <c r="P117" s="158">
        <f t="shared" si="48"/>
        <v>0</v>
      </c>
      <c r="Q117" s="158">
        <f t="shared" si="48"/>
        <v>0</v>
      </c>
      <c r="R117" s="158">
        <f t="shared" si="48"/>
        <v>0</v>
      </c>
      <c r="S117" s="158">
        <f t="shared" si="48"/>
        <v>0</v>
      </c>
    </row>
    <row r="118" spans="1:19" ht="15" customHeight="1">
      <c r="B118" s="277" t="s">
        <v>1064</v>
      </c>
      <c r="C118" s="8">
        <f>Inputs!C118</f>
        <v>68.757185308095615</v>
      </c>
      <c r="D118" s="8">
        <f t="shared" si="48"/>
        <v>68.757185308095615</v>
      </c>
      <c r="E118" s="8">
        <f t="shared" si="48"/>
        <v>68.757185308095615</v>
      </c>
      <c r="F118" s="8">
        <f t="shared" si="48"/>
        <v>68.757185308095615</v>
      </c>
      <c r="G118" s="8">
        <f t="shared" si="48"/>
        <v>68.757185308095615</v>
      </c>
      <c r="H118" s="8">
        <f t="shared" si="48"/>
        <v>68.757185308095615</v>
      </c>
      <c r="I118" s="8">
        <f t="shared" si="48"/>
        <v>68.757185308095615</v>
      </c>
      <c r="J118" s="8">
        <f t="shared" si="48"/>
        <v>68.757185308095615</v>
      </c>
      <c r="K118" s="8">
        <f t="shared" si="48"/>
        <v>68.757185308095615</v>
      </c>
      <c r="L118" s="8">
        <f t="shared" si="48"/>
        <v>68.757185308095615</v>
      </c>
      <c r="M118" s="8">
        <f t="shared" si="48"/>
        <v>68.757185308095615</v>
      </c>
      <c r="N118" s="8">
        <f t="shared" si="48"/>
        <v>68.757185308095615</v>
      </c>
      <c r="O118" s="8">
        <f t="shared" si="48"/>
        <v>68.757185308095615</v>
      </c>
      <c r="P118" s="8">
        <f t="shared" si="48"/>
        <v>68.757185308095615</v>
      </c>
      <c r="Q118" s="8">
        <f t="shared" si="48"/>
        <v>68.757185308095615</v>
      </c>
      <c r="R118" s="8">
        <f t="shared" si="48"/>
        <v>68.757185308095615</v>
      </c>
      <c r="S118" s="254">
        <f t="shared" si="48"/>
        <v>68.757185308095615</v>
      </c>
    </row>
    <row r="119" spans="1:19" ht="15" customHeight="1">
      <c r="B119" s="277" t="s">
        <v>1065</v>
      </c>
      <c r="C119" s="8">
        <f>Inputs!C119</f>
        <v>7.0737844967176553</v>
      </c>
      <c r="D119" s="8">
        <f t="shared" si="48"/>
        <v>7.0737844967176553</v>
      </c>
      <c r="E119" s="8">
        <f t="shared" si="48"/>
        <v>7.0737844967176553</v>
      </c>
      <c r="F119" s="8">
        <f t="shared" si="48"/>
        <v>7.0737844967176553</v>
      </c>
      <c r="G119" s="8">
        <f t="shared" si="48"/>
        <v>7.0737844967176553</v>
      </c>
      <c r="H119" s="8">
        <f t="shared" si="48"/>
        <v>7.0737844967176553</v>
      </c>
      <c r="I119" s="8">
        <f t="shared" si="48"/>
        <v>7.0737844967176553</v>
      </c>
      <c r="J119" s="8">
        <f t="shared" si="48"/>
        <v>7.0737844967176553</v>
      </c>
      <c r="K119" s="8">
        <f t="shared" si="48"/>
        <v>7.0737844967176553</v>
      </c>
      <c r="L119" s="8">
        <f t="shared" si="48"/>
        <v>7.0737844967176553</v>
      </c>
      <c r="M119" s="8">
        <f t="shared" si="48"/>
        <v>7.0737844967176553</v>
      </c>
      <c r="N119" s="8">
        <f t="shared" si="48"/>
        <v>7.0737844967176553</v>
      </c>
      <c r="O119" s="8">
        <f t="shared" si="48"/>
        <v>7.0737844967176553</v>
      </c>
      <c r="P119" s="8">
        <f t="shared" si="48"/>
        <v>7.0737844967176553</v>
      </c>
      <c r="Q119" s="8">
        <f t="shared" si="48"/>
        <v>7.0737844967176553</v>
      </c>
      <c r="R119" s="8">
        <f t="shared" si="48"/>
        <v>7.0737844967176553</v>
      </c>
      <c r="S119" s="254">
        <f t="shared" si="48"/>
        <v>7.0737844967176553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8"/>
        <v>0.25</v>
      </c>
      <c r="E120" s="6">
        <f t="shared" si="48"/>
        <v>0.25</v>
      </c>
      <c r="F120" s="6">
        <f t="shared" si="48"/>
        <v>0.25</v>
      </c>
      <c r="G120" s="6">
        <f t="shared" si="48"/>
        <v>0.25</v>
      </c>
      <c r="H120" s="6">
        <f t="shared" si="48"/>
        <v>0.25</v>
      </c>
      <c r="I120" s="6">
        <f t="shared" si="48"/>
        <v>0.25</v>
      </c>
      <c r="J120" s="6">
        <f t="shared" si="48"/>
        <v>0.25</v>
      </c>
      <c r="K120" s="6">
        <f t="shared" si="48"/>
        <v>0.25</v>
      </c>
      <c r="L120" s="6">
        <f t="shared" si="48"/>
        <v>0.25</v>
      </c>
      <c r="M120" s="6">
        <f t="shared" si="48"/>
        <v>0.25</v>
      </c>
      <c r="N120" s="6">
        <f t="shared" si="48"/>
        <v>0.25</v>
      </c>
      <c r="O120" s="6">
        <f t="shared" si="48"/>
        <v>0.25</v>
      </c>
      <c r="P120" s="6">
        <f t="shared" si="48"/>
        <v>0.25</v>
      </c>
      <c r="Q120" s="6">
        <f t="shared" si="48"/>
        <v>0.25</v>
      </c>
      <c r="R120" s="6">
        <f t="shared" si="48"/>
        <v>0.25</v>
      </c>
      <c r="S120" s="6">
        <f t="shared" si="48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8"/>
        <v>0.45</v>
      </c>
      <c r="E121" s="6">
        <f t="shared" si="48"/>
        <v>0.45</v>
      </c>
      <c r="F121" s="6">
        <f t="shared" si="48"/>
        <v>0.45</v>
      </c>
      <c r="G121" s="6">
        <f t="shared" si="48"/>
        <v>0.45</v>
      </c>
      <c r="H121" s="6">
        <f t="shared" si="48"/>
        <v>0.45</v>
      </c>
      <c r="I121" s="6">
        <f t="shared" si="48"/>
        <v>0.45</v>
      </c>
      <c r="J121" s="6">
        <f t="shared" si="48"/>
        <v>0.45</v>
      </c>
      <c r="K121" s="6">
        <f t="shared" si="48"/>
        <v>0.45</v>
      </c>
      <c r="L121" s="6">
        <f t="shared" si="48"/>
        <v>0.45</v>
      </c>
      <c r="M121" s="6">
        <f t="shared" si="48"/>
        <v>0.45</v>
      </c>
      <c r="N121" s="6">
        <f t="shared" si="48"/>
        <v>0.45</v>
      </c>
      <c r="O121" s="6">
        <f t="shared" si="48"/>
        <v>0.45</v>
      </c>
      <c r="P121" s="6">
        <f t="shared" si="48"/>
        <v>0.45</v>
      </c>
      <c r="Q121" s="6">
        <f t="shared" si="48"/>
        <v>0.45</v>
      </c>
      <c r="R121" s="6">
        <f t="shared" si="48"/>
        <v>0.45</v>
      </c>
      <c r="S121" s="6">
        <f t="shared" si="48"/>
        <v>0.45</v>
      </c>
    </row>
    <row r="122" spans="1:19" ht="15" customHeight="1">
      <c r="B122" s="277" t="s">
        <v>1068</v>
      </c>
      <c r="C122" s="385">
        <f>HVAC!B135</f>
        <v>0.47199999999999998</v>
      </c>
      <c r="D122" s="385">
        <f>HVAC!C135</f>
        <v>0.47199999999999998</v>
      </c>
      <c r="E122" s="385">
        <f>HVAC!D135</f>
        <v>0.47199999999999998</v>
      </c>
      <c r="F122" s="385">
        <f>HVAC!E135</f>
        <v>0.47199999999999998</v>
      </c>
      <c r="G122" s="385">
        <f>HVAC!F135</f>
        <v>0.37759999999999999</v>
      </c>
      <c r="H122" s="385">
        <f>HVAC!G135</f>
        <v>0.28320000000000001</v>
      </c>
      <c r="I122" s="385">
        <f>HVAC!H135</f>
        <v>0.37759999999999999</v>
      </c>
      <c r="J122" s="385">
        <f>HVAC!I135</f>
        <v>0.37759999999999999</v>
      </c>
      <c r="K122" s="385">
        <f>HVAC!J135</f>
        <v>0.37759999999999999</v>
      </c>
      <c r="L122" s="385">
        <f>HVAC!K135</f>
        <v>0.37759999999999999</v>
      </c>
      <c r="M122" s="385">
        <f>HVAC!L135</f>
        <v>0.37759999999999999</v>
      </c>
      <c r="N122" s="385">
        <f>HVAC!M135</f>
        <v>0.37759999999999999</v>
      </c>
      <c r="O122" s="385">
        <f>HVAC!N135</f>
        <v>0.37759999999999999</v>
      </c>
      <c r="P122" s="385">
        <f>HVAC!O135</f>
        <v>0.37759999999999999</v>
      </c>
      <c r="Q122" s="385">
        <f>HVAC!P135</f>
        <v>0.28320000000000001</v>
      </c>
      <c r="R122" s="385">
        <f>HVAC!Q135</f>
        <v>0.47199999999999998</v>
      </c>
      <c r="S122" s="385">
        <f>HVAC!R135</f>
        <v>0.47199999999999998</v>
      </c>
    </row>
    <row r="123" spans="1:19" ht="15" customHeight="1">
      <c r="B123" s="277" t="s">
        <v>1069</v>
      </c>
      <c r="C123" s="385">
        <f>HVAC!B139</f>
        <v>0.23788799999999999</v>
      </c>
      <c r="D123" s="385">
        <f>HVAC!C139</f>
        <v>0.23788799999999999</v>
      </c>
      <c r="E123" s="385">
        <f>HVAC!D139</f>
        <v>0.23788799999999999</v>
      </c>
      <c r="F123" s="385">
        <f>HVAC!E139</f>
        <v>0.23788799999999999</v>
      </c>
      <c r="G123" s="385">
        <f>HVAC!F139</f>
        <v>0.19031039999999999</v>
      </c>
      <c r="H123" s="385">
        <f>HVAC!G139</f>
        <v>0.14273280000000002</v>
      </c>
      <c r="I123" s="385">
        <f>HVAC!H139</f>
        <v>0.23788799999999999</v>
      </c>
      <c r="J123" s="385">
        <f>HVAC!I139</f>
        <v>0.23788799999999999</v>
      </c>
      <c r="K123" s="385">
        <f>HVAC!J139</f>
        <v>0.19031039999999999</v>
      </c>
      <c r="L123" s="385">
        <f>HVAC!K139</f>
        <v>0.28546560000000004</v>
      </c>
      <c r="M123" s="385">
        <f>HVAC!L139</f>
        <v>0.23788799999999999</v>
      </c>
      <c r="N123" s="385">
        <f>HVAC!M139</f>
        <v>0.28546560000000004</v>
      </c>
      <c r="O123" s="385">
        <f>HVAC!N139</f>
        <v>0.33304319999999998</v>
      </c>
      <c r="P123" s="385">
        <f>HVAC!O139</f>
        <v>0.33304319999999998</v>
      </c>
      <c r="Q123" s="385">
        <f>HVAC!P139</f>
        <v>0.42819840000000003</v>
      </c>
      <c r="R123" s="385">
        <f>HVAC!Q139</f>
        <v>0.23788799999999999</v>
      </c>
      <c r="S123" s="385">
        <f>HVAC!R139</f>
        <v>0.23788799999999999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8"/>
        <v>0.6</v>
      </c>
      <c r="F124" s="8">
        <f t="shared" si="48"/>
        <v>0.6</v>
      </c>
      <c r="G124" s="8">
        <f t="shared" si="48"/>
        <v>0.6</v>
      </c>
      <c r="H124" s="8">
        <f t="shared" si="48"/>
        <v>0.6</v>
      </c>
      <c r="I124" s="8">
        <f t="shared" si="48"/>
        <v>0.6</v>
      </c>
      <c r="J124" s="8">
        <f t="shared" si="48"/>
        <v>0.6</v>
      </c>
      <c r="K124" s="8">
        <f t="shared" si="48"/>
        <v>0.6</v>
      </c>
      <c r="L124" s="8">
        <f t="shared" si="48"/>
        <v>0.6</v>
      </c>
      <c r="M124" s="8">
        <f t="shared" si="48"/>
        <v>0.6</v>
      </c>
      <c r="N124" s="8">
        <f t="shared" si="48"/>
        <v>0.6</v>
      </c>
      <c r="O124" s="8">
        <f t="shared" si="48"/>
        <v>0.6</v>
      </c>
      <c r="P124" s="8">
        <f t="shared" si="48"/>
        <v>0.6</v>
      </c>
      <c r="Q124" s="8">
        <f t="shared" si="48"/>
        <v>0.6</v>
      </c>
      <c r="R124" s="8">
        <f t="shared" si="48"/>
        <v>0.6</v>
      </c>
      <c r="S124" s="254">
        <f t="shared" si="48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8"/>
        <v>0.6</v>
      </c>
      <c r="F125" s="8">
        <f t="shared" si="48"/>
        <v>0.6</v>
      </c>
      <c r="G125" s="8">
        <f t="shared" si="48"/>
        <v>0.6</v>
      </c>
      <c r="H125" s="8">
        <f t="shared" si="48"/>
        <v>0.6</v>
      </c>
      <c r="I125" s="8">
        <f t="shared" si="48"/>
        <v>0.6</v>
      </c>
      <c r="J125" s="8">
        <f t="shared" si="48"/>
        <v>0.6</v>
      </c>
      <c r="K125" s="8">
        <f t="shared" si="48"/>
        <v>0.6</v>
      </c>
      <c r="L125" s="8">
        <f t="shared" si="48"/>
        <v>0.6</v>
      </c>
      <c r="M125" s="8">
        <f t="shared" si="48"/>
        <v>0.6</v>
      </c>
      <c r="N125" s="8">
        <f t="shared" si="48"/>
        <v>0.6</v>
      </c>
      <c r="O125" s="8">
        <f t="shared" si="48"/>
        <v>0.6</v>
      </c>
      <c r="P125" s="8">
        <f t="shared" si="48"/>
        <v>0.6</v>
      </c>
      <c r="Q125" s="8">
        <f t="shared" si="48"/>
        <v>0.6</v>
      </c>
      <c r="R125" s="8">
        <f t="shared" si="48"/>
        <v>0.6</v>
      </c>
      <c r="S125" s="254">
        <f t="shared" si="48"/>
        <v>0.6</v>
      </c>
    </row>
    <row r="126" spans="1:19" ht="15" customHeight="1">
      <c r="B126" s="277" t="s">
        <v>117</v>
      </c>
      <c r="C126" s="387">
        <f>HVAC!B141</f>
        <v>0</v>
      </c>
      <c r="D126" s="387">
        <f>HVAC!C141</f>
        <v>0</v>
      </c>
      <c r="E126" s="387">
        <f>HVAC!D141</f>
        <v>0</v>
      </c>
      <c r="F126" s="387">
        <f>HVAC!E141</f>
        <v>0</v>
      </c>
      <c r="G126" s="387">
        <f>HVAC!F141</f>
        <v>0</v>
      </c>
      <c r="H126" s="387">
        <f>HVAC!G141</f>
        <v>0</v>
      </c>
      <c r="I126" s="387">
        <f>HVAC!H141</f>
        <v>0</v>
      </c>
      <c r="J126" s="387">
        <f>HVAC!I141</f>
        <v>0</v>
      </c>
      <c r="K126" s="387">
        <f>HVAC!J141</f>
        <v>0</v>
      </c>
      <c r="L126" s="387">
        <f>HVAC!K141</f>
        <v>0</v>
      </c>
      <c r="M126" s="387">
        <f>HVAC!L141</f>
        <v>0</v>
      </c>
      <c r="N126" s="387">
        <f>HVAC!M141</f>
        <v>0</v>
      </c>
      <c r="O126" s="387">
        <f>HVAC!N141</f>
        <v>0</v>
      </c>
      <c r="P126" s="387">
        <f>HVAC!O141</f>
        <v>0</v>
      </c>
      <c r="Q126" s="387">
        <f>HVAC!P141</f>
        <v>0</v>
      </c>
      <c r="R126" s="387">
        <f>HVAC!Q141</f>
        <v>0</v>
      </c>
      <c r="S126" s="387">
        <f>HVAC!R141</f>
        <v>0</v>
      </c>
    </row>
    <row r="127" spans="1:19" ht="15" customHeight="1">
      <c r="B127" s="277" t="s">
        <v>119</v>
      </c>
      <c r="C127" s="387">
        <f>HVAC!B142</f>
        <v>0</v>
      </c>
      <c r="D127" s="387">
        <f>HVAC!C142</f>
        <v>0</v>
      </c>
      <c r="E127" s="387">
        <f>HVAC!D142</f>
        <v>0</v>
      </c>
      <c r="F127" s="387">
        <f>HVAC!E142</f>
        <v>0</v>
      </c>
      <c r="G127" s="387">
        <f>HVAC!F142</f>
        <v>0</v>
      </c>
      <c r="H127" s="387">
        <f>HVAC!G142</f>
        <v>0</v>
      </c>
      <c r="I127" s="387">
        <f>HVAC!H142</f>
        <v>0</v>
      </c>
      <c r="J127" s="387">
        <f>HVAC!I142</f>
        <v>0</v>
      </c>
      <c r="K127" s="387">
        <f>HVAC!J142</f>
        <v>0</v>
      </c>
      <c r="L127" s="387">
        <f>HVAC!K142</f>
        <v>0</v>
      </c>
      <c r="M127" s="387">
        <f>HVAC!L142</f>
        <v>0</v>
      </c>
      <c r="N127" s="387">
        <f>HVAC!M142</f>
        <v>0</v>
      </c>
      <c r="O127" s="387">
        <f>HVAC!N142</f>
        <v>0</v>
      </c>
      <c r="P127" s="387">
        <f>HVAC!O142</f>
        <v>0</v>
      </c>
      <c r="Q127" s="387">
        <f>HVAC!P142</f>
        <v>0</v>
      </c>
      <c r="R127" s="387">
        <f>HVAC!Q142</f>
        <v>0</v>
      </c>
      <c r="S127" s="387">
        <f>HVAC!R142</f>
        <v>0</v>
      </c>
    </row>
    <row r="128" spans="1:19" ht="15" customHeight="1">
      <c r="A128" s="277" t="s">
        <v>504</v>
      </c>
      <c r="B128" s="277" t="s">
        <v>410</v>
      </c>
      <c r="C128" s="385">
        <f>HVAC!B133</f>
        <v>2.5</v>
      </c>
      <c r="D128" s="385">
        <f>HVAC!C133</f>
        <v>2.5</v>
      </c>
      <c r="E128" s="385">
        <f>HVAC!D133</f>
        <v>2.5</v>
      </c>
      <c r="F128" s="385">
        <f>HVAC!E133</f>
        <v>2.5</v>
      </c>
      <c r="G128" s="385">
        <f>HVAC!F133</f>
        <v>2</v>
      </c>
      <c r="H128" s="385">
        <f>HVAC!G133</f>
        <v>1.5</v>
      </c>
      <c r="I128" s="385">
        <f>HVAC!H133</f>
        <v>2</v>
      </c>
      <c r="J128" s="385">
        <f>HVAC!I133</f>
        <v>2</v>
      </c>
      <c r="K128" s="385">
        <f>HVAC!J133</f>
        <v>2</v>
      </c>
      <c r="L128" s="385">
        <f>HVAC!K133</f>
        <v>2</v>
      </c>
      <c r="M128" s="385">
        <f>HVAC!L133</f>
        <v>2</v>
      </c>
      <c r="N128" s="385">
        <f>HVAC!M133</f>
        <v>2</v>
      </c>
      <c r="O128" s="385">
        <f>HVAC!N133</f>
        <v>2</v>
      </c>
      <c r="P128" s="385">
        <f>HVAC!O133</f>
        <v>2</v>
      </c>
      <c r="Q128" s="385">
        <f>HVAC!P133</f>
        <v>1.5</v>
      </c>
      <c r="R128" s="385">
        <f>HVAC!Q133</f>
        <v>2.5</v>
      </c>
      <c r="S128" s="385">
        <f>HVAC!R133</f>
        <v>2.5</v>
      </c>
    </row>
    <row r="129" spans="1:20" ht="15" customHeight="1">
      <c r="B129" s="277" t="s">
        <v>411</v>
      </c>
      <c r="C129" s="388">
        <f>12*C128</f>
        <v>30</v>
      </c>
      <c r="D129" s="388">
        <f t="shared" ref="D129:S129" si="49">12*D128</f>
        <v>30</v>
      </c>
      <c r="E129" s="388">
        <f t="shared" si="49"/>
        <v>30</v>
      </c>
      <c r="F129" s="388">
        <f t="shared" si="49"/>
        <v>30</v>
      </c>
      <c r="G129" s="388">
        <f t="shared" si="49"/>
        <v>24</v>
      </c>
      <c r="H129" s="388">
        <f t="shared" si="49"/>
        <v>18</v>
      </c>
      <c r="I129" s="388">
        <f t="shared" si="49"/>
        <v>24</v>
      </c>
      <c r="J129" s="388">
        <f t="shared" si="49"/>
        <v>24</v>
      </c>
      <c r="K129" s="388">
        <f t="shared" si="49"/>
        <v>24</v>
      </c>
      <c r="L129" s="388">
        <f t="shared" si="49"/>
        <v>24</v>
      </c>
      <c r="M129" s="388">
        <f t="shared" si="49"/>
        <v>24</v>
      </c>
      <c r="N129" s="388">
        <f t="shared" si="49"/>
        <v>24</v>
      </c>
      <c r="O129" s="388">
        <f t="shared" si="49"/>
        <v>24</v>
      </c>
      <c r="P129" s="388">
        <f t="shared" si="49"/>
        <v>24</v>
      </c>
      <c r="Q129" s="388">
        <f t="shared" si="49"/>
        <v>18</v>
      </c>
      <c r="R129" s="388">
        <f t="shared" si="49"/>
        <v>30</v>
      </c>
      <c r="S129" s="388">
        <f t="shared" si="49"/>
        <v>30</v>
      </c>
    </row>
    <row r="130" spans="1:20" ht="15" customHeight="1">
      <c r="B130" s="277" t="s">
        <v>409</v>
      </c>
      <c r="C130" s="386">
        <f>HVAC!C10</f>
        <v>15.2</v>
      </c>
      <c r="D130" s="386">
        <f>HVAC!D10</f>
        <v>15.2</v>
      </c>
      <c r="E130" s="386">
        <f>HVAC!E10</f>
        <v>15.2</v>
      </c>
      <c r="F130" s="386">
        <f>HVAC!F10</f>
        <v>13</v>
      </c>
      <c r="G130" s="386">
        <f>HVAC!G10</f>
        <v>13</v>
      </c>
      <c r="H130" s="386">
        <f>HVAC!H10</f>
        <v>13</v>
      </c>
      <c r="I130" s="386">
        <f>HVAC!I10</f>
        <v>13</v>
      </c>
      <c r="J130" s="386">
        <f>HVAC!J10</f>
        <v>13</v>
      </c>
      <c r="K130" s="386">
        <f>HVAC!K10</f>
        <v>11.1</v>
      </c>
      <c r="L130" s="386">
        <f>HVAC!L10</f>
        <v>11.1</v>
      </c>
      <c r="M130" s="386">
        <f>HVAC!M10</f>
        <v>11.1</v>
      </c>
      <c r="N130" s="386">
        <f>HVAC!N10</f>
        <v>11.1</v>
      </c>
      <c r="O130" s="386">
        <f>HVAC!O10</f>
        <v>11.1</v>
      </c>
      <c r="P130" s="386">
        <f>HVAC!P10</f>
        <v>11.1</v>
      </c>
      <c r="Q130" s="386">
        <f>HVAC!Q10</f>
        <v>11.1</v>
      </c>
      <c r="R130" s="386">
        <f>HVAC!R10</f>
        <v>15.2</v>
      </c>
      <c r="S130" s="386">
        <f>HVAC!S10</f>
        <v>13</v>
      </c>
    </row>
    <row r="131" spans="1:20" ht="15" customHeight="1">
      <c r="B131" s="277" t="s">
        <v>1070</v>
      </c>
      <c r="C131" s="386">
        <f>12000/1000*HVAC!B137</f>
        <v>30</v>
      </c>
      <c r="D131" s="386">
        <f>12000/1000*HVAC!C137</f>
        <v>30</v>
      </c>
      <c r="E131" s="386">
        <f>12000/1000*HVAC!D137</f>
        <v>30</v>
      </c>
      <c r="F131" s="386">
        <f>12000/1000*HVAC!E137</f>
        <v>30</v>
      </c>
      <c r="G131" s="386">
        <f>12000/1000*HVAC!F137</f>
        <v>24</v>
      </c>
      <c r="H131" s="386">
        <f>12000/1000*HVAC!G137</f>
        <v>18</v>
      </c>
      <c r="I131" s="386">
        <f>12000/1000*HVAC!H137</f>
        <v>30</v>
      </c>
      <c r="J131" s="386">
        <f>12000/1000*HVAC!I137</f>
        <v>30</v>
      </c>
      <c r="K131" s="386">
        <f>12000/1000*HVAC!J137</f>
        <v>24</v>
      </c>
      <c r="L131" s="386">
        <f>12000/1000*HVAC!K137</f>
        <v>36</v>
      </c>
      <c r="M131" s="386">
        <f>12000/1000*HVAC!L137</f>
        <v>30</v>
      </c>
      <c r="N131" s="386">
        <f>12000/1000*HVAC!M137</f>
        <v>36</v>
      </c>
      <c r="O131" s="386">
        <f>12000/1000*HVAC!N137</f>
        <v>42</v>
      </c>
      <c r="P131" s="386">
        <f>12000/1000*HVAC!O137</f>
        <v>42</v>
      </c>
      <c r="Q131" s="386">
        <f>12000/1000*HVAC!P137</f>
        <v>54</v>
      </c>
      <c r="R131" s="386">
        <f>12000/1000*HVAC!Q137</f>
        <v>30</v>
      </c>
      <c r="S131" s="386">
        <f>12000/1000*HVAC!R137</f>
        <v>30</v>
      </c>
    </row>
    <row r="132" spans="1:20" ht="15" customHeight="1">
      <c r="B132" s="277" t="s">
        <v>1071</v>
      </c>
      <c r="C132" s="386">
        <f>HVAC!B140</f>
        <v>201.6</v>
      </c>
      <c r="D132" s="386">
        <f>HVAC!C140</f>
        <v>201.6</v>
      </c>
      <c r="E132" s="386">
        <f>HVAC!D140</f>
        <v>201.6</v>
      </c>
      <c r="F132" s="386">
        <f>HVAC!E140</f>
        <v>201.6</v>
      </c>
      <c r="G132" s="386">
        <f>HVAC!F140</f>
        <v>161.28</v>
      </c>
      <c r="H132" s="386">
        <f>HVAC!G140</f>
        <v>120.96000000000001</v>
      </c>
      <c r="I132" s="386">
        <f>HVAC!H140</f>
        <v>201.6</v>
      </c>
      <c r="J132" s="386">
        <f>HVAC!I140</f>
        <v>201.6</v>
      </c>
      <c r="K132" s="386">
        <f>HVAC!J140</f>
        <v>161.28</v>
      </c>
      <c r="L132" s="386">
        <f>HVAC!K140</f>
        <v>241.92000000000002</v>
      </c>
      <c r="M132" s="386">
        <f>HVAC!L140</f>
        <v>201.6</v>
      </c>
      <c r="N132" s="386">
        <f>HVAC!M140</f>
        <v>241.92000000000002</v>
      </c>
      <c r="O132" s="386">
        <f>HVAC!N140</f>
        <v>282.24</v>
      </c>
      <c r="P132" s="386">
        <f>HVAC!O140</f>
        <v>282.24</v>
      </c>
      <c r="Q132" s="386">
        <f>HVAC!P140</f>
        <v>362.88000000000005</v>
      </c>
      <c r="R132" s="386">
        <f>HVAC!Q140</f>
        <v>201.6</v>
      </c>
      <c r="S132" s="386">
        <f>HVAC!R140</f>
        <v>201.6</v>
      </c>
    </row>
    <row r="133" spans="1:20" ht="15" customHeight="1">
      <c r="B133" s="277" t="s">
        <v>1072</v>
      </c>
      <c r="C133" s="386">
        <f>HVAC!B136</f>
        <v>400</v>
      </c>
      <c r="D133" s="386">
        <f>HVAC!C136</f>
        <v>400</v>
      </c>
      <c r="E133" s="386">
        <f>HVAC!D136</f>
        <v>400</v>
      </c>
      <c r="F133" s="386">
        <f>HVAC!E136</f>
        <v>400</v>
      </c>
      <c r="G133" s="386">
        <f>HVAC!F136</f>
        <v>320</v>
      </c>
      <c r="H133" s="386">
        <f>HVAC!G136</f>
        <v>240</v>
      </c>
      <c r="I133" s="386">
        <f>HVAC!H136</f>
        <v>320</v>
      </c>
      <c r="J133" s="386">
        <f>HVAC!I136</f>
        <v>320</v>
      </c>
      <c r="K133" s="386">
        <f>HVAC!J136</f>
        <v>320</v>
      </c>
      <c r="L133" s="386">
        <f>HVAC!K136</f>
        <v>320</v>
      </c>
      <c r="M133" s="386">
        <f>HVAC!L136</f>
        <v>320</v>
      </c>
      <c r="N133" s="386">
        <f>HVAC!M136</f>
        <v>320</v>
      </c>
      <c r="O133" s="386">
        <f>HVAC!N136</f>
        <v>320</v>
      </c>
      <c r="P133" s="386">
        <f>HVAC!O136</f>
        <v>320</v>
      </c>
      <c r="Q133" s="386">
        <f>HVAC!P136</f>
        <v>240</v>
      </c>
      <c r="R133" s="386">
        <f>HVAC!Q136</f>
        <v>400</v>
      </c>
      <c r="S133" s="386">
        <f>HVAC!R136</f>
        <v>400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50">C134</f>
        <v>1</v>
      </c>
      <c r="E134" s="8">
        <f t="shared" si="50"/>
        <v>1</v>
      </c>
      <c r="F134" s="8">
        <f t="shared" si="50"/>
        <v>1</v>
      </c>
      <c r="G134" s="8">
        <f t="shared" si="50"/>
        <v>1</v>
      </c>
      <c r="H134" s="8">
        <f t="shared" si="50"/>
        <v>1</v>
      </c>
      <c r="I134" s="8">
        <f t="shared" si="50"/>
        <v>1</v>
      </c>
      <c r="J134" s="8">
        <f t="shared" si="50"/>
        <v>1</v>
      </c>
      <c r="K134" s="8">
        <f t="shared" si="50"/>
        <v>1</v>
      </c>
      <c r="L134" s="8">
        <f t="shared" si="50"/>
        <v>1</v>
      </c>
      <c r="M134" s="8">
        <f t="shared" si="50"/>
        <v>1</v>
      </c>
      <c r="N134" s="8">
        <f t="shared" si="50"/>
        <v>1</v>
      </c>
      <c r="O134" s="8">
        <f t="shared" si="50"/>
        <v>1</v>
      </c>
      <c r="P134" s="8">
        <f t="shared" si="50"/>
        <v>1</v>
      </c>
      <c r="Q134" s="8">
        <f t="shared" si="50"/>
        <v>1</v>
      </c>
      <c r="R134" s="8">
        <f t="shared" si="50"/>
        <v>1</v>
      </c>
      <c r="S134" s="254">
        <f t="shared" si="50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1">D136</f>
        <v>3</v>
      </c>
      <c r="F136" s="133">
        <f t="shared" si="51"/>
        <v>3</v>
      </c>
      <c r="G136" s="133">
        <f t="shared" si="51"/>
        <v>3</v>
      </c>
      <c r="H136" s="133">
        <f t="shared" si="51"/>
        <v>3</v>
      </c>
      <c r="I136" s="133">
        <f t="shared" si="51"/>
        <v>3</v>
      </c>
      <c r="J136" s="133">
        <f t="shared" si="51"/>
        <v>3</v>
      </c>
      <c r="K136" s="133">
        <f t="shared" si="51"/>
        <v>3</v>
      </c>
      <c r="L136" s="133">
        <f t="shared" si="51"/>
        <v>3</v>
      </c>
      <c r="M136" s="133">
        <f t="shared" si="51"/>
        <v>3</v>
      </c>
      <c r="N136" s="133">
        <f t="shared" si="51"/>
        <v>3</v>
      </c>
      <c r="O136" s="133">
        <f t="shared" si="51"/>
        <v>3</v>
      </c>
      <c r="P136" s="133">
        <f t="shared" si="51"/>
        <v>3</v>
      </c>
      <c r="Q136" s="133">
        <f t="shared" si="51"/>
        <v>3</v>
      </c>
      <c r="R136" s="133">
        <f t="shared" si="51"/>
        <v>3</v>
      </c>
      <c r="S136" s="133">
        <f t="shared" si="51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2">D137</f>
        <v>1</v>
      </c>
      <c r="F137" s="133">
        <f t="shared" si="52"/>
        <v>1</v>
      </c>
      <c r="G137" s="133">
        <f t="shared" si="52"/>
        <v>1</v>
      </c>
      <c r="H137" s="133">
        <f t="shared" si="52"/>
        <v>1</v>
      </c>
      <c r="I137" s="133">
        <f t="shared" si="52"/>
        <v>1</v>
      </c>
      <c r="J137" s="133">
        <f t="shared" si="52"/>
        <v>1</v>
      </c>
      <c r="K137" s="133">
        <f t="shared" si="52"/>
        <v>1</v>
      </c>
      <c r="L137" s="133">
        <f t="shared" si="52"/>
        <v>1</v>
      </c>
      <c r="M137" s="133">
        <f t="shared" si="52"/>
        <v>1</v>
      </c>
      <c r="N137" s="133">
        <f t="shared" si="52"/>
        <v>1</v>
      </c>
      <c r="O137" s="133">
        <f t="shared" si="52"/>
        <v>1</v>
      </c>
      <c r="P137" s="133">
        <f t="shared" si="52"/>
        <v>1</v>
      </c>
      <c r="Q137" s="133">
        <f t="shared" si="52"/>
        <v>1</v>
      </c>
      <c r="R137" s="133">
        <f t="shared" si="52"/>
        <v>1</v>
      </c>
      <c r="S137" s="133">
        <f t="shared" si="52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3">D139</f>
        <v>2</v>
      </c>
      <c r="F139" s="133">
        <f t="shared" si="53"/>
        <v>2</v>
      </c>
      <c r="G139" s="133">
        <f t="shared" si="53"/>
        <v>2</v>
      </c>
      <c r="H139" s="133">
        <f t="shared" si="53"/>
        <v>2</v>
      </c>
      <c r="I139" s="133">
        <f t="shared" si="53"/>
        <v>2</v>
      </c>
      <c r="J139" s="133">
        <f t="shared" si="53"/>
        <v>2</v>
      </c>
      <c r="K139" s="133">
        <f t="shared" si="53"/>
        <v>2</v>
      </c>
      <c r="L139" s="133">
        <f t="shared" si="53"/>
        <v>2</v>
      </c>
      <c r="M139" s="133">
        <f t="shared" si="53"/>
        <v>2</v>
      </c>
      <c r="N139" s="133">
        <f t="shared" si="53"/>
        <v>2</v>
      </c>
      <c r="O139" s="133">
        <f t="shared" si="53"/>
        <v>2</v>
      </c>
      <c r="P139" s="133">
        <f t="shared" si="53"/>
        <v>2</v>
      </c>
      <c r="Q139" s="133">
        <f t="shared" si="53"/>
        <v>2</v>
      </c>
      <c r="R139" s="133">
        <f t="shared" si="53"/>
        <v>2</v>
      </c>
      <c r="S139" s="133">
        <f t="shared" si="53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0.31679999999999997</v>
      </c>
      <c r="D140" s="203">
        <f>C140</f>
        <v>0.31679999999999997</v>
      </c>
      <c r="E140" s="203">
        <f t="shared" si="53"/>
        <v>0.31679999999999997</v>
      </c>
      <c r="F140" s="203">
        <f t="shared" si="53"/>
        <v>0.31679999999999997</v>
      </c>
      <c r="G140" s="203">
        <f t="shared" si="53"/>
        <v>0.31679999999999997</v>
      </c>
      <c r="H140" s="203">
        <f t="shared" si="53"/>
        <v>0.31679999999999997</v>
      </c>
      <c r="I140" s="203">
        <f t="shared" si="53"/>
        <v>0.31679999999999997</v>
      </c>
      <c r="J140" s="203">
        <f t="shared" si="53"/>
        <v>0.31679999999999997</v>
      </c>
      <c r="K140" s="203">
        <f t="shared" si="53"/>
        <v>0.31679999999999997</v>
      </c>
      <c r="L140" s="203">
        <f t="shared" si="53"/>
        <v>0.31679999999999997</v>
      </c>
      <c r="M140" s="203">
        <f t="shared" si="53"/>
        <v>0.31679999999999997</v>
      </c>
      <c r="N140" s="203">
        <f t="shared" si="53"/>
        <v>0.31679999999999997</v>
      </c>
      <c r="O140" s="203">
        <f t="shared" si="53"/>
        <v>0.31679999999999997</v>
      </c>
      <c r="P140" s="203">
        <f t="shared" si="53"/>
        <v>0.31679999999999997</v>
      </c>
      <c r="Q140" s="203">
        <f t="shared" si="53"/>
        <v>0.31679999999999997</v>
      </c>
      <c r="R140" s="203">
        <f t="shared" si="53"/>
        <v>0.31679999999999997</v>
      </c>
      <c r="S140" s="203">
        <f t="shared" si="53"/>
        <v>0.31679999999999997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3"/>
        <v>0</v>
      </c>
      <c r="F141" s="203">
        <f t="shared" si="53"/>
        <v>0</v>
      </c>
      <c r="G141" s="203">
        <f t="shared" si="53"/>
        <v>0</v>
      </c>
      <c r="H141" s="203">
        <f t="shared" si="53"/>
        <v>0</v>
      </c>
      <c r="I141" s="203">
        <f t="shared" si="53"/>
        <v>0</v>
      </c>
      <c r="J141" s="203">
        <f t="shared" si="53"/>
        <v>0</v>
      </c>
      <c r="K141" s="203">
        <f t="shared" si="53"/>
        <v>0</v>
      </c>
      <c r="L141" s="203">
        <f t="shared" si="53"/>
        <v>0</v>
      </c>
      <c r="M141" s="203">
        <f t="shared" si="53"/>
        <v>0</v>
      </c>
      <c r="N141" s="203">
        <f t="shared" si="53"/>
        <v>0</v>
      </c>
      <c r="O141" s="203">
        <f t="shared" si="53"/>
        <v>0</v>
      </c>
      <c r="P141" s="203">
        <f t="shared" si="53"/>
        <v>0</v>
      </c>
      <c r="Q141" s="203">
        <f t="shared" si="53"/>
        <v>0</v>
      </c>
      <c r="R141" s="203">
        <f t="shared" si="53"/>
        <v>0</v>
      </c>
      <c r="S141" s="203">
        <f t="shared" si="53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4">C142</f>
        <v>1</v>
      </c>
      <c r="E142" s="133">
        <f t="shared" si="54"/>
        <v>1</v>
      </c>
      <c r="F142" s="133">
        <f t="shared" si="54"/>
        <v>1</v>
      </c>
      <c r="G142" s="133">
        <f t="shared" si="54"/>
        <v>1</v>
      </c>
      <c r="H142" s="133">
        <f t="shared" si="54"/>
        <v>1</v>
      </c>
      <c r="I142" s="133">
        <f t="shared" si="54"/>
        <v>1</v>
      </c>
      <c r="J142" s="133">
        <f t="shared" si="54"/>
        <v>1</v>
      </c>
      <c r="K142" s="133">
        <f t="shared" si="54"/>
        <v>1</v>
      </c>
      <c r="L142" s="133">
        <f t="shared" si="54"/>
        <v>1</v>
      </c>
      <c r="M142" s="133">
        <f t="shared" si="54"/>
        <v>1</v>
      </c>
      <c r="N142" s="133">
        <f t="shared" si="54"/>
        <v>1</v>
      </c>
      <c r="O142" s="133">
        <f t="shared" si="54"/>
        <v>1</v>
      </c>
      <c r="P142" s="133">
        <f t="shared" si="54"/>
        <v>1</v>
      </c>
      <c r="Q142" s="133">
        <f t="shared" si="54"/>
        <v>1</v>
      </c>
      <c r="R142" s="133">
        <f t="shared" si="54"/>
        <v>1</v>
      </c>
      <c r="S142" s="133">
        <f t="shared" si="54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4"/>
        <v>0.82</v>
      </c>
      <c r="E143" s="158">
        <f t="shared" si="54"/>
        <v>0.82</v>
      </c>
      <c r="F143" s="158">
        <f t="shared" si="54"/>
        <v>0.82</v>
      </c>
      <c r="G143" s="158">
        <f t="shared" si="54"/>
        <v>0.82</v>
      </c>
      <c r="H143" s="158">
        <f t="shared" si="54"/>
        <v>0.82</v>
      </c>
      <c r="I143" s="158">
        <f t="shared" si="54"/>
        <v>0.82</v>
      </c>
      <c r="J143" s="158">
        <f t="shared" si="54"/>
        <v>0.82</v>
      </c>
      <c r="K143" s="158">
        <f t="shared" si="54"/>
        <v>0.82</v>
      </c>
      <c r="L143" s="158">
        <f t="shared" si="54"/>
        <v>0.82</v>
      </c>
      <c r="M143" s="158">
        <f t="shared" si="54"/>
        <v>0.82</v>
      </c>
      <c r="N143" s="158">
        <f t="shared" si="54"/>
        <v>0.82</v>
      </c>
      <c r="O143" s="158">
        <f t="shared" si="54"/>
        <v>0.82</v>
      </c>
      <c r="P143" s="158">
        <f t="shared" si="54"/>
        <v>0.82</v>
      </c>
      <c r="Q143" s="158">
        <f t="shared" si="54"/>
        <v>0.82</v>
      </c>
      <c r="R143" s="158">
        <f t="shared" si="54"/>
        <v>0.82</v>
      </c>
      <c r="S143" s="158">
        <f t="shared" si="54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4"/>
        <v>0.63</v>
      </c>
      <c r="E144" s="158">
        <f t="shared" si="54"/>
        <v>0.63</v>
      </c>
      <c r="F144" s="158">
        <f t="shared" si="54"/>
        <v>0.63</v>
      </c>
      <c r="G144" s="158">
        <f t="shared" si="54"/>
        <v>0.63</v>
      </c>
      <c r="H144" s="158">
        <f t="shared" si="54"/>
        <v>0.63</v>
      </c>
      <c r="I144" s="158">
        <f t="shared" si="54"/>
        <v>0.63</v>
      </c>
      <c r="J144" s="158">
        <f t="shared" si="54"/>
        <v>0.63</v>
      </c>
      <c r="K144" s="158">
        <f t="shared" si="54"/>
        <v>0.63</v>
      </c>
      <c r="L144" s="158">
        <f t="shared" si="54"/>
        <v>0.63</v>
      </c>
      <c r="M144" s="158">
        <f t="shared" si="54"/>
        <v>0.63</v>
      </c>
      <c r="N144" s="158">
        <f t="shared" si="54"/>
        <v>0.63</v>
      </c>
      <c r="O144" s="158">
        <f t="shared" si="54"/>
        <v>0.63</v>
      </c>
      <c r="P144" s="158">
        <f t="shared" si="54"/>
        <v>0.63</v>
      </c>
      <c r="Q144" s="158">
        <f t="shared" si="54"/>
        <v>0.63</v>
      </c>
      <c r="R144" s="158">
        <f t="shared" si="54"/>
        <v>0.63</v>
      </c>
      <c r="S144" s="158">
        <f t="shared" si="54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4"/>
        <v>0.51</v>
      </c>
      <c r="E145" s="158">
        <f t="shared" si="54"/>
        <v>0.51</v>
      </c>
      <c r="F145" s="158">
        <f t="shared" si="54"/>
        <v>0.51</v>
      </c>
      <c r="G145" s="158">
        <f t="shared" si="54"/>
        <v>0.51</v>
      </c>
      <c r="H145" s="158">
        <f t="shared" si="54"/>
        <v>0.51</v>
      </c>
      <c r="I145" s="158">
        <f t="shared" si="54"/>
        <v>0.51</v>
      </c>
      <c r="J145" s="158">
        <f t="shared" si="54"/>
        <v>0.51</v>
      </c>
      <c r="K145" s="158">
        <f t="shared" si="54"/>
        <v>0.51</v>
      </c>
      <c r="L145" s="158">
        <f t="shared" si="54"/>
        <v>0.51</v>
      </c>
      <c r="M145" s="158">
        <f t="shared" si="54"/>
        <v>0.51</v>
      </c>
      <c r="N145" s="158">
        <f t="shared" si="54"/>
        <v>0.51</v>
      </c>
      <c r="O145" s="158">
        <f t="shared" si="54"/>
        <v>0.51</v>
      </c>
      <c r="P145" s="158">
        <f t="shared" si="54"/>
        <v>0.51</v>
      </c>
      <c r="Q145" s="158">
        <f t="shared" si="54"/>
        <v>0.51</v>
      </c>
      <c r="R145" s="158">
        <f t="shared" si="54"/>
        <v>0.51</v>
      </c>
      <c r="S145" s="158">
        <f t="shared" si="54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4"/>
        <v>0</v>
      </c>
      <c r="E146" s="133">
        <f t="shared" si="54"/>
        <v>0</v>
      </c>
      <c r="F146" s="133">
        <f t="shared" si="54"/>
        <v>0</v>
      </c>
      <c r="G146" s="133">
        <f t="shared" si="54"/>
        <v>0</v>
      </c>
      <c r="H146" s="133">
        <f t="shared" si="54"/>
        <v>0</v>
      </c>
      <c r="I146" s="133">
        <f t="shared" si="54"/>
        <v>0</v>
      </c>
      <c r="J146" s="133">
        <f t="shared" si="54"/>
        <v>0</v>
      </c>
      <c r="K146" s="133">
        <f t="shared" si="54"/>
        <v>0</v>
      </c>
      <c r="L146" s="133">
        <f t="shared" si="54"/>
        <v>0</v>
      </c>
      <c r="M146" s="133">
        <f t="shared" si="54"/>
        <v>0</v>
      </c>
      <c r="N146" s="133">
        <f t="shared" si="54"/>
        <v>0</v>
      </c>
      <c r="O146" s="133">
        <f t="shared" si="54"/>
        <v>0</v>
      </c>
      <c r="P146" s="133">
        <f t="shared" si="54"/>
        <v>0</v>
      </c>
      <c r="Q146" s="133">
        <f t="shared" si="54"/>
        <v>0</v>
      </c>
      <c r="R146" s="133">
        <f t="shared" si="54"/>
        <v>0</v>
      </c>
      <c r="S146" s="133">
        <f t="shared" si="54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4"/>
        <v>8</v>
      </c>
      <c r="E147" s="133">
        <f t="shared" si="54"/>
        <v>8</v>
      </c>
      <c r="F147" s="133">
        <f t="shared" si="54"/>
        <v>8</v>
      </c>
      <c r="G147" s="133">
        <f t="shared" si="54"/>
        <v>8</v>
      </c>
      <c r="H147" s="133">
        <f t="shared" si="54"/>
        <v>8</v>
      </c>
      <c r="I147" s="133">
        <f t="shared" si="54"/>
        <v>8</v>
      </c>
      <c r="J147" s="133">
        <f t="shared" si="54"/>
        <v>8</v>
      </c>
      <c r="K147" s="133">
        <f t="shared" si="54"/>
        <v>8</v>
      </c>
      <c r="L147" s="133">
        <f t="shared" si="54"/>
        <v>8</v>
      </c>
      <c r="M147" s="133">
        <f t="shared" si="54"/>
        <v>8</v>
      </c>
      <c r="N147" s="133">
        <f t="shared" si="54"/>
        <v>8</v>
      </c>
      <c r="O147" s="133">
        <f t="shared" si="54"/>
        <v>8</v>
      </c>
      <c r="P147" s="133">
        <f t="shared" si="54"/>
        <v>8</v>
      </c>
      <c r="Q147" s="133">
        <f t="shared" si="54"/>
        <v>8</v>
      </c>
      <c r="R147" s="133">
        <f t="shared" si="54"/>
        <v>8</v>
      </c>
      <c r="S147" s="133">
        <f t="shared" si="54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4"/>
        <v>0</v>
      </c>
      <c r="E148" s="133">
        <f t="shared" si="54"/>
        <v>0</v>
      </c>
      <c r="F148" s="133">
        <f t="shared" si="54"/>
        <v>0</v>
      </c>
      <c r="G148" s="133">
        <f t="shared" si="54"/>
        <v>0</v>
      </c>
      <c r="H148" s="133">
        <f t="shared" si="54"/>
        <v>0</v>
      </c>
      <c r="I148" s="133">
        <f t="shared" si="54"/>
        <v>0</v>
      </c>
      <c r="J148" s="133">
        <f t="shared" si="54"/>
        <v>0</v>
      </c>
      <c r="K148" s="133">
        <f t="shared" si="54"/>
        <v>0</v>
      </c>
      <c r="L148" s="133">
        <f t="shared" si="54"/>
        <v>0</v>
      </c>
      <c r="M148" s="133">
        <f t="shared" si="54"/>
        <v>0</v>
      </c>
      <c r="N148" s="133">
        <f t="shared" si="54"/>
        <v>0</v>
      </c>
      <c r="O148" s="133">
        <f t="shared" si="54"/>
        <v>0</v>
      </c>
      <c r="P148" s="133">
        <f t="shared" si="54"/>
        <v>0</v>
      </c>
      <c r="Q148" s="133">
        <f t="shared" si="54"/>
        <v>0</v>
      </c>
      <c r="R148" s="133">
        <f t="shared" si="54"/>
        <v>0</v>
      </c>
      <c r="S148" s="133">
        <f t="shared" si="54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4"/>
        <v>1</v>
      </c>
      <c r="E149" s="133">
        <f t="shared" si="54"/>
        <v>1</v>
      </c>
      <c r="F149" s="133">
        <f t="shared" si="54"/>
        <v>1</v>
      </c>
      <c r="G149" s="133">
        <f t="shared" si="54"/>
        <v>1</v>
      </c>
      <c r="H149" s="133">
        <f t="shared" si="54"/>
        <v>1</v>
      </c>
      <c r="I149" s="133">
        <f t="shared" si="54"/>
        <v>1</v>
      </c>
      <c r="J149" s="133">
        <f t="shared" si="54"/>
        <v>1</v>
      </c>
      <c r="K149" s="133">
        <f t="shared" si="54"/>
        <v>1</v>
      </c>
      <c r="L149" s="133">
        <f t="shared" si="54"/>
        <v>1</v>
      </c>
      <c r="M149" s="133">
        <f t="shared" si="54"/>
        <v>1</v>
      </c>
      <c r="N149" s="133">
        <f t="shared" si="54"/>
        <v>1</v>
      </c>
      <c r="O149" s="133">
        <f t="shared" si="54"/>
        <v>1</v>
      </c>
      <c r="P149" s="133">
        <f t="shared" si="54"/>
        <v>1</v>
      </c>
      <c r="Q149" s="133">
        <f t="shared" si="54"/>
        <v>1</v>
      </c>
      <c r="R149" s="133">
        <f t="shared" si="54"/>
        <v>1</v>
      </c>
      <c r="S149" s="133">
        <f t="shared" si="54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5">D150</f>
        <v>1</v>
      </c>
      <c r="F150" s="253">
        <f t="shared" si="55"/>
        <v>1</v>
      </c>
      <c r="G150" s="253">
        <f t="shared" si="55"/>
        <v>1</v>
      </c>
      <c r="H150" s="253">
        <f t="shared" si="55"/>
        <v>1</v>
      </c>
      <c r="I150" s="253">
        <f t="shared" si="55"/>
        <v>1</v>
      </c>
      <c r="J150" s="253">
        <f t="shared" si="55"/>
        <v>1</v>
      </c>
      <c r="K150" s="253">
        <f t="shared" si="55"/>
        <v>1</v>
      </c>
      <c r="L150" s="253">
        <f t="shared" si="55"/>
        <v>1</v>
      </c>
      <c r="M150" s="253">
        <f t="shared" si="55"/>
        <v>1</v>
      </c>
      <c r="N150" s="253">
        <f t="shared" si="55"/>
        <v>1</v>
      </c>
      <c r="O150" s="253">
        <f t="shared" si="55"/>
        <v>1</v>
      </c>
      <c r="P150" s="253">
        <f t="shared" si="55"/>
        <v>1</v>
      </c>
      <c r="Q150" s="253">
        <f t="shared" si="55"/>
        <v>1</v>
      </c>
      <c r="R150" s="253">
        <f t="shared" si="55"/>
        <v>1</v>
      </c>
      <c r="S150" s="253">
        <f t="shared" si="55"/>
        <v>1</v>
      </c>
      <c r="T150" s="66"/>
    </row>
    <row r="151" spans="1:20" ht="15" customHeight="1">
      <c r="B151" s="277" t="s">
        <v>851</v>
      </c>
      <c r="C151" s="253">
        <f>Inputs!C151</f>
        <v>1</v>
      </c>
      <c r="D151" s="253">
        <f>C151</f>
        <v>1</v>
      </c>
      <c r="E151" s="253">
        <f t="shared" ref="E151:S151" si="56">D151</f>
        <v>1</v>
      </c>
      <c r="F151" s="253">
        <f t="shared" si="56"/>
        <v>1</v>
      </c>
      <c r="G151" s="253">
        <f t="shared" si="56"/>
        <v>1</v>
      </c>
      <c r="H151" s="253">
        <f t="shared" si="56"/>
        <v>1</v>
      </c>
      <c r="I151" s="253">
        <f t="shared" si="56"/>
        <v>1</v>
      </c>
      <c r="J151" s="253">
        <f t="shared" si="56"/>
        <v>1</v>
      </c>
      <c r="K151" s="253">
        <f t="shared" si="56"/>
        <v>1</v>
      </c>
      <c r="L151" s="253">
        <f t="shared" si="56"/>
        <v>1</v>
      </c>
      <c r="M151" s="253">
        <f t="shared" si="56"/>
        <v>1</v>
      </c>
      <c r="N151" s="253">
        <f t="shared" si="56"/>
        <v>1</v>
      </c>
      <c r="O151" s="253">
        <f t="shared" si="56"/>
        <v>1</v>
      </c>
      <c r="P151" s="253">
        <f t="shared" si="56"/>
        <v>1</v>
      </c>
      <c r="Q151" s="253">
        <f t="shared" si="56"/>
        <v>1</v>
      </c>
      <c r="R151" s="253">
        <f t="shared" si="56"/>
        <v>1</v>
      </c>
      <c r="S151" s="253">
        <f t="shared" si="56"/>
        <v>1</v>
      </c>
    </row>
    <row r="152" spans="1:20" s="277" customFormat="1" ht="15" customHeight="1">
      <c r="B152" s="266" t="s">
        <v>1255</v>
      </c>
      <c r="C152" s="253">
        <f>Inputs!$C$152</f>
        <v>0</v>
      </c>
      <c r="D152" s="253">
        <f>Inputs!$C$152</f>
        <v>0</v>
      </c>
      <c r="E152" s="253">
        <f>Inputs!$C$152</f>
        <v>0</v>
      </c>
      <c r="F152" s="253">
        <f>Inputs!$C$152</f>
        <v>0</v>
      </c>
      <c r="G152" s="253">
        <f>Inputs!$C$152</f>
        <v>0</v>
      </c>
      <c r="H152" s="253">
        <f>Inputs!$C$152</f>
        <v>0</v>
      </c>
      <c r="I152" s="253">
        <f>Inputs!$C$152</f>
        <v>0</v>
      </c>
      <c r="J152" s="253">
        <f>Inputs!$C$152</f>
        <v>0</v>
      </c>
      <c r="K152" s="253">
        <f>Inputs!$C$152</f>
        <v>0</v>
      </c>
      <c r="L152" s="253">
        <f>Inputs!$C$152</f>
        <v>0</v>
      </c>
      <c r="M152" s="253">
        <f>Inputs!$C$152</f>
        <v>0</v>
      </c>
      <c r="N152" s="253">
        <f>Inputs!$C$152</f>
        <v>0</v>
      </c>
      <c r="O152" s="253">
        <f>Inputs!$C$152</f>
        <v>0</v>
      </c>
      <c r="P152" s="253">
        <f>Inputs!$C$152</f>
        <v>0</v>
      </c>
      <c r="Q152" s="253">
        <f>Inputs!$C$152</f>
        <v>0</v>
      </c>
      <c r="R152" s="253">
        <f>Inputs!$C$152</f>
        <v>0</v>
      </c>
      <c r="S152" s="253">
        <f>Inputs!$C$152</f>
        <v>0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7">D153</f>
        <v>0</v>
      </c>
      <c r="F153" s="133">
        <f t="shared" si="57"/>
        <v>0</v>
      </c>
      <c r="G153" s="133">
        <f t="shared" si="57"/>
        <v>0</v>
      </c>
      <c r="H153" s="133">
        <f t="shared" si="57"/>
        <v>0</v>
      </c>
      <c r="I153" s="133">
        <f t="shared" si="57"/>
        <v>0</v>
      </c>
      <c r="J153" s="133">
        <f t="shared" si="57"/>
        <v>0</v>
      </c>
      <c r="K153" s="133">
        <f t="shared" si="57"/>
        <v>0</v>
      </c>
      <c r="L153" s="133">
        <f t="shared" si="57"/>
        <v>0</v>
      </c>
      <c r="M153" s="133">
        <f t="shared" si="57"/>
        <v>0</v>
      </c>
      <c r="N153" s="133">
        <f t="shared" si="57"/>
        <v>0</v>
      </c>
      <c r="O153" s="133">
        <f t="shared" si="57"/>
        <v>0</v>
      </c>
      <c r="P153" s="133">
        <f t="shared" si="57"/>
        <v>0</v>
      </c>
      <c r="Q153" s="133">
        <f t="shared" si="57"/>
        <v>0</v>
      </c>
      <c r="R153" s="133">
        <f t="shared" si="57"/>
        <v>0</v>
      </c>
      <c r="S153" s="133">
        <f t="shared" si="57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8">C154</f>
        <v>1.85</v>
      </c>
      <c r="E154" s="158">
        <f t="shared" si="58"/>
        <v>1.85</v>
      </c>
      <c r="F154" s="158">
        <f t="shared" si="58"/>
        <v>1.85</v>
      </c>
      <c r="G154" s="158">
        <f t="shared" si="58"/>
        <v>1.85</v>
      </c>
      <c r="H154" s="158">
        <f t="shared" si="58"/>
        <v>1.85</v>
      </c>
      <c r="I154" s="158">
        <f t="shared" si="58"/>
        <v>1.85</v>
      </c>
      <c r="J154" s="158">
        <f t="shared" si="58"/>
        <v>1.85</v>
      </c>
      <c r="K154" s="158">
        <f t="shared" si="58"/>
        <v>1.85</v>
      </c>
      <c r="L154" s="158">
        <f t="shared" si="58"/>
        <v>1.85</v>
      </c>
      <c r="M154" s="158">
        <f t="shared" si="58"/>
        <v>1.85</v>
      </c>
      <c r="N154" s="158">
        <f t="shared" si="58"/>
        <v>1.85</v>
      </c>
      <c r="O154" s="158">
        <f t="shared" si="58"/>
        <v>1.85</v>
      </c>
      <c r="P154" s="158">
        <f t="shared" si="58"/>
        <v>1.85</v>
      </c>
      <c r="Q154" s="158">
        <f t="shared" si="58"/>
        <v>1.85</v>
      </c>
      <c r="R154" s="158">
        <f t="shared" si="58"/>
        <v>1.85</v>
      </c>
      <c r="S154" s="158">
        <f t="shared" si="58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8"/>
        <v>55</v>
      </c>
      <c r="E155" s="133">
        <f t="shared" si="58"/>
        <v>55</v>
      </c>
      <c r="F155" s="133">
        <f t="shared" si="58"/>
        <v>55</v>
      </c>
      <c r="G155" s="133">
        <f t="shared" si="58"/>
        <v>55</v>
      </c>
      <c r="H155" s="133">
        <f t="shared" si="58"/>
        <v>55</v>
      </c>
      <c r="I155" s="133">
        <f t="shared" si="58"/>
        <v>55</v>
      </c>
      <c r="J155" s="133">
        <f t="shared" si="58"/>
        <v>55</v>
      </c>
      <c r="K155" s="133">
        <f t="shared" si="58"/>
        <v>55</v>
      </c>
      <c r="L155" s="133">
        <f t="shared" si="58"/>
        <v>55</v>
      </c>
      <c r="M155" s="133">
        <f t="shared" si="58"/>
        <v>55</v>
      </c>
      <c r="N155" s="133">
        <f t="shared" si="58"/>
        <v>55</v>
      </c>
      <c r="O155" s="133">
        <f t="shared" si="58"/>
        <v>55</v>
      </c>
      <c r="P155" s="133">
        <f t="shared" si="58"/>
        <v>55</v>
      </c>
      <c r="Q155" s="133">
        <f t="shared" si="58"/>
        <v>55</v>
      </c>
      <c r="R155" s="133">
        <f t="shared" si="58"/>
        <v>55</v>
      </c>
      <c r="S155" s="133">
        <f t="shared" si="58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8"/>
        <v>2.5</v>
      </c>
      <c r="E156" s="254">
        <f t="shared" si="58"/>
        <v>2.5</v>
      </c>
      <c r="F156" s="254">
        <f t="shared" si="58"/>
        <v>2.5</v>
      </c>
      <c r="G156" s="254">
        <f t="shared" si="58"/>
        <v>2.5</v>
      </c>
      <c r="H156" s="254">
        <f t="shared" si="58"/>
        <v>2.5</v>
      </c>
      <c r="I156" s="254">
        <f t="shared" si="58"/>
        <v>2.5</v>
      </c>
      <c r="J156" s="254">
        <f t="shared" si="58"/>
        <v>2.5</v>
      </c>
      <c r="K156" s="254">
        <f t="shared" si="58"/>
        <v>2.5</v>
      </c>
      <c r="L156" s="254">
        <f t="shared" si="58"/>
        <v>2.5</v>
      </c>
      <c r="M156" s="254">
        <f t="shared" si="58"/>
        <v>2.5</v>
      </c>
      <c r="N156" s="254">
        <f t="shared" si="58"/>
        <v>2.5</v>
      </c>
      <c r="O156" s="254">
        <f t="shared" si="58"/>
        <v>2.5</v>
      </c>
      <c r="P156" s="254">
        <f t="shared" si="58"/>
        <v>2.5</v>
      </c>
      <c r="Q156" s="254">
        <f t="shared" si="58"/>
        <v>2.5</v>
      </c>
      <c r="R156" s="254">
        <f t="shared" si="58"/>
        <v>2.5</v>
      </c>
      <c r="S156" s="254">
        <f t="shared" si="58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8"/>
        <v>E_O_F</v>
      </c>
      <c r="E157" s="254" t="str">
        <f t="shared" si="58"/>
        <v>E_O_F</v>
      </c>
      <c r="F157" s="254" t="str">
        <f t="shared" si="58"/>
        <v>E_O_F</v>
      </c>
      <c r="G157" s="254" t="str">
        <f t="shared" si="58"/>
        <v>E_O_F</v>
      </c>
      <c r="H157" s="254" t="str">
        <f t="shared" si="58"/>
        <v>E_O_F</v>
      </c>
      <c r="I157" s="254" t="str">
        <f t="shared" si="58"/>
        <v>E_O_F</v>
      </c>
      <c r="J157" s="254" t="str">
        <f t="shared" si="58"/>
        <v>E_O_F</v>
      </c>
      <c r="K157" s="254" t="str">
        <f t="shared" si="58"/>
        <v>E_O_F</v>
      </c>
      <c r="L157" s="254" t="str">
        <f t="shared" si="58"/>
        <v>E_O_F</v>
      </c>
      <c r="M157" s="254" t="str">
        <f t="shared" si="58"/>
        <v>E_O_F</v>
      </c>
      <c r="N157" s="254" t="str">
        <f t="shared" si="58"/>
        <v>E_O_F</v>
      </c>
      <c r="O157" s="254" t="str">
        <f t="shared" si="58"/>
        <v>E_O_F</v>
      </c>
      <c r="P157" s="254" t="str">
        <f t="shared" si="58"/>
        <v>E_O_F</v>
      </c>
      <c r="Q157" s="254" t="str">
        <f t="shared" si="58"/>
        <v>E_O_F</v>
      </c>
      <c r="R157" s="254" t="str">
        <f t="shared" si="58"/>
        <v>E_O_F</v>
      </c>
      <c r="S157" s="254" t="str">
        <f t="shared" si="58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65.616799999999998</v>
      </c>
      <c r="C6" s="262" t="s">
        <v>133</v>
      </c>
      <c r="D6">
        <f>IF(HomeSize="Small",14.14,IF(HomeSize="Med",20,24.49))</f>
        <v>20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32.808399999999999</v>
      </c>
      <c r="C7" s="262" t="s">
        <v>133</v>
      </c>
      <c r="D7" s="265">
        <f>L_houseSI/2</f>
        <v>10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2152.8525296017224</v>
      </c>
      <c r="C8" s="262" t="s">
        <v>516</v>
      </c>
      <c r="D8" s="263">
        <f>L_houseSI*W_houseSI*Stories</f>
        <v>200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2152.8525296017224</v>
      </c>
      <c r="C9" s="262" t="s">
        <v>516</v>
      </c>
      <c r="D9" s="289">
        <f>A_houseSI/Stories</f>
        <v>200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196.85040000000001</v>
      </c>
      <c r="C11" s="262" t="s">
        <v>133</v>
      </c>
      <c r="D11" s="265">
        <f>2*L_houseSI+2*W_houseSI</f>
        <v>60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430.57050592034449</v>
      </c>
      <c r="C16" s="262"/>
      <c r="D16" s="288">
        <f>0.2*A_houseSI</f>
        <v>40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1240.9459418729816</v>
      </c>
      <c r="C19" s="261"/>
      <c r="D19" s="28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1" t="s">
        <v>150</v>
      </c>
      <c r="B20" s="290">
        <f>35.3147*V_houseSI</f>
        <v>17657.350000000002</v>
      </c>
      <c r="C20" s="261"/>
      <c r="D20" s="263">
        <f>A_houseSI*D13</f>
        <v>500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1.6666666666666665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166.66666666666663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4.6166666666666663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3.7833333333333332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4.6166666666666663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241.37315509393338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5" t="s">
        <v>166</v>
      </c>
      <c r="M1" s="425"/>
      <c r="N1" s="425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7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7">
        <f>H22</f>
        <v>0.16666666666666666</v>
      </c>
      <c r="N6" s="69" t="s">
        <v>11</v>
      </c>
      <c r="P6" s="116" t="s">
        <v>432</v>
      </c>
      <c r="Q6" s="73">
        <f>V_houseSI</f>
        <v>500</v>
      </c>
      <c r="R6" s="72" t="s">
        <v>151</v>
      </c>
      <c r="T6" s="116" t="s">
        <v>432</v>
      </c>
      <c r="U6" s="73">
        <f>V_houseSI</f>
        <v>500</v>
      </c>
      <c r="V6" s="72" t="s">
        <v>151</v>
      </c>
      <c r="X6" s="116" t="s">
        <v>432</v>
      </c>
      <c r="Y6" s="73">
        <f>V_houseSI</f>
        <v>500</v>
      </c>
      <c r="Z6" s="72" t="s">
        <v>151</v>
      </c>
      <c r="AA6" s="114" t="s">
        <v>432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4.7619047619047616E-2</v>
      </c>
      <c r="R7" s="72" t="s">
        <v>138</v>
      </c>
      <c r="T7" s="116" t="s">
        <v>206</v>
      </c>
      <c r="U7" s="74">
        <f>(U5*U6)/3600/14</f>
        <v>5.1587301587301584E-2</v>
      </c>
      <c r="V7" s="72" t="s">
        <v>138</v>
      </c>
      <c r="X7" s="116" t="s">
        <v>206</v>
      </c>
      <c r="Y7" s="74">
        <f>(Y5*Y6)/3600/14</f>
        <v>8.531746031746032E-2</v>
      </c>
      <c r="Z7" s="72" t="s">
        <v>138</v>
      </c>
      <c r="AA7" s="114" t="s">
        <v>206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2.5793650793650791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29">
        <f>VLOOKUP(Airtightness,Leakage!AB11:AF16,3,FALSE)</f>
        <v>6.9444444444444448E-2</v>
      </c>
      <c r="E9" s="1" t="s">
        <v>138</v>
      </c>
      <c r="G9" s="104" t="s">
        <v>7</v>
      </c>
      <c r="H9" s="105" t="s">
        <v>173</v>
      </c>
      <c r="I9" s="105" t="s">
        <v>130</v>
      </c>
      <c r="L9" s="426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7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7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185</v>
      </c>
      <c r="B12" s="69"/>
      <c r="C12" s="69"/>
      <c r="D12" s="428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7">
        <f>D9*D10/(SQRT(rho_air/2)*D12^(n-0.5))</f>
        <v>7.2820370463073297E-2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6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820</v>
      </c>
      <c r="H32" s="427">
        <f>H31*1.05</f>
        <v>3.125E-2</v>
      </c>
      <c r="I32" s="427">
        <f t="shared" ref="I32:X32" si="7">I31*1.05</f>
        <v>3.125E-2</v>
      </c>
      <c r="J32" s="427">
        <f t="shared" si="7"/>
        <v>3.125E-2</v>
      </c>
      <c r="K32" s="427">
        <f t="shared" si="7"/>
        <v>2.6041666666666668E-2</v>
      </c>
      <c r="L32" s="427">
        <f t="shared" si="7"/>
        <v>2.6041666666666668E-2</v>
      </c>
      <c r="M32" s="427">
        <f t="shared" si="7"/>
        <v>2.6041666666666668E-2</v>
      </c>
      <c r="N32" s="427">
        <f t="shared" si="7"/>
        <v>2.6041666666666668E-2</v>
      </c>
      <c r="O32" s="427">
        <f t="shared" si="7"/>
        <v>2.6041666666666668E-2</v>
      </c>
      <c r="P32" s="427">
        <f t="shared" si="7"/>
        <v>2.6041666666666668E-2</v>
      </c>
      <c r="Q32" s="427">
        <f t="shared" si="7"/>
        <v>2.0833333333333336E-2</v>
      </c>
      <c r="R32" s="427">
        <f t="shared" si="7"/>
        <v>2.0833333333333336E-2</v>
      </c>
      <c r="S32" s="427">
        <f t="shared" si="7"/>
        <v>2.0833333333333336E-2</v>
      </c>
      <c r="T32" s="427">
        <f t="shared" si="7"/>
        <v>2.0833333333333336E-2</v>
      </c>
      <c r="U32" s="427">
        <f t="shared" si="7"/>
        <v>2.0833333333333336E-2</v>
      </c>
      <c r="V32" s="427">
        <f t="shared" si="7"/>
        <v>1.5625E-2</v>
      </c>
      <c r="W32" s="427">
        <f t="shared" si="7"/>
        <v>3.125E-2</v>
      </c>
      <c r="X32" s="427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4">
        <v>0</v>
      </c>
      <c r="Q2" s="27"/>
      <c r="R2" s="27"/>
      <c r="S2" s="27"/>
    </row>
    <row r="3" spans="1:19" s="277" customFormat="1" ht="15" customHeight="1">
      <c r="A3" s="266"/>
      <c r="B3" s="467"/>
      <c r="Q3" s="27"/>
      <c r="R3" s="27"/>
      <c r="S3" s="27"/>
    </row>
    <row r="4" spans="1:19" s="277" customFormat="1" ht="15" customHeight="1">
      <c r="A4" s="22" t="s">
        <v>211</v>
      </c>
      <c r="B4" s="467"/>
      <c r="Q4" s="27"/>
      <c r="R4" s="27"/>
      <c r="S4" s="27"/>
    </row>
    <row r="5" spans="1:19" ht="15" customHeight="1">
      <c r="A5" s="101"/>
      <c r="B5" s="101"/>
      <c r="C5" s="468" t="s">
        <v>1177</v>
      </c>
      <c r="D5" s="468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2" t="s">
        <v>225</v>
      </c>
      <c r="B10" s="463"/>
      <c r="C10" s="461">
        <f>SQRT(2*C8^2/(1.2*(1+C9*C6/C7)))</f>
        <v>1.9281086206186945E-2</v>
      </c>
      <c r="D10" s="461">
        <f>SQRT(2*D8^2/(1.2*(1+D9*D6/D7)))</f>
        <v>1.9281086206186945E-2</v>
      </c>
      <c r="E10" s="463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6.9444444444444448E-2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0.10160597094184882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0.31147938710260026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0.50442941478763181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115.28387799999997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40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200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32" t="s">
        <v>746</v>
      </c>
      <c r="C11" s="5"/>
      <c r="D11" s="318" t="s">
        <v>258</v>
      </c>
      <c r="E11" s="319" t="s">
        <v>259</v>
      </c>
      <c r="F11" s="320">
        <f>((1/F6)*$B$6*5.6783*$C$6)+(1/F9*$B$9*5.678*$C$9)</f>
        <v>57.092894810105378</v>
      </c>
      <c r="G11" s="320">
        <f t="shared" ref="G11:V11" si="8">((1/G6)*$B$6*5.6783*$C$6)+(1/G9*$B$9*5.678*$C$9)</f>
        <v>57.092894810105378</v>
      </c>
      <c r="H11" s="320">
        <f t="shared" si="8"/>
        <v>57.092894810105378</v>
      </c>
      <c r="I11" s="320">
        <f t="shared" si="8"/>
        <v>38.587391476688495</v>
      </c>
      <c r="J11" s="320">
        <f t="shared" si="8"/>
        <v>38.587391476688495</v>
      </c>
      <c r="K11" s="320">
        <f t="shared" si="8"/>
        <v>38.587391476688495</v>
      </c>
      <c r="L11" s="320">
        <f t="shared" si="8"/>
        <v>38.587391476688495</v>
      </c>
      <c r="M11" s="320">
        <f t="shared" si="8"/>
        <v>38.587391476688495</v>
      </c>
      <c r="N11" s="320">
        <f t="shared" si="8"/>
        <v>38.587391476688495</v>
      </c>
      <c r="O11" s="320">
        <f t="shared" si="8"/>
        <v>38.587391476688495</v>
      </c>
      <c r="P11" s="320">
        <f t="shared" si="8"/>
        <v>38.587391476688495</v>
      </c>
      <c r="Q11" s="320">
        <f t="shared" si="8"/>
        <v>31.713918809990798</v>
      </c>
      <c r="R11" s="320">
        <f t="shared" si="8"/>
        <v>31.713918809990798</v>
      </c>
      <c r="S11" s="320">
        <f t="shared" si="8"/>
        <v>31.713918809990798</v>
      </c>
      <c r="T11" s="320">
        <f t="shared" si="8"/>
        <v>31.713918809990798</v>
      </c>
      <c r="U11" s="320">
        <f t="shared" si="8"/>
        <v>57.092894810105378</v>
      </c>
      <c r="V11" s="320">
        <f t="shared" si="8"/>
        <v>38.587391476688495</v>
      </c>
      <c r="W11" s="250"/>
      <c r="X11" s="22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37" t="s">
        <v>554</v>
      </c>
      <c r="B12" s="138">
        <v>0</v>
      </c>
      <c r="C12" s="5"/>
      <c r="D12" s="318" t="s">
        <v>260</v>
      </c>
      <c r="E12" s="319" t="s">
        <v>259</v>
      </c>
      <c r="F12" s="320">
        <f>1/F7*$B$7*5.678*$C$7</f>
        <v>90.847999999999999</v>
      </c>
      <c r="G12" s="320">
        <f t="shared" ref="G12:T12" si="10">1/G7*$B$7*5.678*$C$7</f>
        <v>90.847999999999999</v>
      </c>
      <c r="H12" s="320">
        <f t="shared" si="10"/>
        <v>90.847999999999999</v>
      </c>
      <c r="I12" s="320">
        <f t="shared" si="10"/>
        <v>68.135999999999996</v>
      </c>
      <c r="J12" s="320">
        <f t="shared" si="10"/>
        <v>68.135999999999996</v>
      </c>
      <c r="K12" s="320">
        <f t="shared" si="10"/>
        <v>68.135999999999996</v>
      </c>
      <c r="L12" s="320">
        <f t="shared" si="10"/>
        <v>68.135999999999996</v>
      </c>
      <c r="M12" s="320">
        <f t="shared" si="10"/>
        <v>68.135999999999996</v>
      </c>
      <c r="N12" s="320">
        <f t="shared" si="10"/>
        <v>61.322400000000002</v>
      </c>
      <c r="O12" s="320">
        <f t="shared" si="10"/>
        <v>61.322400000000002</v>
      </c>
      <c r="P12" s="320">
        <f t="shared" si="10"/>
        <v>61.322400000000002</v>
      </c>
      <c r="Q12" s="320">
        <f t="shared" si="10"/>
        <v>61.322400000000002</v>
      </c>
      <c r="R12" s="320">
        <f t="shared" si="10"/>
        <v>61.322400000000002</v>
      </c>
      <c r="S12" s="320">
        <f t="shared" si="10"/>
        <v>61.322400000000002</v>
      </c>
      <c r="T12" s="320">
        <f t="shared" si="10"/>
        <v>61.322400000000002</v>
      </c>
      <c r="U12" s="320">
        <f>G12</f>
        <v>90.847999999999999</v>
      </c>
      <c r="V12" s="320">
        <f>I12</f>
        <v>68.135999999999996</v>
      </c>
      <c r="W12" s="250"/>
      <c r="X12" s="22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60</v>
      </c>
      <c r="C13" s="5" t="s">
        <v>134</v>
      </c>
      <c r="D13" s="318" t="s">
        <v>261</v>
      </c>
      <c r="E13" s="319" t="s">
        <v>259</v>
      </c>
      <c r="F13" s="320">
        <f>IF($B$12=0, 1/F8*$B$8*5.678*$C$8, $B$13*$K$59)</f>
        <v>87.353846153846163</v>
      </c>
      <c r="G13" s="320">
        <f t="shared" ref="G13:V13" si="12">IF($B$12=0, 1/G8*$B$8*5.678*$C$8, $B$13*$K$59)</f>
        <v>87.353846153846163</v>
      </c>
      <c r="H13" s="320">
        <f t="shared" si="12"/>
        <v>87.353846153846163</v>
      </c>
      <c r="I13" s="320">
        <f t="shared" si="12"/>
        <v>59.768421052631574</v>
      </c>
      <c r="J13" s="320">
        <f t="shared" si="12"/>
        <v>59.768421052631574</v>
      </c>
      <c r="K13" s="320">
        <f t="shared" si="12"/>
        <v>59.768421052631574</v>
      </c>
      <c r="L13" s="320">
        <f t="shared" si="12"/>
        <v>59.768421052631574</v>
      </c>
      <c r="M13" s="320">
        <f t="shared" si="12"/>
        <v>59.768421052631574</v>
      </c>
      <c r="N13" s="320">
        <f t="shared" si="12"/>
        <v>37.853333333333332</v>
      </c>
      <c r="O13" s="320">
        <f>IF($B$12=0, 1/O8*$B$8*5.678*$C$8, $B$13*$K$59)</f>
        <v>37.853333333333332</v>
      </c>
      <c r="P13" s="320">
        <f t="shared" si="12"/>
        <v>37.853333333333332</v>
      </c>
      <c r="Q13" s="320">
        <f t="shared" si="12"/>
        <v>37.853333333333332</v>
      </c>
      <c r="R13" s="320">
        <f t="shared" si="12"/>
        <v>37.853333333333332</v>
      </c>
      <c r="S13" s="320">
        <f t="shared" si="12"/>
        <v>29.884210526315787</v>
      </c>
      <c r="T13" s="320">
        <f t="shared" si="12"/>
        <v>29.884210526315787</v>
      </c>
      <c r="U13" s="320">
        <f t="shared" si="12"/>
        <v>87.353846153846163</v>
      </c>
      <c r="V13" s="320">
        <f t="shared" si="12"/>
        <v>59.768421052631574</v>
      </c>
      <c r="W13" s="250"/>
      <c r="X13" s="229">
        <f>1/X8*$B$8*5.678*$C$8</f>
        <v>59.768421052631574</v>
      </c>
      <c r="Y13" s="13" t="s">
        <v>593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21" t="s">
        <v>263</v>
      </c>
      <c r="E15" s="322" t="s">
        <v>259</v>
      </c>
      <c r="F15" s="323">
        <f>IF($B$12=0,SUM(F11:F14),SUM(F10,F11,F12,F14))</f>
        <v>239.51476910715155</v>
      </c>
      <c r="G15" s="323">
        <f>IF($B$12=0,SUM(G11:G14),SUM(G10,G11,G12,G14))</f>
        <v>239.51476910715155</v>
      </c>
      <c r="H15" s="323">
        <f t="shared" ref="H15:X15" si="17">IF($B$12=0,SUM(H11:H14),SUM(H10,H11,H12,H14))</f>
        <v>239.51476910715155</v>
      </c>
      <c r="I15" s="323">
        <f t="shared" si="17"/>
        <v>170.71184067252008</v>
      </c>
      <c r="J15" s="323">
        <f t="shared" si="17"/>
        <v>170.71184067252008</v>
      </c>
      <c r="K15" s="323">
        <f t="shared" si="17"/>
        <v>170.71184067252008</v>
      </c>
      <c r="L15" s="323">
        <f t="shared" si="17"/>
        <v>170.71184067252008</v>
      </c>
      <c r="M15" s="323">
        <f t="shared" si="17"/>
        <v>170.71184067252008</v>
      </c>
      <c r="N15" s="323">
        <f t="shared" si="17"/>
        <v>141.98315295322183</v>
      </c>
      <c r="O15" s="323">
        <f t="shared" si="17"/>
        <v>141.98315295322183</v>
      </c>
      <c r="P15" s="323">
        <f t="shared" si="17"/>
        <v>141.98315295322183</v>
      </c>
      <c r="Q15" s="323">
        <f t="shared" si="17"/>
        <v>135.10968028652414</v>
      </c>
      <c r="R15" s="323">
        <f t="shared" si="17"/>
        <v>135.10968028652414</v>
      </c>
      <c r="S15" s="323">
        <f t="shared" si="17"/>
        <v>127.14055747950658</v>
      </c>
      <c r="T15" s="323">
        <f t="shared" si="17"/>
        <v>127.14055747950658</v>
      </c>
      <c r="U15" s="323">
        <f t="shared" si="17"/>
        <v>239.51476910715155</v>
      </c>
      <c r="V15" s="323">
        <f t="shared" si="17"/>
        <v>170.71184067252008</v>
      </c>
      <c r="W15" s="323"/>
      <c r="X15" s="230">
        <f t="shared" si="17"/>
        <v>193.89558323923157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1" t="s">
        <v>265</v>
      </c>
      <c r="E16" s="322" t="s">
        <v>259</v>
      </c>
      <c r="F16" s="323">
        <f>SUM(F11,F12,F14)</f>
        <v>152.16092295330537</v>
      </c>
      <c r="G16" s="323">
        <f t="shared" ref="G16:X16" si="18">SUM(G11,G12,G14)</f>
        <v>152.16092295330537</v>
      </c>
      <c r="H16" s="323">
        <f t="shared" si="18"/>
        <v>152.16092295330537</v>
      </c>
      <c r="I16" s="323">
        <f t="shared" si="18"/>
        <v>110.94341961988849</v>
      </c>
      <c r="J16" s="323">
        <f t="shared" si="18"/>
        <v>110.94341961988849</v>
      </c>
      <c r="K16" s="323">
        <f t="shared" si="18"/>
        <v>110.94341961988849</v>
      </c>
      <c r="L16" s="323">
        <f t="shared" si="18"/>
        <v>110.94341961988849</v>
      </c>
      <c r="M16" s="323">
        <f t="shared" si="18"/>
        <v>110.94341961988849</v>
      </c>
      <c r="N16" s="323">
        <f t="shared" si="18"/>
        <v>104.12981961988849</v>
      </c>
      <c r="O16" s="323">
        <f t="shared" si="18"/>
        <v>104.12981961988849</v>
      </c>
      <c r="P16" s="323">
        <f t="shared" si="18"/>
        <v>104.12981961988849</v>
      </c>
      <c r="Q16" s="323">
        <f t="shared" si="18"/>
        <v>97.2563469531908</v>
      </c>
      <c r="R16" s="323">
        <f t="shared" si="18"/>
        <v>97.2563469531908</v>
      </c>
      <c r="S16" s="323">
        <f t="shared" si="18"/>
        <v>97.2563469531908</v>
      </c>
      <c r="T16" s="323">
        <f t="shared" si="18"/>
        <v>97.2563469531908</v>
      </c>
      <c r="U16" s="323">
        <f t="shared" si="18"/>
        <v>152.16092295330537</v>
      </c>
      <c r="V16" s="323">
        <f t="shared" si="18"/>
        <v>110.94341961988849</v>
      </c>
      <c r="W16" s="323"/>
      <c r="X16" s="23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4">
        <f>(1/F20+$B$20)^-1/5.678</f>
        <v>3.3022190912293063</v>
      </c>
      <c r="G21" s="435">
        <f t="shared" ref="G21:X21" si="21">(1/G20+$B$20)^-1/5.678</f>
        <v>3.8025553171731401</v>
      </c>
      <c r="H21" s="435">
        <f t="shared" si="21"/>
        <v>3.8025553171731401</v>
      </c>
      <c r="I21" s="435">
        <f t="shared" si="21"/>
        <v>3.8025553171731401</v>
      </c>
      <c r="J21" s="435">
        <f t="shared" si="21"/>
        <v>3.8025553171731401</v>
      </c>
      <c r="K21" s="435">
        <f t="shared" si="21"/>
        <v>3.8025553171731401</v>
      </c>
      <c r="L21" s="435">
        <f t="shared" si="21"/>
        <v>4.358484457110734</v>
      </c>
      <c r="M21" s="435">
        <f t="shared" si="21"/>
        <v>4.358484457110734</v>
      </c>
      <c r="N21" s="435">
        <f t="shared" si="21"/>
        <v>4.358484457110734</v>
      </c>
      <c r="O21" s="435">
        <f t="shared" si="21"/>
        <v>4.358484457110734</v>
      </c>
      <c r="P21" s="435">
        <f t="shared" si="21"/>
        <v>4.358484457110734</v>
      </c>
      <c r="Q21" s="435">
        <f t="shared" si="21"/>
        <v>4.358484457110734</v>
      </c>
      <c r="R21" s="435">
        <f t="shared" si="21"/>
        <v>4.358484457110734</v>
      </c>
      <c r="S21" s="435">
        <f t="shared" si="21"/>
        <v>4.358484457110734</v>
      </c>
      <c r="T21" s="435">
        <f t="shared" si="21"/>
        <v>4.358484457110734</v>
      </c>
      <c r="U21" s="436">
        <f>G21</f>
        <v>3.8025553171731401</v>
      </c>
      <c r="V21" s="436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4">
        <f>(1/F20+$B$21)^-1/5.678</f>
        <v>4.5943917791016435</v>
      </c>
      <c r="G22" s="435">
        <f t="shared" ref="G22:X22" si="23">(1/G20+$B$21)^-1/5.678</f>
        <v>5.6239473598527123</v>
      </c>
      <c r="H22" s="435">
        <f t="shared" si="23"/>
        <v>5.6239473598527123</v>
      </c>
      <c r="I22" s="435">
        <f t="shared" si="23"/>
        <v>5.6239473598527123</v>
      </c>
      <c r="J22" s="435">
        <f t="shared" si="23"/>
        <v>5.6239473598527123</v>
      </c>
      <c r="K22" s="435">
        <f t="shared" si="23"/>
        <v>5.6239473598527123</v>
      </c>
      <c r="L22" s="435">
        <f t="shared" si="23"/>
        <v>6.931565642633938</v>
      </c>
      <c r="M22" s="435">
        <f t="shared" si="23"/>
        <v>6.931565642633938</v>
      </c>
      <c r="N22" s="435">
        <f t="shared" si="23"/>
        <v>6.931565642633938</v>
      </c>
      <c r="O22" s="435">
        <f t="shared" si="23"/>
        <v>6.931565642633938</v>
      </c>
      <c r="P22" s="435">
        <f t="shared" si="23"/>
        <v>6.931565642633938</v>
      </c>
      <c r="Q22" s="435">
        <f t="shared" si="23"/>
        <v>6.931565642633938</v>
      </c>
      <c r="R22" s="435">
        <f t="shared" si="23"/>
        <v>6.931565642633938</v>
      </c>
      <c r="S22" s="435">
        <f t="shared" si="23"/>
        <v>6.931565642633938</v>
      </c>
      <c r="T22" s="435">
        <f t="shared" si="23"/>
        <v>6.931565642633938</v>
      </c>
      <c r="U22" s="436">
        <f>G22</f>
        <v>5.6239473598527123</v>
      </c>
      <c r="V22" s="436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7">
        <f>F85</f>
        <v>0.25</v>
      </c>
      <c r="G28" s="437">
        <f t="shared" ref="G28:M28" si="25">G85</f>
        <v>0.25</v>
      </c>
      <c r="H28" s="437">
        <f t="shared" si="25"/>
        <v>0.25</v>
      </c>
      <c r="I28" s="437">
        <f t="shared" si="25"/>
        <v>0.27</v>
      </c>
      <c r="J28" s="437">
        <f t="shared" si="25"/>
        <v>0.27</v>
      </c>
      <c r="K28" s="437">
        <f t="shared" si="25"/>
        <v>0.27</v>
      </c>
      <c r="L28" s="437">
        <f t="shared" si="25"/>
        <v>0.27</v>
      </c>
      <c r="M28" s="437">
        <f t="shared" si="25"/>
        <v>0.27</v>
      </c>
      <c r="N28" s="438">
        <v>0.3</v>
      </c>
      <c r="O28" s="438">
        <v>0.3</v>
      </c>
      <c r="P28" s="438">
        <v>0.3</v>
      </c>
      <c r="Q28" s="438">
        <v>0.3</v>
      </c>
      <c r="R28" s="438">
        <v>0.3</v>
      </c>
      <c r="S28" s="438">
        <v>0.3</v>
      </c>
      <c r="T28" s="439">
        <v>0.35</v>
      </c>
      <c r="U28" s="437">
        <f>G28</f>
        <v>0.25</v>
      </c>
      <c r="V28" s="437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1075.8999999999999</v>
      </c>
      <c r="G35" s="165">
        <f t="shared" si="26"/>
        <v>1804.4442833333335</v>
      </c>
      <c r="H35" s="165">
        <f t="shared" si="26"/>
        <v>1417.777616666667</v>
      </c>
      <c r="I35" s="165">
        <f t="shared" si="26"/>
        <v>2336.1109500000002</v>
      </c>
      <c r="J35" s="165">
        <f t="shared" si="26"/>
        <v>2094.4442833333333</v>
      </c>
      <c r="K35" s="165">
        <f t="shared" si="26"/>
        <v>1417.777616666667</v>
      </c>
      <c r="L35" s="165">
        <f t="shared" si="26"/>
        <v>2529.4442833333337</v>
      </c>
      <c r="M35" s="165">
        <f t="shared" si="26"/>
        <v>2384.4442833333337</v>
      </c>
      <c r="N35" s="165">
        <f t="shared" si="26"/>
        <v>2142.7776166666667</v>
      </c>
      <c r="O35" s="165">
        <f t="shared" si="26"/>
        <v>3302.7776166666667</v>
      </c>
      <c r="P35" s="165">
        <f t="shared" si="26"/>
        <v>2916.1109500000002</v>
      </c>
      <c r="Q35" s="165">
        <f t="shared" si="26"/>
        <v>3544.4442833333337</v>
      </c>
      <c r="R35" s="165">
        <f t="shared" si="26"/>
        <v>3834.4442833333337</v>
      </c>
      <c r="S35" s="165">
        <f t="shared" si="26"/>
        <v>4076.1109499999998</v>
      </c>
      <c r="T35" s="249">
        <f t="shared" si="26"/>
        <v>5619.2333333333336</v>
      </c>
      <c r="U35" s="249"/>
      <c r="V35" s="249"/>
      <c r="W35" s="249"/>
      <c r="X35" s="240">
        <f t="shared" si="26"/>
        <v>2525.8999999999996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87</v>
      </c>
      <c r="G43" s="133">
        <f t="shared" si="27"/>
        <v>87</v>
      </c>
      <c r="H43" s="133">
        <f t="shared" si="27"/>
        <v>87</v>
      </c>
      <c r="I43" s="133">
        <f t="shared" si="27"/>
        <v>87</v>
      </c>
      <c r="J43" s="133">
        <f t="shared" si="27"/>
        <v>87</v>
      </c>
      <c r="K43" s="133">
        <f t="shared" si="27"/>
        <v>87</v>
      </c>
      <c r="L43" s="133">
        <f t="shared" si="27"/>
        <v>87</v>
      </c>
      <c r="M43" s="133">
        <f t="shared" si="27"/>
        <v>87</v>
      </c>
      <c r="N43" s="133">
        <f t="shared" si="27"/>
        <v>87</v>
      </c>
      <c r="O43" s="133">
        <f t="shared" si="27"/>
        <v>87</v>
      </c>
      <c r="P43" s="133">
        <f t="shared" si="27"/>
        <v>87</v>
      </c>
      <c r="Q43" s="133">
        <f t="shared" si="27"/>
        <v>87</v>
      </c>
      <c r="R43" s="133">
        <f t="shared" si="27"/>
        <v>87</v>
      </c>
      <c r="S43" s="133">
        <f t="shared" si="27"/>
        <v>87</v>
      </c>
      <c r="T43" s="245">
        <f t="shared" si="27"/>
        <v>87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50">
        <f t="shared" si="28"/>
        <v>32.729092964199992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50">
        <f t="shared" si="29"/>
        <v>78.317241379310346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50">
        <f t="shared" si="30"/>
        <v>29.884210526315787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302.19011537648487</v>
      </c>
      <c r="G48" s="270">
        <f t="shared" ref="G48:T48" si="32">IF($B$12=0,SUM(G44:G47),SUM(G43,G44,G45,G47))</f>
        <v>298.40198862610771</v>
      </c>
      <c r="H48" s="270">
        <f t="shared" si="32"/>
        <v>298.40198862610771</v>
      </c>
      <c r="I48" s="270">
        <f t="shared" si="32"/>
        <v>236.74856352489309</v>
      </c>
      <c r="J48" s="270">
        <f t="shared" si="32"/>
        <v>236.74856352489309</v>
      </c>
      <c r="K48" s="270">
        <f t="shared" si="32"/>
        <v>236.74856352489309</v>
      </c>
      <c r="L48" s="270">
        <f t="shared" si="32"/>
        <v>202.68056352489307</v>
      </c>
      <c r="M48" s="270">
        <f t="shared" si="32"/>
        <v>202.68056352489307</v>
      </c>
      <c r="N48" s="270">
        <f t="shared" si="32"/>
        <v>184.17603788744154</v>
      </c>
      <c r="O48" s="270">
        <f t="shared" si="32"/>
        <v>162.2609501681433</v>
      </c>
      <c r="P48" s="270">
        <f t="shared" si="32"/>
        <v>162.2609501681433</v>
      </c>
      <c r="Q48" s="270">
        <f t="shared" si="32"/>
        <v>162.2609501681433</v>
      </c>
      <c r="R48" s="270">
        <f t="shared" si="32"/>
        <v>162.2609501681433</v>
      </c>
      <c r="S48" s="270">
        <f t="shared" si="32"/>
        <v>152.65537271291578</v>
      </c>
      <c r="T48" s="270">
        <f t="shared" si="32"/>
        <v>151.48061409222612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214.83626922263869</v>
      </c>
      <c r="G49" s="270">
        <f t="shared" ref="G49:T49" si="33">SUM(G44,G45,G47)</f>
        <v>211.04814247226153</v>
      </c>
      <c r="H49" s="270">
        <f t="shared" si="33"/>
        <v>211.04814247226153</v>
      </c>
      <c r="I49" s="270">
        <f t="shared" si="33"/>
        <v>176.98014247226152</v>
      </c>
      <c r="J49" s="270">
        <f t="shared" si="33"/>
        <v>176.98014247226152</v>
      </c>
      <c r="K49" s="270">
        <f t="shared" si="33"/>
        <v>176.98014247226152</v>
      </c>
      <c r="L49" s="270">
        <f t="shared" si="33"/>
        <v>142.91214247226151</v>
      </c>
      <c r="M49" s="270">
        <f t="shared" si="33"/>
        <v>142.91214247226151</v>
      </c>
      <c r="N49" s="270">
        <f t="shared" si="33"/>
        <v>124.40761683480997</v>
      </c>
      <c r="O49" s="270">
        <f t="shared" si="33"/>
        <v>124.40761683480997</v>
      </c>
      <c r="P49" s="270">
        <f t="shared" si="33"/>
        <v>124.40761683480997</v>
      </c>
      <c r="Q49" s="270">
        <f t="shared" si="33"/>
        <v>124.40761683480997</v>
      </c>
      <c r="R49" s="270">
        <f t="shared" si="33"/>
        <v>124.40761683480997</v>
      </c>
      <c r="S49" s="270">
        <f t="shared" si="33"/>
        <v>122.77116218659998</v>
      </c>
      <c r="T49" s="270">
        <f t="shared" si="33"/>
        <v>121.59640356591034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31" t="s">
        <v>581</v>
      </c>
      <c r="E56" s="532"/>
      <c r="F56" s="533"/>
      <c r="G56" s="537" t="s">
        <v>574</v>
      </c>
      <c r="H56" s="532"/>
      <c r="I56" s="538"/>
      <c r="J56" s="539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4" t="s">
        <v>573</v>
      </c>
      <c r="E57" s="535"/>
      <c r="F57" s="536"/>
      <c r="G57" s="540" t="s">
        <v>575</v>
      </c>
      <c r="H57" s="535"/>
      <c r="I57" s="541"/>
      <c r="J57" s="536"/>
      <c r="K57" s="542">
        <v>1.17</v>
      </c>
      <c r="L57" s="542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4"/>
      <c r="E58" s="535"/>
      <c r="F58" s="536"/>
      <c r="G58" s="540" t="s">
        <v>576</v>
      </c>
      <c r="H58" s="535"/>
      <c r="I58" s="541"/>
      <c r="J58" s="536"/>
      <c r="K58" s="542">
        <v>0.86</v>
      </c>
      <c r="L58" s="542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4" t="s">
        <v>577</v>
      </c>
      <c r="E59" s="535"/>
      <c r="F59" s="536"/>
      <c r="G59" s="540" t="s">
        <v>575</v>
      </c>
      <c r="H59" s="535"/>
      <c r="I59" s="541"/>
      <c r="J59" s="536"/>
      <c r="K59" s="542">
        <v>1.45</v>
      </c>
      <c r="L59" s="542"/>
      <c r="S59" s="16"/>
      <c r="T59" s="16"/>
      <c r="U59" s="16"/>
      <c r="V59" s="16"/>
      <c r="W59" s="16"/>
    </row>
    <row r="60" spans="2:24" ht="15" customHeight="1">
      <c r="D60" s="534"/>
      <c r="E60" s="535"/>
      <c r="F60" s="536"/>
      <c r="G60" s="540" t="s">
        <v>576</v>
      </c>
      <c r="H60" s="535"/>
      <c r="I60" s="541"/>
      <c r="J60" s="536"/>
      <c r="K60" s="542">
        <v>0.85</v>
      </c>
      <c r="L60" s="542"/>
      <c r="S60" s="16"/>
      <c r="T60" s="16"/>
      <c r="U60" s="16"/>
      <c r="V60" s="16"/>
      <c r="W60" s="16"/>
    </row>
    <row r="61" spans="2:24" ht="15" customHeight="1">
      <c r="D61" s="534" t="s">
        <v>578</v>
      </c>
      <c r="E61" s="535"/>
      <c r="F61" s="536"/>
      <c r="G61" s="540" t="s">
        <v>575</v>
      </c>
      <c r="H61" s="535"/>
      <c r="I61" s="541"/>
      <c r="J61" s="536"/>
      <c r="K61" s="542">
        <v>2.0699999999999998</v>
      </c>
      <c r="L61" s="542"/>
      <c r="S61" s="16"/>
      <c r="T61" s="16"/>
      <c r="U61" s="16"/>
      <c r="V61" s="16"/>
      <c r="W61" s="16"/>
    </row>
    <row r="62" spans="2:24" ht="15" customHeight="1">
      <c r="B62" s="2"/>
      <c r="D62" s="534"/>
      <c r="E62" s="535"/>
      <c r="F62" s="536"/>
      <c r="G62" s="540" t="s">
        <v>576</v>
      </c>
      <c r="H62" s="535"/>
      <c r="I62" s="541"/>
      <c r="J62" s="536"/>
      <c r="K62" s="542">
        <v>0.92</v>
      </c>
      <c r="L62" s="542"/>
      <c r="S62" s="16"/>
      <c r="T62" s="16"/>
      <c r="U62" s="16"/>
      <c r="V62" s="16"/>
      <c r="W62" s="16"/>
    </row>
    <row r="63" spans="2:24" ht="15" customHeight="1">
      <c r="D63" s="534" t="s">
        <v>579</v>
      </c>
      <c r="E63" s="535"/>
      <c r="F63" s="536"/>
      <c r="G63" s="540" t="s">
        <v>575</v>
      </c>
      <c r="H63" s="535"/>
      <c r="I63" s="541"/>
      <c r="J63" s="536"/>
      <c r="K63" s="542">
        <v>3.67</v>
      </c>
      <c r="L63" s="542"/>
      <c r="S63" s="16"/>
      <c r="T63" s="16"/>
      <c r="U63" s="16"/>
      <c r="V63" s="16"/>
      <c r="W63" s="16"/>
    </row>
    <row r="64" spans="2:24" ht="15" customHeight="1">
      <c r="D64" s="534" t="s">
        <v>580</v>
      </c>
      <c r="E64" s="535"/>
      <c r="F64" s="536"/>
      <c r="G64" s="540" t="s">
        <v>576</v>
      </c>
      <c r="H64" s="535"/>
      <c r="I64" s="541"/>
      <c r="J64" s="536"/>
      <c r="K64" s="542">
        <v>1.24</v>
      </c>
      <c r="L64" s="542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9" sqref="B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4" t="s">
        <v>845</v>
      </c>
      <c r="S1" s="355" t="s">
        <v>864</v>
      </c>
      <c r="T1" s="347" t="s">
        <v>458</v>
      </c>
      <c r="U1" s="348" t="s">
        <v>459</v>
      </c>
      <c r="V1" s="349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11</v>
      </c>
      <c r="J2" s="48">
        <f>L2*0.5</f>
        <v>22</v>
      </c>
      <c r="K2" s="48">
        <f>L2*0.75</f>
        <v>33</v>
      </c>
      <c r="L2" s="548">
        <f>IF(Age="existing",0.15*A_houseSI+3.5*(Nbedrooms+1)+(65/4),0.15*A_houseSI+3.5*(Nbedrooms+1))</f>
        <v>44</v>
      </c>
      <c r="M2" s="272">
        <f>1.25*L2</f>
        <v>55</v>
      </c>
      <c r="N2" s="48">
        <f>L2*2</f>
        <v>88</v>
      </c>
      <c r="O2" s="48">
        <f>L2*3</f>
        <v>132</v>
      </c>
      <c r="R2" s="356" t="s">
        <v>843</v>
      </c>
      <c r="S2" s="325">
        <v>13</v>
      </c>
      <c r="T2" s="350" t="s">
        <v>461</v>
      </c>
      <c r="U2" s="135" t="s">
        <v>462</v>
      </c>
      <c r="V2" s="351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23.646393972012916</v>
      </c>
      <c r="J3" s="48">
        <f>L3*0.5</f>
        <v>47.292787944025832</v>
      </c>
      <c r="K3" s="48">
        <f>L3*0.75</f>
        <v>70.939181916038748</v>
      </c>
      <c r="L3" s="316">
        <f>IF(Age="existing",0.03*A_houseFT+7.5*(Nbedrooms+1)+(130/4), 0.03*A_houseFT+7.5*(Nbedrooms+1))</f>
        <v>94.585575888051665</v>
      </c>
      <c r="M3" s="272">
        <f>1.25*L3</f>
        <v>118.23196986006458</v>
      </c>
      <c r="N3" s="48">
        <f>L3*2</f>
        <v>189.17115177610333</v>
      </c>
      <c r="O3" s="48">
        <f>L3*3</f>
        <v>283.75672766415499</v>
      </c>
      <c r="R3" s="496" t="s">
        <v>844</v>
      </c>
      <c r="S3" s="497">
        <v>17</v>
      </c>
      <c r="T3" s="350" t="s">
        <v>464</v>
      </c>
      <c r="U3" s="135" t="s">
        <v>465</v>
      </c>
      <c r="V3" s="351" t="s">
        <v>466</v>
      </c>
    </row>
    <row r="4" spans="1:22" ht="15" customHeight="1" thickBot="1">
      <c r="A4" s="13"/>
      <c r="B4" s="44"/>
      <c r="C4" s="206"/>
      <c r="H4" s="2"/>
      <c r="L4" s="221"/>
      <c r="R4" s="357" t="s">
        <v>1252</v>
      </c>
      <c r="S4" s="327">
        <v>1</v>
      </c>
      <c r="T4" s="350" t="s">
        <v>467</v>
      </c>
      <c r="U4" s="135" t="s">
        <v>465</v>
      </c>
      <c r="V4" s="351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0" t="s">
        <v>468</v>
      </c>
      <c r="U5" s="135">
        <v>3</v>
      </c>
      <c r="V5" s="351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0" t="s">
        <v>469</v>
      </c>
      <c r="U6" s="135"/>
      <c r="V6" s="351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0" t="s">
        <v>470</v>
      </c>
      <c r="U7" s="135" t="s">
        <v>471</v>
      </c>
      <c r="V7" s="351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0" t="s">
        <v>473</v>
      </c>
      <c r="U8" s="135">
        <v>7</v>
      </c>
      <c r="V8" s="351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8.673700725947544</v>
      </c>
      <c r="C9" s="206">
        <f>IF((Leakage!I34*A_houseSI*Weather!C25)/1.44&gt;0.66666*Aeq,0.66666*Aeq,(Leakage!I34*A_houseSI*Weather!C25)/1.44)</f>
        <v>8.8852544021901672</v>
      </c>
      <c r="D9" s="206">
        <f>IF((Leakage!J34*A_houseSI*Weather!D25)/1.44&gt;0.66666*Aeq,0.66666*Aeq,(Leakage!J34*A_houseSI*Weather!D25)/1.44)</f>
        <v>9.0968080784327903</v>
      </c>
      <c r="E9" s="206">
        <f>IF((Leakage!K34*A_houseSI*Weather!E25)/1.44&gt;0.66666*Aeq,0.66666*Aeq,(Leakage!K34*A_houseSI*Weather!E25)/1.44)</f>
        <v>8.1095575893005467</v>
      </c>
      <c r="F9" s="206">
        <f>IF((Leakage!L34*A_houseSI*Weather!F25)/1.44&gt;0.66666*Aeq,0.66666*Aeq,(Leakage!L34*A_houseSI*Weather!F25)/1.44)</f>
        <v>8.4621470497049174</v>
      </c>
      <c r="G9" s="206">
        <f>IF((Leakage!M34*A_houseSI*Weather!G25)/1.44&gt;0.66666*Aeq,0.66666*Aeq,(Leakage!M34*A_houseSI*Weather!G25)/1.44)</f>
        <v>10.577683812131147</v>
      </c>
      <c r="H9" s="206">
        <f>IF((Leakage!N34*A_houseSI*Weather!H25)/1.44&gt;0.66666*Aeq,0.66666*Aeq,(Leakage!N34*A_houseSI*Weather!H25)/1.44)</f>
        <v>8.8147365101092898</v>
      </c>
      <c r="I9" s="206">
        <f>IF((Leakage!O34*A_houseSI*Weather!I25)/1.44&gt;0.66666*Aeq,0.66666*Aeq,(Leakage!O34*A_houseSI*Weather!I25)/1.44)</f>
        <v>9.5199154309180329</v>
      </c>
      <c r="J9" s="206">
        <f>IF((Leakage!P34*A_houseSI*Weather!J25)/1.44&gt;0.66666*Aeq,0.66666*Aeq,(Leakage!P34*A_houseSI*Weather!J25)/1.44)</f>
        <v>9.6962101611202183</v>
      </c>
      <c r="K9" s="206">
        <f>IF((Leakage!Q34*A_houseSI*Weather!K25)/1.44&gt;0.66666*Aeq,0.66666*Aeq,(Leakage!Q34*A_houseSI*Weather!K25)/1.44)</f>
        <v>8.4621470497049192</v>
      </c>
      <c r="L9" s="206">
        <f>IF((Leakage!R34*A_houseSI*Weather!L25)/1.44&gt;0.66666*Aeq,0.66666*Aeq,(Leakage!R34*A_houseSI*Weather!L25)/1.44)</f>
        <v>7.8980039130579254</v>
      </c>
      <c r="M9" s="206">
        <f>IF((Leakage!S34*A_houseSI*Weather!M25)/1.44&gt;0.66666*Aeq,0.66666*Aeq,(Leakage!S34*A_houseSI*Weather!M25)/1.44)</f>
        <v>8.6031828338666667</v>
      </c>
      <c r="N9" s="206">
        <f>IF((Leakage!T34*A_houseSI*Weather!N25)/1.44&gt;0.66666*Aeq,0.66666*Aeq,(Leakage!T34*A_houseSI*Weather!N25)/1.44)</f>
        <v>8.8852544021901654</v>
      </c>
      <c r="O9" s="206">
        <f>IF((Leakage!U34*A_houseSI*Weather!O25)/1.44&gt;0.66666*Aeq,0.66666*Aeq,(Leakage!U34*A_houseSI*Weather!O25)/1.44)</f>
        <v>9.8725048913224036</v>
      </c>
      <c r="P9" s="206">
        <f>IF((Leakage!V34*A_houseSI*Weather!P25)/1.44&gt;0.66666*Aeq,0.66666*Aeq,(Leakage!V34*A_houseSI*Weather!P25)/1.44)</f>
        <v>7.4043786684918054</v>
      </c>
      <c r="Q9" s="206">
        <f>IF((Leakage!W34*A_houseSI*Weather!Q25)/1.44&gt;0.66666*Aeq,0.66666*Aeq,(Leakage!W34*A_houseSI*Weather!Q25)/1.44)</f>
        <v>8.0390396972196747</v>
      </c>
      <c r="R9" s="206">
        <f>IF((Leakage!X34*A_houseSI*Weather!R25)/1.44&gt;0.66666*Aeq,0.66666*Aeq,(Leakage!X34*A_houseSI*Weather!R25)/1.44)</f>
        <v>7.5806733986939889</v>
      </c>
      <c r="T9" s="350" t="s">
        <v>475</v>
      </c>
      <c r="U9" s="135">
        <v>8</v>
      </c>
      <c r="V9" s="351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42.290157175379477</v>
      </c>
      <c r="C10" s="308">
        <f t="shared" si="0"/>
        <v>42.205733050190005</v>
      </c>
      <c r="D10" s="308">
        <f t="shared" si="0"/>
        <v>42.119274608730905</v>
      </c>
      <c r="E10" s="308">
        <f t="shared" si="0"/>
        <v>42.505342629677678</v>
      </c>
      <c r="F10" s="308">
        <f t="shared" si="0"/>
        <v>42.372546984299326</v>
      </c>
      <c r="G10" s="308">
        <f t="shared" si="0"/>
        <v>41.457104662967694</v>
      </c>
      <c r="H10" s="308">
        <f t="shared" si="0"/>
        <v>42.234100460394231</v>
      </c>
      <c r="I10" s="308">
        <f t="shared" si="0"/>
        <v>41.940254777003837</v>
      </c>
      <c r="J10" s="308">
        <f t="shared" si="0"/>
        <v>41.863261557077024</v>
      </c>
      <c r="K10" s="308">
        <f t="shared" si="0"/>
        <v>42.372546984299326</v>
      </c>
      <c r="L10" s="308">
        <f t="shared" si="0"/>
        <v>42.582307595211859</v>
      </c>
      <c r="M10" s="308">
        <f t="shared" si="0"/>
        <v>42.317846480160497</v>
      </c>
      <c r="N10" s="308">
        <f t="shared" si="0"/>
        <v>42.205733050190005</v>
      </c>
      <c r="O10" s="308">
        <f t="shared" si="0"/>
        <v>41.784855617518531</v>
      </c>
      <c r="P10" s="308">
        <f t="shared" si="0"/>
        <v>42.75398128485417</v>
      </c>
      <c r="Q10" s="308">
        <f t="shared" si="0"/>
        <v>42.531223653330144</v>
      </c>
      <c r="R10" s="308">
        <f t="shared" si="0"/>
        <v>42.693940700507575</v>
      </c>
      <c r="T10" s="350" t="s">
        <v>477</v>
      </c>
      <c r="U10" s="135"/>
      <c r="V10" s="351"/>
    </row>
    <row r="11" spans="1:22" ht="15" customHeight="1">
      <c r="A11" s="1" t="s">
        <v>825</v>
      </c>
      <c r="B11" s="221">
        <f>B10*0.4361</f>
        <v>18.442737544182989</v>
      </c>
      <c r="C11" s="221">
        <f>C10*0.4361</f>
        <v>18.40592018318786</v>
      </c>
      <c r="D11" s="221">
        <f t="shared" ref="D11:P11" si="1">D10*0.4361</f>
        <v>18.368215656867548</v>
      </c>
      <c r="E11" s="221">
        <f t="shared" si="1"/>
        <v>18.536579920802435</v>
      </c>
      <c r="F11" s="221">
        <f t="shared" si="1"/>
        <v>18.478667739852934</v>
      </c>
      <c r="G11" s="221">
        <f t="shared" si="1"/>
        <v>18.079443343520211</v>
      </c>
      <c r="H11" s="221">
        <f t="shared" si="1"/>
        <v>18.418291210777923</v>
      </c>
      <c r="I11" s="221">
        <f t="shared" si="1"/>
        <v>18.290145108251373</v>
      </c>
      <c r="J11" s="221">
        <f t="shared" si="1"/>
        <v>18.256568365041289</v>
      </c>
      <c r="K11" s="221">
        <f t="shared" si="1"/>
        <v>18.478667739852934</v>
      </c>
      <c r="L11" s="221">
        <f t="shared" si="1"/>
        <v>18.570144342271892</v>
      </c>
      <c r="M11" s="221">
        <f t="shared" si="1"/>
        <v>18.454812849997992</v>
      </c>
      <c r="N11" s="221">
        <f t="shared" si="1"/>
        <v>18.40592018318786</v>
      </c>
      <c r="O11" s="221">
        <f t="shared" si="1"/>
        <v>18.222375534799831</v>
      </c>
      <c r="P11" s="221">
        <f t="shared" si="1"/>
        <v>18.645011238324901</v>
      </c>
      <c r="Q11" s="221">
        <f>Q10*0.4361</f>
        <v>18.547866635217275</v>
      </c>
      <c r="R11" s="221">
        <f>R10*0.4361</f>
        <v>18.618827539491352</v>
      </c>
      <c r="T11" s="350" t="s">
        <v>478</v>
      </c>
      <c r="U11" s="135">
        <v>5</v>
      </c>
      <c r="V11" s="351" t="s">
        <v>479</v>
      </c>
    </row>
    <row r="12" spans="1:22" ht="15" customHeight="1">
      <c r="A12" s="84" t="s">
        <v>971</v>
      </c>
      <c r="B12" s="358">
        <f>IF(VentSystem="CFIS",0,0.566*B13*-1000)</f>
        <v>23.936228961264781</v>
      </c>
      <c r="C12" s="358">
        <f t="shared" ref="C12:R12" si="2">IF(VentSystem="CFIS",0,0.566*C13*-1000)</f>
        <v>23.888444906407543</v>
      </c>
      <c r="D12" s="358">
        <f t="shared" si="2"/>
        <v>23.839509428541689</v>
      </c>
      <c r="E12" s="358">
        <f t="shared" si="2"/>
        <v>24.058023928397564</v>
      </c>
      <c r="F12" s="358">
        <f t="shared" si="2"/>
        <v>23.982861593113416</v>
      </c>
      <c r="G12" s="358">
        <f t="shared" si="2"/>
        <v>23.464721239239712</v>
      </c>
      <c r="H12" s="358">
        <f t="shared" si="2"/>
        <v>23.904500860583134</v>
      </c>
      <c r="I12" s="358">
        <f t="shared" si="2"/>
        <v>23.738184203784172</v>
      </c>
      <c r="J12" s="358">
        <f t="shared" si="2"/>
        <v>23.69460604130559</v>
      </c>
      <c r="K12" s="358">
        <f t="shared" si="2"/>
        <v>23.982861593113416</v>
      </c>
      <c r="L12" s="358">
        <f t="shared" si="2"/>
        <v>24.101586098889911</v>
      </c>
      <c r="M12" s="358">
        <f t="shared" si="2"/>
        <v>23.951901107770841</v>
      </c>
      <c r="N12" s="358">
        <f t="shared" si="2"/>
        <v>23.888444906407543</v>
      </c>
      <c r="O12" s="358">
        <f t="shared" si="2"/>
        <v>23.650228279515485</v>
      </c>
      <c r="P12" s="358">
        <f t="shared" si="2"/>
        <v>24.198753407227461</v>
      </c>
      <c r="Q12" s="358">
        <f t="shared" si="2"/>
        <v>24.072672587784862</v>
      </c>
      <c r="R12" s="358">
        <f t="shared" si="2"/>
        <v>24.164770436487284</v>
      </c>
      <c r="T12" s="350" t="s">
        <v>480</v>
      </c>
      <c r="U12" s="135" t="s">
        <v>481</v>
      </c>
      <c r="V12" s="351" t="s">
        <v>466</v>
      </c>
    </row>
    <row r="13" spans="1:22" ht="15" customHeight="1">
      <c r="A13" s="84" t="s">
        <v>972</v>
      </c>
      <c r="B13" s="358">
        <f t="shared" ref="B13:R13" si="3">IF(VentSystem="CFIS",3*B10/-1000,IF(AND(VentSystem="Simple Exhaust",HumControl=1),B10/-1000,IF(AND(VentSystem="Simple Exhaust",HumControl&gt;1),2*B10/-1000,0)))</f>
        <v>-4.2290157175379477E-2</v>
      </c>
      <c r="C13" s="358">
        <f t="shared" si="3"/>
        <v>-4.2205733050190007E-2</v>
      </c>
      <c r="D13" s="358">
        <f t="shared" si="3"/>
        <v>-4.2119274608730904E-2</v>
      </c>
      <c r="E13" s="358">
        <f t="shared" si="3"/>
        <v>-4.250534262967768E-2</v>
      </c>
      <c r="F13" s="358">
        <f t="shared" si="3"/>
        <v>-4.2372546984299327E-2</v>
      </c>
      <c r="G13" s="358">
        <f t="shared" si="3"/>
        <v>-4.1457104662967696E-2</v>
      </c>
      <c r="H13" s="358">
        <f t="shared" si="3"/>
        <v>-4.2234100460394233E-2</v>
      </c>
      <c r="I13" s="358">
        <f t="shared" si="3"/>
        <v>-4.1940254777003839E-2</v>
      </c>
      <c r="J13" s="358">
        <f t="shared" si="3"/>
        <v>-4.1863261557077022E-2</v>
      </c>
      <c r="K13" s="358">
        <f t="shared" si="3"/>
        <v>-4.2372546984299327E-2</v>
      </c>
      <c r="L13" s="358">
        <f t="shared" si="3"/>
        <v>-4.2582307595211859E-2</v>
      </c>
      <c r="M13" s="358">
        <f t="shared" si="3"/>
        <v>-4.2317846480160501E-2</v>
      </c>
      <c r="N13" s="358">
        <f t="shared" si="3"/>
        <v>-4.2205733050190007E-2</v>
      </c>
      <c r="O13" s="358">
        <f t="shared" si="3"/>
        <v>-4.1784855617518532E-2</v>
      </c>
      <c r="P13" s="358">
        <f t="shared" si="3"/>
        <v>-4.2753981284854171E-2</v>
      </c>
      <c r="Q13" s="358">
        <f t="shared" si="3"/>
        <v>-4.2531223653330147E-2</v>
      </c>
      <c r="R13" s="358">
        <f t="shared" si="3"/>
        <v>-4.2693940700507575E-2</v>
      </c>
      <c r="T13" s="350" t="s">
        <v>482</v>
      </c>
      <c r="U13" s="135" t="s">
        <v>483</v>
      </c>
      <c r="V13" s="351" t="s">
        <v>466</v>
      </c>
    </row>
    <row r="14" spans="1:22" ht="15" customHeight="1">
      <c r="A14" s="84" t="s">
        <v>973</v>
      </c>
      <c r="B14" s="359">
        <f t="shared" ref="B14:R14" si="4">VLOOKUP(VentSystem,$R$2:$S$4,2,FALSE)</f>
        <v>1</v>
      </c>
      <c r="C14" s="359">
        <f t="shared" si="4"/>
        <v>1</v>
      </c>
      <c r="D14" s="359">
        <f t="shared" si="4"/>
        <v>1</v>
      </c>
      <c r="E14" s="359">
        <f t="shared" si="4"/>
        <v>1</v>
      </c>
      <c r="F14" s="359">
        <f t="shared" si="4"/>
        <v>1</v>
      </c>
      <c r="G14" s="359">
        <f t="shared" si="4"/>
        <v>1</v>
      </c>
      <c r="H14" s="359">
        <f t="shared" si="4"/>
        <v>1</v>
      </c>
      <c r="I14" s="359">
        <f t="shared" si="4"/>
        <v>1</v>
      </c>
      <c r="J14" s="359">
        <f t="shared" si="4"/>
        <v>1</v>
      </c>
      <c r="K14" s="359">
        <f t="shared" si="4"/>
        <v>1</v>
      </c>
      <c r="L14" s="359">
        <f t="shared" si="4"/>
        <v>1</v>
      </c>
      <c r="M14" s="359">
        <f t="shared" si="4"/>
        <v>1</v>
      </c>
      <c r="N14" s="359">
        <f t="shared" si="4"/>
        <v>1</v>
      </c>
      <c r="O14" s="359">
        <f t="shared" si="4"/>
        <v>1</v>
      </c>
      <c r="P14" s="359">
        <f t="shared" si="4"/>
        <v>1</v>
      </c>
      <c r="Q14" s="359">
        <f t="shared" si="4"/>
        <v>1</v>
      </c>
      <c r="R14" s="359">
        <f t="shared" si="4"/>
        <v>1</v>
      </c>
      <c r="T14" s="350" t="s">
        <v>484</v>
      </c>
      <c r="U14" s="135" t="s">
        <v>485</v>
      </c>
      <c r="V14" s="351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0" t="s">
        <v>486</v>
      </c>
      <c r="U15" s="135">
        <v>7</v>
      </c>
      <c r="V15" s="351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0" t="s">
        <v>487</v>
      </c>
      <c r="U16" s="135" t="s">
        <v>488</v>
      </c>
      <c r="V16" s="351" t="s">
        <v>472</v>
      </c>
    </row>
    <row r="17" spans="1:22" ht="15" customHeight="1">
      <c r="A17" s="97" t="s">
        <v>288</v>
      </c>
      <c r="B17" s="221">
        <v>50</v>
      </c>
      <c r="C17" s="432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0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0" t="s">
        <v>489</v>
      </c>
      <c r="U17" s="135">
        <v>4</v>
      </c>
      <c r="V17" s="351" t="s">
        <v>490</v>
      </c>
    </row>
    <row r="18" spans="1:22" ht="15" customHeight="1">
      <c r="A18" s="97" t="s">
        <v>290</v>
      </c>
      <c r="B18" s="221">
        <v>100</v>
      </c>
      <c r="C18" s="432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0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0" t="s">
        <v>491</v>
      </c>
      <c r="U18" s="135">
        <v>4</v>
      </c>
      <c r="V18" s="351" t="s">
        <v>490</v>
      </c>
    </row>
    <row r="19" spans="1:22" ht="15" customHeight="1">
      <c r="A19" s="97" t="s">
        <v>291</v>
      </c>
      <c r="B19" s="220">
        <v>70</v>
      </c>
      <c r="C19" s="433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0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0" t="s">
        <v>492</v>
      </c>
      <c r="U19" s="135">
        <v>6</v>
      </c>
      <c r="V19" s="351" t="s">
        <v>466</v>
      </c>
    </row>
    <row r="20" spans="1:22" ht="15" customHeight="1">
      <c r="A20" s="97" t="s">
        <v>55</v>
      </c>
      <c r="B20" s="221">
        <v>150</v>
      </c>
      <c r="C20" s="432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1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0" t="s">
        <v>499</v>
      </c>
      <c r="U20" s="135"/>
      <c r="V20" s="351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0" t="s">
        <v>493</v>
      </c>
      <c r="U21" s="135" t="s">
        <v>494</v>
      </c>
      <c r="V21" s="351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0" t="s">
        <v>496</v>
      </c>
      <c r="U22" s="135" t="s">
        <v>393</v>
      </c>
      <c r="V22" s="351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2" t="s">
        <v>498</v>
      </c>
      <c r="U23" s="353"/>
      <c r="V23" s="354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0.50772882298229505</v>
      </c>
      <c r="C78" s="305">
        <f>IF(Age="existing",IF(Fans!$L$2-Fans!C67&lt;=0,0,Fans!$L$2-Fans!C67),IF(C67&lt;(2/3)*Fans!$L$2,Fans!$L$2-Fans!C67,(1/3)*Fans!$L$2))</f>
        <v>15.087664246841534</v>
      </c>
      <c r="D78" s="305">
        <f>IF(Age="existing",IF(Fans!$L$2-Fans!D67&lt;=0,0,Fans!$L$2-Fans!D67),IF(D67&lt;(2/3)*Fans!$L$2,Fans!$L$2-Fans!D67,(1/3)*Fans!$L$2))</f>
        <v>14.666666666666666</v>
      </c>
      <c r="E78" s="305">
        <f>IF(Age="existing",IF(Fans!$L$2-Fans!E67&lt;=0,0,Fans!$L$2-Fans!E67),IF(E67&lt;(2/3)*Fans!$L$2,Fans!$L$2-Fans!E67,(1/3)*Fans!$L$2))</f>
        <v>14.666666666666666</v>
      </c>
      <c r="F78" s="305">
        <f>IF(Age="existing",IF(Fans!$L$2-Fans!F67&lt;=0,0,Fans!$L$2-Fans!F67),IF(F67&lt;(2/3)*Fans!$L$2,Fans!$L$2-Fans!F67,(1/3)*Fans!$L$2))</f>
        <v>14.666666666666666</v>
      </c>
      <c r="G78" s="305">
        <f>IF(Age="existing",IF(Fans!$L$2-Fans!G67&lt;=0,0,Fans!$L$2-Fans!G67),IF(G67&lt;(2/3)*Fans!$L$2,Fans!$L$2-Fans!G67,(1/3)*Fans!$L$2))</f>
        <v>14.666666666666666</v>
      </c>
      <c r="H78" s="305">
        <f>IF(Age="existing",IF(Fans!$L$2-Fans!H67&lt;=0,0,Fans!$L$2-Fans!H67),IF(H67&lt;(2/3)*Fans!$L$2,Fans!$L$2-Fans!H67,(1/3)*Fans!$L$2))</f>
        <v>14.666666666666666</v>
      </c>
      <c r="I78" s="305">
        <f>IF(Age="existing",IF(Fans!$L$2-Fans!I67&lt;=0,0,Fans!$L$2-Fans!I67),IF(I67&lt;(2/3)*Fans!$L$2,Fans!$L$2-Fans!I67,(1/3)*Fans!$L$2))</f>
        <v>14.666666666666666</v>
      </c>
      <c r="J78" s="305">
        <f>IF(Age="existing",IF(Fans!$L$2-Fans!J67&lt;=0,0,Fans!$L$2-Fans!J67),IF(J67&lt;(2/3)*Fans!$L$2,Fans!$L$2-Fans!J67,(1/3)*Fans!$L$2))</f>
        <v>14.666666666666666</v>
      </c>
      <c r="K78" s="305">
        <f>IF(Age="existing",IF(Fans!$L$2-Fans!K67&lt;=0,0,Fans!$L$2-Fans!K67),IF(K67&lt;(2/3)*Fans!$L$2,Fans!$L$2-Fans!K67,(1/3)*Fans!$L$2))</f>
        <v>14.666666666666666</v>
      </c>
      <c r="L78" s="305">
        <f>IF(Age="existing",IF(Fans!$L$2-Fans!L67&lt;=0,0,Fans!$L$2-Fans!L67),IF(L67&lt;(2/3)*Fans!$L$2,Fans!$L$2-Fans!L67,(1/3)*Fans!$L$2))</f>
        <v>14.666666666666666</v>
      </c>
      <c r="M78" s="305">
        <f>IF(Age="existing",IF(Fans!$L$2-Fans!M67&lt;=0,0,Fans!$L$2-Fans!M67),IF(M67&lt;(2/3)*Fans!$L$2,Fans!$L$2-Fans!M67,(1/3)*Fans!$L$2))</f>
        <v>14.666666666666666</v>
      </c>
      <c r="N78" s="305">
        <f>IF(Age="existing",IF(Fans!$L$2-Fans!N67&lt;=0,0,Fans!$L$2-Fans!N67),IF(N67&lt;(2/3)*Fans!$L$2,Fans!$L$2-Fans!N67,(1/3)*Fans!$L$2))</f>
        <v>14.666666666666666</v>
      </c>
      <c r="O78" s="305">
        <f>IF(Age="existing",IF(Fans!$L$2-Fans!O67&lt;=0,0,Fans!$L$2-Fans!O67),IF(O67&lt;(2/3)*Fans!$L$2,Fans!$L$2-Fans!O67,(1/3)*Fans!$L$2))</f>
        <v>14.666666666666666</v>
      </c>
      <c r="P78" s="305">
        <f>IF(Age="existing",IF(Fans!$L$2-Fans!P67&lt;=0,0,Fans!$L$2-Fans!P67),IF(P67&lt;(2/3)*Fans!$L$2,Fans!$L$2-Fans!P67,(1/3)*Fans!$L$2))</f>
        <v>14.666666666666666</v>
      </c>
      <c r="Q78" s="305">
        <f>IF(Age="existing",IF(Fans!$L$2-Fans!Q67&lt;=0,0,Fans!$L$2-Fans!Q67),IF(Q67&lt;(2/3)*Fans!$L$2,Fans!$L$2-Fans!Q67,(1/3)*Fans!$L$2))</f>
        <v>14.666666666666666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0.35541017608760656</v>
      </c>
      <c r="C79" s="305">
        <f>IF(Age="existing",IF(Fans!$L$2-Fans!C68&lt;=0,0,Fans!$L$2-Fans!C68),IF(C68&lt;(2/3)*Fans!$L$2,Fans!$L$2-Fans!C68,(1/3)*Fans!$L$2))</f>
        <v>23.761364972789071</v>
      </c>
      <c r="D79" s="305">
        <f>IF(Age="existing",IF(Fans!$L$2-Fans!D68&lt;=0,0,Fans!$L$2-Fans!D68),IF(D68&lt;(2/3)*Fans!$L$2,Fans!$L$2-Fans!D68,(1/3)*Fans!$L$2))</f>
        <v>23.267739728222953</v>
      </c>
      <c r="E79" s="305">
        <f>IF(Age="existing",IF(Fans!$L$2-Fans!E68&lt;=0,0,Fans!$L$2-Fans!E68),IF(E68&lt;(2/3)*Fans!$L$2,Fans!$L$2-Fans!E68,(1/3)*Fans!$L$2))</f>
        <v>22.774114483656831</v>
      </c>
      <c r="F79" s="305">
        <f>IF(Age="existing",IF(Fans!$L$2-Fans!F68&lt;=0,0,Fans!$L$2-Fans!F68),IF(F68&lt;(2/3)*Fans!$L$2,Fans!$L$2-Fans!F68,(1/3)*Fans!$L$2))</f>
        <v>21.293238749958469</v>
      </c>
      <c r="G79" s="305">
        <f>IF(Age="existing",IF(Fans!$L$2-Fans!G68&lt;=0,0,Fans!$L$2-Fans!G68),IF(G68&lt;(2/3)*Fans!$L$2,Fans!$L$2-Fans!G68,(1/3)*Fans!$L$2))</f>
        <v>20.305988260826233</v>
      </c>
      <c r="H79" s="305">
        <f>IF(Age="existing",IF(Fans!$L$2-Fans!H68&lt;=0,0,Fans!$L$2-Fans!H68),IF(H68&lt;(2/3)*Fans!$L$2,Fans!$L$2-Fans!H68,(1/3)*Fans!$L$2))</f>
        <v>14.666666666666666</v>
      </c>
      <c r="I79" s="305">
        <f>IF(Age="existing",IF(Fans!$L$2-Fans!I68&lt;=0,0,Fans!$L$2-Fans!I68),IF(I68&lt;(2/3)*Fans!$L$2,Fans!$L$2-Fans!I68,(1/3)*Fans!$L$2))</f>
        <v>19.318737771693989</v>
      </c>
      <c r="J79" s="305">
        <f>IF(Age="existing",IF(Fans!$L$2-Fans!J68&lt;=0,0,Fans!$L$2-Fans!J68),IF(J68&lt;(2/3)*Fans!$L$2,Fans!$L$2-Fans!J68,(1/3)*Fans!$L$2))</f>
        <v>17.344236793429506</v>
      </c>
      <c r="K79" s="305">
        <f>IF(Age="existing",IF(Fans!$L$2-Fans!K68&lt;=0,0,Fans!$L$2-Fans!K68),IF(K68&lt;(2/3)*Fans!$L$2,Fans!$L$2-Fans!K68,(1/3)*Fans!$L$2))</f>
        <v>16.850611548863387</v>
      </c>
      <c r="L79" s="305">
        <f>IF(Age="existing",IF(Fans!$L$2-Fans!L68&lt;=0,0,Fans!$L$2-Fans!L68),IF(L68&lt;(2/3)*Fans!$L$2,Fans!$L$2-Fans!L68,(1/3)*Fans!$L$2))</f>
        <v>14.666666666666666</v>
      </c>
      <c r="M79" s="305">
        <f>IF(Age="existing",IF(Fans!$L$2-Fans!M68&lt;=0,0,Fans!$L$2-Fans!M68),IF(M68&lt;(2/3)*Fans!$L$2,Fans!$L$2-Fans!M68,(1/3)*Fans!$L$2))</f>
        <v>16.356986304297262</v>
      </c>
      <c r="N79" s="305">
        <f>IF(Age="existing",IF(Fans!$L$2-Fans!N68&lt;=0,0,Fans!$L$2-Fans!N68),IF(N68&lt;(2/3)*Fans!$L$2,Fans!$L$2-Fans!N68,(1/3)*Fans!$L$2))</f>
        <v>14.666666666666666</v>
      </c>
      <c r="O79" s="305">
        <f>IF(Age="existing",IF(Fans!$L$2-Fans!O68&lt;=0,0,Fans!$L$2-Fans!O68),IF(O68&lt;(2/3)*Fans!$L$2,Fans!$L$2-Fans!O68,(1/3)*Fans!$L$2))</f>
        <v>14.666666666666666</v>
      </c>
      <c r="P79" s="305">
        <f>IF(Age="existing",IF(Fans!$L$2-Fans!P68&lt;=0,0,Fans!$L$2-Fans!P68),IF(P68&lt;(2/3)*Fans!$L$2,Fans!$L$2-Fans!P68,(1/3)*Fans!$L$2))</f>
        <v>14.666666666666666</v>
      </c>
      <c r="Q79" s="305">
        <f>IF(Age="existing",IF(Fans!$L$2-Fans!Q68&lt;=0,0,Fans!$L$2-Fans!Q68),IF(Q68&lt;(2/3)*Fans!$L$2,Fans!$L$2-Fans!Q68,(1/3)*Fans!$L$2))</f>
        <v>14.666666666666666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0.25386441149114752</v>
      </c>
      <c r="C80" s="305">
        <f>IF(Age="existing",IF(Fans!$L$2-Fans!C69&lt;=0,0,Fans!$L$2-Fans!C69),IF(C69&lt;(2/3)*Fans!$L$2,Fans!$L$2-Fans!C69,(1/3)*Fans!$L$2))</f>
        <v>29.543832123420767</v>
      </c>
      <c r="D80" s="305">
        <f>IF(Age="existing",IF(Fans!$L$2-Fans!D69&lt;=0,0,Fans!$L$2-Fans!D69),IF(D69&lt;(2/3)*Fans!$L$2,Fans!$L$2-Fans!D69,(1/3)*Fans!$L$2))</f>
        <v>29.191242663016393</v>
      </c>
      <c r="E80" s="305">
        <f>IF(Age="existing",IF(Fans!$L$2-Fans!E69&lt;=0,0,Fans!$L$2-Fans!E69),IF(E69&lt;(2/3)*Fans!$L$2,Fans!$L$2-Fans!E69,(1/3)*Fans!$L$2))</f>
        <v>28.838653202612022</v>
      </c>
      <c r="F80" s="305">
        <f>IF(Age="existing",IF(Fans!$L$2-Fans!F69&lt;=0,0,Fans!$L$2-Fans!F69),IF(F69&lt;(2/3)*Fans!$L$2,Fans!$L$2-Fans!F69,(1/3)*Fans!$L$2))</f>
        <v>27.780884821398907</v>
      </c>
      <c r="G80" s="305">
        <f>IF(Age="existing",IF(Fans!$L$2-Fans!G69&lt;=0,0,Fans!$L$2-Fans!G69),IF(G69&lt;(2/3)*Fans!$L$2,Fans!$L$2-Fans!G69,(1/3)*Fans!$L$2))</f>
        <v>27.075705900590165</v>
      </c>
      <c r="H80" s="305">
        <f>IF(Age="existing",IF(Fans!$L$2-Fans!H69&lt;=0,0,Fans!$L$2-Fans!H69),IF(H69&lt;(2/3)*Fans!$L$2,Fans!$L$2-Fans!H69,(1/3)*Fans!$L$2))</f>
        <v>22.844632375737707</v>
      </c>
      <c r="I80" s="305">
        <f>IF(Age="existing",IF(Fans!$L$2-Fans!I69&lt;=0,0,Fans!$L$2-Fans!I69),IF(I69&lt;(2/3)*Fans!$L$2,Fans!$L$2-Fans!I69,(1/3)*Fans!$L$2))</f>
        <v>26.37052697978142</v>
      </c>
      <c r="J80" s="305">
        <f>IF(Age="existing",IF(Fans!$L$2-Fans!J69&lt;=0,0,Fans!$L$2-Fans!J69),IF(J69&lt;(2/3)*Fans!$L$2,Fans!$L$2-Fans!J69,(1/3)*Fans!$L$2))</f>
        <v>24.960169138163934</v>
      </c>
      <c r="K80" s="305">
        <f>IF(Age="existing",IF(Fans!$L$2-Fans!K69&lt;=0,0,Fans!$L$2-Fans!K69),IF(K69&lt;(2/3)*Fans!$L$2,Fans!$L$2-Fans!K69,(1/3)*Fans!$L$2))</f>
        <v>24.607579677759563</v>
      </c>
      <c r="L80" s="305">
        <f>IF(Age="existing",IF(Fans!$L$2-Fans!L69&lt;=0,0,Fans!$L$2-Fans!L69),IF(L69&lt;(2/3)*Fans!$L$2,Fans!$L$2-Fans!L69,(1/3)*Fans!$L$2))</f>
        <v>22.844632375737707</v>
      </c>
      <c r="M80" s="305">
        <f>IF(Age="existing",IF(Fans!$L$2-Fans!M69&lt;=0,0,Fans!$L$2-Fans!M69),IF(M69&lt;(2/3)*Fans!$L$2,Fans!$L$2-Fans!M69,(1/3)*Fans!$L$2))</f>
        <v>24.254990217355193</v>
      </c>
      <c r="N80" s="305">
        <f>IF(Age="existing",IF(Fans!$L$2-Fans!N69&lt;=0,0,Fans!$L$2-Fans!N69),IF(N69&lt;(2/3)*Fans!$L$2,Fans!$L$2-Fans!N69,(1/3)*Fans!$L$2))</f>
        <v>22.492042915333336</v>
      </c>
      <c r="O80" s="305">
        <f>IF(Age="existing",IF(Fans!$L$2-Fans!O69&lt;=0,0,Fans!$L$2-Fans!O69),IF(O69&lt;(2/3)*Fans!$L$2,Fans!$L$2-Fans!O69,(1/3)*Fans!$L$2))</f>
        <v>21.786863994524591</v>
      </c>
      <c r="P80" s="305">
        <f>IF(Age="existing",IF(Fans!$L$2-Fans!P69&lt;=0,0,Fans!$L$2-Fans!P69),IF(P69&lt;(2/3)*Fans!$L$2,Fans!$L$2-Fans!P69,(1/3)*Fans!$L$2))</f>
        <v>19.318737771693993</v>
      </c>
      <c r="Q80" s="305">
        <f>IF(Age="existing",IF(Fans!$L$2-Fans!Q69&lt;=0,0,Fans!$L$2-Fans!Q69),IF(Q69&lt;(2/3)*Fans!$L$2,Fans!$L$2-Fans!Q69,(1/3)*Fans!$L$2))</f>
        <v>19.318737771693993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35.32629927405246</v>
      </c>
      <c r="D81" s="305">
        <f>IF(Age="existing",IF(Fans!$L$2-Fans!D70&lt;=0,0,Fans!$L$2-Fans!D70),IF(D70&lt;(2/3)*Fans!$L$2,Fans!$L$2-Fans!D70,(1/3)*Fans!$L$2))</f>
        <v>35.114745597809829</v>
      </c>
      <c r="E81" s="305">
        <f>IF(Age="existing",IF(Fans!$L$2-Fans!E70&lt;=0,0,Fans!$L$2-Fans!E70),IF(E70&lt;(2/3)*Fans!$L$2,Fans!$L$2-Fans!E70,(1/3)*Fans!$L$2))</f>
        <v>34.903191921567213</v>
      </c>
      <c r="F81" s="305">
        <f>IF(Age="existing",IF(Fans!$L$2-Fans!F70&lt;=0,0,Fans!$L$2-Fans!F70),IF(F70&lt;(2/3)*Fans!$L$2,Fans!$L$2-Fans!F70,(1/3)*Fans!$L$2))</f>
        <v>34.268530892839337</v>
      </c>
      <c r="G81" s="305">
        <f>IF(Age="existing",IF(Fans!$L$2-Fans!G70&lt;=0,0,Fans!$L$2-Fans!G70),IF(G70&lt;(2/3)*Fans!$L$2,Fans!$L$2-Fans!G70,(1/3)*Fans!$L$2))</f>
        <v>33.845423540354098</v>
      </c>
      <c r="H81" s="305">
        <f>IF(Age="existing",IF(Fans!$L$2-Fans!H70&lt;=0,0,Fans!$L$2-Fans!H70),IF(H70&lt;(2/3)*Fans!$L$2,Fans!$L$2-Fans!H70,(1/3)*Fans!$L$2))</f>
        <v>31.30677942544262</v>
      </c>
      <c r="I81" s="305">
        <f>IF(Age="existing",IF(Fans!$L$2-Fans!I70&lt;=0,0,Fans!$L$2-Fans!I70),IF(I70&lt;(2/3)*Fans!$L$2,Fans!$L$2-Fans!I70,(1/3)*Fans!$L$2))</f>
        <v>33.422316187868852</v>
      </c>
      <c r="J81" s="305">
        <f>IF(Age="existing",IF(Fans!$L$2-Fans!J70&lt;=0,0,Fans!$L$2-Fans!J70),IF(J70&lt;(2/3)*Fans!$L$2,Fans!$L$2-Fans!J70,(1/3)*Fans!$L$2))</f>
        <v>32.576101482898352</v>
      </c>
      <c r="K81" s="305">
        <f>IF(Age="existing",IF(Fans!$L$2-Fans!K70&lt;=0,0,Fans!$L$2-Fans!K70),IF(K70&lt;(2/3)*Fans!$L$2,Fans!$L$2-Fans!K70,(1/3)*Fans!$L$2))</f>
        <v>32.364547806655736</v>
      </c>
      <c r="L81" s="305">
        <f>IF(Age="existing",IF(Fans!$L$2-Fans!L70&lt;=0,0,Fans!$L$2-Fans!L70),IF(L70&lt;(2/3)*Fans!$L$2,Fans!$L$2-Fans!L70,(1/3)*Fans!$L$2))</f>
        <v>31.30677942544262</v>
      </c>
      <c r="M81" s="305">
        <f>IF(Age="existing",IF(Fans!$L$2-Fans!M70&lt;=0,0,Fans!$L$2-Fans!M70),IF(M70&lt;(2/3)*Fans!$L$2,Fans!$L$2-Fans!M70,(1/3)*Fans!$L$2))</f>
        <v>32.152994130413106</v>
      </c>
      <c r="N81" s="305">
        <f>IF(Age="existing",IF(Fans!$L$2-Fans!N70&lt;=0,0,Fans!$L$2-Fans!N70),IF(N70&lt;(2/3)*Fans!$L$2,Fans!$L$2-Fans!N70,(1/3)*Fans!$L$2))</f>
        <v>31.095225749199997</v>
      </c>
      <c r="O81" s="305">
        <f>IF(Age="existing",IF(Fans!$L$2-Fans!O70&lt;=0,0,Fans!$L$2-Fans!O70),IF(O70&lt;(2/3)*Fans!$L$2,Fans!$L$2-Fans!O70,(1/3)*Fans!$L$2))</f>
        <v>30.672118396714751</v>
      </c>
      <c r="P81" s="305">
        <f>IF(Age="existing",IF(Fans!$L$2-Fans!P70&lt;=0,0,Fans!$L$2-Fans!P70),IF(P70&lt;(2/3)*Fans!$L$2,Fans!$L$2-Fans!P70,(1/3)*Fans!$L$2))</f>
        <v>29.191242663016389</v>
      </c>
      <c r="Q81" s="305">
        <f>IF(Age="existing",IF(Fans!$L$2-Fans!Q70&lt;=0,0,Fans!$L$2-Fans!Q70),IF(Q70&lt;(2/3)*Fans!$L$2,Fans!$L$2-Fans!Q70,(1/3)*Fans!$L$2))</f>
        <v>29.191242663016389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39.66314963702623</v>
      </c>
      <c r="D82" s="305">
        <f>IF(Age="existing",IF(Fans!$L$2-Fans!D71&lt;=0,0,Fans!$L$2-Fans!D71),IF(D71&lt;(2/3)*Fans!$L$2,Fans!$L$2-Fans!D71,(1/3)*Fans!$L$2))</f>
        <v>39.557372798904915</v>
      </c>
      <c r="E82" s="305">
        <f>IF(Age="existing",IF(Fans!$L$2-Fans!E71&lt;=0,0,Fans!$L$2-Fans!E71),IF(E71&lt;(2/3)*Fans!$L$2,Fans!$L$2-Fans!E71,(1/3)*Fans!$L$2))</f>
        <v>39.451595960783607</v>
      </c>
      <c r="F82" s="305">
        <f>IF(Age="existing",IF(Fans!$L$2-Fans!F71&lt;=0,0,Fans!$L$2-Fans!F71),IF(F71&lt;(2/3)*Fans!$L$2,Fans!$L$2-Fans!F71,(1/3)*Fans!$L$2))</f>
        <v>39.134265446419668</v>
      </c>
      <c r="G82" s="305">
        <f>IF(Age="existing",IF(Fans!$L$2-Fans!G71&lt;=0,0,Fans!$L$2-Fans!G71),IF(G71&lt;(2/3)*Fans!$L$2,Fans!$L$2-Fans!G71,(1/3)*Fans!$L$2))</f>
        <v>38.922711770177045</v>
      </c>
      <c r="H82" s="305">
        <f>IF(Age="existing",IF(Fans!$L$2-Fans!H71&lt;=0,0,Fans!$L$2-Fans!H71),IF(H71&lt;(2/3)*Fans!$L$2,Fans!$L$2-Fans!H71,(1/3)*Fans!$L$2))</f>
        <v>37.653389712721307</v>
      </c>
      <c r="I82" s="305">
        <f>IF(Age="existing",IF(Fans!$L$2-Fans!I71&lt;=0,0,Fans!$L$2-Fans!I71),IF(I71&lt;(2/3)*Fans!$L$2,Fans!$L$2-Fans!I71,(1/3)*Fans!$L$2))</f>
        <v>38.711158093934422</v>
      </c>
      <c r="J82" s="305">
        <f>IF(Age="existing",IF(Fans!$L$2-Fans!J71&lt;=0,0,Fans!$L$2-Fans!J71),IF(J71&lt;(2/3)*Fans!$L$2,Fans!$L$2-Fans!J71,(1/3)*Fans!$L$2))</f>
        <v>38.288050741449176</v>
      </c>
      <c r="K82" s="305">
        <f>IF(Age="existing",IF(Fans!$L$2-Fans!K71&lt;=0,0,Fans!$L$2-Fans!K71),IF(K71&lt;(2/3)*Fans!$L$2,Fans!$L$2-Fans!K71,(1/3)*Fans!$L$2))</f>
        <v>38.182273903327868</v>
      </c>
      <c r="L82" s="305">
        <f>IF(Age="existing",IF(Fans!$L$2-Fans!L71&lt;=0,0,Fans!$L$2-Fans!L71),IF(L71&lt;(2/3)*Fans!$L$2,Fans!$L$2-Fans!L71,(1/3)*Fans!$L$2))</f>
        <v>37.653389712721307</v>
      </c>
      <c r="M82" s="305">
        <f>IF(Age="existing",IF(Fans!$L$2-Fans!M71&lt;=0,0,Fans!$L$2-Fans!M71),IF(M71&lt;(2/3)*Fans!$L$2,Fans!$L$2-Fans!M71,(1/3)*Fans!$L$2))</f>
        <v>38.076497065206553</v>
      </c>
      <c r="N82" s="305">
        <f>IF(Age="existing",IF(Fans!$L$2-Fans!N71&lt;=0,0,Fans!$L$2-Fans!N71),IF(N71&lt;(2/3)*Fans!$L$2,Fans!$L$2-Fans!N71,(1/3)*Fans!$L$2))</f>
        <v>37.547612874599999</v>
      </c>
      <c r="O82" s="305">
        <f>IF(Age="existing",IF(Fans!$L$2-Fans!O71&lt;=0,0,Fans!$L$2-Fans!O71),IF(O71&lt;(2/3)*Fans!$L$2,Fans!$L$2-Fans!O71,(1/3)*Fans!$L$2))</f>
        <v>37.336059198357376</v>
      </c>
      <c r="P82" s="305">
        <f>IF(Age="existing",IF(Fans!$L$2-Fans!P71&lt;=0,0,Fans!$L$2-Fans!P71),IF(P71&lt;(2/3)*Fans!$L$2,Fans!$L$2-Fans!P71,(1/3)*Fans!$L$2))</f>
        <v>36.595621331508198</v>
      </c>
      <c r="Q82" s="305">
        <f>IF(Age="existing",IF(Fans!$L$2-Fans!Q71&lt;=0,0,Fans!$L$2-Fans!Q71),IF(Q71&lt;(2/3)*Fans!$L$2,Fans!$L$2-Fans!Q71,(1/3)*Fans!$L$2))</f>
        <v>36.595621331508198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42.265259854810495</v>
      </c>
      <c r="D83" s="305">
        <f>IF(Age="existing",IF(Fans!$L$2-Fans!D72&lt;=0,0,Fans!$L$2-Fans!D72),IF(D72&lt;(2/3)*Fans!$L$2,Fans!$L$2-Fans!D72,(1/3)*Fans!$L$2))</f>
        <v>42.222949119561967</v>
      </c>
      <c r="E83" s="305">
        <f>IF(Age="existing",IF(Fans!$L$2-Fans!E72&lt;=0,0,Fans!$L$2-Fans!E72),IF(E72&lt;(2/3)*Fans!$L$2,Fans!$L$2-Fans!E72,(1/3)*Fans!$L$2))</f>
        <v>42.18063838431344</v>
      </c>
      <c r="F83" s="305">
        <f>IF(Age="existing",IF(Fans!$L$2-Fans!F72&lt;=0,0,Fans!$L$2-Fans!F72),IF(F72&lt;(2/3)*Fans!$L$2,Fans!$L$2-Fans!F72,(1/3)*Fans!$L$2))</f>
        <v>42.053706178567872</v>
      </c>
      <c r="G83" s="305">
        <f>IF(Age="existing",IF(Fans!$L$2-Fans!G72&lt;=0,0,Fans!$L$2-Fans!G72),IF(G72&lt;(2/3)*Fans!$L$2,Fans!$L$2-Fans!G72,(1/3)*Fans!$L$2))</f>
        <v>41.969084708070817</v>
      </c>
      <c r="H83" s="305">
        <f>IF(Age="existing",IF(Fans!$L$2-Fans!H72&lt;=0,0,Fans!$L$2-Fans!H72),IF(H72&lt;(2/3)*Fans!$L$2,Fans!$L$2-Fans!H72,(1/3)*Fans!$L$2))</f>
        <v>41.461355885088523</v>
      </c>
      <c r="I83" s="305">
        <f>IF(Age="existing",IF(Fans!$L$2-Fans!I72&lt;=0,0,Fans!$L$2-Fans!I72),IF(I72&lt;(2/3)*Fans!$L$2,Fans!$L$2-Fans!I72,(1/3)*Fans!$L$2))</f>
        <v>41.884463237573769</v>
      </c>
      <c r="J83" s="305">
        <f>IF(Age="existing",IF(Fans!$L$2-Fans!J72&lt;=0,0,Fans!$L$2-Fans!J72),IF(J72&lt;(2/3)*Fans!$L$2,Fans!$L$2-Fans!J72,(1/3)*Fans!$L$2))</f>
        <v>41.715220296579673</v>
      </c>
      <c r="K83" s="305">
        <f>IF(Age="existing",IF(Fans!$L$2-Fans!K72&lt;=0,0,Fans!$L$2-Fans!K72),IF(K72&lt;(2/3)*Fans!$L$2,Fans!$L$2-Fans!K72,(1/3)*Fans!$L$2))</f>
        <v>41.672909561331146</v>
      </c>
      <c r="L83" s="305">
        <f>IF(Age="existing",IF(Fans!$L$2-Fans!L72&lt;=0,0,Fans!$L$2-Fans!L72),IF(L72&lt;(2/3)*Fans!$L$2,Fans!$L$2-Fans!L72,(1/3)*Fans!$L$2))</f>
        <v>41.461355885088523</v>
      </c>
      <c r="M83" s="305">
        <f>IF(Age="existing",IF(Fans!$L$2-Fans!M72&lt;=0,0,Fans!$L$2-Fans!M72),IF(M72&lt;(2/3)*Fans!$L$2,Fans!$L$2-Fans!M72,(1/3)*Fans!$L$2))</f>
        <v>41.630598826082625</v>
      </c>
      <c r="N83" s="305">
        <f>IF(Age="existing",IF(Fans!$L$2-Fans!N72&lt;=0,0,Fans!$L$2-Fans!N72),IF(N72&lt;(2/3)*Fans!$L$2,Fans!$L$2-Fans!N72,(1/3)*Fans!$L$2))</f>
        <v>41.419045149840002</v>
      </c>
      <c r="O83" s="305">
        <f>IF(Age="existing",IF(Fans!$L$2-Fans!O72&lt;=0,0,Fans!$L$2-Fans!O72),IF(O72&lt;(2/3)*Fans!$L$2,Fans!$L$2-Fans!O72,(1/3)*Fans!$L$2))</f>
        <v>41.334423679342947</v>
      </c>
      <c r="P83" s="305">
        <f>IF(Age="existing",IF(Fans!$L$2-Fans!P72&lt;=0,0,Fans!$L$2-Fans!P72),IF(P72&lt;(2/3)*Fans!$L$2,Fans!$L$2-Fans!P72,(1/3)*Fans!$L$2))</f>
        <v>41.038248532603276</v>
      </c>
      <c r="Q83" s="305">
        <f>IF(Age="existing",IF(Fans!$L$2-Fans!Q72&lt;=0,0,Fans!$L$2-Fans!Q72),IF(Q72&lt;(2/3)*Fans!$L$2,Fans!$L$2-Fans!Q72,(1/3)*Fans!$L$2))</f>
        <v>41.038248532603276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44</v>
      </c>
      <c r="D84" s="306">
        <f t="shared" ref="D84:Q84" si="15">$L$2</f>
        <v>44</v>
      </c>
      <c r="E84" s="306">
        <f t="shared" si="15"/>
        <v>44</v>
      </c>
      <c r="F84" s="306">
        <f t="shared" si="15"/>
        <v>44</v>
      </c>
      <c r="G84" s="306">
        <f t="shared" si="15"/>
        <v>44</v>
      </c>
      <c r="H84" s="306">
        <f t="shared" si="15"/>
        <v>44</v>
      </c>
      <c r="I84" s="306">
        <f t="shared" si="15"/>
        <v>44</v>
      </c>
      <c r="J84" s="306">
        <f t="shared" si="15"/>
        <v>44</v>
      </c>
      <c r="K84" s="306">
        <f t="shared" si="15"/>
        <v>44</v>
      </c>
      <c r="L84" s="306">
        <f t="shared" si="15"/>
        <v>44</v>
      </c>
      <c r="M84" s="306">
        <f t="shared" si="15"/>
        <v>44</v>
      </c>
      <c r="N84" s="306">
        <f t="shared" si="15"/>
        <v>44</v>
      </c>
      <c r="O84" s="306">
        <f t="shared" si="15"/>
        <v>44</v>
      </c>
      <c r="P84" s="306">
        <f t="shared" si="15"/>
        <v>44</v>
      </c>
      <c r="Q84" s="306">
        <f t="shared" si="15"/>
        <v>44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0.50772882298229505</v>
      </c>
      <c r="C89" s="198">
        <f>1.1*C78</f>
        <v>16.596430671525688</v>
      </c>
      <c r="D89" s="198">
        <f t="shared" ref="D89:Q89" si="16">1.1*D78</f>
        <v>16.133333333333333</v>
      </c>
      <c r="E89" s="198">
        <f t="shared" si="16"/>
        <v>16.133333333333333</v>
      </c>
      <c r="F89" s="198">
        <f t="shared" si="16"/>
        <v>16.133333333333333</v>
      </c>
      <c r="G89" s="198">
        <f t="shared" si="16"/>
        <v>16.133333333333333</v>
      </c>
      <c r="H89" s="198">
        <f t="shared" si="16"/>
        <v>16.133333333333333</v>
      </c>
      <c r="I89" s="198">
        <f t="shared" si="16"/>
        <v>16.133333333333333</v>
      </c>
      <c r="J89" s="198">
        <f t="shared" si="16"/>
        <v>16.133333333333333</v>
      </c>
      <c r="K89" s="198">
        <f t="shared" si="16"/>
        <v>16.133333333333333</v>
      </c>
      <c r="L89" s="198">
        <f t="shared" si="16"/>
        <v>16.133333333333333</v>
      </c>
      <c r="M89" s="198">
        <f t="shared" si="16"/>
        <v>16.133333333333333</v>
      </c>
      <c r="N89" s="198">
        <f t="shared" si="16"/>
        <v>16.133333333333333</v>
      </c>
      <c r="O89" s="198">
        <f t="shared" si="16"/>
        <v>16.133333333333333</v>
      </c>
      <c r="P89" s="198">
        <f t="shared" si="16"/>
        <v>16.133333333333333</v>
      </c>
      <c r="Q89" s="198">
        <f t="shared" si="16"/>
        <v>16.133333333333333</v>
      </c>
    </row>
    <row r="90" spans="1:19" ht="15" customHeight="1">
      <c r="A90" s="68">
        <v>7</v>
      </c>
      <c r="B90" s="198">
        <f>Leakage!AF12</f>
        <v>0.35541017608760656</v>
      </c>
      <c r="C90" s="198">
        <f t="shared" ref="C90:Q90" si="17">1.1*C79</f>
        <v>26.137501470067981</v>
      </c>
      <c r="D90" s="198">
        <f t="shared" si="17"/>
        <v>25.594513701045251</v>
      </c>
      <c r="E90" s="198">
        <f t="shared" si="17"/>
        <v>25.051525932022518</v>
      </c>
      <c r="F90" s="198">
        <f t="shared" si="17"/>
        <v>23.422562624954317</v>
      </c>
      <c r="G90" s="198">
        <f t="shared" si="17"/>
        <v>22.336587086908857</v>
      </c>
      <c r="H90" s="198">
        <f t="shared" si="17"/>
        <v>16.133333333333333</v>
      </c>
      <c r="I90" s="198">
        <f t="shared" si="17"/>
        <v>21.25061154886339</v>
      </c>
      <c r="J90" s="198">
        <f t="shared" si="17"/>
        <v>19.078660472772459</v>
      </c>
      <c r="K90" s="198">
        <f t="shared" si="17"/>
        <v>18.535672703749729</v>
      </c>
      <c r="L90" s="198">
        <f t="shared" si="17"/>
        <v>16.133333333333333</v>
      </c>
      <c r="M90" s="198">
        <f t="shared" si="17"/>
        <v>17.992684934726991</v>
      </c>
      <c r="N90" s="198">
        <f t="shared" si="17"/>
        <v>16.133333333333333</v>
      </c>
      <c r="O90" s="198">
        <f t="shared" si="17"/>
        <v>16.133333333333333</v>
      </c>
      <c r="P90" s="198">
        <f t="shared" si="17"/>
        <v>16.133333333333333</v>
      </c>
      <c r="Q90" s="198">
        <f t="shared" si="17"/>
        <v>16.133333333333333</v>
      </c>
    </row>
    <row r="91" spans="1:19" ht="15" customHeight="1">
      <c r="A91" s="68">
        <v>5</v>
      </c>
      <c r="B91" s="198">
        <f>Leakage!AF13</f>
        <v>0.25386441149114752</v>
      </c>
      <c r="C91" s="198">
        <f t="shared" ref="C91:Q91" si="18">1.1*C80</f>
        <v>32.498215335762843</v>
      </c>
      <c r="D91" s="198">
        <f t="shared" si="18"/>
        <v>32.110366929318033</v>
      </c>
      <c r="E91" s="198">
        <f t="shared" si="18"/>
        <v>31.722518522873226</v>
      </c>
      <c r="F91" s="198">
        <f t="shared" si="18"/>
        <v>30.558973303538799</v>
      </c>
      <c r="G91" s="198">
        <f t="shared" si="18"/>
        <v>29.783276490649182</v>
      </c>
      <c r="H91" s="198">
        <f t="shared" si="18"/>
        <v>25.129095613311478</v>
      </c>
      <c r="I91" s="198">
        <f t="shared" si="18"/>
        <v>29.007579677759566</v>
      </c>
      <c r="J91" s="198">
        <f t="shared" si="18"/>
        <v>27.456186051980328</v>
      </c>
      <c r="K91" s="198">
        <f t="shared" si="18"/>
        <v>27.068337645535522</v>
      </c>
      <c r="L91" s="198">
        <f t="shared" si="18"/>
        <v>25.129095613311478</v>
      </c>
      <c r="M91" s="198">
        <f t="shared" si="18"/>
        <v>26.680489239090715</v>
      </c>
      <c r="N91" s="198">
        <f t="shared" si="18"/>
        <v>24.741247206866671</v>
      </c>
      <c r="O91" s="198">
        <f t="shared" si="18"/>
        <v>23.96555039397705</v>
      </c>
      <c r="P91" s="198">
        <f t="shared" si="18"/>
        <v>21.250611548863393</v>
      </c>
      <c r="Q91" s="198">
        <f t="shared" si="18"/>
        <v>21.250611548863393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38.858929201457705</v>
      </c>
      <c r="D92" s="198">
        <f t="shared" si="19"/>
        <v>38.626220157590815</v>
      </c>
      <c r="E92" s="198">
        <f t="shared" si="19"/>
        <v>38.393511113723939</v>
      </c>
      <c r="F92" s="198">
        <f t="shared" si="19"/>
        <v>37.695383982123275</v>
      </c>
      <c r="G92" s="198">
        <f t="shared" si="19"/>
        <v>37.229965894389508</v>
      </c>
      <c r="H92" s="198">
        <f t="shared" si="19"/>
        <v>34.437457367986887</v>
      </c>
      <c r="I92" s="198">
        <f t="shared" si="19"/>
        <v>36.764547806655742</v>
      </c>
      <c r="J92" s="198">
        <f t="shared" si="19"/>
        <v>35.833711631188187</v>
      </c>
      <c r="K92" s="198">
        <f t="shared" si="19"/>
        <v>35.601002587321311</v>
      </c>
      <c r="L92" s="198">
        <f t="shared" si="19"/>
        <v>34.437457367986887</v>
      </c>
      <c r="M92" s="198">
        <f t="shared" si="19"/>
        <v>35.368293543454421</v>
      </c>
      <c r="N92" s="198">
        <f t="shared" si="19"/>
        <v>34.204748324119997</v>
      </c>
      <c r="O92" s="198">
        <f t="shared" si="19"/>
        <v>33.73933023638623</v>
      </c>
      <c r="P92" s="198">
        <f t="shared" si="19"/>
        <v>32.110366929318033</v>
      </c>
      <c r="Q92" s="198">
        <f t="shared" si="19"/>
        <v>32.110366929318033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43.629464600728859</v>
      </c>
      <c r="D93" s="198">
        <f t="shared" si="20"/>
        <v>43.513110078795407</v>
      </c>
      <c r="E93" s="198">
        <f t="shared" si="20"/>
        <v>43.396755556861969</v>
      </c>
      <c r="F93" s="198">
        <f t="shared" si="20"/>
        <v>43.04769199106164</v>
      </c>
      <c r="G93" s="198">
        <f t="shared" si="20"/>
        <v>42.81498294719475</v>
      </c>
      <c r="H93" s="198">
        <f t="shared" si="20"/>
        <v>41.418728683993443</v>
      </c>
      <c r="I93" s="198">
        <f t="shared" si="20"/>
        <v>42.582273903327867</v>
      </c>
      <c r="J93" s="198">
        <f t="shared" si="20"/>
        <v>42.1168558155941</v>
      </c>
      <c r="K93" s="198">
        <f t="shared" si="20"/>
        <v>42.000501293660655</v>
      </c>
      <c r="L93" s="198">
        <f t="shared" si="20"/>
        <v>41.418728683993443</v>
      </c>
      <c r="M93" s="198">
        <f t="shared" si="20"/>
        <v>41.88414677172721</v>
      </c>
      <c r="N93" s="198">
        <f t="shared" si="20"/>
        <v>41.302374162060005</v>
      </c>
      <c r="O93" s="198">
        <f t="shared" si="20"/>
        <v>41.069665118193114</v>
      </c>
      <c r="P93" s="198">
        <f t="shared" si="20"/>
        <v>40.255183464659019</v>
      </c>
      <c r="Q93" s="198">
        <f t="shared" si="20"/>
        <v>40.255183464659019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46.491785840291548</v>
      </c>
      <c r="D94" s="198">
        <f t="shared" si="21"/>
        <v>46.445244031518165</v>
      </c>
      <c r="E94" s="198">
        <f t="shared" si="21"/>
        <v>46.398702222744788</v>
      </c>
      <c r="F94" s="198">
        <f t="shared" si="21"/>
        <v>46.259076796424665</v>
      </c>
      <c r="G94" s="198">
        <f t="shared" si="21"/>
        <v>46.165993178877905</v>
      </c>
      <c r="H94" s="198">
        <f t="shared" si="21"/>
        <v>45.607491473597378</v>
      </c>
      <c r="I94" s="198">
        <f t="shared" si="21"/>
        <v>46.072909561331151</v>
      </c>
      <c r="J94" s="198">
        <f t="shared" si="21"/>
        <v>45.886742326237645</v>
      </c>
      <c r="K94" s="198">
        <f t="shared" si="21"/>
        <v>45.840200517464261</v>
      </c>
      <c r="L94" s="198">
        <f t="shared" si="21"/>
        <v>45.607491473597378</v>
      </c>
      <c r="M94" s="198">
        <f t="shared" si="21"/>
        <v>45.793658708690892</v>
      </c>
      <c r="N94" s="198">
        <f t="shared" si="21"/>
        <v>45.560949664824008</v>
      </c>
      <c r="O94" s="198">
        <f t="shared" si="21"/>
        <v>45.467866047277248</v>
      </c>
      <c r="P94" s="198">
        <f t="shared" si="21"/>
        <v>45.142073385863611</v>
      </c>
      <c r="Q94" s="198">
        <f t="shared" si="21"/>
        <v>45.142073385863611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0.50772882298229505</v>
      </c>
      <c r="C99" s="307">
        <f>C78*0.4361</f>
        <v>6.5797303780475929</v>
      </c>
      <c r="D99" s="307">
        <f t="shared" ref="D99:Q99" si="22">D78*0.4361</f>
        <v>6.3961333333333332</v>
      </c>
      <c r="E99" s="307">
        <f t="shared" si="22"/>
        <v>6.3961333333333332</v>
      </c>
      <c r="F99" s="307">
        <f t="shared" si="22"/>
        <v>6.3961333333333332</v>
      </c>
      <c r="G99" s="307">
        <f t="shared" si="22"/>
        <v>6.3961333333333332</v>
      </c>
      <c r="H99" s="307">
        <f t="shared" si="22"/>
        <v>6.3961333333333332</v>
      </c>
      <c r="I99" s="307">
        <f t="shared" si="22"/>
        <v>6.3961333333333332</v>
      </c>
      <c r="J99" s="307">
        <f t="shared" si="22"/>
        <v>6.3961333333333332</v>
      </c>
      <c r="K99" s="307">
        <f t="shared" si="22"/>
        <v>6.3961333333333332</v>
      </c>
      <c r="L99" s="307">
        <f t="shared" si="22"/>
        <v>6.3961333333333332</v>
      </c>
      <c r="M99" s="307">
        <f t="shared" si="22"/>
        <v>6.3961333333333332</v>
      </c>
      <c r="N99" s="307">
        <f t="shared" si="22"/>
        <v>6.3961333333333332</v>
      </c>
      <c r="O99" s="307">
        <f t="shared" si="22"/>
        <v>6.3961333333333332</v>
      </c>
      <c r="P99" s="307">
        <f t="shared" si="22"/>
        <v>6.3961333333333332</v>
      </c>
      <c r="Q99" s="307">
        <f t="shared" si="22"/>
        <v>6.3961333333333332</v>
      </c>
    </row>
    <row r="100" spans="1:17" ht="15" customHeight="1">
      <c r="A100" s="305">
        <v>7</v>
      </c>
      <c r="B100" s="307">
        <f>Leakage!AF12</f>
        <v>0.35541017608760656</v>
      </c>
      <c r="C100" s="307">
        <f t="shared" ref="C100:Q100" si="23">C79*0.4361</f>
        <v>10.362331264633314</v>
      </c>
      <c r="D100" s="307">
        <f t="shared" si="23"/>
        <v>10.147061295478029</v>
      </c>
      <c r="E100" s="307">
        <f t="shared" si="23"/>
        <v>9.9317913263227435</v>
      </c>
      <c r="F100" s="307">
        <f t="shared" si="23"/>
        <v>9.2859814188568883</v>
      </c>
      <c r="G100" s="307">
        <f t="shared" si="23"/>
        <v>8.85544148054632</v>
      </c>
      <c r="H100" s="307">
        <f t="shared" si="23"/>
        <v>6.3961333333333332</v>
      </c>
      <c r="I100" s="307">
        <f t="shared" si="23"/>
        <v>8.4249015422357481</v>
      </c>
      <c r="J100" s="307">
        <f t="shared" si="23"/>
        <v>7.5638216656146069</v>
      </c>
      <c r="K100" s="307">
        <f t="shared" si="23"/>
        <v>7.3485516964593227</v>
      </c>
      <c r="L100" s="307">
        <f t="shared" si="23"/>
        <v>6.3961333333333332</v>
      </c>
      <c r="M100" s="307">
        <f t="shared" si="23"/>
        <v>7.1332817273040359</v>
      </c>
      <c r="N100" s="307">
        <f t="shared" si="23"/>
        <v>6.3961333333333332</v>
      </c>
      <c r="O100" s="307">
        <f t="shared" si="23"/>
        <v>6.3961333333333332</v>
      </c>
      <c r="P100" s="307">
        <f t="shared" si="23"/>
        <v>6.3961333333333332</v>
      </c>
      <c r="Q100" s="307">
        <f t="shared" si="23"/>
        <v>6.3961333333333332</v>
      </c>
    </row>
    <row r="101" spans="1:17" ht="15" customHeight="1">
      <c r="A101" s="305">
        <v>5</v>
      </c>
      <c r="B101" s="307">
        <f>Leakage!AF13</f>
        <v>0.25386441149114752</v>
      </c>
      <c r="C101" s="307">
        <f t="shared" ref="C101:Q101" si="24">C80*0.4361</f>
        <v>12.884065189023795</v>
      </c>
      <c r="D101" s="307">
        <f t="shared" si="24"/>
        <v>12.730300925341449</v>
      </c>
      <c r="E101" s="307">
        <f t="shared" si="24"/>
        <v>12.576536661659102</v>
      </c>
      <c r="F101" s="307">
        <f t="shared" si="24"/>
        <v>12.115243870612062</v>
      </c>
      <c r="G101" s="307">
        <f t="shared" si="24"/>
        <v>11.80771534324737</v>
      </c>
      <c r="H101" s="307">
        <f t="shared" si="24"/>
        <v>9.9625441790592131</v>
      </c>
      <c r="I101" s="307">
        <f t="shared" si="24"/>
        <v>11.500186815882676</v>
      </c>
      <c r="J101" s="307">
        <f t="shared" si="24"/>
        <v>10.885129761153291</v>
      </c>
      <c r="K101" s="307">
        <f t="shared" si="24"/>
        <v>10.731365497470945</v>
      </c>
      <c r="L101" s="307">
        <f t="shared" si="24"/>
        <v>9.9625441790592131</v>
      </c>
      <c r="M101" s="307">
        <f t="shared" si="24"/>
        <v>10.577601233788599</v>
      </c>
      <c r="N101" s="307">
        <f t="shared" si="24"/>
        <v>9.8087799153768671</v>
      </c>
      <c r="O101" s="307">
        <f t="shared" si="24"/>
        <v>9.5012513880121734</v>
      </c>
      <c r="P101" s="307">
        <f t="shared" si="24"/>
        <v>8.4249015422357498</v>
      </c>
      <c r="Q101" s="307">
        <f t="shared" si="24"/>
        <v>8.4249015422357498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15.405799113414277</v>
      </c>
      <c r="D102" s="307">
        <f t="shared" si="25"/>
        <v>15.313540555204867</v>
      </c>
      <c r="E102" s="307">
        <f t="shared" si="25"/>
        <v>15.221281996995462</v>
      </c>
      <c r="F102" s="307">
        <f t="shared" si="25"/>
        <v>14.944506322367234</v>
      </c>
      <c r="G102" s="307">
        <f t="shared" si="25"/>
        <v>14.759989205948422</v>
      </c>
      <c r="H102" s="307">
        <f t="shared" si="25"/>
        <v>13.652886507435527</v>
      </c>
      <c r="I102" s="307">
        <f t="shared" si="25"/>
        <v>14.575472089529606</v>
      </c>
      <c r="J102" s="307">
        <f t="shared" si="25"/>
        <v>14.20643785669197</v>
      </c>
      <c r="K102" s="307">
        <f t="shared" si="25"/>
        <v>14.114179298482567</v>
      </c>
      <c r="L102" s="307">
        <f t="shared" si="25"/>
        <v>13.652886507435527</v>
      </c>
      <c r="M102" s="307">
        <f t="shared" si="25"/>
        <v>14.021920740273154</v>
      </c>
      <c r="N102" s="307">
        <f t="shared" si="25"/>
        <v>13.560627949226118</v>
      </c>
      <c r="O102" s="307">
        <f t="shared" si="25"/>
        <v>13.376110832807303</v>
      </c>
      <c r="P102" s="307">
        <f t="shared" si="25"/>
        <v>12.730300925341448</v>
      </c>
      <c r="Q102" s="307">
        <f t="shared" si="25"/>
        <v>12.730300925341448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17.297099556707138</v>
      </c>
      <c r="D103" s="307">
        <f t="shared" si="26"/>
        <v>17.250970277602434</v>
      </c>
      <c r="E103" s="307">
        <f t="shared" si="26"/>
        <v>17.20484099849773</v>
      </c>
      <c r="F103" s="307">
        <f t="shared" si="26"/>
        <v>17.066453161183617</v>
      </c>
      <c r="G103" s="307">
        <f t="shared" si="26"/>
        <v>16.974194602974208</v>
      </c>
      <c r="H103" s="307">
        <f t="shared" si="26"/>
        <v>16.42064325371776</v>
      </c>
      <c r="I103" s="307">
        <f t="shared" si="26"/>
        <v>16.881936044764799</v>
      </c>
      <c r="J103" s="307">
        <f t="shared" si="26"/>
        <v>16.697418928345986</v>
      </c>
      <c r="K103" s="307">
        <f t="shared" si="26"/>
        <v>16.651289649241281</v>
      </c>
      <c r="L103" s="307">
        <f t="shared" si="26"/>
        <v>16.42064325371776</v>
      </c>
      <c r="M103" s="307">
        <f t="shared" si="26"/>
        <v>16.605160370136577</v>
      </c>
      <c r="N103" s="307">
        <f t="shared" si="26"/>
        <v>16.374513974613059</v>
      </c>
      <c r="O103" s="307">
        <f t="shared" si="26"/>
        <v>16.28225541640365</v>
      </c>
      <c r="P103" s="307">
        <f t="shared" si="26"/>
        <v>15.959350462670725</v>
      </c>
      <c r="Q103" s="307">
        <f t="shared" si="26"/>
        <v>15.959350462670725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18.431879822682856</v>
      </c>
      <c r="D104" s="307">
        <f t="shared" si="27"/>
        <v>18.413428111040972</v>
      </c>
      <c r="E104" s="307">
        <f t="shared" si="27"/>
        <v>18.394976399399091</v>
      </c>
      <c r="F104" s="307">
        <f t="shared" si="27"/>
        <v>18.339621264473447</v>
      </c>
      <c r="G104" s="307">
        <f t="shared" si="27"/>
        <v>18.302717841189683</v>
      </c>
      <c r="H104" s="307">
        <f t="shared" si="27"/>
        <v>18.081297301487105</v>
      </c>
      <c r="I104" s="307">
        <f t="shared" si="27"/>
        <v>18.265814417905919</v>
      </c>
      <c r="J104" s="307">
        <f t="shared" si="27"/>
        <v>18.192007571338394</v>
      </c>
      <c r="K104" s="307">
        <f t="shared" si="27"/>
        <v>18.173555859696513</v>
      </c>
      <c r="L104" s="307">
        <f t="shared" si="27"/>
        <v>18.081297301487105</v>
      </c>
      <c r="M104" s="307">
        <f t="shared" si="27"/>
        <v>18.155104148054633</v>
      </c>
      <c r="N104" s="307">
        <f t="shared" si="27"/>
        <v>18.062845589845224</v>
      </c>
      <c r="O104" s="307">
        <f t="shared" si="27"/>
        <v>18.02594216656146</v>
      </c>
      <c r="P104" s="307">
        <f t="shared" si="27"/>
        <v>17.896780185068287</v>
      </c>
      <c r="Q104" s="307">
        <f t="shared" si="27"/>
        <v>17.896780185068287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19.188399999999998</v>
      </c>
      <c r="D105" s="307">
        <f t="shared" si="28"/>
        <v>19.188399999999998</v>
      </c>
      <c r="E105" s="307">
        <f t="shared" si="28"/>
        <v>19.188399999999998</v>
      </c>
      <c r="F105" s="307">
        <f t="shared" si="28"/>
        <v>19.188399999999998</v>
      </c>
      <c r="G105" s="307">
        <f t="shared" si="28"/>
        <v>19.188399999999998</v>
      </c>
      <c r="H105" s="307">
        <f t="shared" si="28"/>
        <v>19.188399999999998</v>
      </c>
      <c r="I105" s="307">
        <f t="shared" si="28"/>
        <v>19.188399999999998</v>
      </c>
      <c r="J105" s="307">
        <f t="shared" si="28"/>
        <v>19.188399999999998</v>
      </c>
      <c r="K105" s="307">
        <f t="shared" si="28"/>
        <v>19.188399999999998</v>
      </c>
      <c r="L105" s="307">
        <f t="shared" si="28"/>
        <v>19.188399999999998</v>
      </c>
      <c r="M105" s="307">
        <f t="shared" si="28"/>
        <v>19.188399999999998</v>
      </c>
      <c r="N105" s="307">
        <f t="shared" si="28"/>
        <v>19.188399999999998</v>
      </c>
      <c r="O105" s="307">
        <f t="shared" si="28"/>
        <v>19.188399999999998</v>
      </c>
      <c r="P105" s="307">
        <f t="shared" si="28"/>
        <v>19.188399999999998</v>
      </c>
      <c r="Q105" s="307">
        <f t="shared" si="28"/>
        <v>19.188399999999998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0.50772882298229505</v>
      </c>
      <c r="C111" s="198">
        <f>C99*1.1</f>
        <v>7.2377034158523523</v>
      </c>
      <c r="D111" s="198">
        <f t="shared" ref="D111:Q111" si="29">D99*1.1</f>
        <v>7.0357466666666673</v>
      </c>
      <c r="E111" s="198">
        <f t="shared" si="29"/>
        <v>7.0357466666666673</v>
      </c>
      <c r="F111" s="198">
        <f t="shared" si="29"/>
        <v>7.0357466666666673</v>
      </c>
      <c r="G111" s="198">
        <f t="shared" si="29"/>
        <v>7.0357466666666673</v>
      </c>
      <c r="H111" s="198">
        <f t="shared" si="29"/>
        <v>7.0357466666666673</v>
      </c>
      <c r="I111" s="198">
        <f t="shared" si="29"/>
        <v>7.0357466666666673</v>
      </c>
      <c r="J111" s="198">
        <f t="shared" si="29"/>
        <v>7.0357466666666673</v>
      </c>
      <c r="K111" s="198">
        <f t="shared" si="29"/>
        <v>7.0357466666666673</v>
      </c>
      <c r="L111" s="198">
        <f t="shared" si="29"/>
        <v>7.0357466666666673</v>
      </c>
      <c r="M111" s="198">
        <f t="shared" si="29"/>
        <v>7.0357466666666673</v>
      </c>
      <c r="N111" s="198">
        <f t="shared" si="29"/>
        <v>7.0357466666666673</v>
      </c>
      <c r="O111" s="198">
        <f t="shared" si="29"/>
        <v>7.0357466666666673</v>
      </c>
      <c r="P111" s="198">
        <f t="shared" si="29"/>
        <v>7.0357466666666673</v>
      </c>
      <c r="Q111" s="198">
        <f t="shared" si="29"/>
        <v>7.0357466666666673</v>
      </c>
    </row>
    <row r="112" spans="1:17" ht="15" customHeight="1">
      <c r="A112" s="68">
        <v>7</v>
      </c>
      <c r="B112" s="198">
        <f>Leakage!AF12</f>
        <v>0.35541017608760656</v>
      </c>
      <c r="C112" s="198">
        <f t="shared" ref="C112:Q112" si="30">C100*1.1</f>
        <v>11.398564391096645</v>
      </c>
      <c r="D112" s="198">
        <f t="shared" si="30"/>
        <v>11.161767425025833</v>
      </c>
      <c r="E112" s="198">
        <f t="shared" si="30"/>
        <v>10.924970458955018</v>
      </c>
      <c r="F112" s="198">
        <f t="shared" si="30"/>
        <v>10.214579560742578</v>
      </c>
      <c r="G112" s="198">
        <f t="shared" si="30"/>
        <v>9.7409856286009529</v>
      </c>
      <c r="H112" s="198">
        <f t="shared" si="30"/>
        <v>7.0357466666666673</v>
      </c>
      <c r="I112" s="198">
        <f t="shared" si="30"/>
        <v>9.2673916964593239</v>
      </c>
      <c r="J112" s="198">
        <f t="shared" si="30"/>
        <v>8.3202038321760678</v>
      </c>
      <c r="K112" s="198">
        <f t="shared" si="30"/>
        <v>8.0834068661052552</v>
      </c>
      <c r="L112" s="198">
        <f t="shared" si="30"/>
        <v>7.0357466666666673</v>
      </c>
      <c r="M112" s="198">
        <f t="shared" si="30"/>
        <v>7.8466099000344398</v>
      </c>
      <c r="N112" s="198">
        <f t="shared" si="30"/>
        <v>7.0357466666666673</v>
      </c>
      <c r="O112" s="198">
        <f t="shared" si="30"/>
        <v>7.0357466666666673</v>
      </c>
      <c r="P112" s="198">
        <f t="shared" si="30"/>
        <v>7.0357466666666673</v>
      </c>
      <c r="Q112" s="198">
        <f t="shared" si="30"/>
        <v>7.0357466666666673</v>
      </c>
    </row>
    <row r="113" spans="1:17" ht="15" customHeight="1">
      <c r="A113" s="68">
        <v>5</v>
      </c>
      <c r="B113" s="198">
        <f>Leakage!AF13</f>
        <v>0.25386441149114752</v>
      </c>
      <c r="C113" s="198">
        <f t="shared" ref="C113:Q113" si="31">C101*1.1</f>
        <v>14.172471707926176</v>
      </c>
      <c r="D113" s="198">
        <f t="shared" si="31"/>
        <v>14.003331017875595</v>
      </c>
      <c r="E113" s="198">
        <f t="shared" si="31"/>
        <v>13.834190327825013</v>
      </c>
      <c r="F113" s="198">
        <f t="shared" si="31"/>
        <v>13.326768257673269</v>
      </c>
      <c r="G113" s="198">
        <f t="shared" si="31"/>
        <v>12.988486877572107</v>
      </c>
      <c r="H113" s="198">
        <f t="shared" si="31"/>
        <v>10.958798596965135</v>
      </c>
      <c r="I113" s="198">
        <f t="shared" si="31"/>
        <v>12.650205497470944</v>
      </c>
      <c r="J113" s="198">
        <f t="shared" si="31"/>
        <v>11.973642737268621</v>
      </c>
      <c r="K113" s="198">
        <f t="shared" si="31"/>
        <v>11.80450204721804</v>
      </c>
      <c r="L113" s="198">
        <f t="shared" si="31"/>
        <v>10.958798596965135</v>
      </c>
      <c r="M113" s="198">
        <f t="shared" si="31"/>
        <v>11.63536135716746</v>
      </c>
      <c r="N113" s="198">
        <f t="shared" si="31"/>
        <v>10.789657906914554</v>
      </c>
      <c r="O113" s="198">
        <f t="shared" si="31"/>
        <v>10.451376526813391</v>
      </c>
      <c r="P113" s="198">
        <f t="shared" si="31"/>
        <v>9.2673916964593257</v>
      </c>
      <c r="Q113" s="198">
        <f t="shared" si="31"/>
        <v>9.2673916964593257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16.946379024755707</v>
      </c>
      <c r="D114" s="198">
        <f t="shared" si="32"/>
        <v>16.844894610725355</v>
      </c>
      <c r="E114" s="198">
        <f t="shared" si="32"/>
        <v>16.74341019669501</v>
      </c>
      <c r="F114" s="198">
        <f t="shared" si="32"/>
        <v>16.43895695460396</v>
      </c>
      <c r="G114" s="198">
        <f t="shared" si="32"/>
        <v>16.235988126543266</v>
      </c>
      <c r="H114" s="198">
        <f t="shared" si="32"/>
        <v>15.018175158179082</v>
      </c>
      <c r="I114" s="198">
        <f t="shared" si="32"/>
        <v>16.033019298482568</v>
      </c>
      <c r="J114" s="198">
        <f t="shared" si="32"/>
        <v>15.627081642361169</v>
      </c>
      <c r="K114" s="198">
        <f t="shared" si="32"/>
        <v>15.525597228330824</v>
      </c>
      <c r="L114" s="198">
        <f t="shared" si="32"/>
        <v>15.018175158179082</v>
      </c>
      <c r="M114" s="198">
        <f t="shared" si="32"/>
        <v>15.424112814300472</v>
      </c>
      <c r="N114" s="198">
        <f t="shared" si="32"/>
        <v>14.916690744148731</v>
      </c>
      <c r="O114" s="198">
        <f t="shared" si="32"/>
        <v>14.713721916088033</v>
      </c>
      <c r="P114" s="198">
        <f t="shared" si="32"/>
        <v>14.003331017875594</v>
      </c>
      <c r="Q114" s="198">
        <f t="shared" si="32"/>
        <v>14.003331017875594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19.026809512377852</v>
      </c>
      <c r="D115" s="198">
        <f t="shared" si="33"/>
        <v>18.97606730536268</v>
      </c>
      <c r="E115" s="198">
        <f t="shared" si="33"/>
        <v>18.925325098347503</v>
      </c>
      <c r="F115" s="198">
        <f t="shared" si="33"/>
        <v>18.773098477301978</v>
      </c>
      <c r="G115" s="198">
        <f t="shared" si="33"/>
        <v>18.67161406327163</v>
      </c>
      <c r="H115" s="198">
        <f t="shared" si="33"/>
        <v>18.062707579089537</v>
      </c>
      <c r="I115" s="198">
        <f t="shared" si="33"/>
        <v>18.570129649241281</v>
      </c>
      <c r="J115" s="198">
        <f t="shared" si="33"/>
        <v>18.367160821180587</v>
      </c>
      <c r="K115" s="198">
        <f t="shared" si="33"/>
        <v>18.316418614165411</v>
      </c>
      <c r="L115" s="198">
        <f t="shared" si="33"/>
        <v>18.062707579089537</v>
      </c>
      <c r="M115" s="198">
        <f t="shared" si="33"/>
        <v>18.265676407150238</v>
      </c>
      <c r="N115" s="198">
        <f t="shared" si="33"/>
        <v>18.011965372074368</v>
      </c>
      <c r="O115" s="198">
        <f t="shared" si="33"/>
        <v>17.910480958044015</v>
      </c>
      <c r="P115" s="198">
        <f t="shared" si="33"/>
        <v>17.5552855089378</v>
      </c>
      <c r="Q115" s="198">
        <f t="shared" si="33"/>
        <v>17.5552855089378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20.275067804951142</v>
      </c>
      <c r="D116" s="198">
        <f t="shared" si="34"/>
        <v>20.25477092214507</v>
      </c>
      <c r="E116" s="198">
        <f t="shared" si="34"/>
        <v>20.234474039339002</v>
      </c>
      <c r="F116" s="198">
        <f t="shared" si="34"/>
        <v>20.173583390920793</v>
      </c>
      <c r="G116" s="198">
        <f t="shared" si="34"/>
        <v>20.132989625308653</v>
      </c>
      <c r="H116" s="198">
        <f t="shared" si="34"/>
        <v>19.889427031635815</v>
      </c>
      <c r="I116" s="198">
        <f t="shared" si="34"/>
        <v>20.092395859696513</v>
      </c>
      <c r="J116" s="198">
        <f t="shared" si="34"/>
        <v>20.011208328472236</v>
      </c>
      <c r="K116" s="198">
        <f t="shared" si="34"/>
        <v>19.990911445666168</v>
      </c>
      <c r="L116" s="198">
        <f t="shared" si="34"/>
        <v>19.889427031635815</v>
      </c>
      <c r="M116" s="198">
        <f t="shared" si="34"/>
        <v>19.970614562860099</v>
      </c>
      <c r="N116" s="198">
        <f t="shared" si="34"/>
        <v>19.869130148829747</v>
      </c>
      <c r="O116" s="198">
        <f t="shared" si="34"/>
        <v>19.828536383217607</v>
      </c>
      <c r="P116" s="198">
        <f t="shared" si="34"/>
        <v>19.686458203575118</v>
      </c>
      <c r="Q116" s="198">
        <f t="shared" si="34"/>
        <v>19.686458203575118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3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4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64220.574811625404</v>
      </c>
      <c r="C5" s="5" t="s">
        <v>339</v>
      </c>
      <c r="D5" s="476">
        <f>B5/24/3412</f>
        <v>0.78424891084927462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784.24891084927458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3" t="s">
        <v>564</v>
      </c>
      <c r="P9" s="545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4"/>
      <c r="P10" s="546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0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664</v>
      </c>
      <c r="C19" s="16">
        <f>B19/1000</f>
        <v>0.66400000000000003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4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4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0.6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6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7">
        <v>0.65</v>
      </c>
      <c r="F14" s="266"/>
    </row>
    <row r="15" spans="1:7" ht="15" customHeight="1">
      <c r="A15" s="442" t="s">
        <v>352</v>
      </c>
      <c r="B15" s="443"/>
      <c r="C15" s="443"/>
      <c r="D15" s="444">
        <f>D11*D13/(SQRT(1.2/2)*4^(D14-0.5))</f>
        <v>0.37750080048057194</v>
      </c>
      <c r="E15" s="443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5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5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5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5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5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5</v>
      </c>
    </row>
    <row r="28" spans="1:11" ht="15" customHeight="1">
      <c r="A28" s="97" t="s">
        <v>425</v>
      </c>
      <c r="C28" s="17">
        <f>L_houseSI</f>
        <v>20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3.125E-2</v>
      </c>
    </row>
    <row r="39" spans="1:4" ht="15" customHeight="1">
      <c r="A39" s="1" t="s">
        <v>1191</v>
      </c>
      <c r="B39" s="1">
        <f>B38*Leakage!H14</f>
        <v>7.8125E-3</v>
      </c>
    </row>
    <row r="40" spans="1:4" ht="15" customHeight="1">
      <c r="A40" s="1" t="s">
        <v>1187</v>
      </c>
      <c r="B40" s="1">
        <f>D15 * SQRT(1.20411 / 2) * 4^(D14 - 0.5)</f>
        <v>0.36061597302393583</v>
      </c>
    </row>
    <row r="41" spans="1:4" ht="15" customHeight="1">
      <c r="A41" s="1" t="s">
        <v>1188</v>
      </c>
      <c r="B41" s="1">
        <f>B39 * SQRT(1.20411 / 2) * 4^(D14 - 0.5)</f>
        <v>7.4630630866556044E-3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581.27018299246504</v>
      </c>
      <c r="C9" s="5" t="s">
        <v>516</v>
      </c>
      <c r="D9" s="16">
        <f>B9*0.3048^2</f>
        <v>54.001767061356304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107.64262648008612</v>
      </c>
      <c r="C10" s="128" t="s">
        <v>516</v>
      </c>
      <c r="D10" s="16">
        <f>B10*0.3048^2</f>
        <v>10.000327233584501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7" t="s">
        <v>375</v>
      </c>
      <c r="B12" s="448">
        <f>D12/(0.3048/12)</f>
        <v>9.8425196850393686</v>
      </c>
      <c r="C12" s="449" t="s">
        <v>217</v>
      </c>
      <c r="D12" s="453">
        <v>0.25</v>
      </c>
      <c r="E12" s="449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7" t="s">
        <v>377</v>
      </c>
      <c r="B13" s="448">
        <f>D13/(0.3048/12)</f>
        <v>17.716535433070867</v>
      </c>
      <c r="C13" s="449" t="s">
        <v>217</v>
      </c>
      <c r="D13" s="453">
        <v>0.45</v>
      </c>
      <c r="E13" s="449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0" t="s">
        <v>378</v>
      </c>
      <c r="B14" s="451">
        <f>D14/(0.3048/12)</f>
        <v>30.921187535332606</v>
      </c>
      <c r="C14" s="452" t="s">
        <v>217</v>
      </c>
      <c r="D14" s="451">
        <f>PI()*D12</f>
        <v>0.78539816339744828</v>
      </c>
      <c r="E14" s="452" t="s">
        <v>134</v>
      </c>
      <c r="F14"/>
      <c r="G14" s="57" t="s">
        <v>366</v>
      </c>
      <c r="H14" s="83" t="s">
        <v>134</v>
      </c>
      <c r="I14" s="444">
        <f>VLOOKUP(I13,$G$6:$J$9,4,FALSE)</f>
        <v>0.05</v>
      </c>
      <c r="J14" s="444">
        <f t="shared" ref="J14:X14" si="1">VLOOKUP(J13,$G$6:$J$9,4,FALSE)</f>
        <v>0.05</v>
      </c>
      <c r="K14" s="444">
        <f t="shared" si="1"/>
        <v>0.05</v>
      </c>
      <c r="L14" s="444">
        <f t="shared" si="1"/>
        <v>0.05</v>
      </c>
      <c r="M14" s="444">
        <f t="shared" si="1"/>
        <v>0.05</v>
      </c>
      <c r="N14" s="444">
        <f t="shared" si="1"/>
        <v>0.05</v>
      </c>
      <c r="O14" s="444">
        <f t="shared" si="1"/>
        <v>0.05</v>
      </c>
      <c r="P14" s="444">
        <f t="shared" si="1"/>
        <v>0.05</v>
      </c>
      <c r="Q14" s="444">
        <f t="shared" si="1"/>
        <v>0.05</v>
      </c>
      <c r="R14" s="444">
        <f t="shared" si="1"/>
        <v>0.05</v>
      </c>
      <c r="S14" s="444">
        <f t="shared" si="1"/>
        <v>0.05</v>
      </c>
      <c r="T14" s="444">
        <f t="shared" si="1"/>
        <v>0.05</v>
      </c>
      <c r="U14" s="444">
        <f t="shared" si="1"/>
        <v>0.05</v>
      </c>
      <c r="V14" s="444">
        <f t="shared" si="1"/>
        <v>0.05</v>
      </c>
      <c r="W14" s="444">
        <f t="shared" si="1"/>
        <v>0.05</v>
      </c>
      <c r="X14" s="444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0" t="s">
        <v>379</v>
      </c>
      <c r="B15" s="451">
        <f>D15/(0.3048/12)</f>
        <v>55.658137563598693</v>
      </c>
      <c r="C15" s="452" t="s">
        <v>217</v>
      </c>
      <c r="D15" s="451">
        <f>PI()*D13</f>
        <v>1.4137166941154069</v>
      </c>
      <c r="E15" s="452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7" t="s">
        <v>381</v>
      </c>
      <c r="B16" s="448">
        <f>D16/0.3048</f>
        <v>225.58131662761028</v>
      </c>
      <c r="C16" s="449" t="s">
        <v>133</v>
      </c>
      <c r="D16" s="454">
        <f>D9/D14</f>
        <v>68.757185308095615</v>
      </c>
      <c r="E16" s="449" t="s">
        <v>134</v>
      </c>
      <c r="G16" s="57" t="s">
        <v>382</v>
      </c>
      <c r="H16" s="83" t="s">
        <v>546</v>
      </c>
      <c r="I16" s="444">
        <f t="shared" ref="I16:X16" si="3">(I13+I15)/5.678</f>
        <v>1.5322296583303978</v>
      </c>
      <c r="J16" s="444">
        <f t="shared" si="3"/>
        <v>1.5322296583303978</v>
      </c>
      <c r="K16" s="444">
        <f t="shared" si="3"/>
        <v>1.5322296583303978</v>
      </c>
      <c r="L16" s="444">
        <f t="shared" si="3"/>
        <v>1.5322296583303978</v>
      </c>
      <c r="M16" s="444">
        <f t="shared" si="3"/>
        <v>1.5322296583303978</v>
      </c>
      <c r="N16" s="444">
        <f t="shared" si="3"/>
        <v>1.5322296583303978</v>
      </c>
      <c r="O16" s="444">
        <f t="shared" si="3"/>
        <v>1.5322296583303978</v>
      </c>
      <c r="P16" s="444">
        <f t="shared" si="3"/>
        <v>1.5322296583303978</v>
      </c>
      <c r="Q16" s="444">
        <f t="shared" si="3"/>
        <v>1.5322296583303978</v>
      </c>
      <c r="R16" s="444">
        <f t="shared" si="3"/>
        <v>1.5322296583303978</v>
      </c>
      <c r="S16" s="444">
        <f t="shared" si="3"/>
        <v>1.5322296583303978</v>
      </c>
      <c r="T16" s="444">
        <f t="shared" si="3"/>
        <v>1.5322296583303978</v>
      </c>
      <c r="U16" s="444">
        <f t="shared" si="3"/>
        <v>1.5322296583303978</v>
      </c>
      <c r="V16" s="444">
        <f t="shared" si="3"/>
        <v>1.5322296583303978</v>
      </c>
      <c r="W16" s="444">
        <f t="shared" si="3"/>
        <v>1.5322296583303978</v>
      </c>
      <c r="X16" s="444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7" t="s">
        <v>383</v>
      </c>
      <c r="B17" s="448">
        <f>D17/0.3048</f>
        <v>23.207954385556611</v>
      </c>
      <c r="C17" s="449" t="s">
        <v>133</v>
      </c>
      <c r="D17" s="454">
        <f>D10/D15</f>
        <v>7.0737844967176553</v>
      </c>
      <c r="E17" s="449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1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5">
        <v>0.8</v>
      </c>
      <c r="D14" s="455">
        <v>0.8</v>
      </c>
      <c r="E14" s="455">
        <v>0.8</v>
      </c>
      <c r="F14" s="455">
        <v>0.9</v>
      </c>
      <c r="G14" s="455">
        <v>0.9</v>
      </c>
      <c r="H14" s="455">
        <v>0.9</v>
      </c>
      <c r="I14" s="455">
        <v>0.9</v>
      </c>
      <c r="J14" s="455">
        <v>0.9</v>
      </c>
      <c r="K14" s="455">
        <v>0.94</v>
      </c>
      <c r="L14" s="455">
        <v>0.94</v>
      </c>
      <c r="M14" s="455">
        <v>0.94</v>
      </c>
      <c r="N14" s="455">
        <v>0.94</v>
      </c>
      <c r="O14" s="455">
        <v>0.94</v>
      </c>
      <c r="P14" s="455">
        <v>0.94</v>
      </c>
      <c r="Q14" s="455">
        <v>0.94</v>
      </c>
      <c r="R14" s="456">
        <f>D14</f>
        <v>0.8</v>
      </c>
      <c r="S14" s="456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3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499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0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0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0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1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499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0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2" t="s">
        <v>258</v>
      </c>
      <c r="B29" s="84">
        <f>(1/UA!F6)*UA!$B$6*UA!$C$6*10.7639+(1/UA!F9*UA!$B$9*UA!$C$9*10.7639)</f>
        <v>108.22686551334536</v>
      </c>
      <c r="C29" s="84">
        <f>(1/UA!G6)*UA!$B$6*UA!$C$6*10.7639+(1/UA!G9*UA!$B$9*UA!$C$9*10.7639)</f>
        <v>108.22686551334536</v>
      </c>
      <c r="D29" s="84">
        <f>(1/UA!H6)*UA!$B$6*UA!$C$6*10.7639+(1/UA!H9*UA!$B$9*UA!$C$9*10.7639)</f>
        <v>108.22686551334536</v>
      </c>
      <c r="E29" s="84">
        <f>(1/UA!I6)*UA!$B$6*UA!$C$6*10.7639+(1/UA!I9*UA!$B$9*UA!$C$9*10.7639)</f>
        <v>73.147460175380488</v>
      </c>
      <c r="F29" s="84">
        <f>(1/UA!J6)*UA!$B$6*UA!$C$6*10.7639+(1/UA!J9*UA!$B$9*UA!$C$9*10.7639)</f>
        <v>73.147460175380488</v>
      </c>
      <c r="G29" s="84">
        <f>(1/UA!K6)*UA!$B$6*UA!$C$6*10.7639+(1/UA!K9*UA!$B$9*UA!$C$9*10.7639)</f>
        <v>73.147460175380488</v>
      </c>
      <c r="H29" s="84">
        <f>(1/UA!L6)*UA!$B$6*UA!$C$6*10.7639+(1/UA!L9*UA!$B$9*UA!$C$9*10.7639)</f>
        <v>73.147460175380488</v>
      </c>
      <c r="I29" s="84">
        <f>(1/UA!M6)*UA!$B$6*UA!$C$6*10.7639+(1/UA!M9*UA!$B$9*UA!$C$9*10.7639)</f>
        <v>73.147460175380488</v>
      </c>
      <c r="J29" s="84">
        <f>(1/UA!N6)*UA!$B$6*UA!$C$6*10.7639+(1/UA!N9*UA!$B$9*UA!$C$9*10.7639)</f>
        <v>73.147460175380488</v>
      </c>
      <c r="K29" s="84">
        <f>(1/UA!O6)*UA!$B$6*UA!$C$6*10.7639+(1/UA!O9*UA!$B$9*UA!$C$9*10.7639)</f>
        <v>73.147460175380488</v>
      </c>
      <c r="L29" s="84">
        <f>(1/UA!P6)*UA!$B$6*UA!$C$6*10.7639+(1/UA!P9*UA!$B$9*UA!$C$9*10.7639)</f>
        <v>73.147460175380488</v>
      </c>
      <c r="M29" s="84">
        <f>(1/UA!Q6)*UA!$B$6*UA!$C$6*10.7639+(1/UA!Q9*UA!$B$9*UA!$C$9*10.7639)</f>
        <v>60.117966764136391</v>
      </c>
      <c r="N29" s="84">
        <f>(1/UA!R6)*UA!$B$6*UA!$C$6*10.7639+(1/UA!R9*UA!$B$9*UA!$C$9*10.7639)</f>
        <v>60.117966764136391</v>
      </c>
      <c r="O29" s="84">
        <f>(1/UA!S6)*UA!$B$6*UA!$C$6*10.7639+(1/UA!S9*UA!$B$9*UA!$C$9*10.7639)</f>
        <v>60.117966764136391</v>
      </c>
      <c r="P29" s="84">
        <f>(1/UA!T6)*UA!$B$6*UA!$C$6*10.7639+(1/UA!T9*UA!$B$9*UA!$C$9*10.7639)</f>
        <v>60.117966764136391</v>
      </c>
      <c r="Q29" s="84">
        <f>(1/UA!U6)*UA!$B$6*UA!$C$6*10.7639+(1/UA!U9*UA!$B$9*UA!$C$9*10.7639)</f>
        <v>108.22686551334536</v>
      </c>
      <c r="R29" s="207">
        <f>(1/UA!V6)*UA!$B$6*UA!$C$6*10.7639+(1/UA!V9*UA!$B$9*UA!$C$9*10.7639)</f>
        <v>73.147460175380488</v>
      </c>
    </row>
    <row r="30" spans="1:20" ht="15" customHeight="1">
      <c r="A30" s="502" t="s">
        <v>260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7">
        <f>(1/UA!V7)*UA!$B$7*UA!$C$7*10.7639</f>
        <v>129.16679999999999</v>
      </c>
    </row>
    <row r="31" spans="1:20" ht="15" customHeight="1">
      <c r="A31" s="502" t="s">
        <v>261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7">
        <f>(1/UA!V8)*UA!$B$8*UA!$C$8*10.7639</f>
        <v>113.30421052631577</v>
      </c>
    </row>
    <row r="32" spans="1:20" ht="15" customHeight="1">
      <c r="A32" s="503" t="s">
        <v>1264</v>
      </c>
      <c r="B32" s="84">
        <f>(1/UA!F20+UA!$B$20)*planareaSI*10.7639</f>
        <v>114.81493333333333</v>
      </c>
      <c r="C32" s="84">
        <f>(1/UA!G20+UA!$B$20)*planareaSI*10.7639</f>
        <v>99.707705263157891</v>
      </c>
      <c r="D32" s="84">
        <f>(1/UA!H20+UA!$B$20)*planareaSI*10.7639</f>
        <v>99.707705263157891</v>
      </c>
      <c r="E32" s="84">
        <f>(1/UA!I20+UA!$B$20)*planareaSI*10.7639</f>
        <v>99.707705263157891</v>
      </c>
      <c r="F32" s="84">
        <f>(1/UA!J20+UA!$B$20)*planareaSI*10.7639</f>
        <v>99.707705263157891</v>
      </c>
      <c r="G32" s="84">
        <f>(1/UA!K20+UA!$B$20)*planareaSI*10.7639</f>
        <v>99.707705263157891</v>
      </c>
      <c r="H32" s="84">
        <f>(1/UA!L20+UA!$B$20)*planareaSI*10.7639</f>
        <v>86.989885714285705</v>
      </c>
      <c r="I32" s="84">
        <f>(1/UA!M20+UA!$B$20)*planareaSI*10.7639</f>
        <v>86.989885714285705</v>
      </c>
      <c r="J32" s="84">
        <f>(1/UA!N20+UA!$B$20)*planareaSI*10.7639</f>
        <v>86.989885714285705</v>
      </c>
      <c r="K32" s="84">
        <f>(1/UA!O20+UA!$B$20)*planareaSI*10.7639</f>
        <v>86.989885714285705</v>
      </c>
      <c r="L32" s="84">
        <f>(1/UA!P20+UA!$B$20)*planareaSI*10.7639</f>
        <v>86.989885714285705</v>
      </c>
      <c r="M32" s="84">
        <f>(1/UA!Q20+UA!$B$20)*planareaSI*10.7639</f>
        <v>86.989885714285705</v>
      </c>
      <c r="N32" s="84">
        <f>(1/UA!R20+UA!$B$20)*planareaSI*10.7639</f>
        <v>86.989885714285705</v>
      </c>
      <c r="O32" s="84">
        <f>(1/UA!S20+UA!$B$20)*planareaSI*10.7639</f>
        <v>86.989885714285705</v>
      </c>
      <c r="P32" s="84">
        <f>(1/UA!T20+UA!$B$20)*planareaSI*10.7639</f>
        <v>86.989885714285705</v>
      </c>
      <c r="Q32" s="84">
        <f>(1/UA!U20+UA!$B$20)*planareaSI*10.7639</f>
        <v>99.707705263157891</v>
      </c>
      <c r="R32" s="207">
        <f>(1/UA!V20+UA!$B$20)*planareaSI*10.7639</f>
        <v>99.707705263157891</v>
      </c>
    </row>
    <row r="33" spans="1:18" ht="15" customHeight="1">
      <c r="A33" s="503" t="s">
        <v>1277</v>
      </c>
      <c r="B33" s="84">
        <f>SUM(B29:B32)</f>
        <v>560.86266038514032</v>
      </c>
      <c r="C33" s="84">
        <f t="shared" ref="C33:M33" si="0">SUM(C29:C32)</f>
        <v>545.75543231496476</v>
      </c>
      <c r="D33" s="84">
        <f t="shared" si="0"/>
        <v>545.75543231496476</v>
      </c>
      <c r="E33" s="84">
        <f t="shared" si="0"/>
        <v>415.32617596485414</v>
      </c>
      <c r="F33" s="84">
        <f t="shared" si="0"/>
        <v>415.32617596485414</v>
      </c>
      <c r="G33" s="84">
        <f t="shared" si="0"/>
        <v>415.32617596485414</v>
      </c>
      <c r="H33" s="84">
        <f t="shared" si="0"/>
        <v>402.60835641598197</v>
      </c>
      <c r="I33" s="84">
        <f t="shared" si="0"/>
        <v>402.60835641598197</v>
      </c>
      <c r="J33" s="84">
        <f t="shared" si="0"/>
        <v>348.14679922299956</v>
      </c>
      <c r="K33" s="84">
        <f t="shared" si="0"/>
        <v>348.14679922299956</v>
      </c>
      <c r="L33" s="84">
        <f t="shared" si="0"/>
        <v>348.14679922299956</v>
      </c>
      <c r="M33" s="84">
        <f t="shared" si="0"/>
        <v>335.11730581175544</v>
      </c>
      <c r="N33" s="84">
        <f t="shared" ref="N33" si="1">SUM(N29:N32)</f>
        <v>335.11730581175544</v>
      </c>
      <c r="O33" s="84">
        <f t="shared" ref="O33" si="2">SUM(O29:O32)</f>
        <v>320.01007774158001</v>
      </c>
      <c r="P33" s="84">
        <f t="shared" ref="P33" si="3">SUM(P29:P32)</f>
        <v>320.01007774158001</v>
      </c>
      <c r="Q33" s="84">
        <f t="shared" ref="Q33" si="4">SUM(Q29:Q32)</f>
        <v>545.75543231496476</v>
      </c>
      <c r="R33" s="207">
        <f t="shared" ref="R33" si="5">SUM(R29:R32)</f>
        <v>415.32617596485414</v>
      </c>
    </row>
    <row r="34" spans="1:18" s="277" customFormat="1" ht="15" customHeight="1">
      <c r="A34" s="504" t="s">
        <v>1314</v>
      </c>
      <c r="B34" s="513">
        <f>B33*B23</f>
        <v>12899.841188858227</v>
      </c>
      <c r="C34" s="513">
        <f t="shared" ref="C34:M34" si="6">C33*C23</f>
        <v>20738.70642796866</v>
      </c>
      <c r="D34" s="513">
        <f t="shared" si="6"/>
        <v>19647.195563338733</v>
      </c>
      <c r="E34" s="513">
        <f t="shared" si="6"/>
        <v>21596.961150172414</v>
      </c>
      <c r="F34" s="513">
        <f t="shared" si="6"/>
        <v>19105.00409438329</v>
      </c>
      <c r="G34" s="513">
        <f t="shared" si="6"/>
        <v>13290.437630875333</v>
      </c>
      <c r="H34" s="513">
        <f t="shared" si="6"/>
        <v>22948.676315710971</v>
      </c>
      <c r="I34" s="513">
        <f t="shared" si="6"/>
        <v>21740.851246463026</v>
      </c>
      <c r="J34" s="513">
        <f t="shared" si="6"/>
        <v>16362.89956348098</v>
      </c>
      <c r="K34" s="513">
        <f t="shared" si="6"/>
        <v>24370.27594560997</v>
      </c>
      <c r="L34" s="513">
        <f t="shared" si="6"/>
        <v>20888.807953379976</v>
      </c>
      <c r="M34" s="513">
        <f t="shared" si="6"/>
        <v>25804.032547505169</v>
      </c>
      <c r="N34" s="513">
        <f t="shared" ref="N34" si="7">N33*N23</f>
        <v>28820.088299810966</v>
      </c>
      <c r="O34" s="513">
        <f t="shared" ref="O34" si="8">O33*O23</f>
        <v>27520.86668577588</v>
      </c>
      <c r="P34" s="513">
        <f t="shared" ref="P34" si="9">P33*P23</f>
        <v>37441.179095764863</v>
      </c>
      <c r="Q34" s="513">
        <f t="shared" ref="Q34" si="10">Q33*Q23</f>
        <v>17464.173834078872</v>
      </c>
      <c r="R34" s="514">
        <f t="shared" ref="R34" si="11">R33*R23</f>
        <v>17443.699390523874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499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0" t="s">
        <v>1339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500" t="s">
        <v>1338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7">
        <f>2.11888*Fans!R9</f>
        <v>16.062537251024718</v>
      </c>
    </row>
    <row r="40" spans="1:18" ht="15" customHeight="1">
      <c r="A40" s="500" t="s">
        <v>1278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500" t="s">
        <v>1279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500" t="s">
        <v>1280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7">
        <f t="shared" si="13"/>
        <v>0.31562606541998744</v>
      </c>
    </row>
    <row r="43" spans="1:18" s="277" customFormat="1" ht="15" customHeight="1">
      <c r="A43" s="500" t="s">
        <v>1281</v>
      </c>
      <c r="B43" s="511">
        <f>1.1*B41*B23</f>
        <v>2346.2124195186675</v>
      </c>
      <c r="C43" s="511">
        <f t="shared" ref="C43:R43" si="14">1.1*C41*C23</f>
        <v>3874.9878233646596</v>
      </c>
      <c r="D43" s="511">
        <f t="shared" si="14"/>
        <v>3669.7022827809305</v>
      </c>
      <c r="E43" s="511">
        <f t="shared" si="14"/>
        <v>5309.1222405103217</v>
      </c>
      <c r="F43" s="511">
        <f t="shared" si="14"/>
        <v>4694.0146376113426</v>
      </c>
      <c r="G43" s="511">
        <f t="shared" si="14"/>
        <v>3252.4354716470962</v>
      </c>
      <c r="H43" s="511">
        <f t="shared" si="14"/>
        <v>5813.171626942275</v>
      </c>
      <c r="I43" s="511">
        <f t="shared" si="14"/>
        <v>5500.3224269869379</v>
      </c>
      <c r="J43" s="511">
        <f t="shared" si="14"/>
        <v>4785.7094901934433</v>
      </c>
      <c r="K43" s="511">
        <f t="shared" si="14"/>
        <v>7143.065752886826</v>
      </c>
      <c r="L43" s="511">
        <f t="shared" si="14"/>
        <v>6127.7764429009021</v>
      </c>
      <c r="M43" s="511">
        <f t="shared" si="14"/>
        <v>7855.6093954368389</v>
      </c>
      <c r="N43" s="511">
        <f t="shared" si="14"/>
        <v>8769.7092844568615</v>
      </c>
      <c r="O43" s="511">
        <f t="shared" si="14"/>
        <v>8753.807848604094</v>
      </c>
      <c r="P43" s="511">
        <f t="shared" si="14"/>
        <v>11957.074920864008</v>
      </c>
      <c r="Q43" s="511">
        <f t="shared" si="14"/>
        <v>3267.4884813849599</v>
      </c>
      <c r="R43" s="512">
        <f t="shared" si="14"/>
        <v>4291.3023278075852</v>
      </c>
    </row>
    <row r="44" spans="1:18" ht="15" customHeight="1">
      <c r="A44" s="500" t="s">
        <v>1265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500" t="s">
        <v>1278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500" t="s">
        <v>1279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500" t="s">
        <v>1280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7">
        <f t="shared" si="16"/>
        <v>0.31562606541998744</v>
      </c>
    </row>
    <row r="48" spans="1:18" ht="15" customHeight="1">
      <c r="A48" s="500" t="s">
        <v>1282</v>
      </c>
      <c r="B48" s="511">
        <f t="shared" ref="B48:R48" si="17">1.1*B46*B24</f>
        <v>1530.1385344686962</v>
      </c>
      <c r="C48" s="511">
        <f t="shared" si="17"/>
        <v>1937.4939116823298</v>
      </c>
      <c r="D48" s="511">
        <f t="shared" si="17"/>
        <v>3261.9575846941607</v>
      </c>
      <c r="E48" s="511">
        <f t="shared" si="17"/>
        <v>2041.9700925039697</v>
      </c>
      <c r="F48" s="511">
        <f t="shared" si="17"/>
        <v>2347.0073188056713</v>
      </c>
      <c r="G48" s="511">
        <f t="shared" si="17"/>
        <v>203.27721697794351</v>
      </c>
      <c r="H48" s="511">
        <f t="shared" si="17"/>
        <v>1631.7674742294105</v>
      </c>
      <c r="I48" s="511">
        <f t="shared" si="17"/>
        <v>1935.2986317176262</v>
      </c>
      <c r="J48" s="511">
        <f t="shared" si="17"/>
        <v>1323.7068802662716</v>
      </c>
      <c r="K48" s="511">
        <f t="shared" si="17"/>
        <v>1632.7007435169887</v>
      </c>
      <c r="L48" s="511">
        <f t="shared" si="17"/>
        <v>1940.4625402519523</v>
      </c>
      <c r="M48" s="511">
        <f t="shared" si="17"/>
        <v>1020.2090123943947</v>
      </c>
      <c r="N48" s="511">
        <f t="shared" si="17"/>
        <v>1325.6537290458045</v>
      </c>
      <c r="O48" s="511">
        <f t="shared" si="17"/>
        <v>712.51924349103092</v>
      </c>
      <c r="P48" s="511">
        <f t="shared" si="17"/>
        <v>306.59166463753866</v>
      </c>
      <c r="Q48" s="511">
        <f t="shared" si="17"/>
        <v>1837.96227077904</v>
      </c>
      <c r="R48" s="512">
        <f t="shared" si="17"/>
        <v>1736.955704112594</v>
      </c>
    </row>
    <row r="49" spans="1:21" ht="15" customHeight="1">
      <c r="A49" s="501" t="s">
        <v>1283</v>
      </c>
      <c r="B49" s="513">
        <f>0.68*B46*Weather!B31</f>
        <v>3089.9524829392094</v>
      </c>
      <c r="C49" s="513">
        <f>0.68*C46*Weather!C31</f>
        <v>2647.5993357725997</v>
      </c>
      <c r="D49" s="513">
        <f>0.68*D46*Weather!D31</f>
        <v>0</v>
      </c>
      <c r="E49" s="513">
        <f>0.68*E46*Weather!E31</f>
        <v>2082.8094943540491</v>
      </c>
      <c r="F49" s="513">
        <f>0.68*F46*Weather!F31</f>
        <v>0</v>
      </c>
      <c r="G49" s="513">
        <f>0.68*G46*Weather!G31</f>
        <v>0</v>
      </c>
      <c r="H49" s="513">
        <f>0.68*H46*Weather!H31</f>
        <v>2206.5946526511348</v>
      </c>
      <c r="I49" s="513">
        <f>0.68*I46*Weather!I31</f>
        <v>0</v>
      </c>
      <c r="J49" s="513">
        <f>0.68*J46*Weather!J31</f>
        <v>0</v>
      </c>
      <c r="K49" s="513">
        <f>0.68*K46*Weather!K31</f>
        <v>1450.8772516253239</v>
      </c>
      <c r="L49" s="513">
        <f>0.68*L46*Weather!L31</f>
        <v>0</v>
      </c>
      <c r="M49" s="513">
        <f>0.68*M46*Weather!M31</f>
        <v>946.01199331116595</v>
      </c>
      <c r="N49" s="513">
        <f>0.68*N46*Weather!N31</f>
        <v>0</v>
      </c>
      <c r="O49" s="513">
        <f>0.68*O46*Weather!O31</f>
        <v>629.23777347259875</v>
      </c>
      <c r="P49" s="513">
        <f>0.68*P46*Weather!P31</f>
        <v>0</v>
      </c>
      <c r="Q49" s="513">
        <f>0.68*Q46*Weather!Q31</f>
        <v>2335.5116531717499</v>
      </c>
      <c r="R49" s="514">
        <f>0.68*R46*Weather!R31</f>
        <v>3221.2633058088104</v>
      </c>
    </row>
    <row r="51" spans="1:21" s="277" customFormat="1" ht="15" customHeight="1">
      <c r="A51" s="499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0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09" t="s">
        <v>1284</v>
      </c>
      <c r="B53" s="510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0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0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0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0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0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0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0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0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0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0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0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0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0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0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0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0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0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0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0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0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0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0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0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0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0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0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0" t="s">
        <v>1292</v>
      </c>
      <c r="B80" s="511">
        <f t="shared" ref="B80:R80" si="27">B29*B76</f>
        <v>2445.9271606016055</v>
      </c>
      <c r="C80" s="511">
        <f t="shared" si="27"/>
        <v>2445.9271606016055</v>
      </c>
      <c r="D80" s="511">
        <f t="shared" si="27"/>
        <v>3311.7420847083681</v>
      </c>
      <c r="E80" s="511">
        <f t="shared" si="27"/>
        <v>1726.2800601389797</v>
      </c>
      <c r="F80" s="511">
        <f t="shared" si="27"/>
        <v>1579.9851397882187</v>
      </c>
      <c r="G80" s="511">
        <f t="shared" si="27"/>
        <v>409.62577698213084</v>
      </c>
      <c r="H80" s="511">
        <f t="shared" si="27"/>
        <v>1433.6902194374577</v>
      </c>
      <c r="I80" s="511">
        <f t="shared" si="27"/>
        <v>1287.3952990866967</v>
      </c>
      <c r="J80" s="511">
        <f t="shared" si="27"/>
        <v>848.51053803441368</v>
      </c>
      <c r="K80" s="511">
        <f t="shared" si="27"/>
        <v>1433.6902194374577</v>
      </c>
      <c r="L80" s="511">
        <f t="shared" si="27"/>
        <v>1287.3952990866967</v>
      </c>
      <c r="M80" s="511">
        <f t="shared" si="27"/>
        <v>817.60434799225504</v>
      </c>
      <c r="N80" s="511">
        <f t="shared" si="27"/>
        <v>697.36841446398216</v>
      </c>
      <c r="O80" s="511">
        <f t="shared" si="27"/>
        <v>637.25044769984584</v>
      </c>
      <c r="P80" s="511">
        <f t="shared" si="27"/>
        <v>396.77858064330024</v>
      </c>
      <c r="Q80" s="511">
        <f t="shared" si="27"/>
        <v>2337.7002950882597</v>
      </c>
      <c r="R80" s="512">
        <f t="shared" si="27"/>
        <v>1799.4275203143602</v>
      </c>
    </row>
    <row r="81" spans="1:18" ht="15" customHeight="1">
      <c r="A81" s="500" t="s">
        <v>1289</v>
      </c>
      <c r="B81" s="511">
        <f t="shared" ref="B81:R81" si="28">B32*B77</f>
        <v>4937.0421333333334</v>
      </c>
      <c r="C81" s="511">
        <f t="shared" si="28"/>
        <v>4287.4313263157892</v>
      </c>
      <c r="D81" s="511">
        <f t="shared" si="28"/>
        <v>5085.0929684210523</v>
      </c>
      <c r="E81" s="511">
        <f t="shared" si="28"/>
        <v>4387.1390315789467</v>
      </c>
      <c r="F81" s="511">
        <f t="shared" si="28"/>
        <v>4187.7236210526316</v>
      </c>
      <c r="G81" s="511">
        <f t="shared" si="28"/>
        <v>2592.4003368421054</v>
      </c>
      <c r="H81" s="511">
        <f t="shared" si="28"/>
        <v>3479.5954285714283</v>
      </c>
      <c r="I81" s="511">
        <f t="shared" si="28"/>
        <v>3305.6156571428569</v>
      </c>
      <c r="J81" s="511">
        <f t="shared" si="28"/>
        <v>2783.6763428571426</v>
      </c>
      <c r="K81" s="511">
        <f t="shared" si="28"/>
        <v>3479.5954285714283</v>
      </c>
      <c r="L81" s="511">
        <f t="shared" si="28"/>
        <v>3305.6156571428569</v>
      </c>
      <c r="M81" s="511">
        <f t="shared" si="28"/>
        <v>2957.656114285714</v>
      </c>
      <c r="N81" s="511">
        <f t="shared" si="28"/>
        <v>2783.6763428571426</v>
      </c>
      <c r="O81" s="511">
        <f t="shared" si="28"/>
        <v>2696.6864571428569</v>
      </c>
      <c r="P81" s="511">
        <f t="shared" si="28"/>
        <v>2348.726914285714</v>
      </c>
      <c r="Q81" s="511">
        <f t="shared" si="28"/>
        <v>4187.7236210526316</v>
      </c>
      <c r="R81" s="512">
        <f t="shared" si="28"/>
        <v>4486.8467368421052</v>
      </c>
    </row>
    <row r="82" spans="1:18" ht="15" customHeight="1">
      <c r="A82" s="501" t="s">
        <v>1290</v>
      </c>
      <c r="B82" s="513">
        <f t="shared" ref="B82:R82" si="29">B32*B78</f>
        <v>4018.5226666666667</v>
      </c>
      <c r="C82" s="513">
        <f t="shared" si="29"/>
        <v>3489.7696842105261</v>
      </c>
      <c r="D82" s="513">
        <f t="shared" si="29"/>
        <v>4287.4313263157892</v>
      </c>
      <c r="E82" s="513">
        <f t="shared" si="29"/>
        <v>3589.4773894736841</v>
      </c>
      <c r="F82" s="513">
        <f t="shared" si="29"/>
        <v>3390.0619789473685</v>
      </c>
      <c r="G82" s="513">
        <f t="shared" si="29"/>
        <v>1794.738694736842</v>
      </c>
      <c r="H82" s="513">
        <f t="shared" si="29"/>
        <v>2783.6763428571426</v>
      </c>
      <c r="I82" s="513">
        <f t="shared" si="29"/>
        <v>2609.6965714285711</v>
      </c>
      <c r="J82" s="513">
        <f t="shared" si="29"/>
        <v>2087.7572571428568</v>
      </c>
      <c r="K82" s="513">
        <f t="shared" si="29"/>
        <v>2783.6763428571426</v>
      </c>
      <c r="L82" s="513">
        <f t="shared" si="29"/>
        <v>2609.6965714285711</v>
      </c>
      <c r="M82" s="513">
        <f t="shared" si="29"/>
        <v>2261.7370285714283</v>
      </c>
      <c r="N82" s="513">
        <f t="shared" si="29"/>
        <v>2087.7572571428568</v>
      </c>
      <c r="O82" s="513">
        <f t="shared" si="29"/>
        <v>2000.7673714285713</v>
      </c>
      <c r="P82" s="513">
        <f t="shared" si="29"/>
        <v>1652.8078285714284</v>
      </c>
      <c r="Q82" s="513">
        <f t="shared" si="29"/>
        <v>3390.0619789473685</v>
      </c>
      <c r="R82" s="514">
        <f t="shared" si="29"/>
        <v>3689.1850947368421</v>
      </c>
    </row>
    <row r="85" spans="1:18" ht="15" customHeight="1">
      <c r="A85" s="499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0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0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0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0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0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0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0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0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0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0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0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0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0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0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0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0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0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0" t="s">
        <v>28</v>
      </c>
      <c r="B103" s="511">
        <f t="shared" ref="B103:R103" si="35">A_windowSI*(1/0.0929)/4*B95</f>
        <v>1937.5672766415503</v>
      </c>
      <c r="C103" s="511">
        <f t="shared" si="35"/>
        <v>2023.6813778256192</v>
      </c>
      <c r="D103" s="511">
        <f t="shared" si="35"/>
        <v>2303.5522066738426</v>
      </c>
      <c r="E103" s="511">
        <f t="shared" si="35"/>
        <v>2045.2099031216362</v>
      </c>
      <c r="F103" s="511">
        <f t="shared" si="35"/>
        <v>2109.7954790096883</v>
      </c>
      <c r="G103" s="511">
        <f t="shared" si="35"/>
        <v>1657.6964477933263</v>
      </c>
      <c r="H103" s="511">
        <f t="shared" si="35"/>
        <v>1959.0958019375673</v>
      </c>
      <c r="I103" s="511">
        <f t="shared" si="35"/>
        <v>2023.6813778256192</v>
      </c>
      <c r="J103" s="511">
        <f t="shared" si="35"/>
        <v>1894.5102260495159</v>
      </c>
      <c r="K103" s="511">
        <f t="shared" si="35"/>
        <v>1959.0958019375673</v>
      </c>
      <c r="L103" s="511">
        <f t="shared" si="35"/>
        <v>2023.6813778256192</v>
      </c>
      <c r="M103" s="511">
        <f t="shared" si="35"/>
        <v>1829.9246501614641</v>
      </c>
      <c r="N103" s="511">
        <f t="shared" si="35"/>
        <v>1894.5102260495159</v>
      </c>
      <c r="O103" s="511">
        <f t="shared" si="35"/>
        <v>1765.3390742734123</v>
      </c>
      <c r="P103" s="511">
        <f t="shared" si="35"/>
        <v>1679.2249730893434</v>
      </c>
      <c r="Q103" s="511">
        <f t="shared" si="35"/>
        <v>2002.1528525296021</v>
      </c>
      <c r="R103" s="512">
        <f t="shared" si="35"/>
        <v>1980.6243272335844</v>
      </c>
    </row>
    <row r="104" spans="1:18" ht="15" customHeight="1">
      <c r="A104" s="500" t="s">
        <v>1294</v>
      </c>
      <c r="B104" s="511">
        <v>0</v>
      </c>
      <c r="C104" s="511">
        <v>0</v>
      </c>
      <c r="D104" s="511">
        <v>0</v>
      </c>
      <c r="E104" s="511">
        <v>0</v>
      </c>
      <c r="F104" s="511">
        <v>0</v>
      </c>
      <c r="G104" s="511">
        <v>0</v>
      </c>
      <c r="H104" s="511">
        <v>0</v>
      </c>
      <c r="I104" s="511">
        <v>0</v>
      </c>
      <c r="J104" s="511">
        <v>0</v>
      </c>
      <c r="K104" s="511">
        <v>0</v>
      </c>
      <c r="L104" s="511">
        <v>0</v>
      </c>
      <c r="M104" s="511">
        <v>0</v>
      </c>
      <c r="N104" s="511">
        <v>0</v>
      </c>
      <c r="O104" s="511">
        <v>0</v>
      </c>
      <c r="P104" s="511">
        <v>0</v>
      </c>
      <c r="Q104" s="511">
        <v>0</v>
      </c>
      <c r="R104" s="512">
        <v>0</v>
      </c>
    </row>
    <row r="105" spans="1:18" ht="15" customHeight="1">
      <c r="A105" s="500" t="s">
        <v>1295</v>
      </c>
      <c r="B105" s="511">
        <f t="shared" ref="B105:R105" si="36">A_windowSI*(1/0.0929)/2*B97</f>
        <v>6243.2723358449948</v>
      </c>
      <c r="C105" s="511">
        <f t="shared" si="36"/>
        <v>6415.500538213133</v>
      </c>
      <c r="D105" s="511">
        <f t="shared" si="36"/>
        <v>6975.24219590958</v>
      </c>
      <c r="E105" s="511">
        <f t="shared" si="36"/>
        <v>6458.5575888051671</v>
      </c>
      <c r="F105" s="511">
        <f t="shared" si="36"/>
        <v>6587.7287405812713</v>
      </c>
      <c r="G105" s="511">
        <f t="shared" si="36"/>
        <v>5683.5306781485469</v>
      </c>
      <c r="H105" s="511">
        <f t="shared" si="36"/>
        <v>6286.3293864370289</v>
      </c>
      <c r="I105" s="511">
        <f t="shared" si="36"/>
        <v>6415.500538213133</v>
      </c>
      <c r="J105" s="511">
        <f t="shared" si="36"/>
        <v>6157.1582346609266</v>
      </c>
      <c r="K105" s="511">
        <f t="shared" si="36"/>
        <v>6286.3293864370289</v>
      </c>
      <c r="L105" s="511">
        <f t="shared" si="36"/>
        <v>6415.500538213133</v>
      </c>
      <c r="M105" s="511">
        <f t="shared" si="36"/>
        <v>6027.9870828848225</v>
      </c>
      <c r="N105" s="511">
        <f t="shared" si="36"/>
        <v>6157.1582346609266</v>
      </c>
      <c r="O105" s="511">
        <f t="shared" si="36"/>
        <v>5898.8159311087193</v>
      </c>
      <c r="P105" s="511">
        <f t="shared" si="36"/>
        <v>5726.587728740582</v>
      </c>
      <c r="Q105" s="511">
        <f t="shared" si="36"/>
        <v>6372.4434876210989</v>
      </c>
      <c r="R105" s="512">
        <f t="shared" si="36"/>
        <v>6329.3864370290639</v>
      </c>
    </row>
    <row r="106" spans="1:18" ht="15" customHeight="1">
      <c r="A106" s="500" t="s">
        <v>1296</v>
      </c>
      <c r="B106" s="511">
        <v>0</v>
      </c>
      <c r="C106" s="511">
        <v>0</v>
      </c>
      <c r="D106" s="511">
        <v>0</v>
      </c>
      <c r="E106" s="511">
        <v>0</v>
      </c>
      <c r="F106" s="511">
        <v>0</v>
      </c>
      <c r="G106" s="511">
        <v>0</v>
      </c>
      <c r="H106" s="511">
        <v>0</v>
      </c>
      <c r="I106" s="511">
        <v>0</v>
      </c>
      <c r="J106" s="511">
        <v>0</v>
      </c>
      <c r="K106" s="511">
        <v>0</v>
      </c>
      <c r="L106" s="511">
        <v>0</v>
      </c>
      <c r="M106" s="511">
        <v>0</v>
      </c>
      <c r="N106" s="511">
        <v>0</v>
      </c>
      <c r="O106" s="511">
        <v>0</v>
      </c>
      <c r="P106" s="511">
        <v>0</v>
      </c>
      <c r="Q106" s="511">
        <v>0</v>
      </c>
      <c r="R106" s="512">
        <v>0</v>
      </c>
    </row>
    <row r="107" spans="1:18" ht="15" customHeight="1">
      <c r="A107" s="501" t="s">
        <v>30</v>
      </c>
      <c r="B107" s="513">
        <f t="shared" ref="B107:R107" si="37">A_windowSI*(1/0.0929)/4*B99</f>
        <v>2260.4951560818085</v>
      </c>
      <c r="C107" s="513">
        <f t="shared" si="37"/>
        <v>2346.6092572658777</v>
      </c>
      <c r="D107" s="513">
        <f t="shared" si="37"/>
        <v>2626.4800861141011</v>
      </c>
      <c r="E107" s="513">
        <f t="shared" si="37"/>
        <v>2368.1377825618947</v>
      </c>
      <c r="F107" s="513">
        <f t="shared" si="37"/>
        <v>2432.7233584499463</v>
      </c>
      <c r="G107" s="513">
        <f t="shared" si="37"/>
        <v>1980.6243272335844</v>
      </c>
      <c r="H107" s="513">
        <f t="shared" si="37"/>
        <v>2282.0236813778256</v>
      </c>
      <c r="I107" s="513">
        <f t="shared" si="37"/>
        <v>2346.6092572658777</v>
      </c>
      <c r="J107" s="513">
        <f t="shared" si="37"/>
        <v>2217.4381054897744</v>
      </c>
      <c r="K107" s="513">
        <f t="shared" si="37"/>
        <v>2282.0236813778256</v>
      </c>
      <c r="L107" s="513">
        <f t="shared" si="37"/>
        <v>2346.6092572658777</v>
      </c>
      <c r="M107" s="513">
        <f t="shared" si="37"/>
        <v>2152.8525296017224</v>
      </c>
      <c r="N107" s="513">
        <f t="shared" si="37"/>
        <v>2217.4381054897744</v>
      </c>
      <c r="O107" s="513">
        <f t="shared" si="37"/>
        <v>2088.2669537136708</v>
      </c>
      <c r="P107" s="513">
        <f t="shared" si="37"/>
        <v>2002.1528525296021</v>
      </c>
      <c r="Q107" s="513">
        <f t="shared" si="37"/>
        <v>2325.0807319698606</v>
      </c>
      <c r="R107" s="514">
        <f t="shared" si="37"/>
        <v>2303.5522066738426</v>
      </c>
    </row>
    <row r="108" spans="1:18" ht="15" customHeight="1">
      <c r="B108" s="277"/>
    </row>
    <row r="109" spans="1:18" s="277" customFormat="1" ht="15" customHeight="1">
      <c r="A109" s="499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0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0" t="s">
        <v>1321</v>
      </c>
      <c r="B111" s="511">
        <f t="shared" ref="B111:R111" si="38">Noccupants*300</f>
        <v>1200</v>
      </c>
      <c r="C111" s="511">
        <f t="shared" si="38"/>
        <v>1200</v>
      </c>
      <c r="D111" s="511">
        <f t="shared" si="38"/>
        <v>1200</v>
      </c>
      <c r="E111" s="511">
        <f t="shared" si="38"/>
        <v>1200</v>
      </c>
      <c r="F111" s="511">
        <f t="shared" si="38"/>
        <v>1200</v>
      </c>
      <c r="G111" s="511">
        <f t="shared" si="38"/>
        <v>1200</v>
      </c>
      <c r="H111" s="511">
        <f t="shared" si="38"/>
        <v>1200</v>
      </c>
      <c r="I111" s="511">
        <f t="shared" si="38"/>
        <v>1200</v>
      </c>
      <c r="J111" s="511">
        <f t="shared" si="38"/>
        <v>1200</v>
      </c>
      <c r="K111" s="511">
        <f t="shared" si="38"/>
        <v>1200</v>
      </c>
      <c r="L111" s="511">
        <f t="shared" si="38"/>
        <v>1200</v>
      </c>
      <c r="M111" s="511">
        <f t="shared" si="38"/>
        <v>1200</v>
      </c>
      <c r="N111" s="511">
        <f t="shared" si="38"/>
        <v>1200</v>
      </c>
      <c r="O111" s="511">
        <f t="shared" si="38"/>
        <v>1200</v>
      </c>
      <c r="P111" s="511">
        <f t="shared" si="38"/>
        <v>1200</v>
      </c>
      <c r="Q111" s="511">
        <f t="shared" si="38"/>
        <v>1200</v>
      </c>
      <c r="R111" s="512">
        <f t="shared" si="38"/>
        <v>1200</v>
      </c>
    </row>
    <row r="112" spans="1:18" s="277" customFormat="1" ht="15" customHeight="1">
      <c r="A112" s="500" t="s">
        <v>1322</v>
      </c>
      <c r="B112" s="511">
        <f t="shared" ref="B112:R112" si="39">Noccupants*230</f>
        <v>920</v>
      </c>
      <c r="C112" s="511">
        <f t="shared" si="39"/>
        <v>920</v>
      </c>
      <c r="D112" s="511">
        <f t="shared" si="39"/>
        <v>920</v>
      </c>
      <c r="E112" s="511">
        <f t="shared" si="39"/>
        <v>920</v>
      </c>
      <c r="F112" s="511">
        <f t="shared" si="39"/>
        <v>920</v>
      </c>
      <c r="G112" s="511">
        <f t="shared" si="39"/>
        <v>920</v>
      </c>
      <c r="H112" s="511">
        <f t="shared" si="39"/>
        <v>920</v>
      </c>
      <c r="I112" s="511">
        <f t="shared" si="39"/>
        <v>920</v>
      </c>
      <c r="J112" s="511">
        <f t="shared" si="39"/>
        <v>920</v>
      </c>
      <c r="K112" s="511">
        <f t="shared" si="39"/>
        <v>920</v>
      </c>
      <c r="L112" s="511">
        <f t="shared" si="39"/>
        <v>920</v>
      </c>
      <c r="M112" s="511">
        <f t="shared" si="39"/>
        <v>920</v>
      </c>
      <c r="N112" s="511">
        <f t="shared" si="39"/>
        <v>920</v>
      </c>
      <c r="O112" s="511">
        <f t="shared" si="39"/>
        <v>920</v>
      </c>
      <c r="P112" s="511">
        <f t="shared" si="39"/>
        <v>920</v>
      </c>
      <c r="Q112" s="511">
        <f t="shared" si="39"/>
        <v>920</v>
      </c>
      <c r="R112" s="512">
        <f t="shared" si="39"/>
        <v>920</v>
      </c>
    </row>
    <row r="113" spans="1:18" ht="15" customHeight="1">
      <c r="A113" s="501" t="s">
        <v>1299</v>
      </c>
      <c r="B113" s="513">
        <v>1200</v>
      </c>
      <c r="C113" s="513">
        <v>1200</v>
      </c>
      <c r="D113" s="513">
        <v>1200</v>
      </c>
      <c r="E113" s="513">
        <v>1200</v>
      </c>
      <c r="F113" s="513">
        <v>1200</v>
      </c>
      <c r="G113" s="513">
        <v>1200</v>
      </c>
      <c r="H113" s="513">
        <v>1200</v>
      </c>
      <c r="I113" s="513">
        <v>1200</v>
      </c>
      <c r="J113" s="513">
        <v>1200</v>
      </c>
      <c r="K113" s="513">
        <v>1200</v>
      </c>
      <c r="L113" s="513">
        <v>1200</v>
      </c>
      <c r="M113" s="513">
        <v>1200</v>
      </c>
      <c r="N113" s="513">
        <v>1200</v>
      </c>
      <c r="O113" s="513">
        <v>1200</v>
      </c>
      <c r="P113" s="513">
        <v>1200</v>
      </c>
      <c r="Q113" s="513">
        <v>1200</v>
      </c>
      <c r="R113" s="514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499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0"/>
      <c r="B116" s="508"/>
      <c r="C116" s="508"/>
      <c r="D116" s="508"/>
      <c r="E116" s="508"/>
      <c r="F116" s="508"/>
      <c r="G116" s="508"/>
      <c r="H116" s="508"/>
      <c r="I116" s="508"/>
      <c r="J116" s="508"/>
      <c r="K116" s="508"/>
      <c r="L116" s="508"/>
      <c r="M116" s="508"/>
      <c r="N116" s="508"/>
      <c r="O116" s="508"/>
      <c r="P116" s="508"/>
      <c r="Q116" s="508"/>
      <c r="R116" s="282"/>
    </row>
    <row r="117" spans="1:18" s="277" customFormat="1" ht="15" customHeight="1">
      <c r="A117" s="500" t="s">
        <v>1330</v>
      </c>
      <c r="B117" s="515">
        <f>SUM(B48,B80,IF(Inputs!$C$110=1,B81, B82),B103:B107,B111:B113)</f>
        <v>22674.442596971989</v>
      </c>
      <c r="C117" s="515">
        <f>SUM(C48,C80,IF(Inputs!$C$110=1,C81, C82),C103:C107,C111:C113)</f>
        <v>22776.643571904355</v>
      </c>
      <c r="D117" s="515">
        <f>SUM(D48,D80,IF(Inputs!$C$110=1,D81, D82),D103:D107,D111:D113)</f>
        <v>26884.067126521106</v>
      </c>
      <c r="E117" s="515">
        <f>SUM(E48,E80,IF(Inputs!$C$110=1,E81, E82),E103:E107,E111:E113)</f>
        <v>22347.294458710596</v>
      </c>
      <c r="F117" s="515">
        <f>SUM(F48,F80,IF(Inputs!$C$110=1,F81, F82),F103:F107,F111:F113)</f>
        <v>22564.963657687425</v>
      </c>
      <c r="G117" s="515">
        <f>SUM(G48,G80,IF(Inputs!$C$110=1,G81, G82),G103:G107,G111:G113)</f>
        <v>15847.154783977638</v>
      </c>
      <c r="H117" s="515">
        <f>SUM(H48,H80,IF(Inputs!$C$110=1,H81, H82),H103:H107,H111:H113)</f>
        <v>20392.501991990717</v>
      </c>
      <c r="I117" s="515">
        <f>SUM(I48,I80,IF(Inputs!$C$110=1,I81, I82),I103:I107,I111:I113)</f>
        <v>20634.100761251808</v>
      </c>
      <c r="J117" s="515">
        <f>SUM(J48,J80,IF(Inputs!$C$110=1,J81, J82),J103:J107,J111:J113)</f>
        <v>18545.000327358044</v>
      </c>
      <c r="K117" s="515">
        <f>SUM(K48,K80,IF(Inputs!$C$110=1,K81, K82),K103:K107,K111:K113)</f>
        <v>20393.435261278297</v>
      </c>
      <c r="L117" s="515">
        <f>SUM(L48,L80,IF(Inputs!$C$110=1,L81, L82),L103:L107,L111:L113)</f>
        <v>20639.264669786135</v>
      </c>
      <c r="M117" s="515">
        <f>SUM(M48,M80,IF(Inputs!$C$110=1,M81, M82),M103:M107,M111:M113)</f>
        <v>18126.233737320374</v>
      </c>
      <c r="N117" s="515">
        <f>SUM(N48,N80,IF(Inputs!$C$110=1,N81, N82),N103:N107,N111:N113)</f>
        <v>18395.805052567146</v>
      </c>
      <c r="O117" s="515">
        <f>SUM(O48,O80,IF(Inputs!$C$110=1,O81, O82),O103:O107,O111:O113)</f>
        <v>17118.878107429537</v>
      </c>
      <c r="P117" s="515">
        <f>SUM(P48,P80,IF(Inputs!$C$110=1,P81, P82),P103:P107,P111:P113)</f>
        <v>15780.06271392608</v>
      </c>
      <c r="Q117" s="515">
        <f>SUM(Q48,Q80,IF(Inputs!$C$110=1,Q81, Q82),Q103:Q107,Q111:Q113)</f>
        <v>22383.063259040493</v>
      </c>
      <c r="R117" s="516">
        <f>SUM(R48,R80,IF(Inputs!$C$110=1,R81, R82),R103:R107,R111:R113)</f>
        <v>21956.79293220555</v>
      </c>
    </row>
    <row r="118" spans="1:18" s="277" customFormat="1" ht="15" customHeight="1">
      <c r="A118" s="500" t="s">
        <v>1331</v>
      </c>
      <c r="B118" s="515">
        <f>SUM(B34,B43)</f>
        <v>15246.053608376895</v>
      </c>
      <c r="C118" s="515">
        <f t="shared" ref="C118:R118" si="40">SUM(C34,C43)</f>
        <v>24613.69425133332</v>
      </c>
      <c r="D118" s="515">
        <f t="shared" si="40"/>
        <v>23316.897846119664</v>
      </c>
      <c r="E118" s="515">
        <f t="shared" si="40"/>
        <v>26906.083390682736</v>
      </c>
      <c r="F118" s="515">
        <f t="shared" si="40"/>
        <v>23799.018731994634</v>
      </c>
      <c r="G118" s="515">
        <f t="shared" si="40"/>
        <v>16542.87310252243</v>
      </c>
      <c r="H118" s="515">
        <f t="shared" si="40"/>
        <v>28761.847942653247</v>
      </c>
      <c r="I118" s="515">
        <f t="shared" si="40"/>
        <v>27241.173673449965</v>
      </c>
      <c r="J118" s="515">
        <f t="shared" si="40"/>
        <v>21148.609053674423</v>
      </c>
      <c r="K118" s="515">
        <f t="shared" si="40"/>
        <v>31513.341698496795</v>
      </c>
      <c r="L118" s="515">
        <f t="shared" si="40"/>
        <v>27016.584396280879</v>
      </c>
      <c r="M118" s="515">
        <f t="shared" si="40"/>
        <v>33659.641942942006</v>
      </c>
      <c r="N118" s="515">
        <f t="shared" si="40"/>
        <v>37589.797584267828</v>
      </c>
      <c r="O118" s="515">
        <f t="shared" si="40"/>
        <v>36274.67453437997</v>
      </c>
      <c r="P118" s="515">
        <f t="shared" si="40"/>
        <v>49398.254016628867</v>
      </c>
      <c r="Q118" s="515">
        <f t="shared" si="40"/>
        <v>20731.662315463833</v>
      </c>
      <c r="R118" s="516">
        <f t="shared" si="40"/>
        <v>21735.001718331459</v>
      </c>
    </row>
    <row r="119" spans="1:18" s="277" customFormat="1" ht="15" customHeight="1">
      <c r="A119" s="500"/>
      <c r="B119" s="507"/>
      <c r="C119" s="507"/>
      <c r="D119" s="507"/>
      <c r="E119" s="507"/>
      <c r="F119" s="507"/>
      <c r="G119" s="507"/>
      <c r="H119" s="507"/>
      <c r="I119" s="507"/>
      <c r="J119" s="507"/>
      <c r="K119" s="507"/>
      <c r="L119" s="507"/>
      <c r="M119" s="507"/>
      <c r="N119" s="507"/>
      <c r="O119" s="507"/>
      <c r="P119" s="507"/>
      <c r="Q119" s="507"/>
      <c r="R119" s="178"/>
    </row>
    <row r="120" spans="1:18" s="277" customFormat="1" ht="15" customHeight="1">
      <c r="A120" s="500" t="s">
        <v>1332</v>
      </c>
      <c r="B120" s="507">
        <f t="shared" ref="B120:R120" si="41">SUM(B49,B112)</f>
        <v>4009.9524829392094</v>
      </c>
      <c r="C120" s="507">
        <f t="shared" si="41"/>
        <v>3567.5993357725997</v>
      </c>
      <c r="D120" s="507">
        <f t="shared" si="41"/>
        <v>920</v>
      </c>
      <c r="E120" s="507">
        <f t="shared" si="41"/>
        <v>3002.8094943540491</v>
      </c>
      <c r="F120" s="507">
        <f t="shared" si="41"/>
        <v>920</v>
      </c>
      <c r="G120" s="507">
        <f t="shared" si="41"/>
        <v>920</v>
      </c>
      <c r="H120" s="507">
        <f t="shared" si="41"/>
        <v>3126.5946526511348</v>
      </c>
      <c r="I120" s="507">
        <f t="shared" si="41"/>
        <v>920</v>
      </c>
      <c r="J120" s="507">
        <f t="shared" si="41"/>
        <v>920</v>
      </c>
      <c r="K120" s="507">
        <f t="shared" si="41"/>
        <v>2370.8772516253239</v>
      </c>
      <c r="L120" s="507">
        <f t="shared" si="41"/>
        <v>920</v>
      </c>
      <c r="M120" s="507">
        <f t="shared" si="41"/>
        <v>1866.011993311166</v>
      </c>
      <c r="N120" s="507">
        <f t="shared" si="41"/>
        <v>920</v>
      </c>
      <c r="O120" s="507">
        <f t="shared" si="41"/>
        <v>1549.2377734725987</v>
      </c>
      <c r="P120" s="507">
        <f t="shared" si="41"/>
        <v>920</v>
      </c>
      <c r="Q120" s="507">
        <f t="shared" si="41"/>
        <v>3255.5116531717499</v>
      </c>
      <c r="R120" s="178">
        <f t="shared" si="41"/>
        <v>4141.2633058088104</v>
      </c>
    </row>
    <row r="121" spans="1:18" s="277" customFormat="1" ht="15" customHeight="1">
      <c r="A121" s="500" t="s">
        <v>1323</v>
      </c>
      <c r="B121" s="507">
        <f>B117/SUM(B117,B120)</f>
        <v>0.84972668591771749</v>
      </c>
      <c r="C121" s="507">
        <f t="shared" ref="C121:R121" si="42">C117/SUM(C117,C120)</f>
        <v>0.86457764801686643</v>
      </c>
      <c r="D121" s="507">
        <f t="shared" si="42"/>
        <v>0.96691131567861699</v>
      </c>
      <c r="E121" s="507">
        <f t="shared" si="42"/>
        <v>0.8815464622979966</v>
      </c>
      <c r="F121" s="507">
        <f t="shared" si="42"/>
        <v>0.96082599856615691</v>
      </c>
      <c r="G121" s="507">
        <f t="shared" si="42"/>
        <v>0.94513082202359489</v>
      </c>
      <c r="H121" s="507">
        <f t="shared" si="42"/>
        <v>0.86706144798450668</v>
      </c>
      <c r="I121" s="507">
        <f t="shared" si="42"/>
        <v>0.9573167069138927</v>
      </c>
      <c r="J121" s="507">
        <f t="shared" si="42"/>
        <v>0.95273568021948907</v>
      </c>
      <c r="K121" s="507">
        <f t="shared" si="42"/>
        <v>0.89585113759612001</v>
      </c>
      <c r="L121" s="507">
        <f t="shared" si="42"/>
        <v>0.95732693048249839</v>
      </c>
      <c r="M121" s="507">
        <f t="shared" si="42"/>
        <v>0.90666321240479164</v>
      </c>
      <c r="N121" s="507">
        <f t="shared" si="42"/>
        <v>0.95237061062190997</v>
      </c>
      <c r="O121" s="507">
        <f t="shared" si="42"/>
        <v>0.91701156220818725</v>
      </c>
      <c r="P121" s="507">
        <f t="shared" si="42"/>
        <v>0.94491038652011661</v>
      </c>
      <c r="Q121" s="507">
        <f t="shared" si="42"/>
        <v>0.87302290925611958</v>
      </c>
      <c r="R121" s="178">
        <f t="shared" si="42"/>
        <v>0.84131909027858343</v>
      </c>
    </row>
    <row r="122" spans="1:18" s="277" customFormat="1" ht="15" customHeight="1">
      <c r="A122" s="500"/>
      <c r="B122" s="507"/>
      <c r="C122" s="507"/>
      <c r="D122" s="507"/>
      <c r="E122" s="507"/>
      <c r="F122" s="507"/>
      <c r="G122" s="507"/>
      <c r="H122" s="507"/>
      <c r="I122" s="507"/>
      <c r="J122" s="507"/>
      <c r="K122" s="507"/>
      <c r="L122" s="507"/>
      <c r="M122" s="507"/>
      <c r="N122" s="507"/>
      <c r="O122" s="507"/>
      <c r="P122" s="507"/>
      <c r="Q122" s="507"/>
      <c r="R122" s="507"/>
    </row>
    <row r="123" spans="1:18" s="277" customFormat="1" ht="15" customHeight="1">
      <c r="A123" s="500" t="s">
        <v>1333</v>
      </c>
      <c r="B123" s="519">
        <f>SUM(B117,B120)</f>
        <v>26684.395079911199</v>
      </c>
      <c r="C123" s="520">
        <f t="shared" ref="C123:R123" si="43">SUM(C117,C120)</f>
        <v>26344.242907676955</v>
      </c>
      <c r="D123" s="520">
        <f t="shared" si="43"/>
        <v>27804.067126521106</v>
      </c>
      <c r="E123" s="520">
        <f t="shared" si="43"/>
        <v>25350.103953064645</v>
      </c>
      <c r="F123" s="520">
        <f t="shared" si="43"/>
        <v>23484.963657687425</v>
      </c>
      <c r="G123" s="520">
        <f t="shared" si="43"/>
        <v>16767.154783977639</v>
      </c>
      <c r="H123" s="520">
        <f t="shared" si="43"/>
        <v>23519.096644641853</v>
      </c>
      <c r="I123" s="520">
        <f t="shared" si="43"/>
        <v>21554.100761251808</v>
      </c>
      <c r="J123" s="520">
        <f t="shared" si="43"/>
        <v>19465.000327358044</v>
      </c>
      <c r="K123" s="520">
        <f t="shared" si="43"/>
        <v>22764.31251290362</v>
      </c>
      <c r="L123" s="520">
        <f t="shared" si="43"/>
        <v>21559.264669786135</v>
      </c>
      <c r="M123" s="520">
        <f t="shared" si="43"/>
        <v>19992.245730631541</v>
      </c>
      <c r="N123" s="520">
        <f t="shared" si="43"/>
        <v>19315.805052567146</v>
      </c>
      <c r="O123" s="520">
        <f t="shared" si="43"/>
        <v>18668.115880902136</v>
      </c>
      <c r="P123" s="520">
        <f t="shared" si="43"/>
        <v>16700.06271392608</v>
      </c>
      <c r="Q123" s="520">
        <f t="shared" si="43"/>
        <v>25638.574912212243</v>
      </c>
      <c r="R123" s="521">
        <f t="shared" si="43"/>
        <v>26098.05623801436</v>
      </c>
    </row>
    <row r="124" spans="1:18" s="277" customFormat="1" ht="15" customHeight="1">
      <c r="A124" s="501" t="s">
        <v>1334</v>
      </c>
      <c r="B124" s="522">
        <f>B118</f>
        <v>15246.053608376895</v>
      </c>
      <c r="C124" s="517">
        <f t="shared" ref="C124:R124" si="44">C118</f>
        <v>24613.69425133332</v>
      </c>
      <c r="D124" s="517">
        <f t="shared" si="44"/>
        <v>23316.897846119664</v>
      </c>
      <c r="E124" s="517">
        <f t="shared" si="44"/>
        <v>26906.083390682736</v>
      </c>
      <c r="F124" s="517">
        <f t="shared" si="44"/>
        <v>23799.018731994634</v>
      </c>
      <c r="G124" s="517">
        <f t="shared" si="44"/>
        <v>16542.87310252243</v>
      </c>
      <c r="H124" s="517">
        <f t="shared" si="44"/>
        <v>28761.847942653247</v>
      </c>
      <c r="I124" s="517">
        <f t="shared" si="44"/>
        <v>27241.173673449965</v>
      </c>
      <c r="J124" s="517">
        <f t="shared" si="44"/>
        <v>21148.609053674423</v>
      </c>
      <c r="K124" s="517">
        <f t="shared" si="44"/>
        <v>31513.341698496795</v>
      </c>
      <c r="L124" s="517">
        <f t="shared" si="44"/>
        <v>27016.584396280879</v>
      </c>
      <c r="M124" s="517">
        <f t="shared" si="44"/>
        <v>33659.641942942006</v>
      </c>
      <c r="N124" s="517">
        <f t="shared" si="44"/>
        <v>37589.797584267828</v>
      </c>
      <c r="O124" s="517">
        <f t="shared" si="44"/>
        <v>36274.67453437997</v>
      </c>
      <c r="P124" s="517">
        <f t="shared" si="44"/>
        <v>49398.254016628867</v>
      </c>
      <c r="Q124" s="517">
        <f t="shared" si="44"/>
        <v>20731.662315463833</v>
      </c>
      <c r="R124" s="518">
        <f t="shared" si="44"/>
        <v>21735.001718331459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499" t="s">
        <v>1346</v>
      </c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6"/>
    </row>
    <row r="128" spans="1:18" s="277" customFormat="1" ht="15" customHeight="1">
      <c r="A128" s="524" t="s">
        <v>1348</v>
      </c>
      <c r="B128" s="507">
        <f t="shared" ref="B128:R128" si="45">CEILING((B123/12000), 0.5)</f>
        <v>2.5</v>
      </c>
      <c r="C128" s="507">
        <f t="shared" si="45"/>
        <v>2.5</v>
      </c>
      <c r="D128" s="507">
        <f t="shared" si="45"/>
        <v>2.5</v>
      </c>
      <c r="E128" s="507">
        <f t="shared" si="45"/>
        <v>2.5</v>
      </c>
      <c r="F128" s="507">
        <f t="shared" si="45"/>
        <v>2</v>
      </c>
      <c r="G128" s="507">
        <f t="shared" si="45"/>
        <v>1.5</v>
      </c>
      <c r="H128" s="507">
        <f t="shared" si="45"/>
        <v>2</v>
      </c>
      <c r="I128" s="507">
        <f t="shared" si="45"/>
        <v>2</v>
      </c>
      <c r="J128" s="507">
        <f t="shared" si="45"/>
        <v>2</v>
      </c>
      <c r="K128" s="507">
        <f t="shared" si="45"/>
        <v>2</v>
      </c>
      <c r="L128" s="507">
        <f t="shared" si="45"/>
        <v>2</v>
      </c>
      <c r="M128" s="507">
        <f t="shared" si="45"/>
        <v>2</v>
      </c>
      <c r="N128" s="507">
        <f t="shared" si="45"/>
        <v>2</v>
      </c>
      <c r="O128" s="507">
        <f t="shared" si="45"/>
        <v>2</v>
      </c>
      <c r="P128" s="507">
        <f t="shared" si="45"/>
        <v>1.5</v>
      </c>
      <c r="Q128" s="507">
        <f t="shared" si="45"/>
        <v>2.5</v>
      </c>
      <c r="R128" s="178">
        <f t="shared" si="45"/>
        <v>2.5</v>
      </c>
    </row>
    <row r="129" spans="1:19" s="277" customFormat="1" ht="15" customHeight="1">
      <c r="A129" s="524" t="s">
        <v>1349</v>
      </c>
      <c r="B129" s="507">
        <f t="shared" ref="B129:R129" si="46">CEILING((B124/12000),0.5)</f>
        <v>1.5</v>
      </c>
      <c r="C129" s="507">
        <f t="shared" si="46"/>
        <v>2.5</v>
      </c>
      <c r="D129" s="507">
        <f t="shared" si="46"/>
        <v>2</v>
      </c>
      <c r="E129" s="507">
        <f t="shared" si="46"/>
        <v>2.5</v>
      </c>
      <c r="F129" s="507">
        <f t="shared" si="46"/>
        <v>2</v>
      </c>
      <c r="G129" s="507">
        <f t="shared" si="46"/>
        <v>1.5</v>
      </c>
      <c r="H129" s="507">
        <f t="shared" si="46"/>
        <v>2.5</v>
      </c>
      <c r="I129" s="507">
        <f t="shared" si="46"/>
        <v>2.5</v>
      </c>
      <c r="J129" s="507">
        <f t="shared" si="46"/>
        <v>2</v>
      </c>
      <c r="K129" s="507">
        <f t="shared" si="46"/>
        <v>3</v>
      </c>
      <c r="L129" s="507">
        <f t="shared" si="46"/>
        <v>2.5</v>
      </c>
      <c r="M129" s="507">
        <f t="shared" si="46"/>
        <v>3</v>
      </c>
      <c r="N129" s="507">
        <f t="shared" si="46"/>
        <v>3.5</v>
      </c>
      <c r="O129" s="507">
        <f t="shared" si="46"/>
        <v>3.5</v>
      </c>
      <c r="P129" s="507">
        <f t="shared" si="46"/>
        <v>4.5</v>
      </c>
      <c r="Q129" s="507">
        <f t="shared" si="46"/>
        <v>2</v>
      </c>
      <c r="R129" s="178">
        <f t="shared" si="46"/>
        <v>2</v>
      </c>
    </row>
    <row r="130" spans="1:19" s="277" customFormat="1" ht="15" customHeight="1">
      <c r="A130" s="500" t="s">
        <v>1350</v>
      </c>
      <c r="B130" s="507">
        <f t="shared" ref="B130:R130" si="47">400*B128</f>
        <v>1000</v>
      </c>
      <c r="C130" s="507">
        <f t="shared" si="47"/>
        <v>1000</v>
      </c>
      <c r="D130" s="507">
        <f t="shared" si="47"/>
        <v>1000</v>
      </c>
      <c r="E130" s="507">
        <f t="shared" si="47"/>
        <v>1000</v>
      </c>
      <c r="F130" s="507">
        <f t="shared" si="47"/>
        <v>800</v>
      </c>
      <c r="G130" s="507">
        <f t="shared" si="47"/>
        <v>600</v>
      </c>
      <c r="H130" s="507">
        <f t="shared" si="47"/>
        <v>800</v>
      </c>
      <c r="I130" s="507">
        <f t="shared" si="47"/>
        <v>800</v>
      </c>
      <c r="J130" s="507">
        <f t="shared" si="47"/>
        <v>800</v>
      </c>
      <c r="K130" s="507">
        <f t="shared" si="47"/>
        <v>800</v>
      </c>
      <c r="L130" s="507">
        <f t="shared" si="47"/>
        <v>800</v>
      </c>
      <c r="M130" s="507">
        <f t="shared" si="47"/>
        <v>800</v>
      </c>
      <c r="N130" s="507">
        <f t="shared" si="47"/>
        <v>800</v>
      </c>
      <c r="O130" s="507">
        <f t="shared" si="47"/>
        <v>800</v>
      </c>
      <c r="P130" s="507">
        <f t="shared" si="47"/>
        <v>600</v>
      </c>
      <c r="Q130" s="507">
        <f t="shared" si="47"/>
        <v>1000</v>
      </c>
      <c r="R130" s="178">
        <f t="shared" si="47"/>
        <v>1000</v>
      </c>
      <c r="S130" s="277" t="s">
        <v>1324</v>
      </c>
    </row>
    <row r="131" spans="1:19" s="277" customFormat="1" ht="15" customHeight="1">
      <c r="A131" s="500" t="s">
        <v>1351</v>
      </c>
      <c r="B131" s="507">
        <f t="shared" ref="B131:R131" si="48">B129*12000/1000*16.8</f>
        <v>302.40000000000003</v>
      </c>
      <c r="C131" s="507">
        <f t="shared" si="48"/>
        <v>504</v>
      </c>
      <c r="D131" s="507">
        <f t="shared" si="48"/>
        <v>403.20000000000005</v>
      </c>
      <c r="E131" s="507">
        <f t="shared" si="48"/>
        <v>504</v>
      </c>
      <c r="F131" s="507">
        <f t="shared" si="48"/>
        <v>403.20000000000005</v>
      </c>
      <c r="G131" s="507">
        <f t="shared" si="48"/>
        <v>302.40000000000003</v>
      </c>
      <c r="H131" s="507">
        <f t="shared" si="48"/>
        <v>504</v>
      </c>
      <c r="I131" s="507">
        <f t="shared" si="48"/>
        <v>504</v>
      </c>
      <c r="J131" s="507">
        <f t="shared" si="48"/>
        <v>403.20000000000005</v>
      </c>
      <c r="K131" s="507">
        <f t="shared" si="48"/>
        <v>604.80000000000007</v>
      </c>
      <c r="L131" s="507">
        <f t="shared" si="48"/>
        <v>504</v>
      </c>
      <c r="M131" s="507">
        <f t="shared" si="48"/>
        <v>604.80000000000007</v>
      </c>
      <c r="N131" s="507">
        <f t="shared" si="48"/>
        <v>705.6</v>
      </c>
      <c r="O131" s="507">
        <f t="shared" si="48"/>
        <v>705.6</v>
      </c>
      <c r="P131" s="507">
        <f t="shared" si="48"/>
        <v>907.2</v>
      </c>
      <c r="Q131" s="507">
        <f t="shared" si="48"/>
        <v>403.20000000000005</v>
      </c>
      <c r="R131" s="178">
        <f t="shared" si="48"/>
        <v>403.20000000000005</v>
      </c>
      <c r="S131" s="277" t="s">
        <v>1325</v>
      </c>
    </row>
    <row r="132" spans="1:19" s="277" customFormat="1" ht="15" customHeight="1">
      <c r="A132" s="500" t="s">
        <v>1326</v>
      </c>
      <c r="B132" s="507">
        <f>IF(B131/B130&lt;0.5,0.5*B130/B131,IF(B131/B130&gt;1.5,1.5*B130/B131,1))</f>
        <v>1.6534391534391533</v>
      </c>
      <c r="C132" s="507">
        <f t="shared" ref="C132:R132" si="49">IF(C131/C130&lt;0.5,0.5*C130/C131,IF(C131/C130&gt;1.5,1.5*C130/C131,1))</f>
        <v>1</v>
      </c>
      <c r="D132" s="507">
        <f t="shared" si="49"/>
        <v>1.2400793650793649</v>
      </c>
      <c r="E132" s="507">
        <f t="shared" si="49"/>
        <v>1</v>
      </c>
      <c r="F132" s="507">
        <f t="shared" si="49"/>
        <v>1</v>
      </c>
      <c r="G132" s="507">
        <f t="shared" si="49"/>
        <v>1</v>
      </c>
      <c r="H132" s="507">
        <f t="shared" si="49"/>
        <v>1</v>
      </c>
      <c r="I132" s="507">
        <f t="shared" si="49"/>
        <v>1</v>
      </c>
      <c r="J132" s="507">
        <f t="shared" si="49"/>
        <v>1</v>
      </c>
      <c r="K132" s="507">
        <f t="shared" si="49"/>
        <v>1</v>
      </c>
      <c r="L132" s="507">
        <f t="shared" si="49"/>
        <v>1</v>
      </c>
      <c r="M132" s="507">
        <f t="shared" si="49"/>
        <v>1</v>
      </c>
      <c r="N132" s="507">
        <f t="shared" si="49"/>
        <v>1</v>
      </c>
      <c r="O132" s="507">
        <f t="shared" si="49"/>
        <v>1</v>
      </c>
      <c r="P132" s="507">
        <f t="shared" si="49"/>
        <v>0.99206349206349198</v>
      </c>
      <c r="Q132" s="507">
        <f t="shared" si="49"/>
        <v>1.2400793650793649</v>
      </c>
      <c r="R132" s="178">
        <f t="shared" si="49"/>
        <v>1.2400793650793649</v>
      </c>
    </row>
    <row r="133" spans="1:19" s="277" customFormat="1" ht="15" customHeight="1">
      <c r="A133" s="500" t="s">
        <v>1352</v>
      </c>
      <c r="B133" s="507">
        <f t="shared" ref="B133:R133" si="50">CEILING(IF(B130&gt;B131,B128,B128*B132), 0.5)</f>
        <v>2.5</v>
      </c>
      <c r="C133" s="507">
        <f t="shared" si="50"/>
        <v>2.5</v>
      </c>
      <c r="D133" s="507">
        <f t="shared" si="50"/>
        <v>2.5</v>
      </c>
      <c r="E133" s="507">
        <f t="shared" si="50"/>
        <v>2.5</v>
      </c>
      <c r="F133" s="507">
        <f t="shared" si="50"/>
        <v>2</v>
      </c>
      <c r="G133" s="507">
        <f t="shared" si="50"/>
        <v>1.5</v>
      </c>
      <c r="H133" s="507">
        <f t="shared" si="50"/>
        <v>2</v>
      </c>
      <c r="I133" s="507">
        <f t="shared" si="50"/>
        <v>2</v>
      </c>
      <c r="J133" s="507">
        <f t="shared" si="50"/>
        <v>2</v>
      </c>
      <c r="K133" s="507">
        <f t="shared" si="50"/>
        <v>2</v>
      </c>
      <c r="L133" s="507">
        <f t="shared" si="50"/>
        <v>2</v>
      </c>
      <c r="M133" s="507">
        <f t="shared" si="50"/>
        <v>2</v>
      </c>
      <c r="N133" s="507">
        <f t="shared" si="50"/>
        <v>2</v>
      </c>
      <c r="O133" s="507">
        <f t="shared" si="50"/>
        <v>2</v>
      </c>
      <c r="P133" s="507">
        <f t="shared" si="50"/>
        <v>1.5</v>
      </c>
      <c r="Q133" s="507">
        <f t="shared" si="50"/>
        <v>2.5</v>
      </c>
      <c r="R133" s="178">
        <f t="shared" si="50"/>
        <v>2.5</v>
      </c>
    </row>
    <row r="134" spans="1:19" s="277" customFormat="1" ht="15" customHeight="1">
      <c r="A134" s="500" t="s">
        <v>1342</v>
      </c>
      <c r="B134" s="507">
        <f>400*B133</f>
        <v>1000</v>
      </c>
      <c r="C134" s="507">
        <f t="shared" ref="C134:R134" si="51">400*C133</f>
        <v>1000</v>
      </c>
      <c r="D134" s="507">
        <f t="shared" si="51"/>
        <v>1000</v>
      </c>
      <c r="E134" s="507">
        <f t="shared" si="51"/>
        <v>1000</v>
      </c>
      <c r="F134" s="507">
        <f t="shared" si="51"/>
        <v>800</v>
      </c>
      <c r="G134" s="507">
        <f t="shared" si="51"/>
        <v>600</v>
      </c>
      <c r="H134" s="507">
        <f t="shared" si="51"/>
        <v>800</v>
      </c>
      <c r="I134" s="507">
        <f t="shared" si="51"/>
        <v>800</v>
      </c>
      <c r="J134" s="507">
        <f t="shared" si="51"/>
        <v>800</v>
      </c>
      <c r="K134" s="507">
        <f t="shared" si="51"/>
        <v>800</v>
      </c>
      <c r="L134" s="507">
        <f t="shared" si="51"/>
        <v>800</v>
      </c>
      <c r="M134" s="507">
        <f t="shared" si="51"/>
        <v>800</v>
      </c>
      <c r="N134" s="507">
        <f t="shared" si="51"/>
        <v>800</v>
      </c>
      <c r="O134" s="507">
        <f t="shared" si="51"/>
        <v>800</v>
      </c>
      <c r="P134" s="507">
        <f t="shared" si="51"/>
        <v>600</v>
      </c>
      <c r="Q134" s="507">
        <f t="shared" si="51"/>
        <v>1000</v>
      </c>
      <c r="R134" s="178">
        <f t="shared" si="51"/>
        <v>1000</v>
      </c>
    </row>
    <row r="135" spans="1:19" s="277" customFormat="1" ht="15" customHeight="1">
      <c r="A135" s="500" t="s">
        <v>1343</v>
      </c>
      <c r="B135" s="507">
        <f>0.000472*B134</f>
        <v>0.47199999999999998</v>
      </c>
      <c r="C135" s="507">
        <f t="shared" ref="C135:R135" si="52">0.000472*C134</f>
        <v>0.47199999999999998</v>
      </c>
      <c r="D135" s="507">
        <f t="shared" si="52"/>
        <v>0.47199999999999998</v>
      </c>
      <c r="E135" s="507">
        <f t="shared" si="52"/>
        <v>0.47199999999999998</v>
      </c>
      <c r="F135" s="507">
        <f t="shared" si="52"/>
        <v>0.37759999999999999</v>
      </c>
      <c r="G135" s="507">
        <f t="shared" si="52"/>
        <v>0.28320000000000001</v>
      </c>
      <c r="H135" s="507">
        <f t="shared" si="52"/>
        <v>0.37759999999999999</v>
      </c>
      <c r="I135" s="507">
        <f t="shared" si="52"/>
        <v>0.37759999999999999</v>
      </c>
      <c r="J135" s="507">
        <f t="shared" si="52"/>
        <v>0.37759999999999999</v>
      </c>
      <c r="K135" s="507">
        <f t="shared" si="52"/>
        <v>0.37759999999999999</v>
      </c>
      <c r="L135" s="507">
        <f t="shared" si="52"/>
        <v>0.37759999999999999</v>
      </c>
      <c r="M135" s="507">
        <f t="shared" si="52"/>
        <v>0.37759999999999999</v>
      </c>
      <c r="N135" s="507">
        <f t="shared" si="52"/>
        <v>0.37759999999999999</v>
      </c>
      <c r="O135" s="507">
        <f t="shared" si="52"/>
        <v>0.37759999999999999</v>
      </c>
      <c r="P135" s="507">
        <f t="shared" si="52"/>
        <v>0.28320000000000001</v>
      </c>
      <c r="Q135" s="507">
        <f t="shared" si="52"/>
        <v>0.47199999999999998</v>
      </c>
      <c r="R135" s="178">
        <f t="shared" si="52"/>
        <v>0.47199999999999998</v>
      </c>
    </row>
    <row r="136" spans="1:19" s="277" customFormat="1" ht="15" customHeight="1">
      <c r="A136" s="500" t="s">
        <v>1340</v>
      </c>
      <c r="B136" s="507">
        <f>B134/2.5</f>
        <v>400</v>
      </c>
      <c r="C136" s="507">
        <f t="shared" ref="C136:R136" si="53">C134/2.5</f>
        <v>400</v>
      </c>
      <c r="D136" s="507">
        <f t="shared" si="53"/>
        <v>400</v>
      </c>
      <c r="E136" s="507">
        <f t="shared" si="53"/>
        <v>400</v>
      </c>
      <c r="F136" s="507">
        <f t="shared" si="53"/>
        <v>320</v>
      </c>
      <c r="G136" s="507">
        <f t="shared" si="53"/>
        <v>240</v>
      </c>
      <c r="H136" s="507">
        <f t="shared" si="53"/>
        <v>320</v>
      </c>
      <c r="I136" s="507">
        <f t="shared" si="53"/>
        <v>320</v>
      </c>
      <c r="J136" s="507">
        <f t="shared" si="53"/>
        <v>320</v>
      </c>
      <c r="K136" s="507">
        <f t="shared" si="53"/>
        <v>320</v>
      </c>
      <c r="L136" s="507">
        <f t="shared" si="53"/>
        <v>320</v>
      </c>
      <c r="M136" s="507">
        <f t="shared" si="53"/>
        <v>320</v>
      </c>
      <c r="N136" s="507">
        <f t="shared" si="53"/>
        <v>320</v>
      </c>
      <c r="O136" s="507">
        <f t="shared" si="53"/>
        <v>320</v>
      </c>
      <c r="P136" s="507">
        <f t="shared" si="53"/>
        <v>240</v>
      </c>
      <c r="Q136" s="507">
        <f t="shared" si="53"/>
        <v>400</v>
      </c>
      <c r="R136" s="178">
        <f t="shared" si="53"/>
        <v>400</v>
      </c>
    </row>
    <row r="137" spans="1:19" s="277" customFormat="1" ht="15" customHeight="1">
      <c r="A137" s="500" t="s">
        <v>1353</v>
      </c>
      <c r="B137" s="507">
        <f t="shared" ref="B137:R137" si="54">CEILING(IF(AND(B131&lt;B130, B132&lt;&gt;1),B129*B132,B129), 0.5)</f>
        <v>2.5</v>
      </c>
      <c r="C137" s="507">
        <f t="shared" si="54"/>
        <v>2.5</v>
      </c>
      <c r="D137" s="507">
        <f t="shared" si="54"/>
        <v>2.5</v>
      </c>
      <c r="E137" s="507">
        <f t="shared" si="54"/>
        <v>2.5</v>
      </c>
      <c r="F137" s="507">
        <f t="shared" si="54"/>
        <v>2</v>
      </c>
      <c r="G137" s="507">
        <f t="shared" si="54"/>
        <v>1.5</v>
      </c>
      <c r="H137" s="507">
        <f t="shared" si="54"/>
        <v>2.5</v>
      </c>
      <c r="I137" s="507">
        <f t="shared" si="54"/>
        <v>2.5</v>
      </c>
      <c r="J137" s="507">
        <f t="shared" si="54"/>
        <v>2</v>
      </c>
      <c r="K137" s="507">
        <f t="shared" si="54"/>
        <v>3</v>
      </c>
      <c r="L137" s="507">
        <f t="shared" si="54"/>
        <v>2.5</v>
      </c>
      <c r="M137" s="507">
        <f t="shared" si="54"/>
        <v>3</v>
      </c>
      <c r="N137" s="507">
        <f t="shared" si="54"/>
        <v>3.5</v>
      </c>
      <c r="O137" s="507">
        <f t="shared" si="54"/>
        <v>3.5</v>
      </c>
      <c r="P137" s="507">
        <f t="shared" si="54"/>
        <v>4.5</v>
      </c>
      <c r="Q137" s="507">
        <f t="shared" si="54"/>
        <v>2.5</v>
      </c>
      <c r="R137" s="178">
        <f t="shared" si="54"/>
        <v>2.5</v>
      </c>
    </row>
    <row r="138" spans="1:19" s="277" customFormat="1" ht="15" customHeight="1">
      <c r="A138" s="500" t="s">
        <v>1344</v>
      </c>
      <c r="B138" s="507">
        <f>16.8*B137*12000/1000</f>
        <v>504</v>
      </c>
      <c r="C138" s="507">
        <f t="shared" ref="C138:R138" si="55">16.8*C137*12000/1000</f>
        <v>504</v>
      </c>
      <c r="D138" s="507">
        <f t="shared" si="55"/>
        <v>504</v>
      </c>
      <c r="E138" s="507">
        <f t="shared" si="55"/>
        <v>504</v>
      </c>
      <c r="F138" s="507">
        <f t="shared" si="55"/>
        <v>403.2</v>
      </c>
      <c r="G138" s="507">
        <f t="shared" si="55"/>
        <v>302.40000000000003</v>
      </c>
      <c r="H138" s="507">
        <f t="shared" si="55"/>
        <v>504</v>
      </c>
      <c r="I138" s="507">
        <f t="shared" si="55"/>
        <v>504</v>
      </c>
      <c r="J138" s="507">
        <f t="shared" si="55"/>
        <v>403.2</v>
      </c>
      <c r="K138" s="507">
        <f t="shared" si="55"/>
        <v>604.80000000000007</v>
      </c>
      <c r="L138" s="507">
        <f t="shared" si="55"/>
        <v>504</v>
      </c>
      <c r="M138" s="507">
        <f t="shared" si="55"/>
        <v>604.80000000000007</v>
      </c>
      <c r="N138" s="507">
        <f t="shared" si="55"/>
        <v>705.6</v>
      </c>
      <c r="O138" s="507">
        <f t="shared" si="55"/>
        <v>705.6</v>
      </c>
      <c r="P138" s="507">
        <f t="shared" si="55"/>
        <v>907.20000000000016</v>
      </c>
      <c r="Q138" s="507">
        <f t="shared" si="55"/>
        <v>504</v>
      </c>
      <c r="R138" s="178">
        <f t="shared" si="55"/>
        <v>504</v>
      </c>
    </row>
    <row r="139" spans="1:19" s="277" customFormat="1" ht="15" customHeight="1">
      <c r="A139" s="500" t="s">
        <v>1345</v>
      </c>
      <c r="B139" s="507">
        <f>0.000472*B138</f>
        <v>0.23788799999999999</v>
      </c>
      <c r="C139" s="507">
        <f t="shared" ref="C139:R139" si="56">0.000472*C138</f>
        <v>0.23788799999999999</v>
      </c>
      <c r="D139" s="507">
        <f t="shared" si="56"/>
        <v>0.23788799999999999</v>
      </c>
      <c r="E139" s="507">
        <f t="shared" si="56"/>
        <v>0.23788799999999999</v>
      </c>
      <c r="F139" s="507">
        <f t="shared" si="56"/>
        <v>0.19031039999999999</v>
      </c>
      <c r="G139" s="507">
        <f t="shared" si="56"/>
        <v>0.14273280000000002</v>
      </c>
      <c r="H139" s="507">
        <f t="shared" si="56"/>
        <v>0.23788799999999999</v>
      </c>
      <c r="I139" s="507">
        <f t="shared" si="56"/>
        <v>0.23788799999999999</v>
      </c>
      <c r="J139" s="507">
        <f t="shared" si="56"/>
        <v>0.19031039999999999</v>
      </c>
      <c r="K139" s="507">
        <f t="shared" si="56"/>
        <v>0.28546560000000004</v>
      </c>
      <c r="L139" s="507">
        <f t="shared" si="56"/>
        <v>0.23788799999999999</v>
      </c>
      <c r="M139" s="507">
        <f t="shared" si="56"/>
        <v>0.28546560000000004</v>
      </c>
      <c r="N139" s="507">
        <f t="shared" si="56"/>
        <v>0.33304319999999998</v>
      </c>
      <c r="O139" s="507">
        <f t="shared" si="56"/>
        <v>0.33304319999999998</v>
      </c>
      <c r="P139" s="507">
        <f t="shared" si="56"/>
        <v>0.42819840000000003</v>
      </c>
      <c r="Q139" s="507">
        <f t="shared" si="56"/>
        <v>0.23788799999999999</v>
      </c>
      <c r="R139" s="178">
        <f t="shared" si="56"/>
        <v>0.23788799999999999</v>
      </c>
    </row>
    <row r="140" spans="1:19" s="277" customFormat="1" ht="15" customHeight="1">
      <c r="A140" s="500" t="s">
        <v>1341</v>
      </c>
      <c r="B140" s="507">
        <f>B138/2.5</f>
        <v>201.6</v>
      </c>
      <c r="C140" s="507">
        <f t="shared" ref="C140:R140" si="57">C138/2.5</f>
        <v>201.6</v>
      </c>
      <c r="D140" s="507">
        <f t="shared" si="57"/>
        <v>201.6</v>
      </c>
      <c r="E140" s="507">
        <f t="shared" si="57"/>
        <v>201.6</v>
      </c>
      <c r="F140" s="507">
        <f t="shared" si="57"/>
        <v>161.28</v>
      </c>
      <c r="G140" s="507">
        <f t="shared" si="57"/>
        <v>120.96000000000001</v>
      </c>
      <c r="H140" s="507">
        <f t="shared" si="57"/>
        <v>201.6</v>
      </c>
      <c r="I140" s="507">
        <f t="shared" si="57"/>
        <v>201.6</v>
      </c>
      <c r="J140" s="507">
        <f t="shared" si="57"/>
        <v>161.28</v>
      </c>
      <c r="K140" s="507">
        <f t="shared" si="57"/>
        <v>241.92000000000002</v>
      </c>
      <c r="L140" s="507">
        <f t="shared" si="57"/>
        <v>201.6</v>
      </c>
      <c r="M140" s="507">
        <f t="shared" si="57"/>
        <v>241.92000000000002</v>
      </c>
      <c r="N140" s="507">
        <f t="shared" si="57"/>
        <v>282.24</v>
      </c>
      <c r="O140" s="507">
        <f t="shared" si="57"/>
        <v>282.24</v>
      </c>
      <c r="P140" s="507">
        <f t="shared" si="57"/>
        <v>362.88000000000005</v>
      </c>
      <c r="Q140" s="507">
        <f t="shared" si="57"/>
        <v>201.6</v>
      </c>
      <c r="R140" s="178">
        <f t="shared" si="57"/>
        <v>201.6</v>
      </c>
    </row>
    <row r="141" spans="1:19" s="277" customFormat="1" ht="15" customHeight="1">
      <c r="A141" s="526" t="s">
        <v>1354</v>
      </c>
      <c r="B141" s="525">
        <f>IF(B135&gt;B139,B135,B139)*Ducts!$D$18/(25^Ducts!$D$20)</f>
        <v>0</v>
      </c>
      <c r="C141" s="525">
        <f>IF(C135&gt;C139,C135,C139)*Ducts!$D$18/(25^Ducts!$D$20)</f>
        <v>0</v>
      </c>
      <c r="D141" s="525">
        <f>IF(D135&gt;D139,D135,D139)*Ducts!$D$18/(25^Ducts!$D$20)</f>
        <v>0</v>
      </c>
      <c r="E141" s="525">
        <f>IF(E135&gt;E139,E135,E139)*Ducts!$D$18/(25^Ducts!$D$20)</f>
        <v>0</v>
      </c>
      <c r="F141" s="525">
        <f>IF(F135&gt;F139,F135,F139)*Ducts!$D$18/(25^Ducts!$D$20)</f>
        <v>0</v>
      </c>
      <c r="G141" s="525">
        <f>IF(G135&gt;G139,G135,G139)*Ducts!$D$18/(25^Ducts!$D$20)</f>
        <v>0</v>
      </c>
      <c r="H141" s="525">
        <f>IF(H135&gt;H139,H135,H139)*Ducts!$D$18/(25^Ducts!$D$20)</f>
        <v>0</v>
      </c>
      <c r="I141" s="525">
        <f>IF(I135&gt;I139,I135,I139)*Ducts!$D$18/(25^Ducts!$D$20)</f>
        <v>0</v>
      </c>
      <c r="J141" s="525">
        <f>IF(J135&gt;J139,J135,J139)*Ducts!$D$18/(25^Ducts!$D$20)</f>
        <v>0</v>
      </c>
      <c r="K141" s="525">
        <f>IF(K135&gt;K139,K135,K139)*Ducts!$D$18/(25^Ducts!$D$20)</f>
        <v>0</v>
      </c>
      <c r="L141" s="525">
        <f>IF(L135&gt;L139,L135,L139)*Ducts!$D$18/(25^Ducts!$D$20)</f>
        <v>0</v>
      </c>
      <c r="M141" s="525">
        <f>IF(M135&gt;M139,M135,M139)*Ducts!$D$18/(25^Ducts!$D$20)</f>
        <v>0</v>
      </c>
      <c r="N141" s="525">
        <f>IF(N135&gt;N139,N135,N139)*Ducts!$D$18/(25^Ducts!$D$20)</f>
        <v>0</v>
      </c>
      <c r="O141" s="525">
        <f>IF(O135&gt;O139,O135,O139)*Ducts!$D$18/(25^Ducts!$D$20)</f>
        <v>0</v>
      </c>
      <c r="P141" s="525">
        <f>IF(P135&gt;P139,P135,P139)*Ducts!$D$18/(25^Ducts!$D$20)</f>
        <v>0</v>
      </c>
      <c r="Q141" s="525">
        <f>IF(Q135&gt;Q139,Q135,Q139)*Ducts!$D$18/(25^Ducts!$D$20)</f>
        <v>0</v>
      </c>
      <c r="R141" s="527">
        <f>IF(R135&gt;R139,R135,R139)*Ducts!$D$18/(25^Ducts!$D$20)</f>
        <v>0</v>
      </c>
    </row>
    <row r="142" spans="1:19" ht="15" customHeight="1">
      <c r="A142" s="528" t="s">
        <v>1355</v>
      </c>
      <c r="B142" s="529">
        <f>IF(B135&gt;B139,B135,B139)*Ducts!$D$19/(25^Ducts!$D$21)</f>
        <v>0</v>
      </c>
      <c r="C142" s="529">
        <f>IF(C135&gt;C139,C135,C139)*Ducts!$D$19/(25^Ducts!$D$21)</f>
        <v>0</v>
      </c>
      <c r="D142" s="529">
        <f>IF(D135&gt;D139,D135,D139)*Ducts!$D$19/(25^Ducts!$D$21)</f>
        <v>0</v>
      </c>
      <c r="E142" s="529">
        <f>IF(E135&gt;E139,E135,E139)*Ducts!$D$19/(25^Ducts!$D$21)</f>
        <v>0</v>
      </c>
      <c r="F142" s="529">
        <f>IF(F135&gt;F139,F135,F139)*Ducts!$D$19/(25^Ducts!$D$21)</f>
        <v>0</v>
      </c>
      <c r="G142" s="529">
        <f>IF(G135&gt;G139,G135,G139)*Ducts!$D$19/(25^Ducts!$D$21)</f>
        <v>0</v>
      </c>
      <c r="H142" s="529">
        <f>IF(H135&gt;H139,H135,H139)*Ducts!$D$19/(25^Ducts!$D$21)</f>
        <v>0</v>
      </c>
      <c r="I142" s="529">
        <f>IF(I135&gt;I139,I135,I139)*Ducts!$D$19/(25^Ducts!$D$21)</f>
        <v>0</v>
      </c>
      <c r="J142" s="529">
        <f>IF(J135&gt;J139,J135,J139)*Ducts!$D$19/(25^Ducts!$D$21)</f>
        <v>0</v>
      </c>
      <c r="K142" s="529">
        <f>IF(K135&gt;K139,K135,K139)*Ducts!$D$19/(25^Ducts!$D$21)</f>
        <v>0</v>
      </c>
      <c r="L142" s="529">
        <f>IF(L135&gt;L139,L135,L139)*Ducts!$D$19/(25^Ducts!$D$21)</f>
        <v>0</v>
      </c>
      <c r="M142" s="529">
        <f>IF(M135&gt;M139,M135,M139)*Ducts!$D$19/(25^Ducts!$D$21)</f>
        <v>0</v>
      </c>
      <c r="N142" s="529">
        <f>IF(N135&gt;N139,N135,N139)*Ducts!$D$19/(25^Ducts!$D$21)</f>
        <v>0</v>
      </c>
      <c r="O142" s="529">
        <f>IF(O135&gt;O139,O135,O139)*Ducts!$D$19/(25^Ducts!$D$21)</f>
        <v>0</v>
      </c>
      <c r="P142" s="529">
        <f>IF(P135&gt;P139,P135,P139)*Ducts!$D$19/(25^Ducts!$D$21)</f>
        <v>0</v>
      </c>
      <c r="Q142" s="529">
        <f>IF(Q135&gt;Q139,Q135,Q139)*Ducts!$D$19/(25^Ducts!$D$21)</f>
        <v>0</v>
      </c>
      <c r="R142" s="530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0" t="s">
        <v>731</v>
      </c>
      <c r="D172" s="471" t="s">
        <v>723</v>
      </c>
      <c r="E172" s="470" t="s">
        <v>392</v>
      </c>
      <c r="F172" s="470" t="s">
        <v>729</v>
      </c>
      <c r="G172" s="470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2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2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3" t="s">
        <v>738</v>
      </c>
      <c r="D179" s="474" t="s">
        <v>732</v>
      </c>
      <c r="E179" s="473" t="s">
        <v>733</v>
      </c>
      <c r="F179" s="473" t="s">
        <v>734</v>
      </c>
      <c r="G179" s="473" t="s">
        <v>735</v>
      </c>
      <c r="H179" s="473" t="s">
        <v>729</v>
      </c>
      <c r="I179" s="473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8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8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1">
        <f t="shared" ref="B5:R5" si="0">IF(HumControl=13, VLOOKUP(B1,$A$96:$B$101,2,FALSE),B23)</f>
        <v>1.8143650428724283E-2</v>
      </c>
      <c r="C5" s="361">
        <f t="shared" si="0"/>
        <v>1.8093565104086943E-2</v>
      </c>
      <c r="D5" s="361" t="str">
        <f t="shared" si="0"/>
        <v>NA</v>
      </c>
      <c r="E5" s="361">
        <f t="shared" si="0"/>
        <v>1.6457918085888881E-2</v>
      </c>
      <c r="F5" s="361" t="str">
        <f t="shared" si="0"/>
        <v>NA</v>
      </c>
      <c r="G5" s="361" t="str">
        <f t="shared" si="0"/>
        <v>NA</v>
      </c>
      <c r="H5" s="361">
        <f t="shared" si="0"/>
        <v>1.4623221193902717E-2</v>
      </c>
      <c r="I5" s="361" t="str">
        <f t="shared" si="0"/>
        <v>NA</v>
      </c>
      <c r="J5" s="361" t="str">
        <f t="shared" si="0"/>
        <v>NA</v>
      </c>
      <c r="K5" s="361" t="str">
        <f t="shared" si="0"/>
        <v>NA</v>
      </c>
      <c r="L5" s="361" t="str">
        <f t="shared" si="0"/>
        <v>NA</v>
      </c>
      <c r="M5" s="361" t="str">
        <f t="shared" si="0"/>
        <v>NA</v>
      </c>
      <c r="N5" s="361" t="str">
        <f t="shared" si="0"/>
        <v>NA</v>
      </c>
      <c r="O5" s="361" t="str">
        <f t="shared" si="0"/>
        <v>NA</v>
      </c>
      <c r="P5" s="361" t="str">
        <f t="shared" si="0"/>
        <v>NA</v>
      </c>
      <c r="Q5" s="361">
        <f t="shared" si="0"/>
        <v>1.7707763234996277E-2</v>
      </c>
      <c r="R5" s="361">
        <f t="shared" si="0"/>
        <v>1.7457897967807213E-2</v>
      </c>
    </row>
    <row r="6" spans="1:18" s="266" customFormat="1">
      <c r="A6" s="277" t="s">
        <v>854</v>
      </c>
      <c r="B6" s="361">
        <f t="shared" ref="B6:R6" si="1">IF(OR(HumControl=4, HumControl=5),VLOOKUP(B1,$A$88:$C$93,3,FALSE),0)</f>
        <v>0</v>
      </c>
      <c r="C6" s="361">
        <f t="shared" si="1"/>
        <v>0</v>
      </c>
      <c r="D6" s="361">
        <f t="shared" si="1"/>
        <v>0</v>
      </c>
      <c r="E6" s="361">
        <f t="shared" si="1"/>
        <v>0</v>
      </c>
      <c r="F6" s="361">
        <f t="shared" si="1"/>
        <v>0</v>
      </c>
      <c r="G6" s="361">
        <f t="shared" si="1"/>
        <v>0</v>
      </c>
      <c r="H6" s="361">
        <f t="shared" si="1"/>
        <v>0</v>
      </c>
      <c r="I6" s="361">
        <f t="shared" si="1"/>
        <v>0</v>
      </c>
      <c r="J6" s="361">
        <f t="shared" si="1"/>
        <v>0</v>
      </c>
      <c r="K6" s="361">
        <f t="shared" si="1"/>
        <v>0</v>
      </c>
      <c r="L6" s="361">
        <f t="shared" si="1"/>
        <v>0</v>
      </c>
      <c r="M6" s="361">
        <f t="shared" si="1"/>
        <v>0</v>
      </c>
      <c r="N6" s="361">
        <f t="shared" si="1"/>
        <v>0</v>
      </c>
      <c r="O6" s="361">
        <f t="shared" si="1"/>
        <v>0</v>
      </c>
      <c r="P6" s="361">
        <f t="shared" si="1"/>
        <v>0</v>
      </c>
      <c r="Q6" s="361">
        <f t="shared" si="1"/>
        <v>0</v>
      </c>
      <c r="R6" s="361">
        <f t="shared" si="1"/>
        <v>0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0</v>
      </c>
      <c r="C7" s="287">
        <f t="shared" si="2"/>
        <v>0</v>
      </c>
      <c r="D7" s="287">
        <f t="shared" si="2"/>
        <v>0</v>
      </c>
      <c r="E7" s="287">
        <f t="shared" si="2"/>
        <v>0</v>
      </c>
      <c r="F7" s="287">
        <f t="shared" si="2"/>
        <v>0</v>
      </c>
      <c r="G7" s="287">
        <f t="shared" si="2"/>
        <v>0</v>
      </c>
      <c r="H7" s="287">
        <f t="shared" si="2"/>
        <v>0</v>
      </c>
      <c r="I7" s="287">
        <f t="shared" si="2"/>
        <v>0</v>
      </c>
      <c r="J7" s="287">
        <f t="shared" si="2"/>
        <v>0</v>
      </c>
      <c r="K7" s="287">
        <f t="shared" si="2"/>
        <v>0</v>
      </c>
      <c r="L7" s="287">
        <f t="shared" si="2"/>
        <v>0</v>
      </c>
      <c r="M7" s="287">
        <f t="shared" si="2"/>
        <v>0</v>
      </c>
      <c r="N7" s="287">
        <f t="shared" si="2"/>
        <v>0</v>
      </c>
      <c r="O7" s="287">
        <f t="shared" si="2"/>
        <v>0</v>
      </c>
      <c r="P7" s="287">
        <f t="shared" si="2"/>
        <v>0</v>
      </c>
      <c r="Q7" s="287">
        <f t="shared" si="2"/>
        <v>0</v>
      </c>
      <c r="R7" s="287">
        <f t="shared" si="2"/>
        <v>0</v>
      </c>
    </row>
    <row r="8" spans="1:18" s="266" customFormat="1">
      <c r="A8" s="277" t="s">
        <v>950</v>
      </c>
      <c r="B8" s="361">
        <f t="shared" ref="B8:R8" si="3">IF(OR(HumControl=6,HumControl=8,HumControl=11,HumControl=12),VLOOKUP(B1,$A$72:$E$78,2,FALSE),0)</f>
        <v>0</v>
      </c>
      <c r="C8" s="361">
        <f t="shared" si="3"/>
        <v>0</v>
      </c>
      <c r="D8" s="361">
        <f t="shared" si="3"/>
        <v>0</v>
      </c>
      <c r="E8" s="361">
        <f t="shared" si="3"/>
        <v>0</v>
      </c>
      <c r="F8" s="361">
        <f t="shared" si="3"/>
        <v>0</v>
      </c>
      <c r="G8" s="361">
        <f t="shared" si="3"/>
        <v>0</v>
      </c>
      <c r="H8" s="361">
        <f t="shared" si="3"/>
        <v>0</v>
      </c>
      <c r="I8" s="361">
        <f t="shared" si="3"/>
        <v>0</v>
      </c>
      <c r="J8" s="361">
        <f t="shared" si="3"/>
        <v>0</v>
      </c>
      <c r="K8" s="361">
        <f t="shared" si="3"/>
        <v>0</v>
      </c>
      <c r="L8" s="361">
        <f t="shared" si="3"/>
        <v>0</v>
      </c>
      <c r="M8" s="361">
        <f t="shared" si="3"/>
        <v>0</v>
      </c>
      <c r="N8" s="361">
        <f t="shared" si="3"/>
        <v>0</v>
      </c>
      <c r="O8" s="361">
        <f t="shared" si="3"/>
        <v>0</v>
      </c>
      <c r="P8" s="361">
        <f t="shared" si="3"/>
        <v>0</v>
      </c>
      <c r="Q8" s="361">
        <f t="shared" si="3"/>
        <v>0</v>
      </c>
      <c r="R8" s="361">
        <f t="shared" si="3"/>
        <v>0</v>
      </c>
    </row>
    <row r="9" spans="1:18" s="266" customFormat="1">
      <c r="A9" s="277" t="s">
        <v>951</v>
      </c>
      <c r="B9" s="361">
        <f t="shared" ref="B9:R9" si="4">IF(OR(HumControl=6,HumControl=8,HumControl=11,HumControl=12),VLOOKUP(B1,$A$73:$E$78,3,FALSE),0)</f>
        <v>0</v>
      </c>
      <c r="C9" s="361">
        <f t="shared" si="4"/>
        <v>0</v>
      </c>
      <c r="D9" s="361">
        <f t="shared" si="4"/>
        <v>0</v>
      </c>
      <c r="E9" s="361">
        <f t="shared" si="4"/>
        <v>0</v>
      </c>
      <c r="F9" s="361">
        <f t="shared" si="4"/>
        <v>0</v>
      </c>
      <c r="G9" s="361">
        <f t="shared" si="4"/>
        <v>0</v>
      </c>
      <c r="H9" s="361">
        <f t="shared" si="4"/>
        <v>0</v>
      </c>
      <c r="I9" s="361">
        <f t="shared" si="4"/>
        <v>0</v>
      </c>
      <c r="J9" s="361">
        <f t="shared" si="4"/>
        <v>0</v>
      </c>
      <c r="K9" s="361">
        <f t="shared" si="4"/>
        <v>0</v>
      </c>
      <c r="L9" s="361">
        <f t="shared" si="4"/>
        <v>0</v>
      </c>
      <c r="M9" s="361">
        <f t="shared" si="4"/>
        <v>0</v>
      </c>
      <c r="N9" s="361">
        <f t="shared" si="4"/>
        <v>0</v>
      </c>
      <c r="O9" s="361">
        <f t="shared" si="4"/>
        <v>0</v>
      </c>
      <c r="P9" s="361">
        <f t="shared" si="4"/>
        <v>0</v>
      </c>
      <c r="Q9" s="361">
        <f t="shared" si="4"/>
        <v>0</v>
      </c>
      <c r="R9" s="361">
        <f t="shared" si="4"/>
        <v>0</v>
      </c>
    </row>
    <row r="10" spans="1:18" s="266" customFormat="1">
      <c r="A10" s="277" t="s">
        <v>952</v>
      </c>
      <c r="B10" s="361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1">
        <f t="shared" si="5"/>
        <v>0</v>
      </c>
      <c r="D10" s="361">
        <f t="shared" si="5"/>
        <v>0</v>
      </c>
      <c r="E10" s="361">
        <f t="shared" si="5"/>
        <v>0</v>
      </c>
      <c r="F10" s="361">
        <f t="shared" si="5"/>
        <v>0</v>
      </c>
      <c r="G10" s="361">
        <f t="shared" si="5"/>
        <v>0</v>
      </c>
      <c r="H10" s="361">
        <f t="shared" si="5"/>
        <v>0</v>
      </c>
      <c r="I10" s="361">
        <f t="shared" si="5"/>
        <v>0</v>
      </c>
      <c r="J10" s="361">
        <f t="shared" si="5"/>
        <v>0</v>
      </c>
      <c r="K10" s="361">
        <f t="shared" si="5"/>
        <v>0</v>
      </c>
      <c r="L10" s="361">
        <f t="shared" si="5"/>
        <v>0</v>
      </c>
      <c r="M10" s="361">
        <f t="shared" si="5"/>
        <v>0</v>
      </c>
      <c r="N10" s="361">
        <f t="shared" si="5"/>
        <v>0</v>
      </c>
      <c r="O10" s="361">
        <f t="shared" si="5"/>
        <v>0</v>
      </c>
      <c r="P10" s="361">
        <f t="shared" si="5"/>
        <v>0</v>
      </c>
      <c r="Q10" s="361">
        <f t="shared" si="5"/>
        <v>0</v>
      </c>
      <c r="R10" s="361">
        <f t="shared" si="5"/>
        <v>0</v>
      </c>
    </row>
    <row r="11" spans="1:18" s="266" customFormat="1">
      <c r="A11" s="277" t="s">
        <v>953</v>
      </c>
      <c r="B11" s="361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1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1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1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1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1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1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1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1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1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1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1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1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1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1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1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1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7"/>
      <c r="E49" s="458">
        <v>1.239E-2</v>
      </c>
      <c r="F49" s="457"/>
      <c r="G49" s="457"/>
      <c r="H49" s="458">
        <v>1.059E-2</v>
      </c>
      <c r="I49" s="458"/>
      <c r="J49" s="457"/>
      <c r="K49" s="457"/>
      <c r="L49" s="457"/>
      <c r="M49" s="457"/>
      <c r="N49" s="457"/>
      <c r="O49" s="457"/>
      <c r="P49" s="457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7"/>
      <c r="E66" s="458">
        <v>1.6420000000000001E-2</v>
      </c>
      <c r="F66" s="457"/>
      <c r="G66" s="457"/>
      <c r="H66" s="458">
        <v>1.5730000000000001E-2</v>
      </c>
      <c r="I66" s="457"/>
      <c r="J66" s="457"/>
      <c r="K66" s="457"/>
      <c r="L66" s="457"/>
      <c r="M66" s="457"/>
      <c r="N66" s="457"/>
      <c r="O66" s="457"/>
      <c r="P66" s="457"/>
      <c r="Q66" s="458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8"/>
      <c r="E67" s="458">
        <v>1.6830000000000001E-2</v>
      </c>
      <c r="F67" s="458"/>
      <c r="G67" s="458"/>
      <c r="H67" s="458">
        <v>1.473E-2</v>
      </c>
      <c r="I67" s="458"/>
      <c r="J67" s="458"/>
      <c r="K67" s="458"/>
      <c r="L67" s="458"/>
      <c r="M67" s="458"/>
      <c r="N67" s="458"/>
      <c r="O67" s="458"/>
      <c r="P67" s="458"/>
      <c r="Q67" s="458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8"/>
      <c r="E68" s="458">
        <v>9.6229999999999996E-3</v>
      </c>
      <c r="F68" s="458"/>
      <c r="G68" s="458"/>
      <c r="H68" s="458">
        <v>7.8040000000000002E-3</v>
      </c>
      <c r="I68" s="458"/>
      <c r="J68" s="458"/>
      <c r="K68" s="458"/>
      <c r="L68" s="458"/>
      <c r="M68" s="458"/>
      <c r="N68" s="458"/>
      <c r="O68" s="458"/>
      <c r="P68" s="458"/>
      <c r="Q68" s="458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7">
        <v>0.38</v>
      </c>
      <c r="C80" s="317">
        <v>1.2</v>
      </c>
      <c r="D80">
        <v>0.38</v>
      </c>
      <c r="E80" s="317">
        <v>1.1000000000000001</v>
      </c>
      <c r="F80" s="317"/>
      <c r="G80" s="317"/>
      <c r="H80" s="317"/>
      <c r="I80" s="317"/>
      <c r="J80" s="317"/>
    </row>
    <row r="81" spans="1:16" ht="16">
      <c r="A81" s="266">
        <v>2</v>
      </c>
      <c r="B81" s="317">
        <v>0.47</v>
      </c>
      <c r="C81" s="317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7">
        <v>0.626</v>
      </c>
      <c r="C82" s="317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7">
        <v>0.38</v>
      </c>
      <c r="C83" s="317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7">
        <v>0.38</v>
      </c>
      <c r="C84" s="317">
        <v>1.2</v>
      </c>
      <c r="D84">
        <v>0.64</v>
      </c>
      <c r="E84" s="266">
        <v>1.2</v>
      </c>
    </row>
    <row r="85" spans="1:16" ht="16">
      <c r="A85" s="266" t="s">
        <v>839</v>
      </c>
      <c r="B85" s="317">
        <v>0.49199999999999999</v>
      </c>
      <c r="C85" s="317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3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8" t="str">
        <f>DehumidType</f>
        <v>No</v>
      </c>
    </row>
    <row r="8" spans="1:3">
      <c r="A8" s="266" t="s">
        <v>1100</v>
      </c>
      <c r="B8" s="459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0">
        <v>1.85</v>
      </c>
      <c r="C9" s="266"/>
    </row>
    <row r="10" spans="1:3">
      <c r="A10" s="266" t="s">
        <v>1102</v>
      </c>
      <c r="B10" s="460">
        <v>55</v>
      </c>
      <c r="C10" s="266"/>
    </row>
    <row r="11" spans="1:3">
      <c r="A11" s="266" t="s">
        <v>1103</v>
      </c>
      <c r="B11" s="460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8" t="s">
        <v>1115</v>
      </c>
      <c r="B20" s="399" t="s">
        <v>1102</v>
      </c>
      <c r="C20" s="399" t="s">
        <v>1116</v>
      </c>
      <c r="D20" s="400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1" t="s">
        <v>1117</v>
      </c>
      <c r="B21" s="402">
        <v>0.5</v>
      </c>
      <c r="C21" s="256">
        <v>12</v>
      </c>
      <c r="D21" s="403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7">
        <f>SUM(E21:G21)</f>
        <v>-4.9999999999999911</v>
      </c>
      <c r="I21" s="397">
        <f>H21+65</f>
        <v>60.000000000000007</v>
      </c>
    </row>
    <row r="22" spans="1:9">
      <c r="A22" s="401" t="s">
        <v>1117</v>
      </c>
      <c r="B22" s="402">
        <v>0.5</v>
      </c>
      <c r="C22" s="256">
        <v>24</v>
      </c>
      <c r="D22" s="403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7">
        <f t="shared" ref="H22:H28" si="2">SUM(E22:G22)</f>
        <v>5.0000000000000089</v>
      </c>
      <c r="I22" s="397">
        <f t="shared" ref="I22:I28" si="3">H22+65</f>
        <v>70.000000000000014</v>
      </c>
    </row>
    <row r="23" spans="1:9">
      <c r="A23" s="401" t="s">
        <v>1117</v>
      </c>
      <c r="B23" s="402">
        <v>0.6</v>
      </c>
      <c r="C23" s="256">
        <v>12</v>
      </c>
      <c r="D23" s="403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7">
        <f t="shared" si="2"/>
        <v>-24.999999999999986</v>
      </c>
      <c r="I23" s="397">
        <f t="shared" si="3"/>
        <v>40.000000000000014</v>
      </c>
    </row>
    <row r="24" spans="1:9">
      <c r="A24" s="401" t="s">
        <v>1117</v>
      </c>
      <c r="B24" s="402">
        <v>0.6</v>
      </c>
      <c r="C24" s="256">
        <v>24</v>
      </c>
      <c r="D24" s="403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7">
        <f t="shared" si="2"/>
        <v>-14.999999999999986</v>
      </c>
      <c r="I24" s="397">
        <f t="shared" si="3"/>
        <v>50.000000000000014</v>
      </c>
    </row>
    <row r="25" spans="1:9">
      <c r="A25" s="401" t="s">
        <v>1118</v>
      </c>
      <c r="B25" s="402">
        <v>0.5</v>
      </c>
      <c r="C25" s="256">
        <v>12</v>
      </c>
      <c r="D25" s="403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7">
        <f t="shared" si="2"/>
        <v>15.000000000000007</v>
      </c>
      <c r="I25" s="397">
        <f t="shared" si="3"/>
        <v>80</v>
      </c>
    </row>
    <row r="26" spans="1:9">
      <c r="A26" s="401" t="s">
        <v>1118</v>
      </c>
      <c r="B26" s="402">
        <v>0.5</v>
      </c>
      <c r="C26" s="256">
        <v>24</v>
      </c>
      <c r="D26" s="403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7">
        <f t="shared" si="2"/>
        <v>25.000000000000007</v>
      </c>
      <c r="I26" s="397">
        <f t="shared" si="3"/>
        <v>90</v>
      </c>
    </row>
    <row r="27" spans="1:9">
      <c r="A27" s="401" t="s">
        <v>1118</v>
      </c>
      <c r="B27" s="402">
        <v>0.6</v>
      </c>
      <c r="C27" s="256">
        <v>12</v>
      </c>
      <c r="D27" s="403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7">
        <f t="shared" si="2"/>
        <v>-4.9999999999999858</v>
      </c>
      <c r="I27" s="397">
        <f t="shared" si="3"/>
        <v>60.000000000000014</v>
      </c>
    </row>
    <row r="28" spans="1:9" ht="15" thickBot="1">
      <c r="A28" s="404" t="s">
        <v>1118</v>
      </c>
      <c r="B28" s="405">
        <v>0.6</v>
      </c>
      <c r="C28" s="406">
        <v>24</v>
      </c>
      <c r="D28" s="407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7">
        <f t="shared" si="2"/>
        <v>5.0000000000000142</v>
      </c>
      <c r="I28" s="397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5">
        <v>46</v>
      </c>
      <c r="E35" s="395"/>
    </row>
    <row r="36" spans="1:5">
      <c r="C36" t="s">
        <v>827</v>
      </c>
      <c r="D36" s="395">
        <v>52</v>
      </c>
      <c r="E36" s="396"/>
    </row>
    <row r="37" spans="1:5">
      <c r="A37" s="394"/>
      <c r="C37" t="s">
        <v>829</v>
      </c>
      <c r="D37" s="394">
        <v>62</v>
      </c>
      <c r="E37" s="394"/>
    </row>
    <row r="38" spans="1:5">
      <c r="A38" s="394"/>
      <c r="B38" s="396" t="s">
        <v>827</v>
      </c>
      <c r="C38" s="266" t="s">
        <v>828</v>
      </c>
      <c r="D38" s="395">
        <v>46</v>
      </c>
      <c r="E38" s="394"/>
    </row>
    <row r="39" spans="1:5">
      <c r="C39" s="266" t="s">
        <v>827</v>
      </c>
      <c r="D39" s="395">
        <v>52</v>
      </c>
    </row>
    <row r="40" spans="1:5">
      <c r="C40" s="266" t="s">
        <v>829</v>
      </c>
      <c r="D40" s="394">
        <v>62</v>
      </c>
    </row>
    <row r="41" spans="1:5">
      <c r="B41" s="394" t="s">
        <v>823</v>
      </c>
      <c r="C41" s="266" t="s">
        <v>828</v>
      </c>
      <c r="D41" s="395">
        <v>66</v>
      </c>
    </row>
    <row r="42" spans="1:5">
      <c r="C42" s="266" t="s">
        <v>827</v>
      </c>
      <c r="D42" s="395">
        <v>72</v>
      </c>
    </row>
    <row r="43" spans="1:5">
      <c r="C43" s="266" t="s">
        <v>829</v>
      </c>
      <c r="D43" s="395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79" t="s">
        <v>1216</v>
      </c>
      <c r="B1" s="479"/>
      <c r="C1" s="479"/>
      <c r="D1" s="479"/>
      <c r="E1" s="479"/>
      <c r="F1" s="479"/>
      <c r="G1" s="479"/>
      <c r="H1" s="479"/>
    </row>
    <row r="2" spans="1:8" ht="15">
      <c r="A2" s="480" t="s">
        <v>1208</v>
      </c>
      <c r="B2" s="547" t="s">
        <v>1217</v>
      </c>
      <c r="C2" s="547"/>
      <c r="D2" s="547"/>
      <c r="E2" s="481"/>
      <c r="F2" s="481"/>
      <c r="G2" s="481"/>
      <c r="H2" s="479"/>
    </row>
    <row r="3" spans="1:8">
      <c r="A3" s="482">
        <v>1</v>
      </c>
      <c r="B3" s="483">
        <v>0.48</v>
      </c>
      <c r="C3" s="479"/>
      <c r="D3" s="479"/>
      <c r="E3" s="479"/>
      <c r="F3" s="479"/>
      <c r="G3" s="479"/>
      <c r="H3" s="479"/>
    </row>
    <row r="4" spans="1:8">
      <c r="A4" s="482">
        <v>2</v>
      </c>
      <c r="B4" s="483">
        <v>0.59</v>
      </c>
      <c r="C4" s="479"/>
      <c r="D4" s="479"/>
      <c r="E4" s="479"/>
      <c r="F4" s="479"/>
      <c r="G4" s="479"/>
      <c r="H4" s="479"/>
    </row>
    <row r="5" spans="1:8">
      <c r="A5" s="482">
        <v>3</v>
      </c>
      <c r="B5" s="483">
        <v>0.67</v>
      </c>
      <c r="C5" s="479"/>
      <c r="D5" s="479"/>
      <c r="E5" s="479"/>
      <c r="F5" s="479"/>
      <c r="G5" s="479"/>
      <c r="H5" s="479"/>
    </row>
    <row r="6" spans="1:8">
      <c r="A6" s="479"/>
      <c r="B6" s="479"/>
      <c r="C6" s="479"/>
      <c r="D6" s="479"/>
      <c r="E6" s="479"/>
      <c r="F6" s="479"/>
      <c r="G6" s="479"/>
      <c r="H6" s="479"/>
    </row>
    <row r="7" spans="1:8">
      <c r="A7" s="479"/>
      <c r="B7" s="479"/>
      <c r="C7" s="479"/>
      <c r="D7" s="479"/>
      <c r="E7" s="479"/>
      <c r="F7" s="479"/>
      <c r="G7" s="479"/>
      <c r="H7" s="479"/>
    </row>
    <row r="8" spans="1:8" ht="14" customHeight="1">
      <c r="A8" s="484"/>
      <c r="B8" s="484"/>
      <c r="D8" s="490"/>
      <c r="E8" s="481"/>
      <c r="F8" s="481"/>
      <c r="G8" s="481"/>
      <c r="H8" s="479"/>
    </row>
    <row r="9" spans="1:8" ht="22">
      <c r="A9" s="485" t="s">
        <v>1209</v>
      </c>
      <c r="B9" t="s">
        <v>1218</v>
      </c>
      <c r="C9" s="486" t="s">
        <v>1210</v>
      </c>
      <c r="D9" s="491"/>
      <c r="E9" s="481"/>
      <c r="F9" s="481"/>
      <c r="G9" s="481"/>
      <c r="H9" s="479"/>
    </row>
    <row r="10" spans="1:8">
      <c r="A10" s="480" t="s">
        <v>1228</v>
      </c>
      <c r="B10" t="s">
        <v>1194</v>
      </c>
      <c r="C10" s="483">
        <v>0.5</v>
      </c>
      <c r="D10" s="492"/>
      <c r="E10" s="481"/>
      <c r="F10" s="481"/>
      <c r="G10" s="481"/>
      <c r="H10" s="479"/>
    </row>
    <row r="11" spans="1:8">
      <c r="A11" s="482">
        <v>1</v>
      </c>
      <c r="B11" t="s">
        <v>1099</v>
      </c>
      <c r="C11" s="483">
        <v>0.7</v>
      </c>
      <c r="D11" s="492"/>
      <c r="E11" s="481"/>
      <c r="F11" s="481"/>
      <c r="G11" s="481"/>
      <c r="H11" s="479"/>
    </row>
    <row r="12" spans="1:8">
      <c r="A12" s="482">
        <v>2</v>
      </c>
      <c r="B12" t="s">
        <v>1099</v>
      </c>
      <c r="C12" s="483">
        <v>0.64</v>
      </c>
      <c r="D12" s="492"/>
      <c r="E12" s="479"/>
      <c r="F12" s="479"/>
      <c r="G12" s="479"/>
      <c r="H12" s="479"/>
    </row>
    <row r="13" spans="1:8">
      <c r="A13" s="482">
        <v>3</v>
      </c>
      <c r="B13" t="s">
        <v>1099</v>
      </c>
      <c r="C13" s="483">
        <v>0.61</v>
      </c>
      <c r="D13" s="492"/>
      <c r="E13" s="479"/>
      <c r="F13" s="479"/>
      <c r="G13" s="479"/>
      <c r="H13" s="479"/>
    </row>
    <row r="14" spans="1:8" s="266" customFormat="1">
      <c r="A14" s="480"/>
      <c r="B14" s="483"/>
      <c r="C14" s="479"/>
      <c r="D14" s="479"/>
      <c r="E14" s="479"/>
      <c r="F14" s="479"/>
      <c r="G14" s="479"/>
      <c r="H14" s="479"/>
    </row>
    <row r="15" spans="1:8" ht="14" customHeight="1">
      <c r="A15" s="479"/>
      <c r="B15" s="479"/>
      <c r="C15" s="479"/>
      <c r="D15" s="479"/>
      <c r="E15" s="479"/>
      <c r="F15" s="479"/>
      <c r="G15" s="479"/>
      <c r="H15" s="479"/>
    </row>
    <row r="16" spans="1:8">
      <c r="A16" s="487" t="s">
        <v>1220</v>
      </c>
      <c r="B16" s="479"/>
      <c r="C16" s="479"/>
      <c r="D16" s="479"/>
      <c r="E16" s="479"/>
      <c r="F16" s="479"/>
      <c r="G16" s="479"/>
      <c r="H16" s="479"/>
    </row>
    <row r="17" spans="1:8" ht="22">
      <c r="A17" s="480" t="s">
        <v>1208</v>
      </c>
      <c r="B17" s="478" t="s">
        <v>1212</v>
      </c>
      <c r="C17" s="483" t="s">
        <v>1214</v>
      </c>
      <c r="D17" s="483" t="s">
        <v>1215</v>
      </c>
      <c r="E17" s="479"/>
      <c r="F17" s="479"/>
      <c r="G17" s="479"/>
      <c r="H17" s="479"/>
    </row>
    <row r="18" spans="1:8">
      <c r="A18" s="488">
        <v>1</v>
      </c>
      <c r="B18" s="478" t="s">
        <v>1211</v>
      </c>
      <c r="C18" s="483">
        <v>0.156</v>
      </c>
      <c r="D18" s="483">
        <v>0.128</v>
      </c>
      <c r="E18" s="479"/>
      <c r="F18" s="479"/>
      <c r="G18" s="479"/>
      <c r="H18" s="479"/>
    </row>
    <row r="19" spans="1:8">
      <c r="A19" s="488">
        <v>2</v>
      </c>
      <c r="B19" s="478" t="s">
        <v>1211</v>
      </c>
      <c r="C19" s="483">
        <v>0.17</v>
      </c>
      <c r="D19" s="483">
        <v>0.14199999999999999</v>
      </c>
      <c r="E19" s="479"/>
      <c r="F19" s="479"/>
      <c r="G19" s="479"/>
      <c r="H19" s="479"/>
    </row>
    <row r="20" spans="1:8">
      <c r="A20" s="488">
        <v>3</v>
      </c>
      <c r="B20" s="478" t="s">
        <v>1211</v>
      </c>
      <c r="C20" s="483">
        <v>0.17</v>
      </c>
      <c r="D20" s="483">
        <v>0.151</v>
      </c>
      <c r="E20" s="479"/>
      <c r="F20" s="479"/>
      <c r="G20" s="479"/>
      <c r="H20" s="479"/>
    </row>
    <row r="21" spans="1:8">
      <c r="A21" s="488">
        <v>1</v>
      </c>
      <c r="B21" s="478" t="s">
        <v>1213</v>
      </c>
      <c r="C21" s="483">
        <v>0.14199999999999999</v>
      </c>
      <c r="D21" s="483">
        <v>0.128</v>
      </c>
      <c r="E21" s="479"/>
      <c r="F21" s="479"/>
      <c r="G21" s="479"/>
      <c r="H21" s="479"/>
    </row>
    <row r="22" spans="1:8">
      <c r="A22" s="488">
        <v>2</v>
      </c>
      <c r="B22" s="478" t="s">
        <v>1213</v>
      </c>
      <c r="C22" s="483">
        <v>0.156</v>
      </c>
      <c r="D22" s="483">
        <v>0.14199999999999999</v>
      </c>
      <c r="E22" s="479"/>
      <c r="F22" s="479"/>
      <c r="G22" s="479"/>
      <c r="H22" s="479"/>
    </row>
    <row r="23" spans="1:8">
      <c r="A23" s="488">
        <v>3</v>
      </c>
      <c r="B23" s="478" t="s">
        <v>1213</v>
      </c>
      <c r="C23" s="483">
        <v>0.16700000000000001</v>
      </c>
      <c r="D23" s="483">
        <v>0.154</v>
      </c>
      <c r="E23" s="479"/>
      <c r="F23" s="479"/>
      <c r="G23" s="479"/>
      <c r="H23" s="479"/>
    </row>
    <row r="24" spans="1:8" s="266" customFormat="1">
      <c r="A24" s="488"/>
      <c r="B24" s="478"/>
      <c r="C24" s="483"/>
      <c r="D24" s="483"/>
      <c r="E24" s="479"/>
      <c r="F24" s="479"/>
      <c r="G24" s="479"/>
      <c r="H24" s="479"/>
    </row>
    <row r="25" spans="1:8" s="266" customFormat="1">
      <c r="A25" s="488"/>
      <c r="B25" s="478"/>
      <c r="C25" s="483"/>
      <c r="D25" s="483"/>
      <c r="E25" s="479"/>
      <c r="F25" s="479"/>
      <c r="G25" s="479"/>
      <c r="H25" s="479"/>
    </row>
    <row r="26" spans="1:8" ht="22">
      <c r="A26" s="485" t="s">
        <v>1221</v>
      </c>
      <c r="B26" s="479"/>
      <c r="C26" s="479"/>
      <c r="D26" s="479"/>
      <c r="E26" s="479"/>
      <c r="F26" s="479"/>
      <c r="G26" s="479"/>
      <c r="H26" s="479"/>
    </row>
    <row r="27" spans="1:8">
      <c r="A27" s="482" t="s">
        <v>1208</v>
      </c>
      <c r="B27" s="478" t="s">
        <v>1218</v>
      </c>
      <c r="C27" s="489" t="s">
        <v>1219</v>
      </c>
      <c r="D27" s="479"/>
      <c r="E27" s="479"/>
      <c r="F27" s="479"/>
      <c r="G27" s="479"/>
      <c r="H27" s="479"/>
    </row>
    <row r="28" spans="1:8">
      <c r="A28" s="482">
        <v>1</v>
      </c>
      <c r="B28" s="478" t="s">
        <v>1194</v>
      </c>
      <c r="C28" s="483">
        <v>5.3999999999999999E-2</v>
      </c>
      <c r="D28" s="479"/>
      <c r="E28" s="479"/>
      <c r="F28" s="479"/>
      <c r="G28" s="479"/>
      <c r="H28" s="479"/>
    </row>
    <row r="29" spans="1:8">
      <c r="A29" s="482">
        <v>2</v>
      </c>
      <c r="B29" s="478" t="s">
        <v>1194</v>
      </c>
      <c r="C29" s="483">
        <v>7.8E-2</v>
      </c>
      <c r="D29" s="479"/>
      <c r="E29" s="479"/>
      <c r="F29" s="479"/>
      <c r="G29" s="479"/>
      <c r="H29" s="479"/>
    </row>
    <row r="30" spans="1:8">
      <c r="A30" s="482">
        <v>3</v>
      </c>
      <c r="B30" s="478" t="s">
        <v>1194</v>
      </c>
      <c r="C30" s="483">
        <v>9.8000000000000004E-2</v>
      </c>
      <c r="D30" s="481"/>
      <c r="E30" s="481"/>
      <c r="F30" s="481"/>
      <c r="G30" s="481"/>
      <c r="H30" s="479"/>
    </row>
    <row r="31" spans="1:8">
      <c r="A31" s="482">
        <v>1</v>
      </c>
      <c r="B31" s="478" t="s">
        <v>1099</v>
      </c>
      <c r="C31" s="483">
        <v>6.9000000000000006E-2</v>
      </c>
      <c r="D31" s="481"/>
      <c r="E31" s="481"/>
      <c r="F31" s="481"/>
      <c r="G31" s="481"/>
      <c r="H31" s="479"/>
    </row>
    <row r="32" spans="1:8">
      <c r="A32" s="482">
        <v>2</v>
      </c>
      <c r="B32" s="478" t="s">
        <v>1099</v>
      </c>
      <c r="C32" s="483">
        <v>8.8999999999999996E-2</v>
      </c>
      <c r="D32" s="479"/>
      <c r="E32" s="479"/>
      <c r="F32" s="479"/>
      <c r="G32" s="481"/>
      <c r="H32" s="479"/>
    </row>
    <row r="33" spans="1:8">
      <c r="A33" s="482">
        <v>3</v>
      </c>
      <c r="B33" s="478" t="s">
        <v>1099</v>
      </c>
      <c r="C33" s="483">
        <v>0.107</v>
      </c>
      <c r="D33" s="479"/>
      <c r="E33" s="479"/>
      <c r="F33" s="479"/>
      <c r="G33" s="481"/>
      <c r="H33" s="479"/>
    </row>
    <row r="34" spans="1:8">
      <c r="A34" s="479"/>
      <c r="B34" s="479"/>
      <c r="C34" s="479"/>
      <c r="D34" s="479"/>
      <c r="E34" s="479"/>
      <c r="F34" s="479"/>
      <c r="G34" s="481"/>
      <c r="H34" s="479"/>
    </row>
    <row r="35" spans="1:8">
      <c r="A35" s="479"/>
      <c r="B35" s="479"/>
      <c r="C35" s="479"/>
      <c r="D35" s="479"/>
      <c r="E35" s="479"/>
      <c r="F35" s="479"/>
      <c r="G35" s="481"/>
      <c r="H35" s="479"/>
    </row>
    <row r="36" spans="1:8">
      <c r="A36" s="481"/>
      <c r="B36" s="481"/>
      <c r="C36" s="481"/>
      <c r="D36" s="481"/>
      <c r="E36" s="481"/>
      <c r="F36" s="481"/>
      <c r="G36" s="481"/>
      <c r="H36" s="479"/>
    </row>
    <row r="37" spans="1:8">
      <c r="A37" s="479"/>
      <c r="B37" s="479"/>
      <c r="C37" s="479"/>
      <c r="D37" s="479"/>
      <c r="E37" s="479"/>
      <c r="F37" s="479"/>
      <c r="G37" s="479"/>
      <c r="H37" s="479"/>
    </row>
    <row r="38" spans="1:8">
      <c r="A38" s="479"/>
      <c r="B38" s="485"/>
      <c r="C38" s="485"/>
      <c r="D38" s="485"/>
      <c r="E38" s="485"/>
      <c r="F38" s="485"/>
      <c r="G38" s="479"/>
      <c r="H38" s="479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2017-02-06T23:45:39Z</dcterms:modified>
</cp:coreProperties>
</file>