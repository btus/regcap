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740" yWindow="0" windowWidth="25600" windowHeight="1608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41" i="1" l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D15" i="2"/>
  <c r="D6" i="2"/>
  <c r="D7" i="2"/>
  <c r="D8" i="2"/>
  <c r="D20" i="2"/>
  <c r="H31" i="3"/>
  <c r="H34" i="3"/>
  <c r="B9" i="6"/>
  <c r="I31" i="3"/>
  <c r="I34" i="3"/>
  <c r="J31" i="3"/>
  <c r="J34" i="3"/>
  <c r="K31" i="3"/>
  <c r="K34" i="3"/>
  <c r="L31" i="3"/>
  <c r="L34" i="3"/>
  <c r="M31" i="3"/>
  <c r="M34" i="3"/>
  <c r="N31" i="3"/>
  <c r="N34" i="3"/>
  <c r="O31" i="3"/>
  <c r="O34" i="3"/>
  <c r="P31" i="3"/>
  <c r="P34" i="3"/>
  <c r="Q31" i="3"/>
  <c r="Q34" i="3"/>
  <c r="R31" i="3"/>
  <c r="R34" i="3"/>
  <c r="S31" i="3"/>
  <c r="S34" i="3"/>
  <c r="T31" i="3"/>
  <c r="T34" i="3"/>
  <c r="U31" i="3"/>
  <c r="U34" i="3"/>
  <c r="V31" i="3"/>
  <c r="V34" i="3"/>
  <c r="W31" i="3"/>
  <c r="W34" i="3"/>
  <c r="X31" i="3"/>
  <c r="X34" i="3"/>
  <c r="B22" i="7"/>
  <c r="B23" i="7"/>
  <c r="L2" i="6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C190" i="15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3" i="15"/>
  <c r="B7" i="13"/>
  <c r="C154" i="15"/>
  <c r="B5" i="13"/>
  <c r="C15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80" i="15"/>
  <c r="B10" i="13"/>
  <c r="C181" i="15"/>
  <c r="B11" i="13"/>
  <c r="C182" i="15"/>
  <c r="B8" i="13"/>
  <c r="C179" i="15"/>
  <c r="C138" i="15"/>
  <c r="D24" i="2"/>
  <c r="D27" i="2"/>
  <c r="C99" i="15"/>
  <c r="D26" i="2"/>
  <c r="D29" i="2"/>
  <c r="C21" i="15"/>
  <c r="B5" i="7"/>
  <c r="D5" i="7"/>
  <c r="D6" i="7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2" i="1"/>
  <c r="D5" i="13"/>
  <c r="E152" i="1"/>
  <c r="E5" i="13"/>
  <c r="F152" i="1"/>
  <c r="F5" i="13"/>
  <c r="G152" i="1"/>
  <c r="G5" i="13"/>
  <c r="H152" i="1"/>
  <c r="H5" i="13"/>
  <c r="I152" i="1"/>
  <c r="I5" i="13"/>
  <c r="J152" i="1"/>
  <c r="J5" i="13"/>
  <c r="K152" i="1"/>
  <c r="K5" i="13"/>
  <c r="L152" i="1"/>
  <c r="L5" i="13"/>
  <c r="M152" i="1"/>
  <c r="M5" i="13"/>
  <c r="N152" i="1"/>
  <c r="N5" i="13"/>
  <c r="O152" i="1"/>
  <c r="O5" i="13"/>
  <c r="P152" i="1"/>
  <c r="P5" i="13"/>
  <c r="Q152" i="1"/>
  <c r="Q5" i="13"/>
  <c r="R152" i="1"/>
  <c r="R5" i="13"/>
  <c r="S152" i="1"/>
  <c r="C6" i="13"/>
  <c r="D153" i="1"/>
  <c r="D6" i="13"/>
  <c r="E153" i="1"/>
  <c r="E6" i="13"/>
  <c r="F153" i="1"/>
  <c r="F6" i="13"/>
  <c r="G153" i="1"/>
  <c r="G6" i="13"/>
  <c r="H153" i="1"/>
  <c r="H6" i="13"/>
  <c r="I153" i="1"/>
  <c r="I6" i="13"/>
  <c r="J153" i="1"/>
  <c r="J6" i="13"/>
  <c r="K153" i="1"/>
  <c r="K6" i="13"/>
  <c r="L153" i="1"/>
  <c r="L6" i="13"/>
  <c r="M153" i="1"/>
  <c r="M6" i="13"/>
  <c r="N153" i="1"/>
  <c r="N6" i="13"/>
  <c r="O153" i="1"/>
  <c r="O6" i="13"/>
  <c r="P153" i="1"/>
  <c r="P6" i="13"/>
  <c r="Q153" i="1"/>
  <c r="Q6" i="13"/>
  <c r="R153" i="1"/>
  <c r="R6" i="13"/>
  <c r="S153" i="1"/>
  <c r="C7" i="13"/>
  <c r="D154" i="1"/>
  <c r="D7" i="13"/>
  <c r="E154" i="1"/>
  <c r="E7" i="13"/>
  <c r="F154" i="1"/>
  <c r="F7" i="13"/>
  <c r="G154" i="1"/>
  <c r="G7" i="13"/>
  <c r="H154" i="1"/>
  <c r="H7" i="13"/>
  <c r="I154" i="1"/>
  <c r="I7" i="13"/>
  <c r="J154" i="1"/>
  <c r="J7" i="13"/>
  <c r="K154" i="1"/>
  <c r="K7" i="13"/>
  <c r="L154" i="1"/>
  <c r="L7" i="13"/>
  <c r="M154" i="1"/>
  <c r="M7" i="13"/>
  <c r="N154" i="1"/>
  <c r="N7" i="13"/>
  <c r="O154" i="1"/>
  <c r="O7" i="13"/>
  <c r="P154" i="1"/>
  <c r="P7" i="13"/>
  <c r="Q154" i="1"/>
  <c r="Q7" i="13"/>
  <c r="R154" i="1"/>
  <c r="R7" i="13"/>
  <c r="S154" i="1"/>
  <c r="C8" i="13"/>
  <c r="D179" i="1"/>
  <c r="D8" i="13"/>
  <c r="E179" i="1"/>
  <c r="E8" i="13"/>
  <c r="F179" i="1"/>
  <c r="F8" i="13"/>
  <c r="G179" i="1"/>
  <c r="G8" i="13"/>
  <c r="H179" i="1"/>
  <c r="H8" i="13"/>
  <c r="I179" i="1"/>
  <c r="I8" i="13"/>
  <c r="J179" i="1"/>
  <c r="J8" i="13"/>
  <c r="K179" i="1"/>
  <c r="K8" i="13"/>
  <c r="L179" i="1"/>
  <c r="L8" i="13"/>
  <c r="M179" i="1"/>
  <c r="M8" i="13"/>
  <c r="N179" i="1"/>
  <c r="N8" i="13"/>
  <c r="O179" i="1"/>
  <c r="O8" i="13"/>
  <c r="P179" i="1"/>
  <c r="P8" i="13"/>
  <c r="Q179" i="1"/>
  <c r="Q8" i="13"/>
  <c r="R179" i="1"/>
  <c r="R8" i="13"/>
  <c r="S179" i="1"/>
  <c r="C9" i="13"/>
  <c r="D180" i="1"/>
  <c r="D9" i="13"/>
  <c r="E180" i="1"/>
  <c r="E9" i="13"/>
  <c r="F180" i="1"/>
  <c r="F9" i="13"/>
  <c r="G180" i="1"/>
  <c r="G9" i="13"/>
  <c r="H180" i="1"/>
  <c r="H9" i="13"/>
  <c r="I180" i="1"/>
  <c r="I9" i="13"/>
  <c r="J180" i="1"/>
  <c r="J9" i="13"/>
  <c r="K180" i="1"/>
  <c r="K9" i="13"/>
  <c r="L180" i="1"/>
  <c r="L9" i="13"/>
  <c r="M180" i="1"/>
  <c r="M9" i="13"/>
  <c r="N180" i="1"/>
  <c r="N9" i="13"/>
  <c r="O180" i="1"/>
  <c r="O9" i="13"/>
  <c r="P180" i="1"/>
  <c r="P9" i="13"/>
  <c r="Q180" i="1"/>
  <c r="Q9" i="13"/>
  <c r="R180" i="1"/>
  <c r="R9" i="13"/>
  <c r="S180" i="1"/>
  <c r="C10" i="13"/>
  <c r="D181" i="1"/>
  <c r="D10" i="13"/>
  <c r="E181" i="1"/>
  <c r="D75" i="13"/>
  <c r="E10" i="13"/>
  <c r="F181" i="1"/>
  <c r="F10" i="13"/>
  <c r="G181" i="1"/>
  <c r="G10" i="13"/>
  <c r="H181" i="1"/>
  <c r="D76" i="13"/>
  <c r="H10" i="13"/>
  <c r="I181" i="1"/>
  <c r="I10" i="13"/>
  <c r="J181" i="1"/>
  <c r="J10" i="13"/>
  <c r="K181" i="1"/>
  <c r="K10" i="13"/>
  <c r="L181" i="1"/>
  <c r="L10" i="13"/>
  <c r="M181" i="1"/>
  <c r="M10" i="13"/>
  <c r="N181" i="1"/>
  <c r="N10" i="13"/>
  <c r="O181" i="1"/>
  <c r="O10" i="13"/>
  <c r="P181" i="1"/>
  <c r="P10" i="13"/>
  <c r="Q181" i="1"/>
  <c r="Q10" i="13"/>
  <c r="R181" i="1"/>
  <c r="R10" i="13"/>
  <c r="S181" i="1"/>
  <c r="C11" i="13"/>
  <c r="D182" i="1"/>
  <c r="D11" i="13"/>
  <c r="E182" i="1"/>
  <c r="E11" i="13"/>
  <c r="F182" i="1"/>
  <c r="F11" i="13"/>
  <c r="G182" i="1"/>
  <c r="G11" i="13"/>
  <c r="H182" i="1"/>
  <c r="H11" i="13"/>
  <c r="I182" i="1"/>
  <c r="I11" i="13"/>
  <c r="J182" i="1"/>
  <c r="J11" i="13"/>
  <c r="K182" i="1"/>
  <c r="K11" i="13"/>
  <c r="L182" i="1"/>
  <c r="L11" i="13"/>
  <c r="M182" i="1"/>
  <c r="M11" i="13"/>
  <c r="N182" i="1"/>
  <c r="N11" i="13"/>
  <c r="O182" i="1"/>
  <c r="O11" i="13"/>
  <c r="P182" i="1"/>
  <c r="P11" i="13"/>
  <c r="Q182" i="1"/>
  <c r="Q11" i="13"/>
  <c r="R182" i="1"/>
  <c r="R11" i="13"/>
  <c r="S182" i="1"/>
  <c r="C180" i="1"/>
  <c r="C181" i="1"/>
  <c r="C182" i="1"/>
  <c r="C179" i="1"/>
  <c r="C153" i="1"/>
  <c r="C154" i="1"/>
  <c r="C152" i="1"/>
  <c r="C9" i="6"/>
  <c r="C10" i="6"/>
  <c r="C13" i="6"/>
  <c r="C12" i="6"/>
  <c r="D49" i="1"/>
  <c r="D9" i="6"/>
  <c r="D10" i="6"/>
  <c r="D13" i="6"/>
  <c r="D12" i="6"/>
  <c r="E49" i="1"/>
  <c r="E9" i="6"/>
  <c r="E10" i="6"/>
  <c r="E13" i="6"/>
  <c r="E12" i="6"/>
  <c r="F49" i="1"/>
  <c r="F9" i="6"/>
  <c r="F10" i="6"/>
  <c r="F13" i="6"/>
  <c r="F12" i="6"/>
  <c r="G49" i="1"/>
  <c r="G9" i="6"/>
  <c r="G10" i="6"/>
  <c r="G13" i="6"/>
  <c r="G12" i="6"/>
  <c r="H49" i="1"/>
  <c r="H9" i="6"/>
  <c r="H10" i="6"/>
  <c r="H13" i="6"/>
  <c r="H12" i="6"/>
  <c r="I49" i="1"/>
  <c r="I9" i="6"/>
  <c r="I10" i="6"/>
  <c r="I13" i="6"/>
  <c r="I12" i="6"/>
  <c r="J49" i="1"/>
  <c r="J9" i="6"/>
  <c r="J10" i="6"/>
  <c r="J13" i="6"/>
  <c r="J12" i="6"/>
  <c r="K49" i="1"/>
  <c r="K9" i="6"/>
  <c r="K10" i="6"/>
  <c r="K13" i="6"/>
  <c r="K12" i="6"/>
  <c r="L49" i="1"/>
  <c r="L9" i="6"/>
  <c r="L10" i="6"/>
  <c r="L13" i="6"/>
  <c r="L12" i="6"/>
  <c r="M49" i="1"/>
  <c r="M9" i="6"/>
  <c r="M10" i="6"/>
  <c r="M13" i="6"/>
  <c r="M12" i="6"/>
  <c r="N49" i="1"/>
  <c r="N9" i="6"/>
  <c r="N10" i="6"/>
  <c r="N13" i="6"/>
  <c r="N12" i="6"/>
  <c r="O49" i="1"/>
  <c r="O9" i="6"/>
  <c r="O10" i="6"/>
  <c r="O13" i="6"/>
  <c r="O12" i="6"/>
  <c r="P49" i="1"/>
  <c r="P9" i="6"/>
  <c r="P10" i="6"/>
  <c r="P13" i="6"/>
  <c r="P12" i="6"/>
  <c r="Q49" i="1"/>
  <c r="Q9" i="6"/>
  <c r="Q10" i="6"/>
  <c r="Q13" i="6"/>
  <c r="Q12" i="6"/>
  <c r="R49" i="1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C168" i="1"/>
  <c r="C169" i="1"/>
  <c r="C170" i="1"/>
  <c r="C171" i="1"/>
  <c r="C172" i="1"/>
  <c r="C173" i="1"/>
  <c r="C174" i="1"/>
  <c r="C175" i="1"/>
  <c r="C176" i="1"/>
  <c r="C177" i="1"/>
  <c r="C178" i="1"/>
  <c r="C167" i="1"/>
  <c r="C166" i="1"/>
  <c r="C156" i="1"/>
  <c r="C157" i="1"/>
  <c r="C158" i="1"/>
  <c r="C159" i="1"/>
  <c r="C160" i="1"/>
  <c r="C161" i="1"/>
  <c r="C162" i="1"/>
  <c r="C163" i="1"/>
  <c r="C164" i="1"/>
  <c r="C165" i="1"/>
  <c r="C155" i="1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<sst xmlns="http://schemas.openxmlformats.org/spreadsheetml/2006/main" count="2942" uniqueCount="1380">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</sst>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8"/>
  <sheetViews>
    <sheetView tabSelected="1" topLeftCell="A8" workbookViewId="0">
      <selection activeCell="C39" sqref="C3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1254</v>
      </c>
    </row>
    <row r="3" spans="1:2">
      <c r="A3" s="350" t="s">
        <v>1255</v>
      </c>
      <c r="B3" s="184" t="s">
        <v>1371</v>
      </c>
    </row>
    <row r="4" spans="1:2">
      <c r="A4" s="350" t="s">
        <v>1257</v>
      </c>
      <c r="B4" s="472">
        <v>42718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1325</v>
      </c>
      <c r="B7" s="452" t="s">
        <v>1326</v>
      </c>
    </row>
    <row r="8" spans="1:2" s="290" customFormat="1">
      <c r="A8" s="450" t="s">
        <v>1094</v>
      </c>
      <c r="B8" s="452" t="s">
        <v>1270</v>
      </c>
    </row>
    <row r="9" spans="1:2">
      <c r="A9" s="450" t="s">
        <v>1258</v>
      </c>
      <c r="B9" s="452" t="s">
        <v>1271</v>
      </c>
    </row>
    <row r="10" spans="1:2">
      <c r="A10" s="450" t="s">
        <v>1259</v>
      </c>
      <c r="B10" s="452" t="s">
        <v>1272</v>
      </c>
    </row>
    <row r="11" spans="1:2">
      <c r="A11" s="450" t="s">
        <v>14</v>
      </c>
      <c r="B11" s="452" t="s">
        <v>1273</v>
      </c>
    </row>
    <row r="12" spans="1:2">
      <c r="A12" s="450" t="s">
        <v>7</v>
      </c>
      <c r="B12" s="452" t="s">
        <v>1274</v>
      </c>
    </row>
    <row r="13" spans="1:2">
      <c r="A13" s="450" t="s">
        <v>22</v>
      </c>
      <c r="B13" s="452" t="s">
        <v>1275</v>
      </c>
    </row>
    <row r="14" spans="1:2">
      <c r="A14" s="450" t="s">
        <v>45</v>
      </c>
      <c r="B14" s="452" t="s">
        <v>1276</v>
      </c>
    </row>
    <row r="15" spans="1:2">
      <c r="A15" s="450" t="s">
        <v>50</v>
      </c>
      <c r="B15" s="452" t="s">
        <v>1277</v>
      </c>
    </row>
    <row r="16" spans="1:2">
      <c r="A16" s="450" t="s">
        <v>336</v>
      </c>
      <c r="B16" s="452" t="s">
        <v>1278</v>
      </c>
    </row>
    <row r="17" spans="1:4">
      <c r="A17" s="450" t="s">
        <v>74</v>
      </c>
      <c r="B17" s="452" t="s">
        <v>1279</v>
      </c>
    </row>
    <row r="18" spans="1:4">
      <c r="A18" s="450" t="s">
        <v>102</v>
      </c>
      <c r="B18" s="452" t="s">
        <v>1280</v>
      </c>
    </row>
    <row r="19" spans="1:4">
      <c r="A19" s="450" t="s">
        <v>1281</v>
      </c>
      <c r="B19" s="452" t="s">
        <v>1282</v>
      </c>
    </row>
    <row r="20" spans="1:4">
      <c r="A20" s="450" t="s">
        <v>1223</v>
      </c>
      <c r="B20" s="452" t="s">
        <v>1283</v>
      </c>
    </row>
    <row r="21" spans="1:4">
      <c r="A21" s="450" t="s">
        <v>1311</v>
      </c>
      <c r="B21" s="452" t="s">
        <v>1284</v>
      </c>
    </row>
    <row r="22" spans="1:4" ht="15" thickBot="1">
      <c r="A22" s="453" t="s">
        <v>1248</v>
      </c>
      <c r="B22" s="456" t="s">
        <v>1285</v>
      </c>
    </row>
    <row r="24" spans="1:4" ht="18">
      <c r="A24" s="374" t="s">
        <v>1260</v>
      </c>
    </row>
    <row r="25" spans="1:4">
      <c r="A25">
        <v>1</v>
      </c>
      <c r="B25" t="s">
        <v>1301</v>
      </c>
    </row>
    <row r="26" spans="1:4">
      <c r="A26">
        <v>2</v>
      </c>
      <c r="B26" t="s">
        <v>1302</v>
      </c>
    </row>
    <row r="27" spans="1:4">
      <c r="A27">
        <v>3</v>
      </c>
      <c r="B27" t="s">
        <v>1303</v>
      </c>
    </row>
    <row r="28" spans="1:4">
      <c r="A28">
        <v>4</v>
      </c>
      <c r="B28" t="s">
        <v>1304</v>
      </c>
    </row>
    <row r="29" spans="1:4" ht="18">
      <c r="A29" s="374" t="s">
        <v>1261</v>
      </c>
    </row>
    <row r="30" spans="1:4">
      <c r="A30" s="474" t="s">
        <v>1255</v>
      </c>
      <c r="B30" s="474" t="s">
        <v>0</v>
      </c>
      <c r="C30" s="474" t="s">
        <v>1257</v>
      </c>
      <c r="D30" s="474" t="s">
        <v>1262</v>
      </c>
    </row>
    <row r="31" spans="1:4">
      <c r="A31" t="s">
        <v>1256</v>
      </c>
      <c r="B31" t="s">
        <v>1305</v>
      </c>
      <c r="C31" s="471">
        <v>42465</v>
      </c>
      <c r="D31" t="s">
        <v>1263</v>
      </c>
    </row>
    <row r="32" spans="1:4">
      <c r="A32" t="s">
        <v>1324</v>
      </c>
      <c r="B32" s="443" t="s">
        <v>1333</v>
      </c>
      <c r="C32" s="529">
        <v>42585</v>
      </c>
      <c r="D32" t="s">
        <v>1327</v>
      </c>
    </row>
    <row r="33" spans="1:4">
      <c r="A33" s="290" t="s">
        <v>1339</v>
      </c>
      <c r="B33" s="443" t="s">
        <v>1340</v>
      </c>
      <c r="C33" s="529">
        <v>42605</v>
      </c>
      <c r="D33" t="s">
        <v>1263</v>
      </c>
    </row>
    <row r="34" spans="1:4">
      <c r="B34" t="s">
        <v>1341</v>
      </c>
      <c r="C34" s="529">
        <v>42710</v>
      </c>
      <c r="D34" t="s">
        <v>1327</v>
      </c>
    </row>
    <row r="35" spans="1:4">
      <c r="B35" t="s">
        <v>1363</v>
      </c>
      <c r="C35" s="529">
        <v>42710</v>
      </c>
      <c r="D35" t="s">
        <v>1327</v>
      </c>
    </row>
    <row r="36" spans="1:4">
      <c r="B36" t="s">
        <v>1368</v>
      </c>
      <c r="C36" s="529">
        <v>42711</v>
      </c>
      <c r="D36" t="s">
        <v>1327</v>
      </c>
    </row>
    <row r="37" spans="1:4">
      <c r="A37" t="s">
        <v>1371</v>
      </c>
      <c r="B37" t="s">
        <v>1370</v>
      </c>
      <c r="C37" s="529">
        <v>42717</v>
      </c>
      <c r="D37" t="s">
        <v>1327</v>
      </c>
    </row>
    <row r="38" spans="1:4">
      <c r="B38" t="s">
        <v>1379</v>
      </c>
      <c r="C38" s="529">
        <v>42723</v>
      </c>
      <c r="D38" t="s">
        <v>1327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H3" sqref="H3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1094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894</v>
      </c>
      <c r="E2" s="375" t="s">
        <v>1372</v>
      </c>
      <c r="F2" s="371"/>
      <c r="G2" s="372">
        <v>0</v>
      </c>
      <c r="I2" s="350" t="s">
        <v>1093</v>
      </c>
      <c r="J2" s="290"/>
      <c r="K2" s="380" t="s">
        <v>1250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1095</v>
      </c>
      <c r="G3" s="366">
        <f t="shared" ref="G3:G23" si="0">IF(F3&lt;&gt;"",E3,"")</f>
        <v>0</v>
      </c>
      <c r="H3" t="s">
        <v>1374</v>
      </c>
      <c r="J3" s="290"/>
      <c r="M3" s="290"/>
    </row>
    <row r="4" spans="1:17" ht="15" thickBot="1">
      <c r="A4" s="365" t="s">
        <v>898</v>
      </c>
      <c r="B4" s="378" t="s">
        <v>1095</v>
      </c>
      <c r="C4" s="366" t="str">
        <f>IF(B4&lt;&gt;"",A4,"")</f>
        <v>Med</v>
      </c>
      <c r="E4" s="365">
        <v>1</v>
      </c>
      <c r="F4" s="378" t="s">
        <v>1095</v>
      </c>
      <c r="G4" s="366">
        <f t="shared" si="0"/>
        <v>1</v>
      </c>
      <c r="H4" t="s">
        <v>1375</v>
      </c>
      <c r="I4" s="382" t="s">
        <v>1096</v>
      </c>
      <c r="J4" s="376"/>
      <c r="K4" s="377" t="str">
        <f>LEFT(HomeSize, 1) &amp; "_" &amp; LEFT(OccDensity,1) &amp; "_" &amp; FanSize &amp; "_" &amp; LEFT(DehumidType,1) &amp; "_" &amp; HumControl</f>
        <v>L_H_1_N_0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1095</v>
      </c>
      <c r="G5" s="366">
        <f t="shared" si="0"/>
        <v>2</v>
      </c>
      <c r="H5" t="s">
        <v>1376</v>
      </c>
      <c r="M5" s="290"/>
      <c r="N5" s="290"/>
    </row>
    <row r="6" spans="1:17" ht="15" thickBot="1">
      <c r="E6" s="369">
        <v>3</v>
      </c>
      <c r="F6" s="378" t="s">
        <v>1095</v>
      </c>
      <c r="G6" s="366">
        <f t="shared" si="0"/>
        <v>3</v>
      </c>
      <c r="H6" t="s">
        <v>1377</v>
      </c>
      <c r="I6" s="462" t="s">
        <v>1097</v>
      </c>
      <c r="J6" s="463"/>
      <c r="K6" s="463"/>
      <c r="L6" s="464" t="s">
        <v>1092</v>
      </c>
      <c r="M6" s="290"/>
      <c r="N6" s="5"/>
    </row>
    <row r="7" spans="1:17" ht="15">
      <c r="A7" s="375" t="s">
        <v>897</v>
      </c>
      <c r="B7" s="371"/>
      <c r="C7" s="372" t="s">
        <v>900</v>
      </c>
      <c r="E7" s="369">
        <v>4</v>
      </c>
      <c r="F7" s="378" t="s">
        <v>1095</v>
      </c>
      <c r="G7" s="366">
        <f t="shared" si="0"/>
        <v>4</v>
      </c>
      <c r="H7" t="s">
        <v>1378</v>
      </c>
      <c r="I7" s="383">
        <f>InputFiles!C1</f>
        <v>1</v>
      </c>
      <c r="J7" s="378" t="s">
        <v>1095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L_H_1_N_0_1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1095</v>
      </c>
      <c r="K8" s="20">
        <f t="shared" si="1"/>
        <v>2</v>
      </c>
      <c r="L8" s="465" t="str">
        <f t="shared" si="2"/>
        <v>L_H_1_N_0_2</v>
      </c>
      <c r="M8" s="140"/>
      <c r="N8" s="5"/>
    </row>
    <row r="9" spans="1:17">
      <c r="A9" s="365" t="s">
        <v>898</v>
      </c>
      <c r="B9" s="378" t="s">
        <v>1095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 t="s">
        <v>1095</v>
      </c>
      <c r="K10" s="20">
        <f t="shared" si="1"/>
        <v>4</v>
      </c>
      <c r="L10" s="465" t="str">
        <f t="shared" si="2"/>
        <v>L_H_1_N_0_4</v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1095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1095</v>
      </c>
      <c r="K13" s="20">
        <f t="shared" si="1"/>
        <v>7</v>
      </c>
      <c r="L13" s="465" t="str">
        <f t="shared" si="2"/>
        <v>L_H_1_N_0_7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1095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1095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1061</v>
      </c>
      <c r="B22" s="371"/>
      <c r="C22" s="372" t="s">
        <v>1249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1095</v>
      </c>
      <c r="K22" s="20" t="str">
        <f t="shared" si="1"/>
        <v>Orlando</v>
      </c>
      <c r="L22" s="465" t="str">
        <f t="shared" si="2"/>
        <v>L_H_1_N_0_O</v>
      </c>
      <c r="M22" s="140"/>
      <c r="N22" s="5"/>
    </row>
    <row r="23" spans="1:17" ht="15" thickBot="1">
      <c r="A23" s="365" t="s">
        <v>888</v>
      </c>
      <c r="B23" s="378" t="s">
        <v>1095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1095</v>
      </c>
      <c r="K23" s="466" t="str">
        <f t="shared" si="1"/>
        <v>Charleston</v>
      </c>
      <c r="L23" s="467" t="str">
        <f t="shared" si="2"/>
        <v>L_H_1_N_0_C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1224</v>
      </c>
      <c r="J25" s="468"/>
      <c r="K25" s="469">
        <f>COUNTA(B3:B5)*COUNTA(B8:B10)*COUNTA(B13:B14)*COUNTA(B18:B20) * COUNTA(B28:B33)*COUNTA(B36:B37)*COUNTA(F3:F23)*COUNTA(J7:J23)</f>
        <v>60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1098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1095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1095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1248</v>
      </c>
      <c r="B40" s="371"/>
      <c r="C40" s="372" t="s">
        <v>1323</v>
      </c>
    </row>
    <row r="41" spans="1:16">
      <c r="A41" s="365" t="s">
        <v>1227</v>
      </c>
      <c r="B41" s="378"/>
      <c r="C41" s="366" t="str">
        <f>IF(B41&lt;&gt;"",A41,"")</f>
        <v/>
      </c>
    </row>
    <row r="42" spans="1:16">
      <c r="A42" s="365" t="s">
        <v>1323</v>
      </c>
      <c r="B42" s="378" t="s">
        <v>1095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1"/>
  <sheetViews>
    <sheetView workbookViewId="0">
      <pane ySplit="1" topLeftCell="A139" activePane="bottomLeft" state="frozen"/>
      <selection pane="bottomLeft" activeCell="C159" sqref="C159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1103</v>
      </c>
      <c r="B1" s="290" t="s">
        <v>1115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1015</v>
      </c>
      <c r="B2" t="s">
        <v>1104</v>
      </c>
      <c r="C2" s="413" t="str">
        <f>Weather!B26</f>
        <v>722020TYA.CSV</v>
      </c>
      <c r="D2" t="s">
        <v>1006</v>
      </c>
      <c r="G2" t="s">
        <v>1223</v>
      </c>
      <c r="I2" s="350" t="s">
        <v>1265</v>
      </c>
    </row>
    <row r="3" spans="1:23">
      <c r="B3" s="290" t="s">
        <v>1002</v>
      </c>
      <c r="C3" s="412" t="str">
        <f>'Internal gains'!B24</f>
        <v>sched3.txt</v>
      </c>
      <c r="D3" t="s">
        <v>1007</v>
      </c>
      <c r="G3" t="s">
        <v>336</v>
      </c>
      <c r="I3" s="381" t="s">
        <v>1266</v>
      </c>
    </row>
    <row r="4" spans="1:23">
      <c r="B4" s="290" t="s">
        <v>1003</v>
      </c>
      <c r="C4" s="381" t="s">
        <v>1013</v>
      </c>
      <c r="D4" t="s">
        <v>1008</v>
      </c>
      <c r="G4" t="s">
        <v>11</v>
      </c>
      <c r="I4" s="412" t="s">
        <v>1289</v>
      </c>
    </row>
    <row r="5" spans="1:23">
      <c r="B5" s="290" t="s">
        <v>1004</v>
      </c>
      <c r="C5" s="381" t="s">
        <v>1012</v>
      </c>
      <c r="D5" t="s">
        <v>1009</v>
      </c>
      <c r="G5" t="s">
        <v>11</v>
      </c>
      <c r="I5" s="413" t="s">
        <v>1267</v>
      </c>
    </row>
    <row r="6" spans="1:23">
      <c r="A6" s="408"/>
      <c r="B6" s="408" t="s">
        <v>1005</v>
      </c>
      <c r="C6" s="381" t="s">
        <v>1011</v>
      </c>
      <c r="D6" s="408" t="s">
        <v>1010</v>
      </c>
      <c r="E6" s="408"/>
      <c r="F6" s="408"/>
      <c r="G6" s="408" t="s">
        <v>11</v>
      </c>
      <c r="W6" s="5"/>
    </row>
    <row r="7" spans="1:23">
      <c r="A7" s="1" t="s">
        <v>1014</v>
      </c>
      <c r="B7" t="s">
        <v>1356</v>
      </c>
      <c r="C7" s="414">
        <f>Leakage!H32</f>
        <v>4.6856257812500003E-2</v>
      </c>
      <c r="D7" t="s">
        <v>1122</v>
      </c>
      <c r="E7" t="s">
        <v>5</v>
      </c>
      <c r="F7" t="s">
        <v>6</v>
      </c>
      <c r="G7" t="s">
        <v>7</v>
      </c>
      <c r="W7" s="5"/>
    </row>
    <row r="8" spans="1:23">
      <c r="B8" t="s">
        <v>1091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1351</v>
      </c>
      <c r="C9" s="415">
        <f>VLOOKUP(Stories, InfiltrationModelCoefficients!A3:B5, 2, FALSE)</f>
        <v>0.48</v>
      </c>
      <c r="D9" s="290" t="s">
        <v>1358</v>
      </c>
      <c r="W9" s="305"/>
    </row>
    <row r="10" spans="1:23" s="290" customFormat="1">
      <c r="B10" s="263" t="s">
        <v>1344</v>
      </c>
      <c r="C10" s="415">
        <f>IF(Nflue=0,InfiltrationModelCoefficients!C10,VLOOKUP(Stories,InfiltrationModelCoefficients!A11:C13,3,FALSE))</f>
        <v>0.5</v>
      </c>
      <c r="D10" s="263" t="s">
        <v>1359</v>
      </c>
      <c r="W10" s="305"/>
    </row>
    <row r="11" spans="1:23" s="290" customFormat="1">
      <c r="B11" s="263" t="s">
        <v>1353</v>
      </c>
      <c r="C11" s="415">
        <f>IF(Nflue=0,VLOOKUP(Stories, InfiltrationModelCoefficients!A28:C30,3,FALSE),VLOOKUP(Stories,InfiltrationModelCoefficients!A31:C33,3,FALSE))</f>
        <v>5.3999999999999999E-2</v>
      </c>
      <c r="D11" s="263" t="s">
        <v>1360</v>
      </c>
      <c r="W11" s="305"/>
    </row>
    <row r="12" spans="1:23" s="290" customFormat="1">
      <c r="B12" s="263" t="s">
        <v>1357</v>
      </c>
      <c r="C12" s="415">
        <f>IF(Nflue=0,  VLOOKUP(Stories, InfiltrationModelCoefficients!A18:D20,4, FALSE), VLOOKUP(Stories, InfiltrationModelCoefficients!A21:D23, 4, FALSE))</f>
        <v>0.128</v>
      </c>
      <c r="D12" s="263" t="s">
        <v>1361</v>
      </c>
      <c r="W12" s="305"/>
    </row>
    <row r="13" spans="1:23">
      <c r="B13" t="s">
        <v>1090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1105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1290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1117</v>
      </c>
      <c r="C18" s="417">
        <f>H_flueSI</f>
        <v>4.9908333333333328</v>
      </c>
      <c r="D18" t="s">
        <v>23</v>
      </c>
      <c r="G18" t="s">
        <v>24</v>
      </c>
      <c r="W18" s="5"/>
    </row>
    <row r="19" spans="1:25">
      <c r="B19" t="s">
        <v>1118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1291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1120</v>
      </c>
      <c r="C21" s="417">
        <f>H_flueSI</f>
        <v>4.9908333333333328</v>
      </c>
      <c r="D21" t="s">
        <v>23</v>
      </c>
      <c r="G21" t="s">
        <v>24</v>
      </c>
      <c r="W21" s="5"/>
    </row>
    <row r="22" spans="1:25">
      <c r="A22" s="408"/>
      <c r="B22" s="408" t="s">
        <v>1121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1106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1107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1108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1109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1110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1111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1112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1113</v>
      </c>
      <c r="C30" s="418">
        <f>C26</f>
        <v>0.16666666666666666</v>
      </c>
      <c r="D30" s="408" t="s">
        <v>1128</v>
      </c>
      <c r="E30" s="408"/>
      <c r="F30" s="408"/>
      <c r="G30" s="408" t="s">
        <v>7</v>
      </c>
    </row>
    <row r="31" spans="1:25">
      <c r="B31" t="s">
        <v>1114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1123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1217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1124</v>
      </c>
      <c r="C34" s="404" t="s">
        <v>884</v>
      </c>
      <c r="D34" t="s">
        <v>1264</v>
      </c>
      <c r="G34" t="s">
        <v>11</v>
      </c>
    </row>
    <row r="35" spans="1:7">
      <c r="B35" t="s">
        <v>1125</v>
      </c>
      <c r="C35" s="419">
        <f>V_houseSI</f>
        <v>749.70012499999996</v>
      </c>
      <c r="D35" t="s">
        <v>41</v>
      </c>
      <c r="G35" t="s">
        <v>14</v>
      </c>
    </row>
    <row r="36" spans="1:7">
      <c r="B36" t="s">
        <v>1126</v>
      </c>
      <c r="C36" s="419">
        <f>A_houseSI</f>
        <v>299.88004999999998</v>
      </c>
      <c r="D36" t="s">
        <v>42</v>
      </c>
      <c r="E36" t="s">
        <v>1129</v>
      </c>
      <c r="F36" t="s">
        <v>43</v>
      </c>
      <c r="G36" t="s">
        <v>14</v>
      </c>
    </row>
    <row r="37" spans="1:7">
      <c r="B37" t="s">
        <v>1127</v>
      </c>
      <c r="C37" s="419">
        <f>planareaSI</f>
        <v>299.88004999999998</v>
      </c>
      <c r="D37" t="s">
        <v>437</v>
      </c>
      <c r="G37" t="s">
        <v>14</v>
      </c>
    </row>
    <row r="38" spans="1:7">
      <c r="B38" t="s">
        <v>1016</v>
      </c>
      <c r="C38" s="419">
        <f>Geometry!D13</f>
        <v>2.5</v>
      </c>
      <c r="D38" t="s">
        <v>1017</v>
      </c>
      <c r="G38" s="290" t="s">
        <v>14</v>
      </c>
    </row>
    <row r="39" spans="1:7">
      <c r="B39" t="s">
        <v>1130</v>
      </c>
      <c r="C39" s="420">
        <f>UA!F11</f>
        <v>64.30235473859382</v>
      </c>
      <c r="D39" t="s">
        <v>1058</v>
      </c>
      <c r="E39" t="s">
        <v>1135</v>
      </c>
      <c r="F39" t="s">
        <v>44</v>
      </c>
      <c r="G39" t="s">
        <v>45</v>
      </c>
    </row>
    <row r="40" spans="1:7">
      <c r="B40" t="s">
        <v>1131</v>
      </c>
      <c r="C40" s="420">
        <f>UA!F13</f>
        <v>130.97837876153847</v>
      </c>
      <c r="D40" t="s">
        <v>1059</v>
      </c>
      <c r="E40" t="s">
        <v>1136</v>
      </c>
      <c r="F40" t="s">
        <v>44</v>
      </c>
      <c r="G40" t="s">
        <v>45</v>
      </c>
    </row>
    <row r="41" spans="1:7">
      <c r="A41" s="408"/>
      <c r="B41" s="408" t="s">
        <v>1132</v>
      </c>
      <c r="C41" s="421">
        <f>UA!F12</f>
        <v>136.21751391199999</v>
      </c>
      <c r="D41" s="408" t="s">
        <v>1060</v>
      </c>
      <c r="E41" s="408" t="s">
        <v>1137</v>
      </c>
      <c r="F41" s="408"/>
      <c r="G41" s="408" t="s">
        <v>45</v>
      </c>
    </row>
    <row r="42" spans="1:7">
      <c r="A42" s="290" t="s">
        <v>46</v>
      </c>
      <c r="B42" t="s">
        <v>1133</v>
      </c>
      <c r="C42" s="409">
        <v>0</v>
      </c>
      <c r="D42" t="s">
        <v>47</v>
      </c>
      <c r="G42" t="s">
        <v>11</v>
      </c>
    </row>
    <row r="43" spans="1:7">
      <c r="B43" t="s">
        <v>1018</v>
      </c>
      <c r="C43" s="404">
        <v>0</v>
      </c>
    </row>
    <row r="44" spans="1:7">
      <c r="B44" t="s">
        <v>1019</v>
      </c>
      <c r="C44" s="404">
        <v>0</v>
      </c>
    </row>
    <row r="45" spans="1:7">
      <c r="B45" t="s">
        <v>1020</v>
      </c>
      <c r="C45" s="404">
        <v>0</v>
      </c>
    </row>
    <row r="46" spans="1:7">
      <c r="B46" t="s">
        <v>1021</v>
      </c>
      <c r="C46" s="404">
        <v>0</v>
      </c>
    </row>
    <row r="47" spans="1:7">
      <c r="A47" s="408"/>
      <c r="B47" s="408" t="s">
        <v>1022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1134</v>
      </c>
      <c r="C48" s="409">
        <v>6</v>
      </c>
      <c r="D48" t="s">
        <v>49</v>
      </c>
      <c r="G48" t="s">
        <v>11</v>
      </c>
    </row>
    <row r="49" spans="2:7">
      <c r="B49" t="s">
        <v>1140</v>
      </c>
      <c r="C49" s="422">
        <f>Fans!B12</f>
        <v>0</v>
      </c>
      <c r="D49" t="s">
        <v>694</v>
      </c>
      <c r="G49" t="s">
        <v>50</v>
      </c>
    </row>
    <row r="50" spans="2:7">
      <c r="B50" t="s">
        <v>1138</v>
      </c>
      <c r="C50" s="427">
        <f>Fans!B13</f>
        <v>-0.1589299753892672</v>
      </c>
      <c r="D50" t="s">
        <v>51</v>
      </c>
      <c r="G50" t="s">
        <v>50</v>
      </c>
    </row>
    <row r="51" spans="2:7">
      <c r="B51" s="408" t="s">
        <v>1139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1141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1142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1143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1144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1145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1146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1147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1148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1149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1150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1151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1152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1153</v>
      </c>
      <c r="C64" s="415">
        <f>IF(Fans!B6&gt;2,Fans!I17,0)</f>
        <v>10.199999999999999</v>
      </c>
      <c r="D64" t="s">
        <v>703</v>
      </c>
      <c r="G64" s="290" t="s">
        <v>50</v>
      </c>
    </row>
    <row r="65" spans="1:7">
      <c r="B65" s="290" t="s">
        <v>1154</v>
      </c>
      <c r="C65" s="423">
        <f>IF(Fans!B6&gt;2,Fans!C17,0)</f>
        <v>-2.3596035865974516E-2</v>
      </c>
      <c r="D65" t="s">
        <v>566</v>
      </c>
      <c r="G65" s="290" t="s">
        <v>50</v>
      </c>
    </row>
    <row r="66" spans="1:7">
      <c r="B66" s="408" t="s">
        <v>1155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1156</v>
      </c>
      <c r="C67" s="411">
        <v>0</v>
      </c>
      <c r="D67" t="s">
        <v>1222</v>
      </c>
      <c r="G67" s="290"/>
    </row>
    <row r="68" spans="1:7">
      <c r="B68" s="290" t="s">
        <v>1157</v>
      </c>
      <c r="C68" s="405">
        <v>0</v>
      </c>
      <c r="D68" t="s">
        <v>566</v>
      </c>
      <c r="G68" s="290"/>
    </row>
    <row r="69" spans="1:7">
      <c r="B69" s="408" t="s">
        <v>1158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1159</v>
      </c>
      <c r="C70" s="411">
        <v>0</v>
      </c>
      <c r="D70" t="s">
        <v>1221</v>
      </c>
      <c r="G70" s="290"/>
    </row>
    <row r="71" spans="1:7">
      <c r="B71" s="290" t="s">
        <v>1160</v>
      </c>
      <c r="C71" s="405">
        <v>0</v>
      </c>
      <c r="D71" t="s">
        <v>566</v>
      </c>
      <c r="G71" s="290"/>
    </row>
    <row r="72" spans="1:7">
      <c r="A72" s="408"/>
      <c r="B72" s="408" t="s">
        <v>1161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29.988005000000001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14.994002500000001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14.994002500000001</v>
      </c>
      <c r="D75" t="s">
        <v>542</v>
      </c>
      <c r="E75" t="s">
        <v>62</v>
      </c>
      <c r="G75" t="s">
        <v>14</v>
      </c>
    </row>
    <row r="76" spans="1:7">
      <c r="B76" t="s">
        <v>1162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1163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1164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1165</v>
      </c>
      <c r="C79" s="425">
        <f>'Internal gains'!D12</f>
        <v>1.3657407407407409E-4</v>
      </c>
      <c r="D79" t="s">
        <v>67</v>
      </c>
      <c r="G79" t="s">
        <v>68</v>
      </c>
    </row>
    <row r="80" spans="1:7">
      <c r="A80" s="408"/>
      <c r="B80" s="408" t="s">
        <v>1166</v>
      </c>
      <c r="C80" s="426">
        <f>'Internal gains'!D6</f>
        <v>1097.5090051191244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1167</v>
      </c>
      <c r="C81" s="419">
        <f>Geometry!D25</f>
        <v>306.00260102083325</v>
      </c>
      <c r="D81" t="s">
        <v>543</v>
      </c>
      <c r="G81" s="290" t="s">
        <v>14</v>
      </c>
    </row>
    <row r="82" spans="1:7">
      <c r="B82" t="s">
        <v>1168</v>
      </c>
      <c r="C82" s="417">
        <f>Attic!D15</f>
        <v>0.5660247946157696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1169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1170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1171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1172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1173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1174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1175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1176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1177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1178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1179</v>
      </c>
      <c r="C93" s="409">
        <v>2</v>
      </c>
      <c r="D93" t="s">
        <v>88</v>
      </c>
      <c r="G93" t="s">
        <v>11</v>
      </c>
    </row>
    <row r="94" spans="1:7">
      <c r="B94" t="s">
        <v>1293</v>
      </c>
      <c r="C94" s="404">
        <v>1</v>
      </c>
      <c r="D94" t="s">
        <v>89</v>
      </c>
      <c r="G94" t="s">
        <v>74</v>
      </c>
    </row>
    <row r="95" spans="1:7">
      <c r="B95" t="s">
        <v>1294</v>
      </c>
      <c r="C95" s="417">
        <f>H_attic.ventSI</f>
        <v>3.970416666666666</v>
      </c>
      <c r="D95" t="s">
        <v>90</v>
      </c>
      <c r="G95" s="290" t="s">
        <v>14</v>
      </c>
    </row>
    <row r="96" spans="1:7">
      <c r="B96" t="s">
        <v>1295</v>
      </c>
      <c r="C96" s="417">
        <f>Attic!D12*Attic!D19*2</f>
        <v>0.27988804666666661</v>
      </c>
      <c r="D96" t="s">
        <v>91</v>
      </c>
      <c r="G96" t="s">
        <v>74</v>
      </c>
    </row>
    <row r="97" spans="1:7">
      <c r="B97" s="408" t="s">
        <v>1296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1297</v>
      </c>
      <c r="C98" s="409">
        <v>3</v>
      </c>
      <c r="D98" t="s">
        <v>89</v>
      </c>
      <c r="G98" t="s">
        <v>11</v>
      </c>
    </row>
    <row r="99" spans="1:7">
      <c r="B99" s="290" t="s">
        <v>1298</v>
      </c>
      <c r="C99" s="417">
        <f>H_attic.ventSI</f>
        <v>3.970416666666666</v>
      </c>
      <c r="D99" t="s">
        <v>90</v>
      </c>
      <c r="G99" s="290" t="s">
        <v>14</v>
      </c>
    </row>
    <row r="100" spans="1:7">
      <c r="B100" s="290" t="s">
        <v>1299</v>
      </c>
      <c r="C100" s="417">
        <f>Attic!D12*Attic!D21*2</f>
        <v>7.9968013333333324E-2</v>
      </c>
      <c r="D100" t="s">
        <v>91</v>
      </c>
      <c r="G100" t="s">
        <v>74</v>
      </c>
    </row>
    <row r="101" spans="1:7">
      <c r="A101" s="408"/>
      <c r="B101" s="408" t="s">
        <v>1300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1180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1181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1182</v>
      </c>
      <c r="C104" s="419">
        <f>H_peak</f>
        <v>4.9908333333333328</v>
      </c>
      <c r="D104" s="305" t="s">
        <v>448</v>
      </c>
      <c r="E104" s="305"/>
      <c r="F104" s="305"/>
      <c r="G104" s="3" t="s">
        <v>14</v>
      </c>
    </row>
    <row r="105" spans="1:7">
      <c r="B105" t="s">
        <v>1183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1184</v>
      </c>
    </row>
    <row r="107" spans="1:7">
      <c r="B107" t="s">
        <v>1185</v>
      </c>
    </row>
    <row r="108" spans="1:7">
      <c r="B108" t="s">
        <v>1186</v>
      </c>
    </row>
    <row r="109" spans="1:7">
      <c r="B109" t="s">
        <v>1187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1188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1189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1190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1191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1328</v>
      </c>
      <c r="C116" s="424">
        <f>Ducts!D18</f>
        <v>0</v>
      </c>
      <c r="D116" s="313" t="s">
        <v>1330</v>
      </c>
      <c r="E116" s="305"/>
      <c r="F116" s="305"/>
      <c r="G116" s="3" t="s">
        <v>102</v>
      </c>
    </row>
    <row r="117" spans="1:7">
      <c r="B117" t="s">
        <v>1329</v>
      </c>
      <c r="C117" s="424">
        <f>Ducts!D19</f>
        <v>0</v>
      </c>
      <c r="D117" s="313" t="s">
        <v>1331</v>
      </c>
      <c r="E117" s="305"/>
      <c r="F117" s="305"/>
      <c r="G117" s="3" t="s">
        <v>102</v>
      </c>
    </row>
    <row r="118" spans="1:7">
      <c r="B118" t="s">
        <v>1192</v>
      </c>
      <c r="C118" s="419">
        <f>Ducts!D16</f>
        <v>103.09454084025489</v>
      </c>
      <c r="D118" s="305" t="s">
        <v>108</v>
      </c>
      <c r="E118" s="305"/>
      <c r="F118" s="305"/>
      <c r="G118" s="3" t="s">
        <v>102</v>
      </c>
    </row>
    <row r="119" spans="1:7">
      <c r="B119" t="s">
        <v>1193</v>
      </c>
      <c r="C119" s="419">
        <f>Ducts!D17</f>
        <v>10.606434242824577</v>
      </c>
      <c r="D119" s="305" t="s">
        <v>109</v>
      </c>
      <c r="E119" s="305"/>
      <c r="F119" s="305"/>
      <c r="G119" s="3" t="s">
        <v>102</v>
      </c>
    </row>
    <row r="120" spans="1:7">
      <c r="B120" t="s">
        <v>1194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1195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1196</v>
      </c>
      <c r="C122" s="427">
        <f>HVAC!C27</f>
        <v>0.41908932956160005</v>
      </c>
      <c r="D122" s="305" t="s">
        <v>732</v>
      </c>
      <c r="E122" s="305" t="str">
        <f>"q=" &amp;TEXT(Inputs!C122/0.3048^3*60,"0")&amp; " CFM"</f>
        <v>q=888 CFM</v>
      </c>
      <c r="F122" s="305"/>
      <c r="G122" s="3" t="s">
        <v>111</v>
      </c>
    </row>
    <row r="123" spans="1:7">
      <c r="B123" t="s">
        <v>1197</v>
      </c>
      <c r="C123" s="427">
        <f>HVAC!C28</f>
        <v>0.39641340254837187</v>
      </c>
      <c r="D123" s="305" t="s">
        <v>112</v>
      </c>
      <c r="E123" s="305" t="str">
        <f>"q=" &amp;TEXT(Inputs!C123/0.3048^3*60,"0")&amp; " CFM"</f>
        <v>q=840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2.5</v>
      </c>
      <c r="D128" s="305" t="s">
        <v>121</v>
      </c>
      <c r="E128" s="305" t="str">
        <f>"= "&amp;TEXT(Inputs!C128*12*1055/1000,"0.0")&amp;"kJ"</f>
        <v>= 31.7kJ</v>
      </c>
      <c r="F128" s="305"/>
      <c r="G128" s="3" t="s">
        <v>111</v>
      </c>
    </row>
    <row r="129" spans="1:7">
      <c r="B129" t="s">
        <v>444</v>
      </c>
      <c r="C129" s="431">
        <f>HVAC!C25</f>
        <v>30</v>
      </c>
      <c r="D129" s="305" t="s">
        <v>122</v>
      </c>
      <c r="E129" s="305" t="str">
        <f>"= "&amp;TEXT(Inputs!C129*1055*1000/(3600)/1000,"0.0")&amp;"kW"</f>
        <v>= 8.8kW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1198</v>
      </c>
      <c r="C131" s="428">
        <f>HVAC!C26</f>
        <v>50</v>
      </c>
      <c r="D131" s="305" t="s">
        <v>125</v>
      </c>
      <c r="E131" s="305" t="str">
        <f>"= "&amp;TEXT(Inputs!C131*1055*1000/(3600)/1000,"0.0")&amp;"kW"</f>
        <v>= 14.7kW</v>
      </c>
      <c r="F131" s="305"/>
      <c r="G131" s="3" t="s">
        <v>111</v>
      </c>
    </row>
    <row r="132" spans="1:7">
      <c r="B132" t="s">
        <v>1199</v>
      </c>
      <c r="C132" s="428">
        <f>HVAC!C30</f>
        <v>140.28</v>
      </c>
      <c r="D132" s="305" t="s">
        <v>494</v>
      </c>
      <c r="E132" s="305"/>
      <c r="F132" s="305"/>
      <c r="G132" s="3" t="s">
        <v>111</v>
      </c>
    </row>
    <row r="133" spans="1:7">
      <c r="B133" t="s">
        <v>1200</v>
      </c>
      <c r="C133" s="428">
        <f>HVAC!C29</f>
        <v>148.3043983199521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1218</v>
      </c>
      <c r="B136" t="s">
        <v>1201</v>
      </c>
      <c r="C136" s="434">
        <f>Nbedrooms</f>
        <v>5</v>
      </c>
      <c r="D136" t="s">
        <v>672</v>
      </c>
      <c r="G136" s="407" t="s">
        <v>336</v>
      </c>
    </row>
    <row r="137" spans="1:7">
      <c r="B137" t="s">
        <v>1202</v>
      </c>
      <c r="C137" s="435">
        <f>Stories</f>
        <v>1</v>
      </c>
      <c r="D137" t="s">
        <v>739</v>
      </c>
      <c r="G137" s="407" t="s">
        <v>1205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1223</v>
      </c>
    </row>
    <row r="139" spans="1:7">
      <c r="B139" t="s">
        <v>1023</v>
      </c>
      <c r="C139" s="404">
        <v>2</v>
      </c>
      <c r="D139" t="s">
        <v>1032</v>
      </c>
      <c r="E139" t="s">
        <v>1041</v>
      </c>
    </row>
    <row r="140" spans="1:7">
      <c r="B140" t="s">
        <v>1364</v>
      </c>
      <c r="C140" s="404">
        <f>Qtot/1000*3600/V_houseSI</f>
        <v>0.31684031932100853</v>
      </c>
      <c r="D140" t="s">
        <v>1365</v>
      </c>
    </row>
    <row r="141" spans="1:7" s="290" customFormat="1">
      <c r="B141" s="290" t="s">
        <v>1366</v>
      </c>
      <c r="C141" s="404">
        <v>1</v>
      </c>
      <c r="D141" s="290" t="s">
        <v>1369</v>
      </c>
      <c r="E141" s="290" t="s">
        <v>1367</v>
      </c>
    </row>
    <row r="142" spans="1:7">
      <c r="A142" s="408"/>
      <c r="B142" s="408" t="s">
        <v>1024</v>
      </c>
      <c r="C142" s="404">
        <v>1</v>
      </c>
      <c r="D142" s="408" t="s">
        <v>1033</v>
      </c>
      <c r="E142" s="408" t="s">
        <v>1042</v>
      </c>
      <c r="F142" s="408"/>
      <c r="G142" s="408"/>
    </row>
    <row r="143" spans="1:7">
      <c r="A143" s="290" t="s">
        <v>1219</v>
      </c>
      <c r="B143" t="s">
        <v>1025</v>
      </c>
      <c r="C143" s="409">
        <v>0.82</v>
      </c>
      <c r="D143" t="s">
        <v>1034</v>
      </c>
    </row>
    <row r="144" spans="1:7">
      <c r="B144" t="s">
        <v>1026</v>
      </c>
      <c r="C144" s="404">
        <v>0.63</v>
      </c>
      <c r="D144" t="s">
        <v>1035</v>
      </c>
      <c r="E144" t="s">
        <v>1043</v>
      </c>
    </row>
    <row r="145" spans="1:7">
      <c r="B145" t="s">
        <v>1027</v>
      </c>
      <c r="C145" s="404">
        <v>0.51</v>
      </c>
      <c r="D145" t="s">
        <v>1036</v>
      </c>
      <c r="E145" t="s">
        <v>1043</v>
      </c>
    </row>
    <row r="146" spans="1:7">
      <c r="B146" t="s">
        <v>1028</v>
      </c>
      <c r="C146" s="404">
        <v>0</v>
      </c>
      <c r="D146" t="s">
        <v>1037</v>
      </c>
      <c r="E146" t="s">
        <v>1044</v>
      </c>
    </row>
    <row r="147" spans="1:7">
      <c r="B147" t="s">
        <v>1029</v>
      </c>
      <c r="C147" s="404">
        <v>8</v>
      </c>
      <c r="D147" t="s">
        <v>1038</v>
      </c>
      <c r="E147" t="s">
        <v>1045</v>
      </c>
    </row>
    <row r="148" spans="1:7">
      <c r="B148" t="s">
        <v>1030</v>
      </c>
      <c r="C148" s="404">
        <v>0</v>
      </c>
      <c r="D148" t="s">
        <v>1039</v>
      </c>
      <c r="E148" t="s">
        <v>1046</v>
      </c>
    </row>
    <row r="149" spans="1:7">
      <c r="A149" s="408"/>
      <c r="B149" s="408" t="s">
        <v>1031</v>
      </c>
      <c r="C149" s="404">
        <v>1</v>
      </c>
      <c r="D149" s="408" t="s">
        <v>1040</v>
      </c>
      <c r="E149" s="408" t="s">
        <v>1047</v>
      </c>
      <c r="F149" s="408"/>
      <c r="G149" s="408"/>
    </row>
    <row r="150" spans="1:7">
      <c r="A150" s="290" t="s">
        <v>879</v>
      </c>
      <c r="B150" t="s">
        <v>928</v>
      </c>
      <c r="C150" s="436">
        <f>IF(HumControl=0,0,1)</f>
        <v>0</v>
      </c>
      <c r="D150" t="s">
        <v>931</v>
      </c>
      <c r="E150" t="s">
        <v>882</v>
      </c>
    </row>
    <row r="151" spans="1:7">
      <c r="B151" t="s">
        <v>1372</v>
      </c>
      <c r="C151" s="436">
        <f>HumControl</f>
        <v>0</v>
      </c>
      <c r="D151" t="s">
        <v>1373</v>
      </c>
      <c r="G151" t="s">
        <v>1216</v>
      </c>
    </row>
    <row r="152" spans="1:7">
      <c r="B152" t="s">
        <v>930</v>
      </c>
      <c r="C152" s="441">
        <f>Humidity!B5</f>
        <v>1.8143650428724283E-2</v>
      </c>
      <c r="D152" t="s">
        <v>932</v>
      </c>
      <c r="E152">
        <v>13</v>
      </c>
      <c r="G152" t="s">
        <v>1311</v>
      </c>
    </row>
    <row r="153" spans="1:7">
      <c r="B153" t="s">
        <v>933</v>
      </c>
      <c r="C153" s="441">
        <f>Humidity!B6</f>
        <v>0</v>
      </c>
      <c r="D153" t="s">
        <v>943</v>
      </c>
      <c r="E153" t="s">
        <v>1089</v>
      </c>
      <c r="G153" t="s">
        <v>1311</v>
      </c>
    </row>
    <row r="154" spans="1:7">
      <c r="B154" s="408" t="s">
        <v>934</v>
      </c>
      <c r="C154" s="442">
        <f>Humidity!B7</f>
        <v>0</v>
      </c>
      <c r="D154" s="408" t="s">
        <v>944</v>
      </c>
      <c r="E154" s="408" t="s">
        <v>1089</v>
      </c>
      <c r="F154" s="408"/>
      <c r="G154" s="408" t="s">
        <v>1311</v>
      </c>
    </row>
    <row r="155" spans="1:7">
      <c r="B155" s="305" t="s">
        <v>961</v>
      </c>
      <c r="C155" s="437">
        <f>Humidity!B42</f>
        <v>7.6169999999999996E-3</v>
      </c>
      <c r="D155" s="305" t="s">
        <v>985</v>
      </c>
      <c r="E155" s="305">
        <v>14</v>
      </c>
      <c r="G155" t="s">
        <v>1311</v>
      </c>
    </row>
    <row r="156" spans="1:7">
      <c r="B156" s="305" t="s">
        <v>962</v>
      </c>
      <c r="C156" s="437">
        <f>Humidity!B43</f>
        <v>7.8799999999999999E-3</v>
      </c>
      <c r="D156" s="305" t="s">
        <v>985</v>
      </c>
      <c r="E156" s="305">
        <v>14</v>
      </c>
      <c r="G156" t="s">
        <v>1311</v>
      </c>
    </row>
    <row r="157" spans="1:7">
      <c r="B157" s="305" t="s">
        <v>963</v>
      </c>
      <c r="C157" s="437">
        <f>Humidity!B44</f>
        <v>8.541E-3</v>
      </c>
      <c r="D157" s="305" t="s">
        <v>985</v>
      </c>
      <c r="E157" s="305">
        <v>14</v>
      </c>
      <c r="G157" t="s">
        <v>1311</v>
      </c>
    </row>
    <row r="158" spans="1:7">
      <c r="B158" s="305" t="s">
        <v>964</v>
      </c>
      <c r="C158" s="437">
        <f>Humidity!B45</f>
        <v>1.1350000000000001E-2</v>
      </c>
      <c r="D158" s="305" t="s">
        <v>985</v>
      </c>
      <c r="E158" s="305">
        <v>14</v>
      </c>
      <c r="G158" t="s">
        <v>1311</v>
      </c>
    </row>
    <row r="159" spans="1:7">
      <c r="B159" s="305" t="s">
        <v>965</v>
      </c>
      <c r="C159" s="437">
        <f>Humidity!B46</f>
        <v>1.4200000000000001E-2</v>
      </c>
      <c r="D159" s="305" t="s">
        <v>985</v>
      </c>
      <c r="E159" s="305">
        <v>14</v>
      </c>
      <c r="G159" t="s">
        <v>1311</v>
      </c>
    </row>
    <row r="160" spans="1:7">
      <c r="B160" s="305" t="s">
        <v>966</v>
      </c>
      <c r="C160" s="437">
        <f>Humidity!B47</f>
        <v>1.6289999999999999E-2</v>
      </c>
      <c r="D160" s="305" t="s">
        <v>985</v>
      </c>
      <c r="E160" s="305">
        <v>14</v>
      </c>
      <c r="G160" t="s">
        <v>1311</v>
      </c>
    </row>
    <row r="161" spans="2:7">
      <c r="B161" s="305" t="s">
        <v>967</v>
      </c>
      <c r="C161" s="437">
        <f>Humidity!B48</f>
        <v>1.6670000000000001E-2</v>
      </c>
      <c r="D161" s="305" t="s">
        <v>985</v>
      </c>
      <c r="E161" s="305">
        <v>14</v>
      </c>
      <c r="G161" t="s">
        <v>1311</v>
      </c>
    </row>
    <row r="162" spans="2:7">
      <c r="B162" s="305" t="s">
        <v>968</v>
      </c>
      <c r="C162" s="437">
        <f>Humidity!B49</f>
        <v>1.686E-2</v>
      </c>
      <c r="D162" s="305" t="s">
        <v>985</v>
      </c>
      <c r="E162" s="305">
        <v>14</v>
      </c>
      <c r="G162" t="s">
        <v>1311</v>
      </c>
    </row>
    <row r="163" spans="2:7">
      <c r="B163" s="305" t="s">
        <v>969</v>
      </c>
      <c r="C163" s="437">
        <f>Humidity!B50</f>
        <v>1.6320000000000001E-2</v>
      </c>
      <c r="D163" s="305" t="s">
        <v>985</v>
      </c>
      <c r="E163" s="305">
        <v>14</v>
      </c>
      <c r="G163" t="s">
        <v>1311</v>
      </c>
    </row>
    <row r="164" spans="2:7">
      <c r="B164" s="305" t="s">
        <v>970</v>
      </c>
      <c r="C164" s="437">
        <f>Humidity!B51</f>
        <v>1.4590000000000001E-2</v>
      </c>
      <c r="D164" s="305" t="s">
        <v>985</v>
      </c>
      <c r="E164" s="305">
        <v>14</v>
      </c>
      <c r="G164" t="s">
        <v>1311</v>
      </c>
    </row>
    <row r="165" spans="2:7">
      <c r="B165" s="305" t="s">
        <v>971</v>
      </c>
      <c r="C165" s="437">
        <f>Humidity!B52</f>
        <v>1.225E-2</v>
      </c>
      <c r="D165" s="305" t="s">
        <v>985</v>
      </c>
      <c r="E165" s="305">
        <v>14</v>
      </c>
      <c r="G165" t="s">
        <v>1311</v>
      </c>
    </row>
    <row r="166" spans="2:7">
      <c r="B166" s="104" t="s">
        <v>972</v>
      </c>
      <c r="C166" s="438">
        <f>Humidity!B53</f>
        <v>8.7150000000000005E-3</v>
      </c>
      <c r="D166" s="104" t="s">
        <v>985</v>
      </c>
      <c r="E166" s="104">
        <v>14</v>
      </c>
      <c r="F166" s="408"/>
      <c r="G166" s="408" t="s">
        <v>1311</v>
      </c>
    </row>
    <row r="167" spans="2:7">
      <c r="B167" s="305" t="s">
        <v>973</v>
      </c>
      <c r="C167" s="439">
        <f>Humidity!B59</f>
        <v>1.3089999999999999E-2</v>
      </c>
      <c r="D167" s="305" t="s">
        <v>986</v>
      </c>
      <c r="E167" s="305">
        <v>14</v>
      </c>
      <c r="G167" t="s">
        <v>1311</v>
      </c>
    </row>
    <row r="168" spans="2:7">
      <c r="B168" s="305" t="s">
        <v>974</v>
      </c>
      <c r="C168" s="439">
        <f>Humidity!B60</f>
        <v>1.312E-2</v>
      </c>
      <c r="D168" s="305" t="s">
        <v>986</v>
      </c>
      <c r="E168" s="305">
        <v>14</v>
      </c>
      <c r="G168" t="s">
        <v>1311</v>
      </c>
    </row>
    <row r="169" spans="2:7">
      <c r="B169" s="305" t="s">
        <v>975</v>
      </c>
      <c r="C169" s="439">
        <f>Humidity!B61</f>
        <v>1.418E-2</v>
      </c>
      <c r="D169" s="305" t="s">
        <v>986</v>
      </c>
      <c r="E169" s="305">
        <v>14</v>
      </c>
      <c r="G169" t="s">
        <v>1311</v>
      </c>
    </row>
    <row r="170" spans="2:7">
      <c r="B170" s="305" t="s">
        <v>976</v>
      </c>
      <c r="C170" s="439">
        <f>Humidity!B62</f>
        <v>1.405E-2</v>
      </c>
      <c r="D170" s="305" t="s">
        <v>986</v>
      </c>
      <c r="E170" s="305">
        <v>14</v>
      </c>
      <c r="G170" t="s">
        <v>1311</v>
      </c>
    </row>
    <row r="171" spans="2:7">
      <c r="B171" s="305" t="s">
        <v>977</v>
      </c>
      <c r="C171" s="439">
        <f>Humidity!B63</f>
        <v>1.6299999999999999E-2</v>
      </c>
      <c r="D171" s="305" t="s">
        <v>986</v>
      </c>
      <c r="E171" s="305">
        <v>14</v>
      </c>
      <c r="G171" t="s">
        <v>1311</v>
      </c>
    </row>
    <row r="172" spans="2:7">
      <c r="B172" s="305" t="s">
        <v>978</v>
      </c>
      <c r="C172" s="439">
        <f>Humidity!B64</f>
        <v>1.805E-2</v>
      </c>
      <c r="D172" s="305" t="s">
        <v>986</v>
      </c>
      <c r="E172" s="305">
        <v>14</v>
      </c>
      <c r="G172" t="s">
        <v>1311</v>
      </c>
    </row>
    <row r="173" spans="2:7">
      <c r="B173" s="305" t="s">
        <v>979</v>
      </c>
      <c r="C173" s="439">
        <f>Humidity!B65</f>
        <v>1.8460000000000001E-2</v>
      </c>
      <c r="D173" s="305" t="s">
        <v>986</v>
      </c>
      <c r="E173" s="305">
        <v>14</v>
      </c>
      <c r="G173" t="s">
        <v>1311</v>
      </c>
    </row>
    <row r="174" spans="2:7">
      <c r="B174" s="305" t="s">
        <v>980</v>
      </c>
      <c r="C174" s="439">
        <f>Humidity!B66</f>
        <v>1.8519999999999998E-2</v>
      </c>
      <c r="D174" s="305" t="s">
        <v>986</v>
      </c>
      <c r="E174" s="305">
        <v>14</v>
      </c>
      <c r="G174" t="s">
        <v>1311</v>
      </c>
    </row>
    <row r="175" spans="2:7">
      <c r="B175" s="305" t="s">
        <v>981</v>
      </c>
      <c r="C175" s="439">
        <f>Humidity!B67</f>
        <v>1.8010000000000002E-2</v>
      </c>
      <c r="D175" s="305" t="s">
        <v>986</v>
      </c>
      <c r="E175" s="305">
        <v>14</v>
      </c>
      <c r="G175" t="s">
        <v>1311</v>
      </c>
    </row>
    <row r="176" spans="2:7">
      <c r="B176" s="305" t="s">
        <v>982</v>
      </c>
      <c r="C176" s="439">
        <f>Humidity!B68</f>
        <v>1.7479999999999999E-2</v>
      </c>
      <c r="D176" s="305" t="s">
        <v>986</v>
      </c>
      <c r="E176" s="305">
        <v>14</v>
      </c>
      <c r="G176" t="s">
        <v>1311</v>
      </c>
    </row>
    <row r="177" spans="1:7">
      <c r="B177" s="305" t="s">
        <v>983</v>
      </c>
      <c r="C177" s="439">
        <f>Humidity!B69</f>
        <v>1.6619999999999999E-2</v>
      </c>
      <c r="D177" s="305" t="s">
        <v>986</v>
      </c>
      <c r="E177" s="305">
        <v>14</v>
      </c>
      <c r="G177" t="s">
        <v>1311</v>
      </c>
    </row>
    <row r="178" spans="1:7">
      <c r="B178" s="104" t="s">
        <v>984</v>
      </c>
      <c r="C178" s="440">
        <f>Humidity!B70</f>
        <v>1.452E-2</v>
      </c>
      <c r="D178" s="104" t="s">
        <v>986</v>
      </c>
      <c r="E178" s="104">
        <v>14</v>
      </c>
      <c r="F178" s="408"/>
      <c r="G178" s="408" t="s">
        <v>1311</v>
      </c>
    </row>
    <row r="179" spans="1:7">
      <c r="B179" s="305" t="s">
        <v>1062</v>
      </c>
      <c r="C179" s="413">
        <f>Humidity!B8</f>
        <v>0</v>
      </c>
      <c r="D179" s="305" t="s">
        <v>1072</v>
      </c>
      <c r="E179" s="305" t="s">
        <v>1071</v>
      </c>
      <c r="G179" t="s">
        <v>1311</v>
      </c>
    </row>
    <row r="180" spans="1:7">
      <c r="B180" s="305" t="s">
        <v>1063</v>
      </c>
      <c r="C180" s="413">
        <f>Humidity!B9</f>
        <v>0</v>
      </c>
      <c r="D180" s="305" t="s">
        <v>1073</v>
      </c>
      <c r="E180" s="305" t="s">
        <v>1071</v>
      </c>
      <c r="G180" t="s">
        <v>1311</v>
      </c>
    </row>
    <row r="181" spans="1:7">
      <c r="B181" s="305" t="s">
        <v>1064</v>
      </c>
      <c r="C181" s="413">
        <f>Humidity!B10</f>
        <v>0</v>
      </c>
      <c r="D181" s="305" t="s">
        <v>1074</v>
      </c>
      <c r="E181" s="305" t="s">
        <v>1081</v>
      </c>
      <c r="G181" t="s">
        <v>1311</v>
      </c>
    </row>
    <row r="182" spans="1:7">
      <c r="B182" s="305" t="s">
        <v>1065</v>
      </c>
      <c r="C182" s="413">
        <f>Humidity!B11</f>
        <v>0</v>
      </c>
      <c r="D182" s="305" t="s">
        <v>1075</v>
      </c>
      <c r="E182" s="305" t="s">
        <v>1066</v>
      </c>
      <c r="G182" t="s">
        <v>1311</v>
      </c>
    </row>
    <row r="183" spans="1:7">
      <c r="B183" s="305" t="s">
        <v>1067</v>
      </c>
      <c r="C183" s="404" t="s">
        <v>1253</v>
      </c>
      <c r="D183" s="305" t="s">
        <v>1076</v>
      </c>
      <c r="E183" s="305">
        <v>11</v>
      </c>
      <c r="G183" t="s">
        <v>1311</v>
      </c>
    </row>
    <row r="184" spans="1:7">
      <c r="B184" s="305" t="s">
        <v>1068</v>
      </c>
      <c r="C184" s="404" t="s">
        <v>1253</v>
      </c>
      <c r="D184" s="305" t="s">
        <v>1077</v>
      </c>
      <c r="E184" s="305">
        <v>11</v>
      </c>
      <c r="G184" t="s">
        <v>1311</v>
      </c>
    </row>
    <row r="185" spans="1:7">
      <c r="B185" s="305" t="s">
        <v>1070</v>
      </c>
      <c r="C185" s="404">
        <v>0</v>
      </c>
      <c r="D185" s="305" t="s">
        <v>1078</v>
      </c>
      <c r="E185" s="305">
        <v>11</v>
      </c>
      <c r="G185" t="s">
        <v>1311</v>
      </c>
    </row>
    <row r="186" spans="1:7">
      <c r="A186" s="408"/>
      <c r="B186" s="104" t="s">
        <v>1069</v>
      </c>
      <c r="C186" s="404">
        <v>0</v>
      </c>
      <c r="D186" s="104" t="s">
        <v>1079</v>
      </c>
      <c r="E186" s="104">
        <v>11</v>
      </c>
      <c r="F186" s="408"/>
      <c r="G186" s="408" t="s">
        <v>1311</v>
      </c>
    </row>
    <row r="187" spans="1:7">
      <c r="A187" s="290" t="s">
        <v>1220</v>
      </c>
      <c r="B187" t="s">
        <v>1206</v>
      </c>
      <c r="C187" s="461">
        <f>Dehumidifier!B8</f>
        <v>0</v>
      </c>
      <c r="D187" t="s">
        <v>1212</v>
      </c>
      <c r="E187" t="s">
        <v>1207</v>
      </c>
      <c r="G187" t="s">
        <v>1248</v>
      </c>
    </row>
    <row r="188" spans="1:7">
      <c r="B188" t="s">
        <v>1208</v>
      </c>
      <c r="C188" s="459">
        <f>Dehumidifier!B9</f>
        <v>1.85</v>
      </c>
      <c r="D188" t="s">
        <v>1213</v>
      </c>
      <c r="G188" t="s">
        <v>1248</v>
      </c>
    </row>
    <row r="189" spans="1:7">
      <c r="B189" t="s">
        <v>1209</v>
      </c>
      <c r="C189" s="458">
        <f>Dehumidifier!B10</f>
        <v>55</v>
      </c>
      <c r="D189" t="s">
        <v>1214</v>
      </c>
      <c r="G189" s="290" t="s">
        <v>1248</v>
      </c>
    </row>
    <row r="190" spans="1:7">
      <c r="B190" t="s">
        <v>1210</v>
      </c>
      <c r="C190" s="460">
        <f>Dehumidifier!B11</f>
        <v>2.5</v>
      </c>
      <c r="D190" t="s">
        <v>1215</v>
      </c>
      <c r="E190" t="s">
        <v>1211</v>
      </c>
      <c r="G190" s="290" t="s">
        <v>1248</v>
      </c>
    </row>
    <row r="191" spans="1:7">
      <c r="A191" s="305" t="s">
        <v>1251</v>
      </c>
      <c r="B191" t="s">
        <v>1269</v>
      </c>
      <c r="C191" s="404" t="s">
        <v>1252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3"/>
  <sheetViews>
    <sheetView zoomScale="85" zoomScaleNormal="85" zoomScalePageLayoutView="85" workbookViewId="0">
      <pane xSplit="2" ySplit="1" topLeftCell="C117" activePane="bottomRight" state="frozen"/>
      <selection pane="topRight" activeCell="C1" sqref="C1"/>
      <selection pane="bottomLeft" activeCell="A2" sqref="A2"/>
      <selection pane="bottomRight" activeCell="B2" sqref="B2:B16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1015</v>
      </c>
      <c r="B2" s="140" t="s">
        <v>1104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1002</v>
      </c>
      <c r="C3" s="57" t="str">
        <f>'Internal gains'!$B$24</f>
        <v>sched3.txt</v>
      </c>
      <c r="D3" s="57" t="str">
        <f>'Internal gains'!$B$24</f>
        <v>sched3.txt</v>
      </c>
      <c r="E3" s="57" t="str">
        <f>'Internal gains'!$B$24</f>
        <v>sched3.txt</v>
      </c>
      <c r="F3" s="57" t="str">
        <f>'Internal gains'!$B$24</f>
        <v>sched3.txt</v>
      </c>
      <c r="G3" s="57" t="str">
        <f>'Internal gains'!$B$24</f>
        <v>sched3.txt</v>
      </c>
      <c r="H3" s="57" t="str">
        <f>'Internal gains'!$B$24</f>
        <v>sched3.txt</v>
      </c>
      <c r="I3" s="57" t="str">
        <f>'Internal gains'!$B$24</f>
        <v>sched3.txt</v>
      </c>
      <c r="J3" s="57" t="str">
        <f>'Internal gains'!$B$24</f>
        <v>sched3.txt</v>
      </c>
      <c r="K3" s="57" t="str">
        <f>'Internal gains'!$B$24</f>
        <v>sched3.txt</v>
      </c>
      <c r="L3" s="57" t="str">
        <f>'Internal gains'!$B$24</f>
        <v>sched3.txt</v>
      </c>
      <c r="M3" s="57" t="str">
        <f>'Internal gains'!$B$24</f>
        <v>sched3.txt</v>
      </c>
      <c r="N3" s="57" t="str">
        <f>'Internal gains'!$B$24</f>
        <v>sched3.txt</v>
      </c>
      <c r="O3" s="57" t="str">
        <f>'Internal gains'!$B$24</f>
        <v>sched3.txt</v>
      </c>
      <c r="P3" s="57" t="str">
        <f>'Internal gains'!$B$24</f>
        <v>sched3.txt</v>
      </c>
      <c r="Q3" s="57" t="str">
        <f>'Internal gains'!$B$24</f>
        <v>sched3.txt</v>
      </c>
      <c r="R3" s="57" t="str">
        <f>'Internal gains'!$B$24</f>
        <v>sched3.txt</v>
      </c>
      <c r="S3" s="57" t="str">
        <f>'Internal gains'!$B$24</f>
        <v>sched3.txt</v>
      </c>
      <c r="Z3" s="1"/>
    </row>
    <row r="4" spans="1:26" s="140" customFormat="1" ht="14">
      <c r="B4" s="140" t="s">
        <v>1003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1004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1005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1014</v>
      </c>
      <c r="B7" s="305" t="s">
        <v>1356</v>
      </c>
      <c r="C7" s="6">
        <f>Leakage!H32</f>
        <v>4.6856257812500003E-2</v>
      </c>
      <c r="D7" s="6">
        <f>Leakage!I32</f>
        <v>4.6856257812500003E-2</v>
      </c>
      <c r="E7" s="6">
        <f>Leakage!J32</f>
        <v>4.6856257812500003E-2</v>
      </c>
      <c r="F7" s="6">
        <f>Leakage!K32</f>
        <v>3.9046881510416666E-2</v>
      </c>
      <c r="G7" s="6">
        <f>Leakage!L32</f>
        <v>3.9046881510416666E-2</v>
      </c>
      <c r="H7" s="6">
        <f>Leakage!M32</f>
        <v>3.9046881510416666E-2</v>
      </c>
      <c r="I7" s="6">
        <f>Leakage!N32</f>
        <v>3.9046881510416666E-2</v>
      </c>
      <c r="J7" s="6">
        <f>Leakage!O32</f>
        <v>3.9046881510416666E-2</v>
      </c>
      <c r="K7" s="6">
        <f>Leakage!P32</f>
        <v>3.9046881510416666E-2</v>
      </c>
      <c r="L7" s="6">
        <f>Leakage!Q32</f>
        <v>3.1237505208333332E-2</v>
      </c>
      <c r="M7" s="6">
        <f>Leakage!R32</f>
        <v>3.1237505208333332E-2</v>
      </c>
      <c r="N7" s="6">
        <f>Leakage!S32</f>
        <v>3.1237505208333332E-2</v>
      </c>
      <c r="O7" s="6">
        <f>Leakage!T32</f>
        <v>3.1237505208333332E-2</v>
      </c>
      <c r="P7" s="6">
        <f>Leakage!U32</f>
        <v>3.1237505208333332E-2</v>
      </c>
      <c r="Q7" s="6">
        <f>Leakage!V32</f>
        <v>2.3428128906250002E-2</v>
      </c>
      <c r="R7" s="6">
        <f>Leakage!W32</f>
        <v>4.6856257812500003E-2</v>
      </c>
      <c r="S7" s="6">
        <f>Leakage!X32</f>
        <v>3.9046881510416666E-2</v>
      </c>
      <c r="T7" s="67"/>
    </row>
    <row r="8" spans="1:26" ht="15" customHeight="1">
      <c r="B8" s="305" t="s">
        <v>1091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1351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1344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1353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1357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1090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1105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1116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1117</v>
      </c>
      <c r="C18" s="169">
        <f>Inputs!C18</f>
        <v>4.9908333333333328</v>
      </c>
      <c r="D18" s="169">
        <f t="shared" si="2"/>
        <v>4.9908333333333328</v>
      </c>
      <c r="E18" s="169">
        <f t="shared" si="2"/>
        <v>4.9908333333333328</v>
      </c>
      <c r="F18" s="169">
        <f t="shared" si="2"/>
        <v>4.9908333333333328</v>
      </c>
      <c r="G18" s="169">
        <f t="shared" si="2"/>
        <v>4.9908333333333328</v>
      </c>
      <c r="H18" s="169">
        <f t="shared" si="2"/>
        <v>4.9908333333333328</v>
      </c>
      <c r="I18" s="169">
        <f t="shared" si="2"/>
        <v>4.9908333333333328</v>
      </c>
      <c r="J18" s="169">
        <f t="shared" si="2"/>
        <v>4.9908333333333328</v>
      </c>
      <c r="K18" s="169">
        <f t="shared" si="2"/>
        <v>4.9908333333333328</v>
      </c>
      <c r="L18" s="169">
        <f t="shared" si="2"/>
        <v>4.9908333333333328</v>
      </c>
      <c r="M18" s="169">
        <f t="shared" si="2"/>
        <v>4.9908333333333328</v>
      </c>
      <c r="N18" s="169">
        <f t="shared" si="2"/>
        <v>4.9908333333333328</v>
      </c>
      <c r="O18" s="169">
        <f t="shared" si="2"/>
        <v>4.9908333333333328</v>
      </c>
      <c r="P18" s="169">
        <f t="shared" si="2"/>
        <v>4.9908333333333328</v>
      </c>
      <c r="Q18" s="169">
        <f t="shared" si="2"/>
        <v>4.9908333333333328</v>
      </c>
      <c r="R18" s="169">
        <f t="shared" si="2"/>
        <v>4.9908333333333328</v>
      </c>
      <c r="S18" s="169">
        <f t="shared" si="2"/>
        <v>4.9908333333333328</v>
      </c>
      <c r="T18" s="67"/>
      <c r="U18" s="305"/>
    </row>
    <row r="19" spans="1:21" ht="15" customHeight="1">
      <c r="B19" s="305" t="s">
        <v>1118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1119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1120</v>
      </c>
      <c r="C21" s="169">
        <f>Inputs!C21</f>
        <v>4.9908333333333328</v>
      </c>
      <c r="D21" s="169">
        <f t="shared" si="2"/>
        <v>4.9908333333333328</v>
      </c>
      <c r="E21" s="169">
        <f t="shared" si="2"/>
        <v>4.9908333333333328</v>
      </c>
      <c r="F21" s="169">
        <f t="shared" si="2"/>
        <v>4.9908333333333328</v>
      </c>
      <c r="G21" s="169">
        <f t="shared" si="2"/>
        <v>4.9908333333333328</v>
      </c>
      <c r="H21" s="169">
        <f t="shared" si="2"/>
        <v>4.9908333333333328</v>
      </c>
      <c r="I21" s="169">
        <f t="shared" si="2"/>
        <v>4.9908333333333328</v>
      </c>
      <c r="J21" s="169">
        <f t="shared" si="2"/>
        <v>4.9908333333333328</v>
      </c>
      <c r="K21" s="169">
        <f t="shared" si="2"/>
        <v>4.9908333333333328</v>
      </c>
      <c r="L21" s="169">
        <f t="shared" si="2"/>
        <v>4.9908333333333328</v>
      </c>
      <c r="M21" s="169">
        <f t="shared" si="2"/>
        <v>4.9908333333333328</v>
      </c>
      <c r="N21" s="169">
        <f t="shared" si="2"/>
        <v>4.9908333333333328</v>
      </c>
      <c r="O21" s="169">
        <f t="shared" si="2"/>
        <v>4.9908333333333328</v>
      </c>
      <c r="P21" s="169">
        <f t="shared" si="2"/>
        <v>4.9908333333333328</v>
      </c>
      <c r="Q21" s="169">
        <f t="shared" si="2"/>
        <v>4.9908333333333328</v>
      </c>
      <c r="R21" s="169">
        <f t="shared" si="2"/>
        <v>4.9908333333333328</v>
      </c>
      <c r="S21" s="169">
        <f t="shared" si="2"/>
        <v>4.9908333333333328</v>
      </c>
    </row>
    <row r="22" spans="1:21" ht="15" customHeight="1">
      <c r="B22" s="305" t="s">
        <v>1121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1106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1107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1108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1109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1110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1111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1112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1113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1114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1123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1217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1124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1125</v>
      </c>
      <c r="C35" s="8">
        <f>Inputs!C35</f>
        <v>749.70012499999996</v>
      </c>
      <c r="D35" s="8">
        <f t="shared" si="3"/>
        <v>749.70012499999996</v>
      </c>
      <c r="E35" s="8">
        <f t="shared" si="3"/>
        <v>749.70012499999996</v>
      </c>
      <c r="F35" s="8">
        <f t="shared" si="3"/>
        <v>749.70012499999996</v>
      </c>
      <c r="G35" s="8">
        <f t="shared" si="3"/>
        <v>749.70012499999996</v>
      </c>
      <c r="H35" s="8">
        <f t="shared" si="3"/>
        <v>749.70012499999996</v>
      </c>
      <c r="I35" s="8">
        <f t="shared" si="3"/>
        <v>749.70012499999996</v>
      </c>
      <c r="J35" s="8">
        <f t="shared" si="3"/>
        <v>749.70012499999996</v>
      </c>
      <c r="K35" s="8">
        <f t="shared" si="3"/>
        <v>749.70012499999996</v>
      </c>
      <c r="L35" s="8">
        <f t="shared" si="3"/>
        <v>749.70012499999996</v>
      </c>
      <c r="M35" s="8">
        <f t="shared" si="3"/>
        <v>749.70012499999996</v>
      </c>
      <c r="N35" s="8">
        <f t="shared" si="3"/>
        <v>749.70012499999996</v>
      </c>
      <c r="O35" s="8">
        <f t="shared" si="3"/>
        <v>749.70012499999996</v>
      </c>
      <c r="P35" s="8">
        <f t="shared" si="3"/>
        <v>749.70012499999996</v>
      </c>
      <c r="Q35" s="8">
        <f t="shared" si="3"/>
        <v>749.70012499999996</v>
      </c>
      <c r="R35" s="8">
        <f t="shared" si="3"/>
        <v>749.70012499999996</v>
      </c>
      <c r="S35" s="276">
        <f t="shared" si="3"/>
        <v>749.70012499999996</v>
      </c>
      <c r="T35" s="343"/>
    </row>
    <row r="36" spans="1:22" ht="15" customHeight="1">
      <c r="B36" s="305" t="s">
        <v>1126</v>
      </c>
      <c r="C36" s="8">
        <f>Inputs!C36</f>
        <v>299.88004999999998</v>
      </c>
      <c r="D36" s="8">
        <f>C36</f>
        <v>299.88004999999998</v>
      </c>
      <c r="E36" s="8">
        <f t="shared" si="3"/>
        <v>299.88004999999998</v>
      </c>
      <c r="F36" s="8">
        <f t="shared" si="3"/>
        <v>299.88004999999998</v>
      </c>
      <c r="G36" s="8">
        <f t="shared" si="3"/>
        <v>299.88004999999998</v>
      </c>
      <c r="H36" s="8">
        <f t="shared" si="3"/>
        <v>299.88004999999998</v>
      </c>
      <c r="I36" s="8">
        <f t="shared" si="3"/>
        <v>299.88004999999998</v>
      </c>
      <c r="J36" s="8">
        <f t="shared" si="3"/>
        <v>299.88004999999998</v>
      </c>
      <c r="K36" s="8">
        <f t="shared" si="3"/>
        <v>299.88004999999998</v>
      </c>
      <c r="L36" s="8">
        <f t="shared" si="3"/>
        <v>299.88004999999998</v>
      </c>
      <c r="M36" s="8">
        <f t="shared" si="3"/>
        <v>299.88004999999998</v>
      </c>
      <c r="N36" s="8">
        <f t="shared" si="3"/>
        <v>299.88004999999998</v>
      </c>
      <c r="O36" s="8">
        <f t="shared" si="3"/>
        <v>299.88004999999998</v>
      </c>
      <c r="P36" s="8">
        <f t="shared" si="3"/>
        <v>299.88004999999998</v>
      </c>
      <c r="Q36" s="8">
        <f t="shared" si="3"/>
        <v>299.88004999999998</v>
      </c>
      <c r="R36" s="8">
        <f t="shared" si="3"/>
        <v>299.88004999999998</v>
      </c>
      <c r="S36" s="276">
        <f t="shared" si="3"/>
        <v>299.88004999999998</v>
      </c>
      <c r="T36" s="343"/>
    </row>
    <row r="37" spans="1:22" ht="15" customHeight="1">
      <c r="B37" s="305" t="s">
        <v>1127</v>
      </c>
      <c r="C37" s="8">
        <f>Inputs!C37</f>
        <v>299.88004999999998</v>
      </c>
      <c r="D37" s="8">
        <f>C37</f>
        <v>299.88004999999998</v>
      </c>
      <c r="E37" s="8">
        <f t="shared" si="3"/>
        <v>299.88004999999998</v>
      </c>
      <c r="F37" s="8">
        <f t="shared" si="3"/>
        <v>299.88004999999998</v>
      </c>
      <c r="G37" s="8">
        <f t="shared" si="3"/>
        <v>299.88004999999998</v>
      </c>
      <c r="H37" s="8">
        <f t="shared" si="3"/>
        <v>299.88004999999998</v>
      </c>
      <c r="I37" s="8">
        <f t="shared" si="3"/>
        <v>299.88004999999998</v>
      </c>
      <c r="J37" s="8">
        <f t="shared" si="3"/>
        <v>299.88004999999998</v>
      </c>
      <c r="K37" s="8">
        <f t="shared" si="3"/>
        <v>299.88004999999998</v>
      </c>
      <c r="L37" s="8">
        <f t="shared" si="3"/>
        <v>299.88004999999998</v>
      </c>
      <c r="M37" s="8">
        <f t="shared" si="3"/>
        <v>299.88004999999998</v>
      </c>
      <c r="N37" s="8">
        <f t="shared" si="3"/>
        <v>299.88004999999998</v>
      </c>
      <c r="O37" s="8">
        <f t="shared" si="3"/>
        <v>299.88004999999998</v>
      </c>
      <c r="P37" s="8">
        <f t="shared" si="3"/>
        <v>299.88004999999998</v>
      </c>
      <c r="Q37" s="8">
        <f t="shared" si="3"/>
        <v>299.88004999999998</v>
      </c>
      <c r="R37" s="8">
        <f t="shared" si="3"/>
        <v>299.88004999999998</v>
      </c>
      <c r="S37" s="276">
        <f t="shared" si="3"/>
        <v>299.88004999999998</v>
      </c>
      <c r="T37" s="343"/>
    </row>
    <row r="38" spans="1:22" s="305" customFormat="1" ht="15" customHeight="1">
      <c r="B38" s="305" t="s">
        <v>1016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1130</v>
      </c>
      <c r="C39" s="9">
        <f>UA!F11</f>
        <v>64.30235473859382</v>
      </c>
      <c r="D39" s="9">
        <f>UA!G11</f>
        <v>64.30235473859382</v>
      </c>
      <c r="E39" s="9">
        <f>UA!H11</f>
        <v>64.30235473859382</v>
      </c>
      <c r="F39" s="9">
        <f>UA!I11</f>
        <v>43.273540430205983</v>
      </c>
      <c r="G39" s="9">
        <f>UA!J11</f>
        <v>43.273540430205983</v>
      </c>
      <c r="H39" s="9">
        <f>UA!K11</f>
        <v>43.273540430205983</v>
      </c>
      <c r="I39" s="9">
        <f>UA!L11</f>
        <v>43.273540430205983</v>
      </c>
      <c r="J39" s="9">
        <f>UA!M11</f>
        <v>43.273540430205983</v>
      </c>
      <c r="K39" s="9">
        <f>UA!N11</f>
        <v>43.273540430205983</v>
      </c>
      <c r="L39" s="9">
        <f>UA!O11</f>
        <v>43.273540430205983</v>
      </c>
      <c r="M39" s="9">
        <f>UA!P11</f>
        <v>43.273540430205983</v>
      </c>
      <c r="N39" s="9">
        <f>UA!Q11</f>
        <v>35.462837972804785</v>
      </c>
      <c r="O39" s="9">
        <f>UA!R11</f>
        <v>35.462837972804785</v>
      </c>
      <c r="P39" s="9">
        <f>UA!S11</f>
        <v>35.462837972804785</v>
      </c>
      <c r="Q39" s="9">
        <f>UA!T11</f>
        <v>35.462837972804785</v>
      </c>
      <c r="R39" s="9">
        <f>UA!U11</f>
        <v>64.30235473859382</v>
      </c>
      <c r="S39" s="9">
        <f>UA!V11</f>
        <v>43.273540430205983</v>
      </c>
      <c r="T39" s="343"/>
      <c r="V39" s="305"/>
    </row>
    <row r="40" spans="1:22" ht="15" customHeight="1">
      <c r="B40" s="305" t="s">
        <v>1131</v>
      </c>
      <c r="C40" s="9">
        <f>UA!F13</f>
        <v>130.97837876153847</v>
      </c>
      <c r="D40" s="9">
        <f>UA!G13</f>
        <v>130.97837876153847</v>
      </c>
      <c r="E40" s="9">
        <f>UA!H13</f>
        <v>130.97837876153847</v>
      </c>
      <c r="F40" s="9">
        <f>UA!I13</f>
        <v>89.616785468421028</v>
      </c>
      <c r="G40" s="9">
        <f>UA!J13</f>
        <v>89.616785468421028</v>
      </c>
      <c r="H40" s="9">
        <f>UA!K13</f>
        <v>89.616785468421028</v>
      </c>
      <c r="I40" s="9">
        <f>UA!L13</f>
        <v>89.616785468421028</v>
      </c>
      <c r="J40" s="9">
        <f>UA!M13</f>
        <v>89.616785468421028</v>
      </c>
      <c r="K40" s="9">
        <f>UA!N13</f>
        <v>56.75729746333333</v>
      </c>
      <c r="L40" s="9">
        <f>UA!O13</f>
        <v>56.75729746333333</v>
      </c>
      <c r="M40" s="9">
        <f>UA!P13</f>
        <v>56.75729746333333</v>
      </c>
      <c r="N40" s="9">
        <f>UA!Q13</f>
        <v>56.75729746333333</v>
      </c>
      <c r="O40" s="9">
        <f>UA!R13</f>
        <v>56.75729746333333</v>
      </c>
      <c r="P40" s="9">
        <f>UA!S13</f>
        <v>44.808392734210514</v>
      </c>
      <c r="Q40" s="9">
        <f>UA!T13</f>
        <v>44.808392734210514</v>
      </c>
      <c r="R40" s="9">
        <f>UA!U13</f>
        <v>130.97837876153847</v>
      </c>
      <c r="S40" s="9">
        <f>UA!V13</f>
        <v>89.616785468421028</v>
      </c>
      <c r="T40" s="343"/>
    </row>
    <row r="41" spans="1:22" s="305" customFormat="1" ht="15" customHeight="1">
      <c r="B41" s="305" t="s">
        <v>1132</v>
      </c>
      <c r="C41" s="9">
        <f>UA!F12</f>
        <v>136.21751391199999</v>
      </c>
      <c r="D41" s="9">
        <f>UA!G12</f>
        <v>136.21751391199999</v>
      </c>
      <c r="E41" s="9">
        <f>UA!H12</f>
        <v>136.21751391199999</v>
      </c>
      <c r="F41" s="9">
        <f>UA!I12</f>
        <v>102.16313543400001</v>
      </c>
      <c r="G41" s="9">
        <f>UA!J12</f>
        <v>102.16313543400001</v>
      </c>
      <c r="H41" s="9">
        <f>UA!K12</f>
        <v>102.16313543400001</v>
      </c>
      <c r="I41" s="9">
        <f>UA!L12</f>
        <v>102.16313543400001</v>
      </c>
      <c r="J41" s="9">
        <f>UA!M12</f>
        <v>102.16313543400001</v>
      </c>
      <c r="K41" s="9">
        <f>UA!N12</f>
        <v>91.946821890600006</v>
      </c>
      <c r="L41" s="9">
        <f>UA!O12</f>
        <v>91.946821890600006</v>
      </c>
      <c r="M41" s="9">
        <f>UA!P12</f>
        <v>91.946821890600006</v>
      </c>
      <c r="N41" s="9">
        <f>UA!Q12</f>
        <v>91.946821890600006</v>
      </c>
      <c r="O41" s="9">
        <f>UA!R12</f>
        <v>91.946821890600006</v>
      </c>
      <c r="P41" s="9">
        <f>UA!S12</f>
        <v>91.946821890600006</v>
      </c>
      <c r="Q41" s="9">
        <f>UA!T12</f>
        <v>91.946821890600006</v>
      </c>
      <c r="R41" s="9">
        <f>UA!U12</f>
        <v>136.21751391199999</v>
      </c>
      <c r="S41" s="9">
        <f>UA!V12</f>
        <v>102.16313543400001</v>
      </c>
      <c r="T41" s="343"/>
    </row>
    <row r="42" spans="1:22" ht="15" customHeight="1">
      <c r="A42" s="305" t="s">
        <v>46</v>
      </c>
      <c r="B42" s="305" t="s">
        <v>1133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1018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1019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1020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1021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1022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1134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1140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1138</v>
      </c>
      <c r="C50" s="214">
        <f>Fans!B13</f>
        <v>-0.1589299753892672</v>
      </c>
      <c r="D50" s="214">
        <f>Fans!C13</f>
        <v>-0.15797836448412739</v>
      </c>
      <c r="E50" s="214">
        <f>Fans!D13</f>
        <v>-0.15702675357898754</v>
      </c>
      <c r="F50" s="214">
        <f>Fans!E13</f>
        <v>-0.16146760446964009</v>
      </c>
      <c r="G50" s="214">
        <f>Fans!F13</f>
        <v>-0.15988158629440705</v>
      </c>
      <c r="H50" s="214">
        <f>Fans!G13</f>
        <v>-0.1503654772430088</v>
      </c>
      <c r="I50" s="214">
        <f>Fans!H13</f>
        <v>-0.158295568119174</v>
      </c>
      <c r="J50" s="214">
        <f>Fans!I13</f>
        <v>-0.15512353176870788</v>
      </c>
      <c r="K50" s="214">
        <f>Fans!J13</f>
        <v>-0.1543305226810914</v>
      </c>
      <c r="L50" s="214">
        <f>Fans!K13</f>
        <v>-0.15988158629440705</v>
      </c>
      <c r="M50" s="214">
        <f>Fans!L13</f>
        <v>-0.16241921537477991</v>
      </c>
      <c r="N50" s="214">
        <f>Fans!M13</f>
        <v>-0.15924717902431382</v>
      </c>
      <c r="O50" s="214">
        <f>Fans!N13</f>
        <v>-0.15797836448412739</v>
      </c>
      <c r="P50" s="214">
        <f>Fans!O13</f>
        <v>-0.15353751359347487</v>
      </c>
      <c r="Q50" s="214">
        <f>Fans!P13</f>
        <v>-0.16463964082010613</v>
      </c>
      <c r="R50" s="214">
        <f>Fans!Q13</f>
        <v>-0.16178480810468668</v>
      </c>
      <c r="S50" s="214">
        <f>Fans!R13</f>
        <v>-0.16384663173248964</v>
      </c>
      <c r="T50" s="343"/>
    </row>
    <row r="51" spans="2:20" ht="15" customHeight="1">
      <c r="B51" s="305" t="s">
        <v>1139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1141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1142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1143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1144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1145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1146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1147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1148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1149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1150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1151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1152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1153</v>
      </c>
      <c r="C64" s="8">
        <f>Inputs!C64</f>
        <v>10.199999999999999</v>
      </c>
      <c r="D64" s="8">
        <f t="shared" si="33"/>
        <v>10.199999999999999</v>
      </c>
      <c r="E64" s="8">
        <f t="shared" si="33"/>
        <v>10.199999999999999</v>
      </c>
      <c r="F64" s="8">
        <f t="shared" si="33"/>
        <v>10.199999999999999</v>
      </c>
      <c r="G64" s="8">
        <f t="shared" si="33"/>
        <v>10.199999999999999</v>
      </c>
      <c r="H64" s="8">
        <f t="shared" si="33"/>
        <v>10.199999999999999</v>
      </c>
      <c r="I64" s="8">
        <f t="shared" si="33"/>
        <v>10.199999999999999</v>
      </c>
      <c r="J64" s="8">
        <f t="shared" si="33"/>
        <v>10.199999999999999</v>
      </c>
      <c r="K64" s="8">
        <f t="shared" si="33"/>
        <v>10.199999999999999</v>
      </c>
      <c r="L64" s="8">
        <f t="shared" si="33"/>
        <v>10.199999999999999</v>
      </c>
      <c r="M64" s="8">
        <f t="shared" si="33"/>
        <v>10.199999999999999</v>
      </c>
      <c r="N64" s="8">
        <f t="shared" si="33"/>
        <v>10.199999999999999</v>
      </c>
      <c r="O64" s="8">
        <f t="shared" si="33"/>
        <v>10.199999999999999</v>
      </c>
      <c r="P64" s="8">
        <f t="shared" si="33"/>
        <v>10.199999999999999</v>
      </c>
      <c r="Q64" s="8">
        <f t="shared" si="33"/>
        <v>10.199999999999999</v>
      </c>
      <c r="R64" s="8">
        <f t="shared" si="33"/>
        <v>10.199999999999999</v>
      </c>
      <c r="S64" s="276">
        <f t="shared" si="33"/>
        <v>10.199999999999999</v>
      </c>
    </row>
    <row r="65" spans="1:20" ht="15" customHeight="1">
      <c r="B65" s="305" t="s">
        <v>1154</v>
      </c>
      <c r="C65" s="6">
        <f>Inputs!C65</f>
        <v>-2.3596035865974516E-2</v>
      </c>
      <c r="D65" s="6">
        <f t="shared" si="33"/>
        <v>-2.3596035865974516E-2</v>
      </c>
      <c r="E65" s="6">
        <f t="shared" si="33"/>
        <v>-2.3596035865974516E-2</v>
      </c>
      <c r="F65" s="6">
        <f t="shared" si="33"/>
        <v>-2.3596035865974516E-2</v>
      </c>
      <c r="G65" s="6">
        <f t="shared" si="33"/>
        <v>-2.3596035865974516E-2</v>
      </c>
      <c r="H65" s="6">
        <f t="shared" si="33"/>
        <v>-2.3596035865974516E-2</v>
      </c>
      <c r="I65" s="6">
        <f t="shared" si="33"/>
        <v>-2.3596035865974516E-2</v>
      </c>
      <c r="J65" s="6">
        <f t="shared" si="33"/>
        <v>-2.3596035865974516E-2</v>
      </c>
      <c r="K65" s="6">
        <f t="shared" si="33"/>
        <v>-2.3596035865974516E-2</v>
      </c>
      <c r="L65" s="6">
        <f t="shared" si="33"/>
        <v>-2.3596035865974516E-2</v>
      </c>
      <c r="M65" s="6">
        <f t="shared" si="33"/>
        <v>-2.3596035865974516E-2</v>
      </c>
      <c r="N65" s="6">
        <f t="shared" si="33"/>
        <v>-2.3596035865974516E-2</v>
      </c>
      <c r="O65" s="6">
        <f t="shared" si="33"/>
        <v>-2.3596035865974516E-2</v>
      </c>
      <c r="P65" s="6">
        <f t="shared" si="33"/>
        <v>-2.3596035865974516E-2</v>
      </c>
      <c r="Q65" s="6">
        <f t="shared" si="33"/>
        <v>-2.3596035865974516E-2</v>
      </c>
      <c r="R65" s="6">
        <f t="shared" si="33"/>
        <v>-2.3596035865974516E-2</v>
      </c>
      <c r="S65" s="6">
        <f t="shared" si="33"/>
        <v>-2.3596035865974516E-2</v>
      </c>
    </row>
    <row r="66" spans="1:20" ht="15" customHeight="1">
      <c r="B66" s="305" t="s">
        <v>1155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1156</v>
      </c>
      <c r="C67" s="246">
        <f>IF(C132&lt;C133,C132,C133)</f>
        <v>140.28</v>
      </c>
      <c r="D67" s="246">
        <f t="shared" ref="D67:R67" si="34">IF(D132&lt;D133,D132,D133)</f>
        <v>112.224</v>
      </c>
      <c r="E67" s="246" t="e">
        <f t="shared" si="34"/>
        <v>#N/A</v>
      </c>
      <c r="F67" s="246">
        <f t="shared" si="34"/>
        <v>140.28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112.224</v>
      </c>
      <c r="S67" s="246">
        <f>IF(S132&lt;S133,S132,S133)</f>
        <v>140.28</v>
      </c>
      <c r="T67" s="69"/>
    </row>
    <row r="68" spans="1:20" s="139" customFormat="1" ht="15" customHeight="1">
      <c r="A68" s="305"/>
      <c r="B68" s="305" t="s">
        <v>1157</v>
      </c>
      <c r="C68" s="321">
        <f>IF(C122&lt;C123,C122,C123)</f>
        <v>0.39641340254837187</v>
      </c>
      <c r="D68" s="321">
        <f t="shared" ref="D68:R68" si="35">IF(D122&lt;D123,D122,D123)</f>
        <v>0.31713072203869752</v>
      </c>
      <c r="E68" s="321" t="e">
        <f t="shared" si="35"/>
        <v>#N/A</v>
      </c>
      <c r="F68" s="321">
        <f t="shared" si="35"/>
        <v>0.39641340254837187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0.31713072203869752</v>
      </c>
      <c r="S68" s="214">
        <f>IF(S122&lt;S123,S122,S123)</f>
        <v>0.39641340254837187</v>
      </c>
      <c r="T68" s="69"/>
    </row>
    <row r="69" spans="1:20" s="139" customFormat="1" ht="15" customHeight="1">
      <c r="A69" s="305"/>
      <c r="B69" s="305" t="s">
        <v>1158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1159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1160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1161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29.988005000000001</v>
      </c>
      <c r="D73" s="169">
        <f t="shared" ref="D73:S73" si="38">C73</f>
        <v>29.988005000000001</v>
      </c>
      <c r="E73" s="169">
        <f t="shared" si="38"/>
        <v>29.988005000000001</v>
      </c>
      <c r="F73" s="169">
        <f t="shared" si="38"/>
        <v>29.988005000000001</v>
      </c>
      <c r="G73" s="169">
        <f t="shared" si="38"/>
        <v>29.988005000000001</v>
      </c>
      <c r="H73" s="169">
        <f t="shared" si="38"/>
        <v>29.988005000000001</v>
      </c>
      <c r="I73" s="169">
        <f t="shared" si="38"/>
        <v>29.988005000000001</v>
      </c>
      <c r="J73" s="169">
        <f t="shared" si="38"/>
        <v>29.988005000000001</v>
      </c>
      <c r="K73" s="169">
        <f t="shared" si="38"/>
        <v>29.988005000000001</v>
      </c>
      <c r="L73" s="169">
        <f t="shared" si="38"/>
        <v>29.988005000000001</v>
      </c>
      <c r="M73" s="169">
        <f t="shared" si="38"/>
        <v>29.988005000000001</v>
      </c>
      <c r="N73" s="169">
        <f t="shared" si="38"/>
        <v>29.988005000000001</v>
      </c>
      <c r="O73" s="169">
        <f t="shared" si="38"/>
        <v>29.988005000000001</v>
      </c>
      <c r="P73" s="169">
        <f t="shared" si="38"/>
        <v>29.988005000000001</v>
      </c>
      <c r="Q73" s="169">
        <f t="shared" si="38"/>
        <v>29.988005000000001</v>
      </c>
      <c r="R73" s="169">
        <f t="shared" si="38"/>
        <v>29.988005000000001</v>
      </c>
      <c r="S73" s="169">
        <f t="shared" si="38"/>
        <v>29.988005000000001</v>
      </c>
    </row>
    <row r="74" spans="1:20" ht="15" customHeight="1">
      <c r="B74" s="305" t="s">
        <v>440</v>
      </c>
      <c r="C74" s="169">
        <f>Inputs!C74</f>
        <v>14.994002500000001</v>
      </c>
      <c r="D74" s="169">
        <f t="shared" ref="D74:S74" si="39">C74</f>
        <v>14.994002500000001</v>
      </c>
      <c r="E74" s="169">
        <f t="shared" si="39"/>
        <v>14.994002500000001</v>
      </c>
      <c r="F74" s="169">
        <f t="shared" si="39"/>
        <v>14.994002500000001</v>
      </c>
      <c r="G74" s="169">
        <f t="shared" si="39"/>
        <v>14.994002500000001</v>
      </c>
      <c r="H74" s="169">
        <f t="shared" si="39"/>
        <v>14.994002500000001</v>
      </c>
      <c r="I74" s="169">
        <f t="shared" si="39"/>
        <v>14.994002500000001</v>
      </c>
      <c r="J74" s="169">
        <f t="shared" si="39"/>
        <v>14.994002500000001</v>
      </c>
      <c r="K74" s="169">
        <f t="shared" si="39"/>
        <v>14.994002500000001</v>
      </c>
      <c r="L74" s="169">
        <f t="shared" si="39"/>
        <v>14.994002500000001</v>
      </c>
      <c r="M74" s="169">
        <f t="shared" si="39"/>
        <v>14.994002500000001</v>
      </c>
      <c r="N74" s="169">
        <f t="shared" si="39"/>
        <v>14.994002500000001</v>
      </c>
      <c r="O74" s="169">
        <f t="shared" si="39"/>
        <v>14.994002500000001</v>
      </c>
      <c r="P74" s="169">
        <f t="shared" si="39"/>
        <v>14.994002500000001</v>
      </c>
      <c r="Q74" s="169">
        <f t="shared" si="39"/>
        <v>14.994002500000001</v>
      </c>
      <c r="R74" s="169">
        <f t="shared" si="39"/>
        <v>14.994002500000001</v>
      </c>
      <c r="S74" s="169">
        <f t="shared" si="39"/>
        <v>14.994002500000001</v>
      </c>
    </row>
    <row r="75" spans="1:20" ht="15" customHeight="1">
      <c r="B75" s="305" t="s">
        <v>441</v>
      </c>
      <c r="C75" s="169">
        <f>Inputs!C75</f>
        <v>14.994002500000001</v>
      </c>
      <c r="D75" s="169">
        <f t="shared" ref="D75:S91" si="40">C75</f>
        <v>14.994002500000001</v>
      </c>
      <c r="E75" s="169">
        <f t="shared" si="40"/>
        <v>14.994002500000001</v>
      </c>
      <c r="F75" s="169">
        <f t="shared" si="40"/>
        <v>14.994002500000001</v>
      </c>
      <c r="G75" s="169">
        <f t="shared" si="40"/>
        <v>14.994002500000001</v>
      </c>
      <c r="H75" s="169">
        <f t="shared" si="40"/>
        <v>14.994002500000001</v>
      </c>
      <c r="I75" s="169">
        <f t="shared" si="40"/>
        <v>14.994002500000001</v>
      </c>
      <c r="J75" s="169">
        <f t="shared" si="40"/>
        <v>14.994002500000001</v>
      </c>
      <c r="K75" s="169">
        <f t="shared" si="40"/>
        <v>14.994002500000001</v>
      </c>
      <c r="L75" s="169">
        <f t="shared" si="40"/>
        <v>14.994002500000001</v>
      </c>
      <c r="M75" s="169">
        <f t="shared" si="40"/>
        <v>14.994002500000001</v>
      </c>
      <c r="N75" s="169">
        <f t="shared" si="40"/>
        <v>14.994002500000001</v>
      </c>
      <c r="O75" s="169">
        <f t="shared" si="40"/>
        <v>14.994002500000001</v>
      </c>
      <c r="P75" s="169">
        <f t="shared" si="40"/>
        <v>14.994002500000001</v>
      </c>
      <c r="Q75" s="169">
        <f t="shared" si="40"/>
        <v>14.994002500000001</v>
      </c>
      <c r="R75" s="169">
        <f t="shared" si="40"/>
        <v>14.994002500000001</v>
      </c>
      <c r="S75" s="169">
        <f t="shared" si="40"/>
        <v>14.994002500000001</v>
      </c>
    </row>
    <row r="76" spans="1:20" ht="15" customHeight="1">
      <c r="B76" s="305" t="s">
        <v>1162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1163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1164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1165</v>
      </c>
      <c r="C79" s="217">
        <f>Inputs!C79</f>
        <v>1.3657407407407409E-4</v>
      </c>
      <c r="D79" s="217">
        <f t="shared" ref="D79:D95" si="41">C79</f>
        <v>1.3657407407407409E-4</v>
      </c>
      <c r="E79" s="217">
        <f t="shared" si="40"/>
        <v>1.3657407407407409E-4</v>
      </c>
      <c r="F79" s="217">
        <f t="shared" si="40"/>
        <v>1.3657407407407409E-4</v>
      </c>
      <c r="G79" s="217">
        <f t="shared" si="40"/>
        <v>1.3657407407407409E-4</v>
      </c>
      <c r="H79" s="217">
        <f t="shared" si="40"/>
        <v>1.3657407407407409E-4</v>
      </c>
      <c r="I79" s="217">
        <f t="shared" si="40"/>
        <v>1.3657407407407409E-4</v>
      </c>
      <c r="J79" s="217">
        <f t="shared" si="40"/>
        <v>1.3657407407407409E-4</v>
      </c>
      <c r="K79" s="217">
        <f t="shared" si="40"/>
        <v>1.3657407407407409E-4</v>
      </c>
      <c r="L79" s="217">
        <f t="shared" si="40"/>
        <v>1.3657407407407409E-4</v>
      </c>
      <c r="M79" s="217">
        <f t="shared" si="40"/>
        <v>1.3657407407407409E-4</v>
      </c>
      <c r="N79" s="217">
        <f t="shared" si="40"/>
        <v>1.3657407407407409E-4</v>
      </c>
      <c r="O79" s="217">
        <f t="shared" si="40"/>
        <v>1.3657407407407409E-4</v>
      </c>
      <c r="P79" s="217">
        <f t="shared" si="40"/>
        <v>1.3657407407407409E-4</v>
      </c>
      <c r="Q79" s="217">
        <f t="shared" si="40"/>
        <v>1.3657407407407409E-4</v>
      </c>
      <c r="R79" s="217">
        <f t="shared" si="40"/>
        <v>1.3657407407407409E-4</v>
      </c>
      <c r="S79" s="217">
        <f t="shared" si="40"/>
        <v>1.3657407407407409E-4</v>
      </c>
    </row>
    <row r="80" spans="1:20" ht="15" customHeight="1">
      <c r="B80" s="305" t="s">
        <v>1166</v>
      </c>
      <c r="C80" s="8">
        <f>Inputs!C80</f>
        <v>1097.5090051191244</v>
      </c>
      <c r="D80" s="8">
        <f t="shared" si="41"/>
        <v>1097.5090051191244</v>
      </c>
      <c r="E80" s="8">
        <f t="shared" si="40"/>
        <v>1097.5090051191244</v>
      </c>
      <c r="F80" s="8">
        <f t="shared" si="40"/>
        <v>1097.5090051191244</v>
      </c>
      <c r="G80" s="8">
        <f t="shared" si="40"/>
        <v>1097.5090051191244</v>
      </c>
      <c r="H80" s="8">
        <f t="shared" si="40"/>
        <v>1097.5090051191244</v>
      </c>
      <c r="I80" s="8">
        <f t="shared" si="40"/>
        <v>1097.5090051191244</v>
      </c>
      <c r="J80" s="8">
        <f t="shared" si="40"/>
        <v>1097.5090051191244</v>
      </c>
      <c r="K80" s="8">
        <f t="shared" si="40"/>
        <v>1097.5090051191244</v>
      </c>
      <c r="L80" s="8">
        <f t="shared" si="40"/>
        <v>1097.5090051191244</v>
      </c>
      <c r="M80" s="8">
        <f t="shared" si="40"/>
        <v>1097.5090051191244</v>
      </c>
      <c r="N80" s="8">
        <f t="shared" si="40"/>
        <v>1097.5090051191244</v>
      </c>
      <c r="O80" s="8">
        <f t="shared" si="40"/>
        <v>1097.5090051191244</v>
      </c>
      <c r="P80" s="8">
        <f t="shared" si="40"/>
        <v>1097.5090051191244</v>
      </c>
      <c r="Q80" s="8">
        <f t="shared" si="40"/>
        <v>1097.5090051191244</v>
      </c>
      <c r="R80" s="8">
        <f t="shared" si="40"/>
        <v>1097.5090051191244</v>
      </c>
      <c r="S80" s="276">
        <f t="shared" si="40"/>
        <v>1097.5090051191244</v>
      </c>
    </row>
    <row r="81" spans="1:19" ht="15" customHeight="1">
      <c r="A81" s="305" t="s">
        <v>70</v>
      </c>
      <c r="B81" s="305" t="s">
        <v>1167</v>
      </c>
      <c r="C81" s="8">
        <f>Inputs!C81</f>
        <v>306.00260102083325</v>
      </c>
      <c r="D81" s="8">
        <f t="shared" si="41"/>
        <v>306.00260102083325</v>
      </c>
      <c r="E81" s="8">
        <f t="shared" si="40"/>
        <v>306.00260102083325</v>
      </c>
      <c r="F81" s="8">
        <f t="shared" si="40"/>
        <v>306.00260102083325</v>
      </c>
      <c r="G81" s="8">
        <f t="shared" si="40"/>
        <v>306.00260102083325</v>
      </c>
      <c r="H81" s="8">
        <f t="shared" si="40"/>
        <v>306.00260102083325</v>
      </c>
      <c r="I81" s="8">
        <f t="shared" si="40"/>
        <v>306.00260102083325</v>
      </c>
      <c r="J81" s="8">
        <f t="shared" si="40"/>
        <v>306.00260102083325</v>
      </c>
      <c r="K81" s="8">
        <f t="shared" si="40"/>
        <v>306.00260102083325</v>
      </c>
      <c r="L81" s="8">
        <f t="shared" si="40"/>
        <v>306.00260102083325</v>
      </c>
      <c r="M81" s="8">
        <f t="shared" si="40"/>
        <v>306.00260102083325</v>
      </c>
      <c r="N81" s="8">
        <f t="shared" si="40"/>
        <v>306.00260102083325</v>
      </c>
      <c r="O81" s="8">
        <f t="shared" si="40"/>
        <v>306.00260102083325</v>
      </c>
      <c r="P81" s="8">
        <f t="shared" si="40"/>
        <v>306.00260102083325</v>
      </c>
      <c r="Q81" s="8">
        <f t="shared" si="40"/>
        <v>306.00260102083325</v>
      </c>
      <c r="R81" s="8">
        <f t="shared" si="40"/>
        <v>306.00260102083325</v>
      </c>
      <c r="S81" s="276">
        <f t="shared" si="40"/>
        <v>306.00260102083325</v>
      </c>
    </row>
    <row r="82" spans="1:19" ht="15" customHeight="1">
      <c r="B82" s="305" t="s">
        <v>1168</v>
      </c>
      <c r="C82" s="169">
        <f>Inputs!C82</f>
        <v>0.5660247946157696</v>
      </c>
      <c r="D82" s="169">
        <f t="shared" si="41"/>
        <v>0.5660247946157696</v>
      </c>
      <c r="E82" s="169">
        <f t="shared" si="40"/>
        <v>0.5660247946157696</v>
      </c>
      <c r="F82" s="169">
        <f t="shared" si="40"/>
        <v>0.5660247946157696</v>
      </c>
      <c r="G82" s="169">
        <f t="shared" si="40"/>
        <v>0.5660247946157696</v>
      </c>
      <c r="H82" s="169">
        <f t="shared" si="40"/>
        <v>0.5660247946157696</v>
      </c>
      <c r="I82" s="169">
        <f t="shared" si="40"/>
        <v>0.5660247946157696</v>
      </c>
      <c r="J82" s="169">
        <f t="shared" si="40"/>
        <v>0.5660247946157696</v>
      </c>
      <c r="K82" s="169">
        <f t="shared" si="40"/>
        <v>0.5660247946157696</v>
      </c>
      <c r="L82" s="169">
        <f t="shared" si="40"/>
        <v>0.5660247946157696</v>
      </c>
      <c r="M82" s="169">
        <f t="shared" si="40"/>
        <v>0.5660247946157696</v>
      </c>
      <c r="N82" s="169">
        <f t="shared" si="40"/>
        <v>0.5660247946157696</v>
      </c>
      <c r="O82" s="169">
        <f t="shared" si="40"/>
        <v>0.5660247946157696</v>
      </c>
      <c r="P82" s="169">
        <f t="shared" si="40"/>
        <v>0.5660247946157696</v>
      </c>
      <c r="Q82" s="169">
        <f t="shared" si="40"/>
        <v>0.5660247946157696</v>
      </c>
      <c r="R82" s="169">
        <f t="shared" si="40"/>
        <v>0.5660247946157696</v>
      </c>
      <c r="S82" s="169">
        <f t="shared" si="40"/>
        <v>0.5660247946157696</v>
      </c>
    </row>
    <row r="83" spans="1:19" ht="15" customHeight="1">
      <c r="B83" s="305" t="s">
        <v>1169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1170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1171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1172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1173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1174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1175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1176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1177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1178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1179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1293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1294</v>
      </c>
      <c r="C95" s="6">
        <f>Inputs!C95</f>
        <v>3.970416666666666</v>
      </c>
      <c r="D95" s="6">
        <f t="shared" si="41"/>
        <v>3.970416666666666</v>
      </c>
      <c r="E95" s="6">
        <f t="shared" ref="E95:S95" si="45">D95</f>
        <v>3.970416666666666</v>
      </c>
      <c r="F95" s="6">
        <f t="shared" si="45"/>
        <v>3.970416666666666</v>
      </c>
      <c r="G95" s="6">
        <f t="shared" si="45"/>
        <v>3.970416666666666</v>
      </c>
      <c r="H95" s="6">
        <f t="shared" si="45"/>
        <v>3.970416666666666</v>
      </c>
      <c r="I95" s="6">
        <f t="shared" si="45"/>
        <v>3.970416666666666</v>
      </c>
      <c r="J95" s="6">
        <f t="shared" si="45"/>
        <v>3.970416666666666</v>
      </c>
      <c r="K95" s="6">
        <f t="shared" si="45"/>
        <v>3.970416666666666</v>
      </c>
      <c r="L95" s="6">
        <f t="shared" si="45"/>
        <v>3.970416666666666</v>
      </c>
      <c r="M95" s="6">
        <f t="shared" si="45"/>
        <v>3.970416666666666</v>
      </c>
      <c r="N95" s="6">
        <f t="shared" si="45"/>
        <v>3.970416666666666</v>
      </c>
      <c r="O95" s="6">
        <f t="shared" si="45"/>
        <v>3.970416666666666</v>
      </c>
      <c r="P95" s="6">
        <f t="shared" si="45"/>
        <v>3.970416666666666</v>
      </c>
      <c r="Q95" s="6">
        <f t="shared" si="45"/>
        <v>3.970416666666666</v>
      </c>
      <c r="R95" s="6">
        <f t="shared" si="45"/>
        <v>3.970416666666666</v>
      </c>
      <c r="S95" s="6">
        <f t="shared" si="45"/>
        <v>3.970416666666666</v>
      </c>
    </row>
    <row r="96" spans="1:19" ht="15" customHeight="1">
      <c r="B96" s="305" t="s">
        <v>1295</v>
      </c>
      <c r="C96" s="6">
        <f>Inputs!C96</f>
        <v>0.27988804666666661</v>
      </c>
      <c r="D96" s="6">
        <f t="shared" ref="D96:S111" si="46">C96</f>
        <v>0.27988804666666661</v>
      </c>
      <c r="E96" s="6">
        <f t="shared" si="46"/>
        <v>0.27988804666666661</v>
      </c>
      <c r="F96" s="6">
        <f t="shared" si="46"/>
        <v>0.27988804666666661</v>
      </c>
      <c r="G96" s="6">
        <f t="shared" si="46"/>
        <v>0.27988804666666661</v>
      </c>
      <c r="H96" s="6">
        <f t="shared" si="46"/>
        <v>0.27988804666666661</v>
      </c>
      <c r="I96" s="6">
        <f t="shared" si="46"/>
        <v>0.27988804666666661</v>
      </c>
      <c r="J96" s="6">
        <f t="shared" si="46"/>
        <v>0.27988804666666661</v>
      </c>
      <c r="K96" s="6">
        <f t="shared" si="46"/>
        <v>0.27988804666666661</v>
      </c>
      <c r="L96" s="6">
        <f t="shared" si="46"/>
        <v>0.27988804666666661</v>
      </c>
      <c r="M96" s="6">
        <f t="shared" si="46"/>
        <v>0.27988804666666661</v>
      </c>
      <c r="N96" s="6">
        <f t="shared" si="46"/>
        <v>0.27988804666666661</v>
      </c>
      <c r="O96" s="6">
        <f t="shared" si="46"/>
        <v>0.27988804666666661</v>
      </c>
      <c r="P96" s="6">
        <f t="shared" si="46"/>
        <v>0.27988804666666661</v>
      </c>
      <c r="Q96" s="6">
        <f t="shared" si="46"/>
        <v>0.27988804666666661</v>
      </c>
      <c r="R96" s="6">
        <f t="shared" si="46"/>
        <v>0.27988804666666661</v>
      </c>
      <c r="S96" s="6">
        <f t="shared" si="46"/>
        <v>0.27988804666666661</v>
      </c>
    </row>
    <row r="97" spans="1:19" ht="15" customHeight="1">
      <c r="B97" s="305" t="s">
        <v>1296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1297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1298</v>
      </c>
      <c r="C99" s="169">
        <f>Inputs!C99</f>
        <v>3.970416666666666</v>
      </c>
      <c r="D99" s="169">
        <f t="shared" si="46"/>
        <v>3.970416666666666</v>
      </c>
      <c r="E99" s="169">
        <f t="shared" si="46"/>
        <v>3.970416666666666</v>
      </c>
      <c r="F99" s="169">
        <f t="shared" si="46"/>
        <v>3.970416666666666</v>
      </c>
      <c r="G99" s="169">
        <f t="shared" si="46"/>
        <v>3.970416666666666</v>
      </c>
      <c r="H99" s="169">
        <f t="shared" si="46"/>
        <v>3.970416666666666</v>
      </c>
      <c r="I99" s="169">
        <f t="shared" si="46"/>
        <v>3.970416666666666</v>
      </c>
      <c r="J99" s="169">
        <f t="shared" si="46"/>
        <v>3.970416666666666</v>
      </c>
      <c r="K99" s="169">
        <f t="shared" si="46"/>
        <v>3.970416666666666</v>
      </c>
      <c r="L99" s="169">
        <f t="shared" si="46"/>
        <v>3.970416666666666</v>
      </c>
      <c r="M99" s="169">
        <f t="shared" si="46"/>
        <v>3.970416666666666</v>
      </c>
      <c r="N99" s="169">
        <f t="shared" si="46"/>
        <v>3.970416666666666</v>
      </c>
      <c r="O99" s="169">
        <f t="shared" si="46"/>
        <v>3.970416666666666</v>
      </c>
      <c r="P99" s="169">
        <f t="shared" si="46"/>
        <v>3.970416666666666</v>
      </c>
      <c r="Q99" s="169">
        <f t="shared" si="46"/>
        <v>3.970416666666666</v>
      </c>
      <c r="R99" s="169">
        <f t="shared" si="46"/>
        <v>3.970416666666666</v>
      </c>
      <c r="S99" s="169">
        <f t="shared" si="46"/>
        <v>3.970416666666666</v>
      </c>
    </row>
    <row r="100" spans="1:19" ht="15" customHeight="1">
      <c r="B100" s="305" t="s">
        <v>1299</v>
      </c>
      <c r="C100" s="169">
        <f>Inputs!C100</f>
        <v>7.9968013333333324E-2</v>
      </c>
      <c r="D100" s="169">
        <f t="shared" si="46"/>
        <v>7.9968013333333324E-2</v>
      </c>
      <c r="E100" s="169">
        <f t="shared" si="46"/>
        <v>7.9968013333333324E-2</v>
      </c>
      <c r="F100" s="169">
        <f t="shared" si="46"/>
        <v>7.9968013333333324E-2</v>
      </c>
      <c r="G100" s="169">
        <f t="shared" si="46"/>
        <v>7.9968013333333324E-2</v>
      </c>
      <c r="H100" s="169">
        <f t="shared" si="46"/>
        <v>7.9968013333333324E-2</v>
      </c>
      <c r="I100" s="169">
        <f t="shared" si="46"/>
        <v>7.9968013333333324E-2</v>
      </c>
      <c r="J100" s="169">
        <f t="shared" si="46"/>
        <v>7.9968013333333324E-2</v>
      </c>
      <c r="K100" s="169">
        <f t="shared" si="46"/>
        <v>7.9968013333333324E-2</v>
      </c>
      <c r="L100" s="169">
        <f t="shared" si="46"/>
        <v>7.9968013333333324E-2</v>
      </c>
      <c r="M100" s="169">
        <f t="shared" si="46"/>
        <v>7.9968013333333324E-2</v>
      </c>
      <c r="N100" s="169">
        <f t="shared" si="46"/>
        <v>7.9968013333333324E-2</v>
      </c>
      <c r="O100" s="169">
        <f t="shared" si="46"/>
        <v>7.9968013333333324E-2</v>
      </c>
      <c r="P100" s="169">
        <f t="shared" si="46"/>
        <v>7.9968013333333324E-2</v>
      </c>
      <c r="Q100" s="169">
        <f t="shared" si="46"/>
        <v>7.9968013333333324E-2</v>
      </c>
      <c r="R100" s="169">
        <f t="shared" si="46"/>
        <v>7.9968013333333324E-2</v>
      </c>
      <c r="S100" s="169">
        <f t="shared" si="46"/>
        <v>7.9968013333333324E-2</v>
      </c>
    </row>
    <row r="101" spans="1:19" ht="15" customHeight="1">
      <c r="B101" s="305" t="s">
        <v>1300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1180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1181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1182</v>
      </c>
      <c r="C104" s="8">
        <f>Inputs!C104</f>
        <v>4.9908333333333328</v>
      </c>
      <c r="D104" s="8">
        <f>C104</f>
        <v>4.9908333333333328</v>
      </c>
      <c r="E104" s="8">
        <f t="shared" si="46"/>
        <v>4.9908333333333328</v>
      </c>
      <c r="F104" s="8">
        <f t="shared" si="46"/>
        <v>4.9908333333333328</v>
      </c>
      <c r="G104" s="8">
        <f t="shared" si="46"/>
        <v>4.9908333333333328</v>
      </c>
      <c r="H104" s="8">
        <f t="shared" si="46"/>
        <v>4.9908333333333328</v>
      </c>
      <c r="I104" s="8">
        <f t="shared" si="46"/>
        <v>4.9908333333333328</v>
      </c>
      <c r="J104" s="8">
        <f t="shared" si="46"/>
        <v>4.9908333333333328</v>
      </c>
      <c r="K104" s="8">
        <f t="shared" si="46"/>
        <v>4.9908333333333328</v>
      </c>
      <c r="L104" s="8">
        <f t="shared" si="46"/>
        <v>4.9908333333333328</v>
      </c>
      <c r="M104" s="8">
        <f t="shared" si="46"/>
        <v>4.9908333333333328</v>
      </c>
      <c r="N104" s="8">
        <f t="shared" si="46"/>
        <v>4.9908333333333328</v>
      </c>
      <c r="O104" s="8">
        <f t="shared" si="46"/>
        <v>4.9908333333333328</v>
      </c>
      <c r="P104" s="8">
        <f t="shared" si="46"/>
        <v>4.9908333333333328</v>
      </c>
      <c r="Q104" s="8">
        <f t="shared" si="46"/>
        <v>4.9908333333333328</v>
      </c>
      <c r="R104" s="8">
        <f t="shared" si="46"/>
        <v>4.9908333333333328</v>
      </c>
      <c r="S104" s="276">
        <f t="shared" si="46"/>
        <v>4.9908333333333328</v>
      </c>
    </row>
    <row r="105" spans="1:19" ht="15" customHeight="1">
      <c r="B105" s="305" t="s">
        <v>1183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1184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1185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1186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1187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1188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1189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1190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1191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1328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1329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1192</v>
      </c>
      <c r="C118" s="8">
        <f>Inputs!C118</f>
        <v>103.09454084025489</v>
      </c>
      <c r="D118" s="8">
        <f t="shared" si="47"/>
        <v>103.09454084025489</v>
      </c>
      <c r="E118" s="8">
        <f t="shared" si="47"/>
        <v>103.09454084025489</v>
      </c>
      <c r="F118" s="8">
        <f t="shared" si="47"/>
        <v>103.09454084025489</v>
      </c>
      <c r="G118" s="8">
        <f t="shared" si="47"/>
        <v>103.09454084025489</v>
      </c>
      <c r="H118" s="8">
        <f t="shared" si="47"/>
        <v>103.09454084025489</v>
      </c>
      <c r="I118" s="8">
        <f t="shared" si="47"/>
        <v>103.09454084025489</v>
      </c>
      <c r="J118" s="8">
        <f t="shared" si="47"/>
        <v>103.09454084025489</v>
      </c>
      <c r="K118" s="8">
        <f t="shared" si="47"/>
        <v>103.09454084025489</v>
      </c>
      <c r="L118" s="8">
        <f t="shared" si="47"/>
        <v>103.09454084025489</v>
      </c>
      <c r="M118" s="8">
        <f t="shared" si="47"/>
        <v>103.09454084025489</v>
      </c>
      <c r="N118" s="8">
        <f t="shared" si="47"/>
        <v>103.09454084025489</v>
      </c>
      <c r="O118" s="8">
        <f t="shared" si="47"/>
        <v>103.09454084025489</v>
      </c>
      <c r="P118" s="8">
        <f t="shared" si="47"/>
        <v>103.09454084025489</v>
      </c>
      <c r="Q118" s="8">
        <f t="shared" si="47"/>
        <v>103.09454084025489</v>
      </c>
      <c r="R118" s="8">
        <f t="shared" si="47"/>
        <v>103.09454084025489</v>
      </c>
      <c r="S118" s="276">
        <f t="shared" si="47"/>
        <v>103.09454084025489</v>
      </c>
    </row>
    <row r="119" spans="1:19" ht="15" customHeight="1">
      <c r="B119" s="305" t="s">
        <v>1193</v>
      </c>
      <c r="C119" s="8">
        <f>Inputs!C119</f>
        <v>10.606434242824577</v>
      </c>
      <c r="D119" s="8">
        <f t="shared" si="47"/>
        <v>10.606434242824577</v>
      </c>
      <c r="E119" s="8">
        <f t="shared" si="47"/>
        <v>10.606434242824577</v>
      </c>
      <c r="F119" s="8">
        <f t="shared" si="47"/>
        <v>10.606434242824577</v>
      </c>
      <c r="G119" s="8">
        <f t="shared" si="47"/>
        <v>10.606434242824577</v>
      </c>
      <c r="H119" s="8">
        <f t="shared" si="47"/>
        <v>10.606434242824577</v>
      </c>
      <c r="I119" s="8">
        <f t="shared" si="47"/>
        <v>10.606434242824577</v>
      </c>
      <c r="J119" s="8">
        <f t="shared" si="47"/>
        <v>10.606434242824577</v>
      </c>
      <c r="K119" s="8">
        <f t="shared" si="47"/>
        <v>10.606434242824577</v>
      </c>
      <c r="L119" s="8">
        <f t="shared" si="47"/>
        <v>10.606434242824577</v>
      </c>
      <c r="M119" s="8">
        <f t="shared" si="47"/>
        <v>10.606434242824577</v>
      </c>
      <c r="N119" s="8">
        <f t="shared" si="47"/>
        <v>10.606434242824577</v>
      </c>
      <c r="O119" s="8">
        <f t="shared" si="47"/>
        <v>10.606434242824577</v>
      </c>
      <c r="P119" s="8">
        <f t="shared" si="47"/>
        <v>10.606434242824577</v>
      </c>
      <c r="Q119" s="8">
        <f t="shared" si="47"/>
        <v>10.606434242824577</v>
      </c>
      <c r="R119" s="8">
        <f t="shared" si="47"/>
        <v>10.606434242824577</v>
      </c>
      <c r="S119" s="276">
        <f t="shared" si="47"/>
        <v>10.606434242824577</v>
      </c>
    </row>
    <row r="120" spans="1:19" ht="15" customHeight="1">
      <c r="B120" s="305" t="s">
        <v>1194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1195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1196</v>
      </c>
      <c r="C122" s="324">
        <f>HVAC!C27</f>
        <v>0.41908932956160005</v>
      </c>
      <c r="D122" s="324">
        <f>HVAC!D27</f>
        <v>0.41908932956160005</v>
      </c>
      <c r="E122" s="324" t="e">
        <f>HVAC!E27</f>
        <v>#N/A</v>
      </c>
      <c r="F122" s="324">
        <f>HVAC!F27</f>
        <v>0.45554726954880009</v>
      </c>
      <c r="G122" s="324" t="e">
        <f>HVAC!G27</f>
        <v>#N/A</v>
      </c>
      <c r="H122" s="324" t="e">
        <f>HVAC!H27</f>
        <v>#N/A</v>
      </c>
      <c r="I122" s="324">
        <f>HVAC!I27</f>
        <v>0.45554726954880009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0.41908932956160005</v>
      </c>
      <c r="S122" s="324">
        <f>HVAC!S27</f>
        <v>0.45554726954880009</v>
      </c>
    </row>
    <row r="123" spans="1:19" ht="15" customHeight="1">
      <c r="B123" s="305" t="s">
        <v>1197</v>
      </c>
      <c r="C123" s="325">
        <f>HVAC!C28</f>
        <v>0.39641340254837187</v>
      </c>
      <c r="D123" s="325">
        <f>HVAC!D28</f>
        <v>0.31713072203869752</v>
      </c>
      <c r="E123" s="325" t="e">
        <f>HVAC!E28</f>
        <v>#N/A</v>
      </c>
      <c r="F123" s="325">
        <f>HVAC!F28</f>
        <v>0.39641340254837187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0.31713072203869752</v>
      </c>
      <c r="S123" s="325">
        <f>HVAC!S28</f>
        <v>0.39641340254837187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2.5</v>
      </c>
      <c r="D128" s="10">
        <f>HVAC!D24</f>
        <v>2.5</v>
      </c>
      <c r="E128" s="10" t="e">
        <f>HVAC!E24</f>
        <v>#N/A</v>
      </c>
      <c r="F128" s="10">
        <f>HVAC!F24</f>
        <v>2.5</v>
      </c>
      <c r="G128" s="10" t="e">
        <f>HVAC!G24</f>
        <v>#N/A</v>
      </c>
      <c r="H128" s="10" t="e">
        <f>HVAC!H24</f>
        <v>#N/A</v>
      </c>
      <c r="I128" s="10">
        <f>HVAC!I24</f>
        <v>2.5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2.5</v>
      </c>
      <c r="S128" s="10">
        <f>HVAC!S24</f>
        <v>2.5</v>
      </c>
    </row>
    <row r="129" spans="1:20" ht="15" customHeight="1">
      <c r="B129" s="305" t="s">
        <v>444</v>
      </c>
      <c r="C129" s="9">
        <f>HVAC!C25</f>
        <v>30</v>
      </c>
      <c r="D129" s="9">
        <f>HVAC!D25</f>
        <v>30</v>
      </c>
      <c r="E129" s="9" t="e">
        <f>HVAC!E25</f>
        <v>#N/A</v>
      </c>
      <c r="F129" s="9">
        <f>HVAC!F25</f>
        <v>30</v>
      </c>
      <c r="G129" s="9" t="e">
        <f>HVAC!G25</f>
        <v>#N/A</v>
      </c>
      <c r="H129" s="9" t="e">
        <f>HVAC!H25</f>
        <v>#N/A</v>
      </c>
      <c r="I129" s="9">
        <f>HVAC!I25</f>
        <v>30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30</v>
      </c>
      <c r="S129" s="9">
        <f>HVAC!S25</f>
        <v>30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1198</v>
      </c>
      <c r="C131" s="10">
        <f>HVAC!C26</f>
        <v>50</v>
      </c>
      <c r="D131" s="10">
        <f>HVAC!D26</f>
        <v>40</v>
      </c>
      <c r="E131" s="10" t="e">
        <f>HVAC!E26</f>
        <v>#N/A</v>
      </c>
      <c r="F131" s="10">
        <f>HVAC!F26</f>
        <v>50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40</v>
      </c>
      <c r="S131" s="10">
        <f>HVAC!S26</f>
        <v>50</v>
      </c>
    </row>
    <row r="132" spans="1:20" ht="15" customHeight="1">
      <c r="B132" s="305" t="s">
        <v>1199</v>
      </c>
      <c r="C132" s="322">
        <f>HVAC!C30</f>
        <v>140.28</v>
      </c>
      <c r="D132" s="322">
        <f>HVAC!D30</f>
        <v>112.224</v>
      </c>
      <c r="E132" s="322" t="e">
        <f>HVAC!E30</f>
        <v>#N/A</v>
      </c>
      <c r="F132" s="322">
        <f>HVAC!F30</f>
        <v>140.28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112.224</v>
      </c>
      <c r="S132" s="322">
        <f>HVAC!S30</f>
        <v>140.28</v>
      </c>
    </row>
    <row r="133" spans="1:20" ht="15" customHeight="1">
      <c r="B133" s="305" t="s">
        <v>1200</v>
      </c>
      <c r="C133" s="323">
        <f>HVAC!C29</f>
        <v>148.3043983199521</v>
      </c>
      <c r="D133" s="323">
        <f>HVAC!D29</f>
        <v>148.3043983199521</v>
      </c>
      <c r="E133" s="323" t="e">
        <f>HVAC!E29</f>
        <v>#N/A</v>
      </c>
      <c r="F133" s="323">
        <f>HVAC!F29</f>
        <v>161.20587891704255</v>
      </c>
      <c r="G133" s="323" t="e">
        <f>HVAC!G29</f>
        <v>#N/A</v>
      </c>
      <c r="H133" s="323" t="e">
        <f>HVAC!H29</f>
        <v>#N/A</v>
      </c>
      <c r="I133" s="323">
        <f>HVAC!I29</f>
        <v>161.20587891704255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148.3043983199521</v>
      </c>
      <c r="S133" s="323">
        <f>HVAC!S29</f>
        <v>161.20587891704255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1218</v>
      </c>
      <c r="B136" s="305" t="s">
        <v>1201</v>
      </c>
      <c r="C136" s="144">
        <f>Inputs!C136</f>
        <v>5</v>
      </c>
      <c r="D136" s="144">
        <f>C136</f>
        <v>5</v>
      </c>
      <c r="E136" s="144">
        <f t="shared" ref="E136:S136" si="49">D136</f>
        <v>5</v>
      </c>
      <c r="F136" s="144">
        <f t="shared" si="49"/>
        <v>5</v>
      </c>
      <c r="G136" s="144">
        <f t="shared" si="49"/>
        <v>5</v>
      </c>
      <c r="H136" s="144">
        <f t="shared" si="49"/>
        <v>5</v>
      </c>
      <c r="I136" s="144">
        <f t="shared" si="49"/>
        <v>5</v>
      </c>
      <c r="J136" s="144">
        <f t="shared" si="49"/>
        <v>5</v>
      </c>
      <c r="K136" s="144">
        <f t="shared" si="49"/>
        <v>5</v>
      </c>
      <c r="L136" s="144">
        <f t="shared" si="49"/>
        <v>5</v>
      </c>
      <c r="M136" s="144">
        <f t="shared" si="49"/>
        <v>5</v>
      </c>
      <c r="N136" s="144">
        <f t="shared" si="49"/>
        <v>5</v>
      </c>
      <c r="O136" s="144">
        <f t="shared" si="49"/>
        <v>5</v>
      </c>
      <c r="P136" s="144">
        <f t="shared" si="49"/>
        <v>5</v>
      </c>
      <c r="Q136" s="144">
        <f t="shared" si="49"/>
        <v>5</v>
      </c>
      <c r="R136" s="144">
        <f t="shared" si="49"/>
        <v>5</v>
      </c>
      <c r="S136" s="144">
        <f t="shared" si="49"/>
        <v>5</v>
      </c>
      <c r="T136" s="69"/>
    </row>
    <row r="137" spans="1:20" s="305" customFormat="1" ht="15" customHeight="1">
      <c r="B137" s="305" t="s">
        <v>1202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1023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1364</v>
      </c>
      <c r="C140" s="224">
        <f>Inputs!C140</f>
        <v>0.31684031932100853</v>
      </c>
      <c r="D140" s="224">
        <f>C140</f>
        <v>0.31684031932100853</v>
      </c>
      <c r="E140" s="224">
        <f t="shared" si="51"/>
        <v>0.31684031932100853</v>
      </c>
      <c r="F140" s="224">
        <f t="shared" si="51"/>
        <v>0.31684031932100853</v>
      </c>
      <c r="G140" s="224">
        <f t="shared" si="51"/>
        <v>0.31684031932100853</v>
      </c>
      <c r="H140" s="224">
        <f t="shared" si="51"/>
        <v>0.31684031932100853</v>
      </c>
      <c r="I140" s="224">
        <f t="shared" si="51"/>
        <v>0.31684031932100853</v>
      </c>
      <c r="J140" s="224">
        <f t="shared" si="51"/>
        <v>0.31684031932100853</v>
      </c>
      <c r="K140" s="224">
        <f t="shared" si="51"/>
        <v>0.31684031932100853</v>
      </c>
      <c r="L140" s="224">
        <f t="shared" si="51"/>
        <v>0.31684031932100853</v>
      </c>
      <c r="M140" s="224">
        <f t="shared" si="51"/>
        <v>0.31684031932100853</v>
      </c>
      <c r="N140" s="224">
        <f t="shared" si="51"/>
        <v>0.31684031932100853</v>
      </c>
      <c r="O140" s="224">
        <f t="shared" si="51"/>
        <v>0.31684031932100853</v>
      </c>
      <c r="P140" s="224">
        <f t="shared" si="51"/>
        <v>0.31684031932100853</v>
      </c>
      <c r="Q140" s="224">
        <f t="shared" si="51"/>
        <v>0.31684031932100853</v>
      </c>
      <c r="R140" s="224">
        <f t="shared" si="51"/>
        <v>0.31684031932100853</v>
      </c>
      <c r="S140" s="224">
        <f t="shared" si="51"/>
        <v>0.31684031932100853</v>
      </c>
      <c r="T140" s="69"/>
    </row>
    <row r="141" spans="1:20" s="305" customFormat="1" ht="15" customHeight="1">
      <c r="B141" s="305" t="s">
        <v>1366</v>
      </c>
      <c r="C141" s="224">
        <f>Inputs!C141</f>
        <v>1</v>
      </c>
      <c r="D141" s="224">
        <f>C141</f>
        <v>1</v>
      </c>
      <c r="E141" s="224">
        <f t="shared" si="51"/>
        <v>1</v>
      </c>
      <c r="F141" s="224">
        <f t="shared" si="51"/>
        <v>1</v>
      </c>
      <c r="G141" s="224">
        <f t="shared" si="51"/>
        <v>1</v>
      </c>
      <c r="H141" s="224">
        <f t="shared" si="51"/>
        <v>1</v>
      </c>
      <c r="I141" s="224">
        <f t="shared" si="51"/>
        <v>1</v>
      </c>
      <c r="J141" s="224">
        <f t="shared" si="51"/>
        <v>1</v>
      </c>
      <c r="K141" s="224">
        <f t="shared" si="51"/>
        <v>1</v>
      </c>
      <c r="L141" s="224">
        <f t="shared" si="51"/>
        <v>1</v>
      </c>
      <c r="M141" s="224">
        <f t="shared" si="51"/>
        <v>1</v>
      </c>
      <c r="N141" s="224">
        <f t="shared" si="51"/>
        <v>1</v>
      </c>
      <c r="O141" s="224">
        <f t="shared" si="51"/>
        <v>1</v>
      </c>
      <c r="P141" s="224">
        <f t="shared" si="51"/>
        <v>1</v>
      </c>
      <c r="Q141" s="224">
        <f t="shared" si="51"/>
        <v>1</v>
      </c>
      <c r="R141" s="224">
        <f t="shared" si="51"/>
        <v>1</v>
      </c>
      <c r="S141" s="224">
        <f t="shared" si="51"/>
        <v>1</v>
      </c>
      <c r="T141" s="69"/>
    </row>
    <row r="142" spans="1:20" s="305" customFormat="1" ht="15" customHeight="1">
      <c r="B142" s="305" t="s">
        <v>1024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1219</v>
      </c>
      <c r="B143" s="305" t="s">
        <v>1025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1026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1027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1028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1029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1030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1031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0</v>
      </c>
      <c r="D150" s="275">
        <f>C150</f>
        <v>0</v>
      </c>
      <c r="E150" s="275">
        <f t="shared" ref="E150:S150" si="53">D150</f>
        <v>0</v>
      </c>
      <c r="F150" s="275">
        <f t="shared" si="53"/>
        <v>0</v>
      </c>
      <c r="G150" s="275">
        <f t="shared" si="53"/>
        <v>0</v>
      </c>
      <c r="H150" s="275">
        <f t="shared" si="53"/>
        <v>0</v>
      </c>
      <c r="I150" s="275">
        <f t="shared" si="53"/>
        <v>0</v>
      </c>
      <c r="J150" s="275">
        <f t="shared" si="53"/>
        <v>0</v>
      </c>
      <c r="K150" s="275">
        <f t="shared" si="53"/>
        <v>0</v>
      </c>
      <c r="L150" s="275">
        <f t="shared" si="53"/>
        <v>0</v>
      </c>
      <c r="M150" s="275">
        <f t="shared" si="53"/>
        <v>0</v>
      </c>
      <c r="N150" s="275">
        <f t="shared" si="53"/>
        <v>0</v>
      </c>
      <c r="O150" s="275">
        <f t="shared" si="53"/>
        <v>0</v>
      </c>
      <c r="P150" s="275">
        <f t="shared" si="53"/>
        <v>0</v>
      </c>
      <c r="Q150" s="275">
        <f t="shared" si="53"/>
        <v>0</v>
      </c>
      <c r="R150" s="275">
        <f t="shared" si="53"/>
        <v>0</v>
      </c>
      <c r="S150" s="275">
        <f t="shared" si="53"/>
        <v>0</v>
      </c>
      <c r="T150" s="69"/>
    </row>
    <row r="151" spans="1:20" ht="15" customHeight="1">
      <c r="B151" s="305" t="s">
        <v>929</v>
      </c>
      <c r="C151" s="275">
        <f>Inputs!C151</f>
        <v>0</v>
      </c>
      <c r="D151" s="275">
        <f>C151</f>
        <v>0</v>
      </c>
      <c r="E151" s="275">
        <f t="shared" ref="E151:S151" si="54">D151</f>
        <v>0</v>
      </c>
      <c r="F151" s="275">
        <f t="shared" si="54"/>
        <v>0</v>
      </c>
      <c r="G151" s="275">
        <f t="shared" si="54"/>
        <v>0</v>
      </c>
      <c r="H151" s="275">
        <f t="shared" si="54"/>
        <v>0</v>
      </c>
      <c r="I151" s="275">
        <f t="shared" si="54"/>
        <v>0</v>
      </c>
      <c r="J151" s="275">
        <f t="shared" si="54"/>
        <v>0</v>
      </c>
      <c r="K151" s="275">
        <f t="shared" si="54"/>
        <v>0</v>
      </c>
      <c r="L151" s="275">
        <f t="shared" si="54"/>
        <v>0</v>
      </c>
      <c r="M151" s="275">
        <f t="shared" si="54"/>
        <v>0</v>
      </c>
      <c r="N151" s="275">
        <f t="shared" si="54"/>
        <v>0</v>
      </c>
      <c r="O151" s="275">
        <f t="shared" si="54"/>
        <v>0</v>
      </c>
      <c r="P151" s="275">
        <f t="shared" si="54"/>
        <v>0</v>
      </c>
      <c r="Q151" s="275">
        <f t="shared" si="54"/>
        <v>0</v>
      </c>
      <c r="R151" s="275">
        <f t="shared" si="54"/>
        <v>0</v>
      </c>
      <c r="S151" s="275">
        <f t="shared" si="54"/>
        <v>0</v>
      </c>
    </row>
    <row r="152" spans="1:20" s="305" customFormat="1" ht="15" customHeight="1">
      <c r="B152" s="305" t="s">
        <v>930</v>
      </c>
      <c r="C152" s="401">
        <f>Humidity!B5</f>
        <v>1.8143650428724283E-2</v>
      </c>
      <c r="D152" s="401">
        <f>Humidity!C5</f>
        <v>1.8093565104086943E-2</v>
      </c>
      <c r="E152" s="401" t="str">
        <f>Humidity!D5</f>
        <v>NA</v>
      </c>
      <c r="F152" s="401">
        <f>Humidity!E5</f>
        <v>1.6457918085888881E-2</v>
      </c>
      <c r="G152" s="401" t="str">
        <f>Humidity!F5</f>
        <v>NA</v>
      </c>
      <c r="H152" s="401" t="str">
        <f>Humidity!G5</f>
        <v>NA</v>
      </c>
      <c r="I152" s="401">
        <f>Humidity!H5</f>
        <v>1.4623221193902717E-2</v>
      </c>
      <c r="J152" s="401" t="str">
        <f>Humidity!I5</f>
        <v>NA</v>
      </c>
      <c r="K152" s="401" t="str">
        <f>Humidity!J5</f>
        <v>NA</v>
      </c>
      <c r="L152" s="401" t="str">
        <f>Humidity!K5</f>
        <v>NA</v>
      </c>
      <c r="M152" s="401" t="str">
        <f>Humidity!L5</f>
        <v>NA</v>
      </c>
      <c r="N152" s="401" t="str">
        <f>Humidity!M5</f>
        <v>NA</v>
      </c>
      <c r="O152" s="401" t="str">
        <f>Humidity!N5</f>
        <v>NA</v>
      </c>
      <c r="P152" s="401" t="str">
        <f>Humidity!O5</f>
        <v>NA</v>
      </c>
      <c r="Q152" s="401" t="str">
        <f>Humidity!P5</f>
        <v>NA</v>
      </c>
      <c r="R152" s="401">
        <f>Humidity!Q5</f>
        <v>1.7707763234996277E-2</v>
      </c>
      <c r="S152" s="401">
        <f>Humidity!R5</f>
        <v>1.7457897967807213E-2</v>
      </c>
    </row>
    <row r="153" spans="1:20" s="305" customFormat="1" ht="15" customHeight="1">
      <c r="B153" s="305" t="s">
        <v>933</v>
      </c>
      <c r="C153" s="401">
        <f>Humidity!B6</f>
        <v>0</v>
      </c>
      <c r="D153" s="401">
        <f>Humidity!C6</f>
        <v>0</v>
      </c>
      <c r="E153" s="401">
        <f>Humidity!D6</f>
        <v>0</v>
      </c>
      <c r="F153" s="401">
        <f>Humidity!E6</f>
        <v>0</v>
      </c>
      <c r="G153" s="401">
        <f>Humidity!F6</f>
        <v>0</v>
      </c>
      <c r="H153" s="401">
        <f>Humidity!G6</f>
        <v>0</v>
      </c>
      <c r="I153" s="401">
        <f>Humidity!H6</f>
        <v>0</v>
      </c>
      <c r="J153" s="401">
        <f>Humidity!I6</f>
        <v>0</v>
      </c>
      <c r="K153" s="401">
        <f>Humidity!J6</f>
        <v>0</v>
      </c>
      <c r="L153" s="401">
        <f>Humidity!K6</f>
        <v>0</v>
      </c>
      <c r="M153" s="401">
        <f>Humidity!L6</f>
        <v>0</v>
      </c>
      <c r="N153" s="401">
        <f>Humidity!M6</f>
        <v>0</v>
      </c>
      <c r="O153" s="401">
        <f>Humidity!N6</f>
        <v>0</v>
      </c>
      <c r="P153" s="401">
        <f>Humidity!O6</f>
        <v>0</v>
      </c>
      <c r="Q153" s="401">
        <f>Humidity!P6</f>
        <v>0</v>
      </c>
      <c r="R153" s="401">
        <f>Humidity!Q6</f>
        <v>0</v>
      </c>
      <c r="S153" s="401">
        <f>Humidity!R6</f>
        <v>0</v>
      </c>
    </row>
    <row r="154" spans="1:20" s="305" customFormat="1" ht="15" customHeight="1">
      <c r="B154" s="305" t="s">
        <v>934</v>
      </c>
      <c r="C154" s="401">
        <f>Humidity!B7</f>
        <v>0</v>
      </c>
      <c r="D154" s="401">
        <f>Humidity!C7</f>
        <v>0</v>
      </c>
      <c r="E154" s="401">
        <f>Humidity!D7</f>
        <v>0</v>
      </c>
      <c r="F154" s="401">
        <f>Humidity!E7</f>
        <v>0</v>
      </c>
      <c r="G154" s="401">
        <f>Humidity!F7</f>
        <v>0</v>
      </c>
      <c r="H154" s="401">
        <f>Humidity!G7</f>
        <v>0</v>
      </c>
      <c r="I154" s="401">
        <f>Humidity!H7</f>
        <v>0</v>
      </c>
      <c r="J154" s="401">
        <f>Humidity!I7</f>
        <v>0</v>
      </c>
      <c r="K154" s="401">
        <f>Humidity!J7</f>
        <v>0</v>
      </c>
      <c r="L154" s="401">
        <f>Humidity!K7</f>
        <v>0</v>
      </c>
      <c r="M154" s="401">
        <f>Humidity!L7</f>
        <v>0</v>
      </c>
      <c r="N154" s="401">
        <f>Humidity!M7</f>
        <v>0</v>
      </c>
      <c r="O154" s="401">
        <f>Humidity!N7</f>
        <v>0</v>
      </c>
      <c r="P154" s="401">
        <f>Humidity!O7</f>
        <v>0</v>
      </c>
      <c r="Q154" s="401">
        <f>Humidity!P7</f>
        <v>0</v>
      </c>
      <c r="R154" s="401">
        <f>Humidity!Q7</f>
        <v>0</v>
      </c>
      <c r="S154" s="401">
        <f>Humidity!R7</f>
        <v>0</v>
      </c>
    </row>
    <row r="155" spans="1:20" ht="15" customHeight="1">
      <c r="B155" s="305" t="s">
        <v>961</v>
      </c>
      <c r="C155" s="305">
        <f>Humidity!B42</f>
        <v>7.6169999999999996E-3</v>
      </c>
      <c r="D155" s="305">
        <f>Humidity!C42</f>
        <v>3.7669999999999999E-3</v>
      </c>
      <c r="E155" s="305">
        <f>Humidity!D42</f>
        <v>0</v>
      </c>
      <c r="F155" s="305">
        <f>Humidity!E42</f>
        <v>2.1570000000000001E-3</v>
      </c>
      <c r="G155" s="305">
        <f>Humidity!F42</f>
        <v>0</v>
      </c>
      <c r="H155" s="305">
        <f>Humidity!G42</f>
        <v>0</v>
      </c>
      <c r="I155" s="305">
        <f>Humidity!H42</f>
        <v>1.544E-3</v>
      </c>
      <c r="J155" s="305">
        <f>Humidity!I42</f>
        <v>0</v>
      </c>
      <c r="K155" s="305">
        <f>Humidity!J42</f>
        <v>0</v>
      </c>
      <c r="L155" s="305">
        <f>Humidity!K42</f>
        <v>0</v>
      </c>
      <c r="M155" s="305">
        <f>Humidity!L42</f>
        <v>0</v>
      </c>
      <c r="N155" s="305">
        <f>Humidity!M42</f>
        <v>0</v>
      </c>
      <c r="O155" s="305">
        <f>Humidity!N42</f>
        <v>0</v>
      </c>
      <c r="P155" s="305">
        <f>Humidity!O42</f>
        <v>0</v>
      </c>
      <c r="Q155" s="305">
        <f>Humidity!P42</f>
        <v>0</v>
      </c>
      <c r="R155" s="305">
        <f>Humidity!Q42</f>
        <v>6.8250000000000003E-3</v>
      </c>
      <c r="S155" s="305">
        <f>Humidity!R42</f>
        <v>3.4429999999999999E-3</v>
      </c>
    </row>
    <row r="156" spans="1:20" ht="15" customHeight="1">
      <c r="B156" s="305" t="s">
        <v>962</v>
      </c>
      <c r="C156" s="305">
        <f>Humidity!B43</f>
        <v>7.8799999999999999E-3</v>
      </c>
      <c r="D156" s="305">
        <f>Humidity!C43</f>
        <v>3.6329999999999999E-3</v>
      </c>
      <c r="E156" s="305">
        <f>Humidity!D43</f>
        <v>0</v>
      </c>
      <c r="F156" s="305">
        <f>Humidity!E43</f>
        <v>1.9650000000000002E-3</v>
      </c>
      <c r="G156" s="305">
        <f>Humidity!F43</f>
        <v>0</v>
      </c>
      <c r="H156" s="305">
        <f>Humidity!G43</f>
        <v>0</v>
      </c>
      <c r="I156" s="305">
        <f>Humidity!H43</f>
        <v>1.6559999999999999E-3</v>
      </c>
      <c r="J156" s="305">
        <f>Humidity!I43</f>
        <v>0</v>
      </c>
      <c r="K156" s="305">
        <f>Humidity!J43</f>
        <v>0</v>
      </c>
      <c r="L156" s="305">
        <f>Humidity!K43</f>
        <v>0</v>
      </c>
      <c r="M156" s="305">
        <f>Humidity!L43</f>
        <v>0</v>
      </c>
      <c r="N156" s="305">
        <f>Humidity!M43</f>
        <v>0</v>
      </c>
      <c r="O156" s="305">
        <f>Humidity!N43</f>
        <v>0</v>
      </c>
      <c r="P156" s="305">
        <f>Humidity!O43</f>
        <v>0</v>
      </c>
      <c r="Q156" s="305">
        <f>Humidity!P43</f>
        <v>0</v>
      </c>
      <c r="R156" s="305">
        <f>Humidity!Q43</f>
        <v>6.6210000000000001E-3</v>
      </c>
      <c r="S156" s="305">
        <f>Humidity!R43</f>
        <v>2.928E-3</v>
      </c>
    </row>
    <row r="157" spans="1:20" ht="15" customHeight="1">
      <c r="B157" s="305" t="s">
        <v>963</v>
      </c>
      <c r="C157" s="305">
        <f>Humidity!B44</f>
        <v>8.541E-3</v>
      </c>
      <c r="D157" s="305">
        <f>Humidity!C44</f>
        <v>4.7939999999999997E-3</v>
      </c>
      <c r="E157" s="305">
        <f>Humidity!D44</f>
        <v>0</v>
      </c>
      <c r="F157" s="305">
        <f>Humidity!E44</f>
        <v>3.9420000000000002E-3</v>
      </c>
      <c r="G157" s="305">
        <f>Humidity!F44</f>
        <v>0</v>
      </c>
      <c r="H157" s="305">
        <f>Humidity!G44</f>
        <v>0</v>
      </c>
      <c r="I157" s="305">
        <f>Humidity!H44</f>
        <v>2.088E-3</v>
      </c>
      <c r="J157" s="305">
        <f>Humidity!I44</f>
        <v>0</v>
      </c>
      <c r="K157" s="305">
        <f>Humidity!J44</f>
        <v>0</v>
      </c>
      <c r="L157" s="305">
        <f>Humidity!K44</f>
        <v>0</v>
      </c>
      <c r="M157" s="305">
        <f>Humidity!L44</f>
        <v>0</v>
      </c>
      <c r="N157" s="305">
        <f>Humidity!M44</f>
        <v>0</v>
      </c>
      <c r="O157" s="305">
        <f>Humidity!N44</f>
        <v>0</v>
      </c>
      <c r="P157" s="305">
        <f>Humidity!O44</f>
        <v>0</v>
      </c>
      <c r="Q157" s="305">
        <f>Humidity!P44</f>
        <v>0</v>
      </c>
      <c r="R157" s="305">
        <f>Humidity!Q44</f>
        <v>4.6239999999999996E-3</v>
      </c>
      <c r="S157" s="305">
        <f>Humidity!R44</f>
        <v>4.9439999999999996E-3</v>
      </c>
    </row>
    <row r="158" spans="1:20" ht="15" customHeight="1">
      <c r="B158" s="305" t="s">
        <v>964</v>
      </c>
      <c r="C158" s="305">
        <f>Humidity!B45</f>
        <v>1.1350000000000001E-2</v>
      </c>
      <c r="D158" s="305">
        <f>Humidity!C45</f>
        <v>9.1559999999999992E-3</v>
      </c>
      <c r="E158" s="305">
        <f>Humidity!D45</f>
        <v>0</v>
      </c>
      <c r="F158" s="305">
        <f>Humidity!E45</f>
        <v>4.6220000000000002E-3</v>
      </c>
      <c r="G158" s="305">
        <f>Humidity!F45</f>
        <v>0</v>
      </c>
      <c r="H158" s="305">
        <f>Humidity!G45</f>
        <v>0</v>
      </c>
      <c r="I158" s="305">
        <f>Humidity!H45</f>
        <v>4.0499999999999998E-3</v>
      </c>
      <c r="J158" s="305">
        <f>Humidity!I45</f>
        <v>0</v>
      </c>
      <c r="K158" s="305">
        <f>Humidity!J45</f>
        <v>0</v>
      </c>
      <c r="L158" s="305">
        <f>Humidity!K45</f>
        <v>0</v>
      </c>
      <c r="M158" s="305">
        <f>Humidity!L45</f>
        <v>0</v>
      </c>
      <c r="N158" s="305">
        <f>Humidity!M45</f>
        <v>0</v>
      </c>
      <c r="O158" s="305">
        <f>Humidity!N45</f>
        <v>0</v>
      </c>
      <c r="P158" s="305">
        <f>Humidity!O45</f>
        <v>0</v>
      </c>
      <c r="Q158" s="305">
        <f>Humidity!P45</f>
        <v>0</v>
      </c>
      <c r="R158" s="305">
        <f>Humidity!Q45</f>
        <v>8.0610000000000005E-3</v>
      </c>
      <c r="S158" s="305">
        <f>Humidity!R45</f>
        <v>6.4580000000000002E-3</v>
      </c>
    </row>
    <row r="159" spans="1:20" ht="15" customHeight="1">
      <c r="B159" s="305" t="s">
        <v>965</v>
      </c>
      <c r="C159" s="305">
        <f>Humidity!B46</f>
        <v>1.4200000000000001E-2</v>
      </c>
      <c r="D159" s="305">
        <f>Humidity!C46</f>
        <v>1.2579999999999999E-2</v>
      </c>
      <c r="E159" s="305">
        <f>Humidity!D46</f>
        <v>0</v>
      </c>
      <c r="F159" s="305">
        <f>Humidity!E46</f>
        <v>8.8590000000000006E-3</v>
      </c>
      <c r="G159" s="305">
        <f>Humidity!F46</f>
        <v>0</v>
      </c>
      <c r="H159" s="305">
        <f>Humidity!G46</f>
        <v>0</v>
      </c>
      <c r="I159" s="305">
        <f>Humidity!H46</f>
        <v>5.8789999999999997E-3</v>
      </c>
      <c r="J159" s="305">
        <f>Humidity!I46</f>
        <v>0</v>
      </c>
      <c r="K159" s="305">
        <f>Humidity!J46</f>
        <v>0</v>
      </c>
      <c r="L159" s="305">
        <f>Humidity!K46</f>
        <v>0</v>
      </c>
      <c r="M159" s="305">
        <f>Humidity!L46</f>
        <v>0</v>
      </c>
      <c r="N159" s="305">
        <f>Humidity!M46</f>
        <v>0</v>
      </c>
      <c r="O159" s="305">
        <f>Humidity!N46</f>
        <v>0</v>
      </c>
      <c r="P159" s="305">
        <f>Humidity!O46</f>
        <v>0</v>
      </c>
      <c r="Q159" s="305">
        <f>Humidity!P46</f>
        <v>0</v>
      </c>
      <c r="R159" s="305">
        <f>Humidity!Q46</f>
        <v>1.0699999999999999E-2</v>
      </c>
      <c r="S159" s="305">
        <f>Humidity!R46</f>
        <v>1.091E-2</v>
      </c>
    </row>
    <row r="160" spans="1:20" ht="15" customHeight="1">
      <c r="B160" s="305" t="s">
        <v>966</v>
      </c>
      <c r="C160" s="305">
        <f>Humidity!B47</f>
        <v>1.6289999999999999E-2</v>
      </c>
      <c r="D160" s="305">
        <f>Humidity!C47</f>
        <v>1.6219999999999998E-2</v>
      </c>
      <c r="E160" s="305">
        <f>Humidity!D47</f>
        <v>0</v>
      </c>
      <c r="F160" s="305">
        <f>Humidity!E47</f>
        <v>1.2749999999999999E-2</v>
      </c>
      <c r="G160" s="305">
        <f>Humidity!F47</f>
        <v>0</v>
      </c>
      <c r="H160" s="305">
        <f>Humidity!G47</f>
        <v>0</v>
      </c>
      <c r="I160" s="305">
        <f>Humidity!H47</f>
        <v>9.5149999999999992E-3</v>
      </c>
      <c r="J160" s="305">
        <f>Humidity!I47</f>
        <v>0</v>
      </c>
      <c r="K160" s="305">
        <f>Humidity!J47</f>
        <v>0</v>
      </c>
      <c r="L160" s="305">
        <f>Humidity!K47</f>
        <v>0</v>
      </c>
      <c r="M160" s="305">
        <f>Humidity!L47</f>
        <v>0</v>
      </c>
      <c r="N160" s="305">
        <f>Humidity!M47</f>
        <v>0</v>
      </c>
      <c r="O160" s="305">
        <f>Humidity!N47</f>
        <v>0</v>
      </c>
      <c r="P160" s="305">
        <f>Humidity!O47</f>
        <v>0</v>
      </c>
      <c r="Q160" s="305">
        <f>Humidity!P47</f>
        <v>0</v>
      </c>
      <c r="R160" s="305">
        <f>Humidity!Q47</f>
        <v>1.371E-2</v>
      </c>
      <c r="S160" s="305">
        <f>Humidity!R47</f>
        <v>1.4019999999999999E-2</v>
      </c>
    </row>
    <row r="161" spans="2:19" ht="15" customHeight="1">
      <c r="B161" s="305" t="s">
        <v>967</v>
      </c>
      <c r="C161" s="305">
        <f>Humidity!B48</f>
        <v>1.6670000000000001E-2</v>
      </c>
      <c r="D161" s="305">
        <f>Humidity!C48</f>
        <v>1.6740000000000001E-2</v>
      </c>
      <c r="E161" s="305">
        <f>Humidity!D48</f>
        <v>0</v>
      </c>
      <c r="F161" s="305">
        <f>Humidity!E48</f>
        <v>1.426E-2</v>
      </c>
      <c r="G161" s="305">
        <f>Humidity!F48</f>
        <v>0</v>
      </c>
      <c r="H161" s="305">
        <f>Humidity!G48</f>
        <v>0</v>
      </c>
      <c r="I161" s="305">
        <f>Humidity!H48</f>
        <v>1.163E-2</v>
      </c>
      <c r="J161" s="305">
        <f>Humidity!I48</f>
        <v>0</v>
      </c>
      <c r="K161" s="305">
        <f>Humidity!J48</f>
        <v>0</v>
      </c>
      <c r="L161" s="305">
        <f>Humidity!K48</f>
        <v>0</v>
      </c>
      <c r="M161" s="305">
        <f>Humidity!L48</f>
        <v>0</v>
      </c>
      <c r="N161" s="305">
        <f>Humidity!M48</f>
        <v>0</v>
      </c>
      <c r="O161" s="305">
        <f>Humidity!N48</f>
        <v>0</v>
      </c>
      <c r="P161" s="305">
        <f>Humidity!O48</f>
        <v>0</v>
      </c>
      <c r="Q161" s="305">
        <f>Humidity!P48</f>
        <v>0</v>
      </c>
      <c r="R161" s="305">
        <f>Humidity!Q48</f>
        <v>1.668E-2</v>
      </c>
      <c r="S161" s="305">
        <f>Humidity!R48</f>
        <v>1.6289999999999999E-2</v>
      </c>
    </row>
    <row r="162" spans="2:19" ht="15" customHeight="1">
      <c r="B162" s="305" t="s">
        <v>968</v>
      </c>
      <c r="C162" s="305">
        <f>Humidity!B49</f>
        <v>1.686E-2</v>
      </c>
      <c r="D162" s="305">
        <f>Humidity!C49</f>
        <v>1.6830000000000001E-2</v>
      </c>
      <c r="E162" s="305">
        <f>Humidity!D49</f>
        <v>0</v>
      </c>
      <c r="F162" s="305">
        <f>Humidity!E49</f>
        <v>1.239E-2</v>
      </c>
      <c r="G162" s="305">
        <f>Humidity!F49</f>
        <v>0</v>
      </c>
      <c r="H162" s="305">
        <f>Humidity!G49</f>
        <v>0</v>
      </c>
      <c r="I162" s="305">
        <f>Humidity!H49</f>
        <v>1.059E-2</v>
      </c>
      <c r="J162" s="305">
        <f>Humidity!I49</f>
        <v>0</v>
      </c>
      <c r="K162" s="305">
        <f>Humidity!J49</f>
        <v>0</v>
      </c>
      <c r="L162" s="305">
        <f>Humidity!K49</f>
        <v>0</v>
      </c>
      <c r="M162" s="305">
        <f>Humidity!L49</f>
        <v>0</v>
      </c>
      <c r="N162" s="305">
        <f>Humidity!M49</f>
        <v>0</v>
      </c>
      <c r="O162" s="305">
        <f>Humidity!N49</f>
        <v>0</v>
      </c>
      <c r="P162" s="305">
        <f>Humidity!O49</f>
        <v>0</v>
      </c>
      <c r="Q162" s="305">
        <f>Humidity!P49</f>
        <v>0</v>
      </c>
      <c r="R162" s="305">
        <f>Humidity!Q49</f>
        <v>1.6760000000000001E-2</v>
      </c>
      <c r="S162" s="305">
        <f>Humidity!R49</f>
        <v>1.626E-2</v>
      </c>
    </row>
    <row r="163" spans="2:19" ht="15" customHeight="1">
      <c r="B163" s="305" t="s">
        <v>969</v>
      </c>
      <c r="C163" s="305">
        <f>Humidity!B50</f>
        <v>1.6320000000000001E-2</v>
      </c>
      <c r="D163" s="305">
        <f>Humidity!C50</f>
        <v>1.145E-2</v>
      </c>
      <c r="E163" s="305">
        <f>Humidity!D50</f>
        <v>0</v>
      </c>
      <c r="F163" s="305">
        <f>Humidity!E50</f>
        <v>1.0970000000000001E-2</v>
      </c>
      <c r="G163" s="305">
        <f>Humidity!F50</f>
        <v>0</v>
      </c>
      <c r="H163" s="305">
        <f>Humidity!G50</f>
        <v>0</v>
      </c>
      <c r="I163" s="305">
        <f>Humidity!H50</f>
        <v>8.8909999999999996E-3</v>
      </c>
      <c r="J163" s="305">
        <f>Humidity!I50</f>
        <v>0</v>
      </c>
      <c r="K163" s="305">
        <f>Humidity!J50</f>
        <v>0</v>
      </c>
      <c r="L163" s="305">
        <f>Humidity!K50</f>
        <v>0</v>
      </c>
      <c r="M163" s="305">
        <f>Humidity!L50</f>
        <v>0</v>
      </c>
      <c r="N163" s="305">
        <f>Humidity!M50</f>
        <v>0</v>
      </c>
      <c r="O163" s="305">
        <f>Humidity!N50</f>
        <v>0</v>
      </c>
      <c r="P163" s="305">
        <f>Humidity!O50</f>
        <v>0</v>
      </c>
      <c r="Q163" s="305">
        <f>Humidity!P50</f>
        <v>0</v>
      </c>
      <c r="R163" s="305">
        <f>Humidity!Q50</f>
        <v>1.404E-2</v>
      </c>
      <c r="S163" s="305">
        <f>Humidity!R50</f>
        <v>1.3559999999999999E-2</v>
      </c>
    </row>
    <row r="164" spans="2:19" ht="15" customHeight="1">
      <c r="B164" s="305" t="s">
        <v>970</v>
      </c>
      <c r="C164" s="305">
        <f>Humidity!B51</f>
        <v>1.4590000000000001E-2</v>
      </c>
      <c r="D164" s="305">
        <f>Humidity!C51</f>
        <v>7.8910000000000004E-3</v>
      </c>
      <c r="E164" s="305">
        <f>Humidity!D51</f>
        <v>0</v>
      </c>
      <c r="F164" s="305">
        <f>Humidity!E51</f>
        <v>5.4270000000000004E-3</v>
      </c>
      <c r="G164" s="305">
        <f>Humidity!F51</f>
        <v>0</v>
      </c>
      <c r="H164" s="305">
        <f>Humidity!G51</f>
        <v>0</v>
      </c>
      <c r="I164" s="305">
        <f>Humidity!H51</f>
        <v>3.9449999999999997E-3</v>
      </c>
      <c r="J164" s="305">
        <f>Humidity!I51</f>
        <v>0</v>
      </c>
      <c r="K164" s="305">
        <f>Humidity!J51</f>
        <v>0</v>
      </c>
      <c r="L164" s="305">
        <f>Humidity!K51</f>
        <v>0</v>
      </c>
      <c r="M164" s="305">
        <f>Humidity!L51</f>
        <v>0</v>
      </c>
      <c r="N164" s="305">
        <f>Humidity!M51</f>
        <v>0</v>
      </c>
      <c r="O164" s="305">
        <f>Humidity!N51</f>
        <v>0</v>
      </c>
      <c r="P164" s="305">
        <f>Humidity!O51</f>
        <v>0</v>
      </c>
      <c r="Q164" s="305">
        <f>Humidity!P51</f>
        <v>0</v>
      </c>
      <c r="R164" s="305">
        <f>Humidity!Q51</f>
        <v>1.0500000000000001E-2</v>
      </c>
      <c r="S164" s="305">
        <f>Humidity!R51</f>
        <v>7.4929999999999997E-3</v>
      </c>
    </row>
    <row r="165" spans="2:19" ht="15" customHeight="1">
      <c r="B165" s="305" t="s">
        <v>971</v>
      </c>
      <c r="C165" s="305">
        <f>Humidity!B52</f>
        <v>1.225E-2</v>
      </c>
      <c r="D165" s="305">
        <f>Humidity!C52</f>
        <v>6.0429999999999998E-3</v>
      </c>
      <c r="E165" s="305">
        <f>Humidity!D52</f>
        <v>0</v>
      </c>
      <c r="F165" s="305">
        <f>Humidity!E52</f>
        <v>4.2989999999999999E-3</v>
      </c>
      <c r="G165" s="305">
        <f>Humidity!F52</f>
        <v>0</v>
      </c>
      <c r="H165" s="305">
        <f>Humidity!G52</f>
        <v>0</v>
      </c>
      <c r="I165" s="305">
        <f>Humidity!H52</f>
        <v>3.2200000000000002E-3</v>
      </c>
      <c r="J165" s="305">
        <f>Humidity!I52</f>
        <v>0</v>
      </c>
      <c r="K165" s="305">
        <f>Humidity!J52</f>
        <v>0</v>
      </c>
      <c r="L165" s="305">
        <f>Humidity!K52</f>
        <v>0</v>
      </c>
      <c r="M165" s="305">
        <f>Humidity!L52</f>
        <v>0</v>
      </c>
      <c r="N165" s="305">
        <f>Humidity!M52</f>
        <v>0</v>
      </c>
      <c r="O165" s="305">
        <f>Humidity!N52</f>
        <v>0</v>
      </c>
      <c r="P165" s="305">
        <f>Humidity!O52</f>
        <v>0</v>
      </c>
      <c r="Q165" s="305">
        <f>Humidity!P52</f>
        <v>0</v>
      </c>
      <c r="R165" s="305">
        <f>Humidity!Q52</f>
        <v>7.1399999999999996E-3</v>
      </c>
      <c r="S165" s="305">
        <f>Humidity!R52</f>
        <v>5.2579999999999997E-3</v>
      </c>
    </row>
    <row r="166" spans="2:19" ht="15" customHeight="1">
      <c r="B166" s="305" t="s">
        <v>972</v>
      </c>
      <c r="C166" s="305">
        <f>Humidity!B53</f>
        <v>8.7150000000000005E-3</v>
      </c>
      <c r="D166" s="305">
        <f>Humidity!C53</f>
        <v>4.2940000000000001E-3</v>
      </c>
      <c r="E166" s="305">
        <f>Humidity!D53</f>
        <v>0</v>
      </c>
      <c r="F166" s="305">
        <f>Humidity!E53</f>
        <v>2.2769999999999999E-3</v>
      </c>
      <c r="G166" s="305">
        <f>Humidity!F53</f>
        <v>0</v>
      </c>
      <c r="H166" s="305">
        <f>Humidity!G53</f>
        <v>0</v>
      </c>
      <c r="I166" s="305">
        <f>Humidity!H53</f>
        <v>1.505E-3</v>
      </c>
      <c r="J166" s="305">
        <f>Humidity!I53</f>
        <v>0</v>
      </c>
      <c r="K166" s="305">
        <f>Humidity!J53</f>
        <v>0</v>
      </c>
      <c r="L166" s="305">
        <f>Humidity!K53</f>
        <v>0</v>
      </c>
      <c r="M166" s="305">
        <f>Humidity!L53</f>
        <v>0</v>
      </c>
      <c r="N166" s="305">
        <f>Humidity!M53</f>
        <v>0</v>
      </c>
      <c r="O166" s="305">
        <f>Humidity!N53</f>
        <v>0</v>
      </c>
      <c r="P166" s="305">
        <f>Humidity!O53</f>
        <v>0</v>
      </c>
      <c r="Q166" s="305">
        <f>Humidity!P53</f>
        <v>0</v>
      </c>
      <c r="R166" s="305">
        <f>Humidity!Q53</f>
        <v>6.6519999999999999E-3</v>
      </c>
      <c r="S166" s="305">
        <f>Humidity!R53</f>
        <v>2.604E-3</v>
      </c>
    </row>
    <row r="167" spans="2:19" ht="15" customHeight="1">
      <c r="B167" s="305" t="s">
        <v>973</v>
      </c>
      <c r="C167" s="13">
        <f>Humidity!B59</f>
        <v>1.3089999999999999E-2</v>
      </c>
      <c r="D167" s="275">
        <f>Humidity!C59</f>
        <v>8.8339999999999998E-3</v>
      </c>
      <c r="E167" s="275">
        <f>Humidity!D59</f>
        <v>0</v>
      </c>
      <c r="F167" s="275">
        <f>Humidity!E59</f>
        <v>5.5209999999999999E-3</v>
      </c>
      <c r="G167" s="275">
        <f>Humidity!F59</f>
        <v>0</v>
      </c>
      <c r="H167" s="275">
        <f>Humidity!G59</f>
        <v>0</v>
      </c>
      <c r="I167" s="275">
        <f>Humidity!H59</f>
        <v>3.2390000000000001E-3</v>
      </c>
      <c r="J167" s="275">
        <f>Humidity!I59</f>
        <v>0</v>
      </c>
      <c r="K167" s="275">
        <f>Humidity!J59</f>
        <v>0</v>
      </c>
      <c r="L167" s="275">
        <f>Humidity!K59</f>
        <v>0</v>
      </c>
      <c r="M167" s="275">
        <f>Humidity!L59</f>
        <v>0</v>
      </c>
      <c r="N167" s="275">
        <f>Humidity!M59</f>
        <v>0</v>
      </c>
      <c r="O167" s="275">
        <f>Humidity!N59</f>
        <v>0</v>
      </c>
      <c r="P167" s="275">
        <f>Humidity!O59</f>
        <v>0</v>
      </c>
      <c r="Q167" s="275">
        <f>Humidity!P59</f>
        <v>0</v>
      </c>
      <c r="R167" s="275">
        <f>Humidity!Q59</f>
        <v>1.0449999999999999E-2</v>
      </c>
      <c r="S167" s="275">
        <f>Humidity!R59</f>
        <v>6.9750000000000003E-3</v>
      </c>
    </row>
    <row r="168" spans="2:19" ht="15" customHeight="1">
      <c r="B168" s="305" t="s">
        <v>974</v>
      </c>
      <c r="C168" s="275">
        <f>Humidity!B60</f>
        <v>1.312E-2</v>
      </c>
      <c r="D168" s="275">
        <f>Humidity!C60</f>
        <v>1.022E-2</v>
      </c>
      <c r="E168" s="275">
        <f>Humidity!D60</f>
        <v>0</v>
      </c>
      <c r="F168" s="275">
        <f>Humidity!E60</f>
        <v>5.0109999999999998E-3</v>
      </c>
      <c r="G168" s="275">
        <f>Humidity!F60</f>
        <v>0</v>
      </c>
      <c r="H168" s="275">
        <f>Humidity!G60</f>
        <v>0</v>
      </c>
      <c r="I168" s="275">
        <f>Humidity!H60</f>
        <v>3.6640000000000002E-3</v>
      </c>
      <c r="J168" s="275">
        <f>Humidity!I60</f>
        <v>0</v>
      </c>
      <c r="K168" s="275">
        <f>Humidity!J60</f>
        <v>0</v>
      </c>
      <c r="L168" s="275">
        <f>Humidity!K60</f>
        <v>0</v>
      </c>
      <c r="M168" s="275">
        <f>Humidity!L60</f>
        <v>0</v>
      </c>
      <c r="N168" s="275">
        <f>Humidity!M60</f>
        <v>0</v>
      </c>
      <c r="O168" s="275">
        <f>Humidity!N60</f>
        <v>0</v>
      </c>
      <c r="P168" s="275">
        <f>Humidity!O60</f>
        <v>0</v>
      </c>
      <c r="Q168" s="275">
        <f>Humidity!P60</f>
        <v>0</v>
      </c>
      <c r="R168" s="275">
        <f>Humidity!Q60</f>
        <v>1.132E-2</v>
      </c>
      <c r="S168" s="275">
        <f>Humidity!R60</f>
        <v>7.0429999999999998E-3</v>
      </c>
    </row>
    <row r="169" spans="2:19" ht="15" customHeight="1">
      <c r="B169" s="305" t="s">
        <v>975</v>
      </c>
      <c r="C169" s="275">
        <f>Humidity!B61</f>
        <v>1.418E-2</v>
      </c>
      <c r="D169" s="275">
        <f>Humidity!C61</f>
        <v>1.196E-2</v>
      </c>
      <c r="E169" s="275">
        <f>Humidity!D61</f>
        <v>0</v>
      </c>
      <c r="F169" s="275">
        <f>Humidity!E61</f>
        <v>8.2719999999999998E-3</v>
      </c>
      <c r="G169" s="275">
        <f>Humidity!F61</f>
        <v>0</v>
      </c>
      <c r="H169" s="275">
        <f>Humidity!G61</f>
        <v>0</v>
      </c>
      <c r="I169" s="275">
        <f>Humidity!H61</f>
        <v>4.254E-3</v>
      </c>
      <c r="J169" s="275">
        <f>Humidity!I61</f>
        <v>0</v>
      </c>
      <c r="K169" s="275">
        <f>Humidity!J61</f>
        <v>0</v>
      </c>
      <c r="L169" s="275">
        <f>Humidity!K61</f>
        <v>0</v>
      </c>
      <c r="M169" s="275">
        <f>Humidity!L61</f>
        <v>0</v>
      </c>
      <c r="N169" s="275">
        <f>Humidity!M61</f>
        <v>0</v>
      </c>
      <c r="O169" s="275">
        <f>Humidity!N61</f>
        <v>0</v>
      </c>
      <c r="P169" s="275">
        <f>Humidity!O61</f>
        <v>0</v>
      </c>
      <c r="Q169" s="275">
        <f>Humidity!P61</f>
        <v>0</v>
      </c>
      <c r="R169" s="275">
        <f>Humidity!Q61</f>
        <v>1.102E-2</v>
      </c>
      <c r="S169" s="275">
        <f>Humidity!R61</f>
        <v>0.01</v>
      </c>
    </row>
    <row r="170" spans="2:19" ht="15" customHeight="1">
      <c r="B170" s="305" t="s">
        <v>976</v>
      </c>
      <c r="C170" s="275">
        <f>Humidity!B62</f>
        <v>1.405E-2</v>
      </c>
      <c r="D170" s="275">
        <f>Humidity!C62</f>
        <v>1.41E-2</v>
      </c>
      <c r="E170" s="275">
        <f>Humidity!D62</f>
        <v>0</v>
      </c>
      <c r="F170" s="275">
        <f>Humidity!E62</f>
        <v>9.9340000000000001E-3</v>
      </c>
      <c r="G170" s="275">
        <f>Humidity!F62</f>
        <v>0</v>
      </c>
      <c r="H170" s="275">
        <f>Humidity!G62</f>
        <v>0</v>
      </c>
      <c r="I170" s="275">
        <f>Humidity!H62</f>
        <v>7.2680000000000002E-3</v>
      </c>
      <c r="J170" s="275">
        <f>Humidity!I62</f>
        <v>0</v>
      </c>
      <c r="K170" s="275">
        <f>Humidity!J62</f>
        <v>0</v>
      </c>
      <c r="L170" s="275">
        <f>Humidity!K62</f>
        <v>0</v>
      </c>
      <c r="M170" s="275">
        <f>Humidity!L62</f>
        <v>0</v>
      </c>
      <c r="N170" s="275">
        <f>Humidity!M62</f>
        <v>0</v>
      </c>
      <c r="O170" s="275">
        <f>Humidity!N62</f>
        <v>0</v>
      </c>
      <c r="P170" s="275">
        <f>Humidity!O62</f>
        <v>0</v>
      </c>
      <c r="Q170" s="275">
        <f>Humidity!P62</f>
        <v>0</v>
      </c>
      <c r="R170" s="275">
        <f>Humidity!Q62</f>
        <v>1.208E-2</v>
      </c>
      <c r="S170" s="275">
        <f>Humidity!R62</f>
        <v>1.1299999999999999E-2</v>
      </c>
    </row>
    <row r="171" spans="2:19" ht="15" customHeight="1">
      <c r="B171" s="305" t="s">
        <v>977</v>
      </c>
      <c r="C171" s="275">
        <f>Humidity!B63</f>
        <v>1.6299999999999999E-2</v>
      </c>
      <c r="D171" s="275">
        <f>Humidity!C63</f>
        <v>1.5789999999999998E-2</v>
      </c>
      <c r="E171" s="275">
        <f>Humidity!D63</f>
        <v>0</v>
      </c>
      <c r="F171" s="275">
        <f>Humidity!E63</f>
        <v>1.43E-2</v>
      </c>
      <c r="G171" s="275">
        <f>Humidity!F63</f>
        <v>0</v>
      </c>
      <c r="H171" s="275">
        <f>Humidity!G63</f>
        <v>0</v>
      </c>
      <c r="I171" s="275">
        <f>Humidity!H63</f>
        <v>1.107E-2</v>
      </c>
      <c r="J171" s="275">
        <f>Humidity!I63</f>
        <v>0</v>
      </c>
      <c r="K171" s="275">
        <f>Humidity!J63</f>
        <v>0</v>
      </c>
      <c r="L171" s="275">
        <f>Humidity!K63</f>
        <v>0</v>
      </c>
      <c r="M171" s="275">
        <f>Humidity!L63</f>
        <v>0</v>
      </c>
      <c r="N171" s="275">
        <f>Humidity!M63</f>
        <v>0</v>
      </c>
      <c r="O171" s="275">
        <f>Humidity!N63</f>
        <v>0</v>
      </c>
      <c r="P171" s="275">
        <f>Humidity!O63</f>
        <v>0</v>
      </c>
      <c r="Q171" s="275">
        <f>Humidity!P63</f>
        <v>0</v>
      </c>
      <c r="R171" s="275">
        <f>Humidity!Q63</f>
        <v>1.47E-2</v>
      </c>
      <c r="S171" s="275">
        <f>Humidity!R63</f>
        <v>1.461E-2</v>
      </c>
    </row>
    <row r="172" spans="2:19" ht="15" customHeight="1">
      <c r="B172" s="305" t="s">
        <v>978</v>
      </c>
      <c r="C172" s="275">
        <f>Humidity!B64</f>
        <v>1.805E-2</v>
      </c>
      <c r="D172" s="275">
        <f>Humidity!C64</f>
        <v>1.8010000000000002E-2</v>
      </c>
      <c r="E172" s="275">
        <f>Humidity!D64</f>
        <v>0</v>
      </c>
      <c r="F172" s="275">
        <f>Humidity!E64</f>
        <v>1.6299999999999999E-2</v>
      </c>
      <c r="G172" s="275">
        <f>Humidity!F64</f>
        <v>0</v>
      </c>
      <c r="H172" s="275">
        <f>Humidity!G64</f>
        <v>0</v>
      </c>
      <c r="I172" s="275">
        <f>Humidity!H64</f>
        <v>1.329E-2</v>
      </c>
      <c r="J172" s="275">
        <f>Humidity!I64</f>
        <v>0</v>
      </c>
      <c r="K172" s="275">
        <f>Humidity!J64</f>
        <v>0</v>
      </c>
      <c r="L172" s="275">
        <f>Humidity!K64</f>
        <v>0</v>
      </c>
      <c r="M172" s="275">
        <f>Humidity!L64</f>
        <v>0</v>
      </c>
      <c r="N172" s="275">
        <f>Humidity!M64</f>
        <v>0</v>
      </c>
      <c r="O172" s="275">
        <f>Humidity!N64</f>
        <v>0</v>
      </c>
      <c r="P172" s="275">
        <f>Humidity!O64</f>
        <v>0</v>
      </c>
      <c r="Q172" s="275">
        <f>Humidity!P64</f>
        <v>0</v>
      </c>
      <c r="R172" s="275">
        <f>Humidity!Q64</f>
        <v>1.6549999999999999E-2</v>
      </c>
      <c r="S172" s="275">
        <f>Humidity!R64</f>
        <v>1.797E-2</v>
      </c>
    </row>
    <row r="173" spans="2:19" ht="15" customHeight="1">
      <c r="B173" s="305" t="s">
        <v>979</v>
      </c>
      <c r="C173" s="275">
        <f>Humidity!B65</f>
        <v>1.8460000000000001E-2</v>
      </c>
      <c r="D173" s="275">
        <f>Humidity!C65</f>
        <v>1.8630000000000001E-2</v>
      </c>
      <c r="E173" s="275">
        <f>Humidity!D65</f>
        <v>0</v>
      </c>
      <c r="F173" s="275">
        <f>Humidity!E65</f>
        <v>1.6910000000000001E-2</v>
      </c>
      <c r="G173" s="275">
        <f>Humidity!F65</f>
        <v>0</v>
      </c>
      <c r="H173" s="275">
        <f>Humidity!G65</f>
        <v>0</v>
      </c>
      <c r="I173" s="275">
        <f>Humidity!H65</f>
        <v>1.545E-2</v>
      </c>
      <c r="J173" s="275">
        <f>Humidity!I65</f>
        <v>0</v>
      </c>
      <c r="K173" s="275">
        <f>Humidity!J65</f>
        <v>0</v>
      </c>
      <c r="L173" s="275">
        <f>Humidity!K65</f>
        <v>0</v>
      </c>
      <c r="M173" s="275">
        <f>Humidity!L65</f>
        <v>0</v>
      </c>
      <c r="N173" s="275">
        <f>Humidity!M65</f>
        <v>0</v>
      </c>
      <c r="O173" s="275">
        <f>Humidity!N65</f>
        <v>0</v>
      </c>
      <c r="P173" s="275">
        <f>Humidity!O65</f>
        <v>0</v>
      </c>
      <c r="Q173" s="275">
        <f>Humidity!P65</f>
        <v>0</v>
      </c>
      <c r="R173" s="275">
        <f>Humidity!Q65</f>
        <v>1.8689999999999998E-2</v>
      </c>
      <c r="S173" s="275">
        <f>Humidity!R65</f>
        <v>1.848E-2</v>
      </c>
    </row>
    <row r="174" spans="2:19" ht="15" customHeight="1">
      <c r="B174" s="305" t="s">
        <v>980</v>
      </c>
      <c r="C174" s="275">
        <f>Humidity!B66</f>
        <v>1.8519999999999998E-2</v>
      </c>
      <c r="D174" s="275">
        <f>Humidity!C66</f>
        <v>1.874E-2</v>
      </c>
      <c r="E174" s="275">
        <f>Humidity!D66</f>
        <v>0</v>
      </c>
      <c r="F174" s="275">
        <f>Humidity!E66</f>
        <v>1.6420000000000001E-2</v>
      </c>
      <c r="G174" s="275">
        <f>Humidity!F66</f>
        <v>0</v>
      </c>
      <c r="H174" s="275">
        <f>Humidity!G66</f>
        <v>0</v>
      </c>
      <c r="I174" s="275">
        <f>Humidity!H66</f>
        <v>1.5730000000000001E-2</v>
      </c>
      <c r="J174" s="275">
        <f>Humidity!I66</f>
        <v>0</v>
      </c>
      <c r="K174" s="275">
        <f>Humidity!J66</f>
        <v>0</v>
      </c>
      <c r="L174" s="275">
        <f>Humidity!K66</f>
        <v>0</v>
      </c>
      <c r="M174" s="275">
        <f>Humidity!L66</f>
        <v>0</v>
      </c>
      <c r="N174" s="275">
        <f>Humidity!M66</f>
        <v>0</v>
      </c>
      <c r="O174" s="275">
        <f>Humidity!N66</f>
        <v>0</v>
      </c>
      <c r="P174" s="275">
        <f>Humidity!O66</f>
        <v>0</v>
      </c>
      <c r="Q174" s="275">
        <f>Humidity!P66</f>
        <v>0</v>
      </c>
      <c r="R174" s="275">
        <f>Humidity!Q66</f>
        <v>1.7989999999999999E-2</v>
      </c>
      <c r="S174" s="275">
        <f>Humidity!R66</f>
        <v>1.763E-2</v>
      </c>
    </row>
    <row r="175" spans="2:19" ht="15" customHeight="1">
      <c r="B175" s="305" t="s">
        <v>981</v>
      </c>
      <c r="C175" s="275">
        <f>Humidity!B67</f>
        <v>1.8010000000000002E-2</v>
      </c>
      <c r="D175" s="275">
        <f>Humidity!C67</f>
        <v>1.7670000000000002E-2</v>
      </c>
      <c r="E175" s="275">
        <f>Humidity!D67</f>
        <v>0</v>
      </c>
      <c r="F175" s="275">
        <f>Humidity!E67</f>
        <v>1.6830000000000001E-2</v>
      </c>
      <c r="G175" s="275">
        <f>Humidity!F67</f>
        <v>0</v>
      </c>
      <c r="H175" s="275">
        <f>Humidity!G67</f>
        <v>0</v>
      </c>
      <c r="I175" s="275">
        <f>Humidity!H67</f>
        <v>1.473E-2</v>
      </c>
      <c r="J175" s="275">
        <f>Humidity!I67</f>
        <v>0</v>
      </c>
      <c r="K175" s="275">
        <f>Humidity!J67</f>
        <v>0</v>
      </c>
      <c r="L175" s="275">
        <f>Humidity!K67</f>
        <v>0</v>
      </c>
      <c r="M175" s="275">
        <f>Humidity!L67</f>
        <v>0</v>
      </c>
      <c r="N175" s="275">
        <f>Humidity!M67</f>
        <v>0</v>
      </c>
      <c r="O175" s="275">
        <f>Humidity!N67</f>
        <v>0</v>
      </c>
      <c r="P175" s="275">
        <f>Humidity!O67</f>
        <v>0</v>
      </c>
      <c r="Q175" s="275">
        <f>Humidity!P67</f>
        <v>0</v>
      </c>
      <c r="R175" s="275">
        <f>Humidity!Q67</f>
        <v>1.6729999999999998E-2</v>
      </c>
      <c r="S175" s="275">
        <f>Humidity!R67</f>
        <v>1.5789999999999998E-2</v>
      </c>
    </row>
    <row r="176" spans="2:19" ht="15" customHeight="1">
      <c r="B176" s="305" t="s">
        <v>982</v>
      </c>
      <c r="C176" s="275">
        <f>Humidity!B68</f>
        <v>1.7479999999999999E-2</v>
      </c>
      <c r="D176" s="275">
        <f>Humidity!C68</f>
        <v>1.274E-2</v>
      </c>
      <c r="E176" s="275">
        <f>Humidity!D68</f>
        <v>0</v>
      </c>
      <c r="F176" s="275">
        <f>Humidity!E68</f>
        <v>9.6229999999999996E-3</v>
      </c>
      <c r="G176" s="275">
        <f>Humidity!F68</f>
        <v>0</v>
      </c>
      <c r="H176" s="275">
        <f>Humidity!G68</f>
        <v>0</v>
      </c>
      <c r="I176" s="275">
        <f>Humidity!H68</f>
        <v>7.8040000000000002E-3</v>
      </c>
      <c r="J176" s="275">
        <f>Humidity!I68</f>
        <v>0</v>
      </c>
      <c r="K176" s="275">
        <f>Humidity!J68</f>
        <v>0</v>
      </c>
      <c r="L176" s="275">
        <f>Humidity!K68</f>
        <v>0</v>
      </c>
      <c r="M176" s="275">
        <f>Humidity!L68</f>
        <v>0</v>
      </c>
      <c r="N176" s="275">
        <f>Humidity!M68</f>
        <v>0</v>
      </c>
      <c r="O176" s="275">
        <f>Humidity!N68</f>
        <v>0</v>
      </c>
      <c r="P176" s="275">
        <f>Humidity!O68</f>
        <v>0</v>
      </c>
      <c r="Q176" s="275">
        <f>Humidity!P68</f>
        <v>0</v>
      </c>
      <c r="R176" s="275">
        <f>Humidity!Q68</f>
        <v>1.7749999999999998E-2</v>
      </c>
      <c r="S176" s="275">
        <f>Humidity!R68</f>
        <v>1.3180000000000001E-2</v>
      </c>
    </row>
    <row r="177" spans="1:22" ht="15" customHeight="1">
      <c r="B177" s="305" t="s">
        <v>983</v>
      </c>
      <c r="C177" s="275">
        <f>Humidity!B69</f>
        <v>1.6619999999999999E-2</v>
      </c>
      <c r="D177" s="275">
        <f>Humidity!C69</f>
        <v>1.3089999999999999E-2</v>
      </c>
      <c r="E177" s="275">
        <f>Humidity!D69</f>
        <v>0</v>
      </c>
      <c r="F177" s="275">
        <f>Humidity!E69</f>
        <v>7.7149999999999996E-3</v>
      </c>
      <c r="G177" s="275">
        <f>Humidity!F69</f>
        <v>0</v>
      </c>
      <c r="H177" s="275">
        <f>Humidity!G69</f>
        <v>0</v>
      </c>
      <c r="I177" s="275">
        <f>Humidity!H69</f>
        <v>5.9290000000000002E-3</v>
      </c>
      <c r="J177" s="275">
        <f>Humidity!I69</f>
        <v>0</v>
      </c>
      <c r="K177" s="275">
        <f>Humidity!J69</f>
        <v>0</v>
      </c>
      <c r="L177" s="275">
        <f>Humidity!K69</f>
        <v>0</v>
      </c>
      <c r="M177" s="275">
        <f>Humidity!L69</f>
        <v>0</v>
      </c>
      <c r="N177" s="275">
        <f>Humidity!M69</f>
        <v>0</v>
      </c>
      <c r="O177" s="275">
        <f>Humidity!N69</f>
        <v>0</v>
      </c>
      <c r="P177" s="275">
        <f>Humidity!O69</f>
        <v>0</v>
      </c>
      <c r="Q177" s="275">
        <f>Humidity!P69</f>
        <v>0</v>
      </c>
      <c r="R177" s="275">
        <f>Humidity!Q69</f>
        <v>1.188E-2</v>
      </c>
      <c r="S177" s="275">
        <f>Humidity!R69</f>
        <v>1.1429999999999999E-2</v>
      </c>
    </row>
    <row r="178" spans="1:22" ht="15" customHeight="1">
      <c r="B178" s="305" t="s">
        <v>984</v>
      </c>
      <c r="C178" s="275">
        <f>Humidity!B70</f>
        <v>1.452E-2</v>
      </c>
      <c r="D178" s="275">
        <f>Humidity!C70</f>
        <v>9.1240000000000002E-3</v>
      </c>
      <c r="E178" s="275">
        <f>Humidity!D70</f>
        <v>0</v>
      </c>
      <c r="F178" s="275">
        <f>Humidity!E70</f>
        <v>5.0899999999999999E-3</v>
      </c>
      <c r="G178" s="275">
        <f>Humidity!F70</f>
        <v>0</v>
      </c>
      <c r="H178" s="275">
        <f>Humidity!G70</f>
        <v>0</v>
      </c>
      <c r="I178" s="275">
        <f>Humidity!H70</f>
        <v>3.7090000000000001E-3</v>
      </c>
      <c r="J178" s="275">
        <f>Humidity!I70</f>
        <v>0</v>
      </c>
      <c r="K178" s="275">
        <f>Humidity!J70</f>
        <v>0</v>
      </c>
      <c r="L178" s="275">
        <f>Humidity!K70</f>
        <v>0</v>
      </c>
      <c r="M178" s="275">
        <f>Humidity!L70</f>
        <v>0</v>
      </c>
      <c r="N178" s="275">
        <f>Humidity!M70</f>
        <v>0</v>
      </c>
      <c r="O178" s="275">
        <f>Humidity!N70</f>
        <v>0</v>
      </c>
      <c r="P178" s="275">
        <f>Humidity!O70</f>
        <v>0</v>
      </c>
      <c r="Q178" s="275">
        <f>Humidity!P70</f>
        <v>0</v>
      </c>
      <c r="R178" s="275">
        <f>Humidity!Q70</f>
        <v>1.0070000000000001E-2</v>
      </c>
      <c r="S178" s="275">
        <f>Humidity!R70</f>
        <v>8.9569999999999997E-3</v>
      </c>
    </row>
    <row r="179" spans="1:22" ht="15" customHeight="1">
      <c r="B179" s="305" t="s">
        <v>1062</v>
      </c>
      <c r="C179" s="13">
        <f>Humidity!B8</f>
        <v>0</v>
      </c>
      <c r="D179" s="275">
        <f>Humidity!C8</f>
        <v>0</v>
      </c>
      <c r="E179" s="275">
        <f>Humidity!D8</f>
        <v>0</v>
      </c>
      <c r="F179" s="275">
        <f>Humidity!E8</f>
        <v>0</v>
      </c>
      <c r="G179" s="275">
        <f>Humidity!F8</f>
        <v>0</v>
      </c>
      <c r="H179" s="275">
        <f>Humidity!G8</f>
        <v>0</v>
      </c>
      <c r="I179" s="275">
        <f>Humidity!H8</f>
        <v>0</v>
      </c>
      <c r="J179" s="275">
        <f>Humidity!I8</f>
        <v>0</v>
      </c>
      <c r="K179" s="275">
        <f>Humidity!J8</f>
        <v>0</v>
      </c>
      <c r="L179" s="275">
        <f>Humidity!K8</f>
        <v>0</v>
      </c>
      <c r="M179" s="275">
        <f>Humidity!L8</f>
        <v>0</v>
      </c>
      <c r="N179" s="275">
        <f>Humidity!M8</f>
        <v>0</v>
      </c>
      <c r="O179" s="275">
        <f>Humidity!N8</f>
        <v>0</v>
      </c>
      <c r="P179" s="275">
        <f>Humidity!O8</f>
        <v>0</v>
      </c>
      <c r="Q179" s="275">
        <f>Humidity!P8</f>
        <v>0</v>
      </c>
      <c r="R179" s="275">
        <f>Humidity!Q8</f>
        <v>0</v>
      </c>
      <c r="S179" s="275">
        <f>Humidity!R8</f>
        <v>0</v>
      </c>
    </row>
    <row r="180" spans="1:22" ht="15" customHeight="1">
      <c r="B180" s="305" t="s">
        <v>1063</v>
      </c>
      <c r="C180" s="275">
        <f>Humidity!B9</f>
        <v>0</v>
      </c>
      <c r="D180" s="275">
        <f>Humidity!C9</f>
        <v>0</v>
      </c>
      <c r="E180" s="275">
        <f>Humidity!D9</f>
        <v>0</v>
      </c>
      <c r="F180" s="275">
        <f>Humidity!E9</f>
        <v>0</v>
      </c>
      <c r="G180" s="275">
        <f>Humidity!F9</f>
        <v>0</v>
      </c>
      <c r="H180" s="275">
        <f>Humidity!G9</f>
        <v>0</v>
      </c>
      <c r="I180" s="275">
        <f>Humidity!H9</f>
        <v>0</v>
      </c>
      <c r="J180" s="275">
        <f>Humidity!I9</f>
        <v>0</v>
      </c>
      <c r="K180" s="275">
        <f>Humidity!J9</f>
        <v>0</v>
      </c>
      <c r="L180" s="275">
        <f>Humidity!K9</f>
        <v>0</v>
      </c>
      <c r="M180" s="275">
        <f>Humidity!L9</f>
        <v>0</v>
      </c>
      <c r="N180" s="275">
        <f>Humidity!M9</f>
        <v>0</v>
      </c>
      <c r="O180" s="275">
        <f>Humidity!N9</f>
        <v>0</v>
      </c>
      <c r="P180" s="275">
        <f>Humidity!O9</f>
        <v>0</v>
      </c>
      <c r="Q180" s="275">
        <f>Humidity!P9</f>
        <v>0</v>
      </c>
      <c r="R180" s="275">
        <f>Humidity!Q9</f>
        <v>0</v>
      </c>
      <c r="S180" s="275">
        <f>Humidity!R9</f>
        <v>0</v>
      </c>
      <c r="U180" s="305"/>
      <c r="V180" s="305"/>
    </row>
    <row r="181" spans="1:22" ht="15" customHeight="1">
      <c r="B181" s="305" t="s">
        <v>1064</v>
      </c>
      <c r="C181" s="275">
        <f>Humidity!B10</f>
        <v>0</v>
      </c>
      <c r="D181" s="275">
        <f>Humidity!C10</f>
        <v>0</v>
      </c>
      <c r="E181" s="275">
        <f>Humidity!D10</f>
        <v>0</v>
      </c>
      <c r="F181" s="275">
        <f>Humidity!E10</f>
        <v>0</v>
      </c>
      <c r="G181" s="275">
        <f>Humidity!F10</f>
        <v>0</v>
      </c>
      <c r="H181" s="275">
        <f>Humidity!G10</f>
        <v>0</v>
      </c>
      <c r="I181" s="275">
        <f>Humidity!H10</f>
        <v>0</v>
      </c>
      <c r="J181" s="275">
        <f>Humidity!I10</f>
        <v>0</v>
      </c>
      <c r="K181" s="275">
        <f>Humidity!J10</f>
        <v>0</v>
      </c>
      <c r="L181" s="275">
        <f>Humidity!K10</f>
        <v>0</v>
      </c>
      <c r="M181" s="275">
        <f>Humidity!L10</f>
        <v>0</v>
      </c>
      <c r="N181" s="275">
        <f>Humidity!M10</f>
        <v>0</v>
      </c>
      <c r="O181" s="275">
        <f>Humidity!N10</f>
        <v>0</v>
      </c>
      <c r="P181" s="275">
        <f>Humidity!O10</f>
        <v>0</v>
      </c>
      <c r="Q181" s="275">
        <f>Humidity!P10</f>
        <v>0</v>
      </c>
      <c r="R181" s="275">
        <f>Humidity!Q10</f>
        <v>0</v>
      </c>
      <c r="S181" s="275">
        <f>Humidity!R10</f>
        <v>0</v>
      </c>
      <c r="U181" s="305"/>
      <c r="V181" s="305"/>
    </row>
    <row r="182" spans="1:22" ht="15" customHeight="1">
      <c r="B182" s="305" t="s">
        <v>1065</v>
      </c>
      <c r="C182" s="275">
        <f>Humidity!B11</f>
        <v>0</v>
      </c>
      <c r="D182" s="275">
        <f>Humidity!C11</f>
        <v>0</v>
      </c>
      <c r="E182" s="275">
        <f>Humidity!D11</f>
        <v>0</v>
      </c>
      <c r="F182" s="275">
        <f>Humidity!E11</f>
        <v>0</v>
      </c>
      <c r="G182" s="275">
        <f>Humidity!F11</f>
        <v>0</v>
      </c>
      <c r="H182" s="275">
        <f>Humidity!G11</f>
        <v>0</v>
      </c>
      <c r="I182" s="275">
        <f>Humidity!H11</f>
        <v>0</v>
      </c>
      <c r="J182" s="275">
        <f>Humidity!I11</f>
        <v>0</v>
      </c>
      <c r="K182" s="275">
        <f>Humidity!J11</f>
        <v>0</v>
      </c>
      <c r="L182" s="275">
        <f>Humidity!K11</f>
        <v>0</v>
      </c>
      <c r="M182" s="275">
        <f>Humidity!L11</f>
        <v>0</v>
      </c>
      <c r="N182" s="275">
        <f>Humidity!M11</f>
        <v>0</v>
      </c>
      <c r="O182" s="275">
        <f>Humidity!N11</f>
        <v>0</v>
      </c>
      <c r="P182" s="275">
        <f>Humidity!O11</f>
        <v>0</v>
      </c>
      <c r="Q182" s="275">
        <f>Humidity!P11</f>
        <v>0</v>
      </c>
      <c r="R182" s="275">
        <f>Humidity!Q11</f>
        <v>0</v>
      </c>
      <c r="S182" s="275">
        <f>Humidity!R11</f>
        <v>0</v>
      </c>
      <c r="U182" s="305"/>
      <c r="V182" s="305"/>
    </row>
    <row r="183" spans="1:22" ht="15" customHeight="1">
      <c r="B183" s="305" t="s">
        <v>1067</v>
      </c>
      <c r="C183" s="144" t="str">
        <f>Inputs!C183</f>
        <v>0 0 0</v>
      </c>
      <c r="D183" s="144" t="str">
        <f t="shared" ref="D183:S186" si="55">C183</f>
        <v>0 0 0</v>
      </c>
      <c r="E183" s="144" t="str">
        <f t="shared" si="55"/>
        <v>0 0 0</v>
      </c>
      <c r="F183" s="144" t="str">
        <f t="shared" si="55"/>
        <v>0 0 0</v>
      </c>
      <c r="G183" s="144" t="str">
        <f t="shared" si="55"/>
        <v>0 0 0</v>
      </c>
      <c r="H183" s="144" t="str">
        <f t="shared" si="55"/>
        <v>0 0 0</v>
      </c>
      <c r="I183" s="144" t="str">
        <f t="shared" si="55"/>
        <v>0 0 0</v>
      </c>
      <c r="J183" s="144" t="str">
        <f t="shared" si="55"/>
        <v>0 0 0</v>
      </c>
      <c r="K183" s="144" t="str">
        <f t="shared" si="55"/>
        <v>0 0 0</v>
      </c>
      <c r="L183" s="144" t="str">
        <f t="shared" si="55"/>
        <v>0 0 0</v>
      </c>
      <c r="M183" s="144" t="str">
        <f t="shared" si="55"/>
        <v>0 0 0</v>
      </c>
      <c r="N183" s="144" t="str">
        <f t="shared" si="55"/>
        <v>0 0 0</v>
      </c>
      <c r="O183" s="144" t="str">
        <f t="shared" si="55"/>
        <v>0 0 0</v>
      </c>
      <c r="P183" s="144" t="str">
        <f t="shared" si="55"/>
        <v>0 0 0</v>
      </c>
      <c r="Q183" s="144" t="str">
        <f t="shared" si="55"/>
        <v>0 0 0</v>
      </c>
      <c r="R183" s="144" t="str">
        <f t="shared" si="55"/>
        <v>0 0 0</v>
      </c>
      <c r="S183" s="144" t="str">
        <f t="shared" si="55"/>
        <v>0 0 0</v>
      </c>
    </row>
    <row r="184" spans="1:22" ht="15" customHeight="1">
      <c r="B184" s="305" t="s">
        <v>1068</v>
      </c>
      <c r="C184" s="144" t="str">
        <f>Inputs!C184</f>
        <v>0 0 0</v>
      </c>
      <c r="D184" s="144" t="str">
        <f t="shared" si="55"/>
        <v>0 0 0</v>
      </c>
      <c r="E184" s="144" t="str">
        <f t="shared" si="55"/>
        <v>0 0 0</v>
      </c>
      <c r="F184" s="144" t="str">
        <f t="shared" si="55"/>
        <v>0 0 0</v>
      </c>
      <c r="G184" s="144" t="str">
        <f t="shared" si="55"/>
        <v>0 0 0</v>
      </c>
      <c r="H184" s="144" t="str">
        <f t="shared" si="55"/>
        <v>0 0 0</v>
      </c>
      <c r="I184" s="144" t="str">
        <f t="shared" si="55"/>
        <v>0 0 0</v>
      </c>
      <c r="J184" s="144" t="str">
        <f t="shared" si="55"/>
        <v>0 0 0</v>
      </c>
      <c r="K184" s="144" t="str">
        <f t="shared" si="55"/>
        <v>0 0 0</v>
      </c>
      <c r="L184" s="144" t="str">
        <f t="shared" si="55"/>
        <v>0 0 0</v>
      </c>
      <c r="M184" s="144" t="str">
        <f t="shared" si="55"/>
        <v>0 0 0</v>
      </c>
      <c r="N184" s="144" t="str">
        <f t="shared" si="55"/>
        <v>0 0 0</v>
      </c>
      <c r="O184" s="144" t="str">
        <f t="shared" si="55"/>
        <v>0 0 0</v>
      </c>
      <c r="P184" s="144" t="str">
        <f t="shared" si="55"/>
        <v>0 0 0</v>
      </c>
      <c r="Q184" s="144" t="str">
        <f t="shared" si="55"/>
        <v>0 0 0</v>
      </c>
      <c r="R184" s="144" t="str">
        <f t="shared" si="55"/>
        <v>0 0 0</v>
      </c>
      <c r="S184" s="144" t="str">
        <f t="shared" si="55"/>
        <v>0 0 0</v>
      </c>
    </row>
    <row r="185" spans="1:22" ht="15" customHeight="1">
      <c r="B185" s="305" t="s">
        <v>1070</v>
      </c>
      <c r="C185" s="144">
        <f>Inputs!C185</f>
        <v>0</v>
      </c>
      <c r="D185" s="144">
        <f t="shared" si="55"/>
        <v>0</v>
      </c>
      <c r="E185" s="144">
        <f t="shared" si="55"/>
        <v>0</v>
      </c>
      <c r="F185" s="144">
        <f t="shared" si="55"/>
        <v>0</v>
      </c>
      <c r="G185" s="144">
        <f t="shared" si="55"/>
        <v>0</v>
      </c>
      <c r="H185" s="144">
        <f t="shared" si="55"/>
        <v>0</v>
      </c>
      <c r="I185" s="144">
        <f t="shared" si="55"/>
        <v>0</v>
      </c>
      <c r="J185" s="144">
        <f t="shared" si="55"/>
        <v>0</v>
      </c>
      <c r="K185" s="144">
        <f t="shared" si="55"/>
        <v>0</v>
      </c>
      <c r="L185" s="144">
        <f t="shared" si="55"/>
        <v>0</v>
      </c>
      <c r="M185" s="144">
        <f t="shared" si="55"/>
        <v>0</v>
      </c>
      <c r="N185" s="144">
        <f t="shared" si="55"/>
        <v>0</v>
      </c>
      <c r="O185" s="144">
        <f t="shared" si="55"/>
        <v>0</v>
      </c>
      <c r="P185" s="144">
        <f t="shared" si="55"/>
        <v>0</v>
      </c>
      <c r="Q185" s="144">
        <f t="shared" si="55"/>
        <v>0</v>
      </c>
      <c r="R185" s="144">
        <f t="shared" si="55"/>
        <v>0</v>
      </c>
      <c r="S185" s="144">
        <f t="shared" si="55"/>
        <v>0</v>
      </c>
    </row>
    <row r="186" spans="1:22" ht="15" customHeight="1">
      <c r="B186" s="305" t="s">
        <v>1069</v>
      </c>
      <c r="C186" s="144">
        <f>Inputs!C186</f>
        <v>0</v>
      </c>
      <c r="D186" s="144">
        <f t="shared" si="55"/>
        <v>0</v>
      </c>
      <c r="E186" s="144">
        <f t="shared" si="55"/>
        <v>0</v>
      </c>
      <c r="F186" s="144">
        <f t="shared" si="55"/>
        <v>0</v>
      </c>
      <c r="G186" s="144">
        <f t="shared" si="55"/>
        <v>0</v>
      </c>
      <c r="H186" s="144">
        <f t="shared" si="55"/>
        <v>0</v>
      </c>
      <c r="I186" s="144">
        <f t="shared" si="55"/>
        <v>0</v>
      </c>
      <c r="J186" s="144">
        <f t="shared" si="55"/>
        <v>0</v>
      </c>
      <c r="K186" s="144">
        <f t="shared" si="55"/>
        <v>0</v>
      </c>
      <c r="L186" s="144">
        <f t="shared" si="55"/>
        <v>0</v>
      </c>
      <c r="M186" s="144">
        <f t="shared" si="55"/>
        <v>0</v>
      </c>
      <c r="N186" s="144">
        <f t="shared" si="55"/>
        <v>0</v>
      </c>
      <c r="O186" s="144">
        <f t="shared" si="55"/>
        <v>0</v>
      </c>
      <c r="P186" s="144">
        <f t="shared" si="55"/>
        <v>0</v>
      </c>
      <c r="Q186" s="144">
        <f t="shared" si="55"/>
        <v>0</v>
      </c>
      <c r="R186" s="144">
        <f t="shared" si="55"/>
        <v>0</v>
      </c>
      <c r="S186" s="144">
        <f t="shared" si="55"/>
        <v>0</v>
      </c>
    </row>
    <row r="187" spans="1:22" ht="15" customHeight="1">
      <c r="A187" s="305" t="s">
        <v>1220</v>
      </c>
      <c r="B187" s="305" t="s">
        <v>1206</v>
      </c>
      <c r="C187" s="144">
        <f>Inputs!C187</f>
        <v>0</v>
      </c>
      <c r="D187" s="144">
        <f>C187</f>
        <v>0</v>
      </c>
      <c r="E187" s="144">
        <f t="shared" ref="E187:S187" si="56">D187</f>
        <v>0</v>
      </c>
      <c r="F187" s="144">
        <f t="shared" si="56"/>
        <v>0</v>
      </c>
      <c r="G187" s="144">
        <f t="shared" si="56"/>
        <v>0</v>
      </c>
      <c r="H187" s="144">
        <f t="shared" si="56"/>
        <v>0</v>
      </c>
      <c r="I187" s="144">
        <f t="shared" si="56"/>
        <v>0</v>
      </c>
      <c r="J187" s="144">
        <f t="shared" si="56"/>
        <v>0</v>
      </c>
      <c r="K187" s="144">
        <f t="shared" si="56"/>
        <v>0</v>
      </c>
      <c r="L187" s="144">
        <f t="shared" si="56"/>
        <v>0</v>
      </c>
      <c r="M187" s="144">
        <f t="shared" si="56"/>
        <v>0</v>
      </c>
      <c r="N187" s="144">
        <f t="shared" si="56"/>
        <v>0</v>
      </c>
      <c r="O187" s="144">
        <f t="shared" si="56"/>
        <v>0</v>
      </c>
      <c r="P187" s="144">
        <f t="shared" si="56"/>
        <v>0</v>
      </c>
      <c r="Q187" s="144">
        <f t="shared" si="56"/>
        <v>0</v>
      </c>
      <c r="R187" s="144">
        <f t="shared" si="56"/>
        <v>0</v>
      </c>
      <c r="S187" s="144">
        <f t="shared" si="56"/>
        <v>0</v>
      </c>
    </row>
    <row r="188" spans="1:22" ht="15" customHeight="1">
      <c r="B188" s="305" t="s">
        <v>1208</v>
      </c>
      <c r="C188" s="169">
        <f>Inputs!C188</f>
        <v>1.85</v>
      </c>
      <c r="D188" s="169">
        <f t="shared" ref="D188:S191" si="57">C188</f>
        <v>1.85</v>
      </c>
      <c r="E188" s="169">
        <f t="shared" si="57"/>
        <v>1.85</v>
      </c>
      <c r="F188" s="169">
        <f t="shared" si="57"/>
        <v>1.85</v>
      </c>
      <c r="G188" s="169">
        <f t="shared" si="57"/>
        <v>1.85</v>
      </c>
      <c r="H188" s="169">
        <f t="shared" si="57"/>
        <v>1.85</v>
      </c>
      <c r="I188" s="169">
        <f t="shared" si="57"/>
        <v>1.85</v>
      </c>
      <c r="J188" s="169">
        <f t="shared" si="57"/>
        <v>1.85</v>
      </c>
      <c r="K188" s="169">
        <f t="shared" si="57"/>
        <v>1.85</v>
      </c>
      <c r="L188" s="169">
        <f t="shared" si="57"/>
        <v>1.85</v>
      </c>
      <c r="M188" s="169">
        <f t="shared" si="57"/>
        <v>1.85</v>
      </c>
      <c r="N188" s="169">
        <f t="shared" si="57"/>
        <v>1.85</v>
      </c>
      <c r="O188" s="169">
        <f t="shared" si="57"/>
        <v>1.85</v>
      </c>
      <c r="P188" s="169">
        <f t="shared" si="57"/>
        <v>1.85</v>
      </c>
      <c r="Q188" s="169">
        <f t="shared" si="57"/>
        <v>1.85</v>
      </c>
      <c r="R188" s="169">
        <f t="shared" si="57"/>
        <v>1.85</v>
      </c>
      <c r="S188" s="169">
        <f t="shared" si="57"/>
        <v>1.85</v>
      </c>
    </row>
    <row r="189" spans="1:22" ht="15" customHeight="1">
      <c r="B189" s="305" t="s">
        <v>1209</v>
      </c>
      <c r="C189" s="144">
        <f>Inputs!C189</f>
        <v>55</v>
      </c>
      <c r="D189" s="144">
        <f t="shared" si="57"/>
        <v>55</v>
      </c>
      <c r="E189" s="144">
        <f t="shared" si="57"/>
        <v>55</v>
      </c>
      <c r="F189" s="144">
        <f t="shared" si="57"/>
        <v>55</v>
      </c>
      <c r="G189" s="144">
        <f t="shared" si="57"/>
        <v>55</v>
      </c>
      <c r="H189" s="144">
        <f t="shared" si="57"/>
        <v>55</v>
      </c>
      <c r="I189" s="144">
        <f t="shared" si="57"/>
        <v>55</v>
      </c>
      <c r="J189" s="144">
        <f t="shared" si="57"/>
        <v>55</v>
      </c>
      <c r="K189" s="144">
        <f t="shared" si="57"/>
        <v>55</v>
      </c>
      <c r="L189" s="144">
        <f t="shared" si="57"/>
        <v>55</v>
      </c>
      <c r="M189" s="144">
        <f t="shared" si="57"/>
        <v>55</v>
      </c>
      <c r="N189" s="144">
        <f t="shared" si="57"/>
        <v>55</v>
      </c>
      <c r="O189" s="144">
        <f t="shared" si="57"/>
        <v>55</v>
      </c>
      <c r="P189" s="144">
        <f t="shared" si="57"/>
        <v>55</v>
      </c>
      <c r="Q189" s="144">
        <f t="shared" si="57"/>
        <v>55</v>
      </c>
      <c r="R189" s="144">
        <f t="shared" si="57"/>
        <v>55</v>
      </c>
      <c r="S189" s="144">
        <f t="shared" si="57"/>
        <v>55</v>
      </c>
    </row>
    <row r="190" spans="1:22" ht="15" customHeight="1">
      <c r="B190" s="305" t="s">
        <v>1210</v>
      </c>
      <c r="C190" s="276">
        <f>Inputs!C190</f>
        <v>2.5</v>
      </c>
      <c r="D190" s="276">
        <f t="shared" si="57"/>
        <v>2.5</v>
      </c>
      <c r="E190" s="276">
        <f t="shared" si="57"/>
        <v>2.5</v>
      </c>
      <c r="F190" s="276">
        <f t="shared" si="57"/>
        <v>2.5</v>
      </c>
      <c r="G190" s="276">
        <f t="shared" si="57"/>
        <v>2.5</v>
      </c>
      <c r="H190" s="276">
        <f t="shared" si="57"/>
        <v>2.5</v>
      </c>
      <c r="I190" s="276">
        <f t="shared" si="57"/>
        <v>2.5</v>
      </c>
      <c r="J190" s="276">
        <f t="shared" si="57"/>
        <v>2.5</v>
      </c>
      <c r="K190" s="276">
        <f t="shared" si="57"/>
        <v>2.5</v>
      </c>
      <c r="L190" s="276">
        <f t="shared" si="57"/>
        <v>2.5</v>
      </c>
      <c r="M190" s="276">
        <f t="shared" si="57"/>
        <v>2.5</v>
      </c>
      <c r="N190" s="276">
        <f t="shared" si="57"/>
        <v>2.5</v>
      </c>
      <c r="O190" s="276">
        <f t="shared" si="57"/>
        <v>2.5</v>
      </c>
      <c r="P190" s="276">
        <f t="shared" si="57"/>
        <v>2.5</v>
      </c>
      <c r="Q190" s="276">
        <f t="shared" si="57"/>
        <v>2.5</v>
      </c>
      <c r="R190" s="276">
        <f t="shared" si="57"/>
        <v>2.5</v>
      </c>
      <c r="S190" s="276">
        <f t="shared" si="57"/>
        <v>2.5</v>
      </c>
    </row>
    <row r="191" spans="1:22" ht="15" customHeight="1">
      <c r="A191" s="305" t="s">
        <v>1251</v>
      </c>
      <c r="C191" s="276" t="str">
        <f>Inputs!C191</f>
        <v>E_O_F</v>
      </c>
      <c r="D191" s="276" t="str">
        <f t="shared" si="57"/>
        <v>E_O_F</v>
      </c>
      <c r="E191" s="276" t="str">
        <f t="shared" si="57"/>
        <v>E_O_F</v>
      </c>
      <c r="F191" s="276" t="str">
        <f t="shared" si="57"/>
        <v>E_O_F</v>
      </c>
      <c r="G191" s="276" t="str">
        <f t="shared" si="57"/>
        <v>E_O_F</v>
      </c>
      <c r="H191" s="276" t="str">
        <f t="shared" si="57"/>
        <v>E_O_F</v>
      </c>
      <c r="I191" s="276" t="str">
        <f t="shared" si="57"/>
        <v>E_O_F</v>
      </c>
      <c r="J191" s="276" t="str">
        <f t="shared" si="57"/>
        <v>E_O_F</v>
      </c>
      <c r="K191" s="276" t="str">
        <f t="shared" si="57"/>
        <v>E_O_F</v>
      </c>
      <c r="L191" s="276" t="str">
        <f t="shared" si="57"/>
        <v>E_O_F</v>
      </c>
      <c r="M191" s="276" t="str">
        <f t="shared" si="57"/>
        <v>E_O_F</v>
      </c>
      <c r="N191" s="276" t="str">
        <f t="shared" si="57"/>
        <v>E_O_F</v>
      </c>
      <c r="O191" s="276" t="str">
        <f t="shared" si="57"/>
        <v>E_O_F</v>
      </c>
      <c r="P191" s="276" t="str">
        <f t="shared" si="57"/>
        <v>E_O_F</v>
      </c>
      <c r="Q191" s="276" t="str">
        <f t="shared" si="57"/>
        <v>E_O_F</v>
      </c>
      <c r="R191" s="276" t="str">
        <f t="shared" si="57"/>
        <v>E_O_F</v>
      </c>
      <c r="S191" s="276" t="str">
        <f t="shared" si="57"/>
        <v>E_O_F</v>
      </c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  <row r="193" spans="4:19" ht="15" customHeight="1">
      <c r="D193" s="275"/>
      <c r="E193" s="275"/>
      <c r="F193" s="275"/>
      <c r="G193" s="275"/>
      <c r="H193" s="275"/>
      <c r="I193" s="275"/>
      <c r="J193" s="275"/>
      <c r="K193" s="275"/>
      <c r="L193" s="275"/>
      <c r="M193" s="275"/>
      <c r="N193" s="275"/>
      <c r="O193" s="275"/>
      <c r="P193" s="275"/>
      <c r="Q193" s="275"/>
      <c r="R193" s="275"/>
      <c r="S193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80.347771599999987</v>
      </c>
      <c r="C6" s="286" t="s">
        <v>133</v>
      </c>
      <c r="D6">
        <f>IF(HomeSize="Small",14.14,IF(HomeSize="Med",20,24.49))</f>
        <v>24.49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40.173885799999994</v>
      </c>
      <c r="C7" s="286" t="s">
        <v>133</v>
      </c>
      <c r="D7" s="289">
        <f>L_houseSI/2</f>
        <v>12.244999999999999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3227.9876210979551</v>
      </c>
      <c r="C8" s="286" t="s">
        <v>557</v>
      </c>
      <c r="D8" s="287">
        <f>L_houseSI*W_houseSI*Stories</f>
        <v>299.88004999999998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3227.9876210979551</v>
      </c>
      <c r="C9" s="286" t="s">
        <v>557</v>
      </c>
      <c r="D9" s="329">
        <f>A_houseSI/Stories</f>
        <v>299.88004999999998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241.04331479999999</v>
      </c>
      <c r="C11" s="286" t="s">
        <v>133</v>
      </c>
      <c r="D11" s="289">
        <f>2*L_houseSI+2*W_houseSI</f>
        <v>73.47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645.59752421959104</v>
      </c>
      <c r="C16" s="286"/>
      <c r="D16" s="328">
        <f>0.2*A_houseSI</f>
        <v>59.976010000000002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1048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1410.1546609257261</v>
      </c>
      <c r="C19" s="285"/>
      <c r="D19" s="328">
        <f>D11*(H_soffitSI-D12)-A_windowSI-A_doors_SI</f>
        <v>131.00336799999994</v>
      </c>
      <c r="E19" s="5" t="s">
        <v>138</v>
      </c>
      <c r="F19"/>
      <c r="G19" s="5">
        <f>((D11*D13*Stories))-A_windowSI</f>
        <v>123.69899000000001</v>
      </c>
    </row>
    <row r="20" spans="1:8" ht="15" customHeight="1">
      <c r="A20" s="94" t="s">
        <v>150</v>
      </c>
      <c r="B20" s="330">
        <f>35.3147*V_houseSI</f>
        <v>26475.435004337502</v>
      </c>
      <c r="C20" s="285"/>
      <c r="D20" s="287">
        <f>A_houseSI*D13</f>
        <v>749.70012499999996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2.0408333333333331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306.00260102083325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4.9908333333333328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3.970416666666666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4.9908333333333328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353.28259772784747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5" sqref="H3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1057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749.70012499999996</v>
      </c>
      <c r="R6" s="75" t="s">
        <v>151</v>
      </c>
      <c r="T6" s="127" t="s">
        <v>465</v>
      </c>
      <c r="U6" s="76">
        <f>V_houseSI</f>
        <v>749.70012499999996</v>
      </c>
      <c r="V6" s="75" t="s">
        <v>151</v>
      </c>
      <c r="X6" s="127" t="s">
        <v>465</v>
      </c>
      <c r="Y6" s="76">
        <f>V_houseSI</f>
        <v>749.70012499999996</v>
      </c>
      <c r="Z6" s="75" t="s">
        <v>151</v>
      </c>
      <c r="AA6" s="125" t="s">
        <v>465</v>
      </c>
      <c r="AB6" s="76">
        <f t="shared" ref="AB6:AG6" si="0">V_houseSI</f>
        <v>749.70012499999996</v>
      </c>
      <c r="AC6" s="76">
        <f t="shared" si="0"/>
        <v>749.70012499999996</v>
      </c>
      <c r="AD6" s="76">
        <f t="shared" si="0"/>
        <v>749.70012499999996</v>
      </c>
      <c r="AE6" s="76">
        <f t="shared" si="0"/>
        <v>749.70012499999996</v>
      </c>
      <c r="AF6" s="76">
        <f t="shared" si="0"/>
        <v>749.70012499999996</v>
      </c>
      <c r="AG6" s="76">
        <f t="shared" si="0"/>
        <v>749.70012499999996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7.1400011904761904E-2</v>
      </c>
      <c r="R7" s="75" t="s">
        <v>138</v>
      </c>
      <c r="T7" s="127" t="s">
        <v>206</v>
      </c>
      <c r="U7" s="77">
        <f>(U5*U6)/3600/14</f>
        <v>7.7350012896825401E-2</v>
      </c>
      <c r="V7" s="75" t="s">
        <v>138</v>
      </c>
      <c r="X7" s="127" t="s">
        <v>206</v>
      </c>
      <c r="Y7" s="77">
        <f>(Y5*Y6)/3600/14</f>
        <v>0.12792502132936506</v>
      </c>
      <c r="Z7" s="75" t="s">
        <v>138</v>
      </c>
      <c r="AA7" s="125" t="s">
        <v>206</v>
      </c>
      <c r="AB7" s="77">
        <f t="shared" ref="AB7:AG7" si="1">(AB5*AB6)/3600/14</f>
        <v>0.14875002480158731</v>
      </c>
      <c r="AC7" s="77">
        <f t="shared" si="1"/>
        <v>0.1041250173611111</v>
      </c>
      <c r="AD7" s="77">
        <f t="shared" si="1"/>
        <v>7.4375012400793653E-2</v>
      </c>
      <c r="AE7" s="77">
        <f t="shared" si="1"/>
        <v>4.4625007440476192E-2</v>
      </c>
      <c r="AF7" s="77">
        <f t="shared" si="1"/>
        <v>2.2312503720238096E-2</v>
      </c>
      <c r="AG7" s="77">
        <f t="shared" si="1"/>
        <v>8.925001488095238E-3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4.9603174603174613</v>
      </c>
      <c r="AC8" s="79">
        <f t="shared" si="2"/>
        <v>3.4722222222222219</v>
      </c>
      <c r="AD8" s="79">
        <f t="shared" si="2"/>
        <v>2.4801587301587307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2.2312503720238096E-2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0.50772882298229516</v>
      </c>
      <c r="AC9" s="1">
        <f>1000*(AC7/A_houseSI)*(([0]!H_soffitSI-Geometry!D12)/2.5)^0.4</f>
        <v>0.3554101760876065</v>
      </c>
      <c r="AD9" s="1">
        <f>1000*(AD7/A_houseSI)*(([0]!H_soffitSI-Geometry!D12)/2.5)^0.4</f>
        <v>0.25386441149114758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749.70012499999996</v>
      </c>
      <c r="AD11" s="77">
        <f t="shared" ref="AD11:AD16" si="4">(AB11*AC11)/3600/14</f>
        <v>0.14875002480158731</v>
      </c>
      <c r="AE11" s="79">
        <f t="shared" ref="AE11:AE16" si="5">10000*(AD11/A_houseSI)</f>
        <v>4.9603174603174613</v>
      </c>
      <c r="AF11" s="1">
        <f>1000*(AD11/A_houseSI)*((H_soffitSI-Geometry!$D$12)/Geometry!$D$13)^0.4</f>
        <v>0.50772882298229516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749.70012499999996</v>
      </c>
      <c r="AD12" s="77">
        <f>(AB12*AC12)/3600/14</f>
        <v>0.1041250173611111</v>
      </c>
      <c r="AE12" s="79">
        <f t="shared" si="5"/>
        <v>3.4722222222222219</v>
      </c>
      <c r="AF12" s="1">
        <f>1000*(AD12/A_houseSI)*((H_soffitSI-Geometry!$D$12)/Geometry!$D$13)^0.4</f>
        <v>0.3554101760876065</v>
      </c>
    </row>
    <row r="13" spans="1:33" ht="15" customHeight="1">
      <c r="A13" s="125" t="s">
        <v>4</v>
      </c>
      <c r="B13" s="72"/>
      <c r="C13" s="72"/>
      <c r="D13" s="532">
        <f>D9*D10/(SQRT(rho_air/2)*D12^(n-0.5))</f>
        <v>2.3397188930876722E-2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749.70012499999996</v>
      </c>
      <c r="AD13" s="77">
        <f t="shared" si="4"/>
        <v>7.4375012400793653E-2</v>
      </c>
      <c r="AE13" s="79">
        <f t="shared" si="5"/>
        <v>2.4801587301587307</v>
      </c>
      <c r="AF13" s="1">
        <f>1000*(AD13/A_houseSI)*((H_soffitSI-Geometry!$D$12)/Geometry!$D$13)^0.4</f>
        <v>0.25386441149114758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749.70012499999996</v>
      </c>
      <c r="AD14" s="77">
        <f t="shared" si="4"/>
        <v>4.4625007440476192E-2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749.70012499999996</v>
      </c>
      <c r="AD15" s="77">
        <f t="shared" si="4"/>
        <v>2.2312503720238096E-2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749.70012499999996</v>
      </c>
      <c r="AD16" s="77">
        <f t="shared" si="4"/>
        <v>8.925001488095238E-3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12.244999999999999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24.49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998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4.4625007440476192E-2</v>
      </c>
      <c r="I31" s="1">
        <f t="shared" ref="I31:V31" si="6">(V_houseSI*I30)/3600/14</f>
        <v>4.4625007440476192E-2</v>
      </c>
      <c r="J31" s="1">
        <f t="shared" si="6"/>
        <v>4.4625007440476192E-2</v>
      </c>
      <c r="K31" s="1">
        <f t="shared" si="6"/>
        <v>3.7187506200396826E-2</v>
      </c>
      <c r="L31" s="1">
        <f t="shared" si="6"/>
        <v>3.7187506200396826E-2</v>
      </c>
      <c r="M31" s="1">
        <f t="shared" si="6"/>
        <v>3.7187506200396826E-2</v>
      </c>
      <c r="N31" s="1">
        <f t="shared" si="6"/>
        <v>3.7187506200396826E-2</v>
      </c>
      <c r="O31" s="1">
        <f t="shared" si="6"/>
        <v>3.7187506200396826E-2</v>
      </c>
      <c r="P31" s="1">
        <f t="shared" si="6"/>
        <v>3.7187506200396826E-2</v>
      </c>
      <c r="Q31" s="1">
        <f t="shared" si="6"/>
        <v>2.9750004960317458E-2</v>
      </c>
      <c r="R31" s="1">
        <f t="shared" si="6"/>
        <v>2.9750004960317458E-2</v>
      </c>
      <c r="S31" s="1">
        <f t="shared" si="6"/>
        <v>2.9750004960317458E-2</v>
      </c>
      <c r="T31" s="1">
        <f t="shared" si="6"/>
        <v>2.9750004960317458E-2</v>
      </c>
      <c r="U31" s="1">
        <f t="shared" si="6"/>
        <v>2.9750004960317458E-2</v>
      </c>
      <c r="V31" s="1">
        <f t="shared" si="6"/>
        <v>2.2312503720238096E-2</v>
      </c>
      <c r="W31" s="1">
        <f>(V_houseSI*W30)/3600/14</f>
        <v>4.4625007440476192E-2</v>
      </c>
      <c r="X31" s="1">
        <f>(V_houseSI*X30)/3600/14</f>
        <v>3.7187506200396826E-2</v>
      </c>
    </row>
    <row r="32" spans="1:24" ht="15" customHeight="1">
      <c r="G32" s="1" t="s">
        <v>891</v>
      </c>
      <c r="H32" s="477">
        <f>H31*1.05</f>
        <v>4.6856257812500003E-2</v>
      </c>
      <c r="I32" s="477">
        <f t="shared" ref="I32:X32" si="7">I31*1.05</f>
        <v>4.6856257812500003E-2</v>
      </c>
      <c r="J32" s="477">
        <f t="shared" si="7"/>
        <v>4.6856257812500003E-2</v>
      </c>
      <c r="K32" s="477">
        <f t="shared" si="7"/>
        <v>3.9046881510416666E-2</v>
      </c>
      <c r="L32" s="477">
        <f t="shared" si="7"/>
        <v>3.9046881510416666E-2</v>
      </c>
      <c r="M32" s="477">
        <f t="shared" si="7"/>
        <v>3.9046881510416666E-2</v>
      </c>
      <c r="N32" s="477">
        <f t="shared" si="7"/>
        <v>3.9046881510416666E-2</v>
      </c>
      <c r="O32" s="477">
        <f t="shared" si="7"/>
        <v>3.9046881510416666E-2</v>
      </c>
      <c r="P32" s="477">
        <f t="shared" si="7"/>
        <v>3.9046881510416666E-2</v>
      </c>
      <c r="Q32" s="477">
        <f t="shared" si="7"/>
        <v>3.1237505208333332E-2</v>
      </c>
      <c r="R32" s="477">
        <f t="shared" si="7"/>
        <v>3.1237505208333332E-2</v>
      </c>
      <c r="S32" s="477">
        <f t="shared" si="7"/>
        <v>3.1237505208333332E-2</v>
      </c>
      <c r="T32" s="477">
        <f t="shared" si="7"/>
        <v>3.1237505208333332E-2</v>
      </c>
      <c r="U32" s="477">
        <f t="shared" si="7"/>
        <v>3.1237505208333332E-2</v>
      </c>
      <c r="V32" s="477">
        <f t="shared" si="7"/>
        <v>2.3428128906250002E-2</v>
      </c>
      <c r="W32" s="477">
        <f t="shared" si="7"/>
        <v>4.6856257812500003E-2</v>
      </c>
      <c r="X32" s="477">
        <f t="shared" si="7"/>
        <v>3.9046881510416666E-2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0.12693220574557379</v>
      </c>
      <c r="L34" s="1">
        <f>1000*(L31/A_houseSI)*((H_soffitSI-Geometry!$D$12)/2.5)^0.4</f>
        <v>0.12693220574557379</v>
      </c>
      <c r="M34" s="1">
        <f>1000*(M31/A_houseSI)*((H_soffitSI-Geometry!$D$12)/2.5)^0.4</f>
        <v>0.12693220574557379</v>
      </c>
      <c r="N34" s="1">
        <f>1000*(N31/A_houseSI)*((H_soffitSI-Geometry!$D$12)/2.5)^0.4</f>
        <v>0.12693220574557379</v>
      </c>
      <c r="O34" s="1">
        <f>1000*(O31/A_houseSI)*((H_soffitSI-Geometry!$D$12)/2.5)^0.4</f>
        <v>0.12693220574557379</v>
      </c>
      <c r="P34" s="1">
        <f>1000*(P31/A_houseSI)*((H_soffitSI-Geometry!$D$12)/2.5)^0.4</f>
        <v>0.12693220574557379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0.12693220574557379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1105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1306</v>
      </c>
      <c r="D5" s="522" t="s">
        <v>1307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1288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1309</v>
      </c>
      <c r="C11" s="327">
        <v>-99</v>
      </c>
      <c r="D11" s="327">
        <v>-99</v>
      </c>
      <c r="E11" s="5" t="s">
        <v>1308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2.2312503720238096E-2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0.26035454716562528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0.58471699966164736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0.76007631858938618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131.00336799999994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59.976010000000002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299.88004999999998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1049</v>
      </c>
      <c r="B9" s="5">
        <v>1</v>
      </c>
      <c r="C9" s="43">
        <f>A_doors_SI</f>
        <v>3.7161219999999999</v>
      </c>
      <c r="D9" s="2" t="s">
        <v>1050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26.932033782041369</v>
      </c>
      <c r="AA9" s="36">
        <f t="shared" si="5"/>
        <v>26.932033782041369</v>
      </c>
      <c r="AB9" s="36">
        <f t="shared" si="5"/>
        <v>31.241159187167987</v>
      </c>
      <c r="AC9" s="36">
        <f t="shared" si="5"/>
        <v>31.241159187167987</v>
      </c>
      <c r="AD9" s="36">
        <f t="shared" si="5"/>
        <v>31.241159187167987</v>
      </c>
      <c r="AE9" s="36">
        <f t="shared" si="5"/>
        <v>37.19185617519998</v>
      </c>
      <c r="AF9" s="36">
        <f t="shared" si="5"/>
        <v>37.19185617519998</v>
      </c>
      <c r="AG9" s="36">
        <f t="shared" si="5"/>
        <v>37.19185617519998</v>
      </c>
      <c r="AH9" s="36">
        <f t="shared" si="5"/>
        <v>37.19185617519998</v>
      </c>
      <c r="AI9" s="36">
        <f t="shared" si="5"/>
        <v>31.241159187167987</v>
      </c>
      <c r="AJ9" s="36">
        <f t="shared" si="5"/>
        <v>26.932033782041369</v>
      </c>
      <c r="AK9" s="36">
        <f t="shared" si="5"/>
        <v>26.932033782041369</v>
      </c>
      <c r="AL9" s="36">
        <f t="shared" si="5"/>
        <v>26.932033782041369</v>
      </c>
      <c r="AM9" s="36">
        <f t="shared" si="5"/>
        <v>26.932033782041369</v>
      </c>
      <c r="AN9" s="36">
        <f t="shared" si="5"/>
        <v>26.932033782041369</v>
      </c>
      <c r="AO9" s="36">
        <f t="shared" si="5"/>
        <v>26.932033782041369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62.4495</v>
      </c>
      <c r="Z10" s="36">
        <f t="shared" ref="Z10:AO10" si="7">1/Z7*$B$7*5.678*$C$7</f>
        <v>129.40663821639998</v>
      </c>
      <c r="AA10" s="36">
        <f t="shared" si="7"/>
        <v>129.40663821639998</v>
      </c>
      <c r="AB10" s="36">
        <f t="shared" si="7"/>
        <v>129.40663821639998</v>
      </c>
      <c r="AC10" s="36">
        <f t="shared" si="7"/>
        <v>129.40663821639998</v>
      </c>
      <c r="AD10" s="36">
        <f t="shared" si="7"/>
        <v>129.40663821639998</v>
      </c>
      <c r="AE10" s="36">
        <f t="shared" si="7"/>
        <v>129.40663821639998</v>
      </c>
      <c r="AF10" s="36">
        <f t="shared" si="7"/>
        <v>129.40663821639998</v>
      </c>
      <c r="AG10" s="36">
        <f t="shared" si="7"/>
        <v>129.40663821639998</v>
      </c>
      <c r="AH10" s="36">
        <f t="shared" si="7"/>
        <v>129.40663821639998</v>
      </c>
      <c r="AI10" s="36">
        <f t="shared" si="7"/>
        <v>129.40663821639998</v>
      </c>
      <c r="AJ10" s="36">
        <f t="shared" si="7"/>
        <v>129.40663821639998</v>
      </c>
      <c r="AK10" s="36">
        <f t="shared" si="7"/>
        <v>129.40663821639998</v>
      </c>
      <c r="AL10" s="36">
        <f t="shared" si="7"/>
        <v>129.40663821639998</v>
      </c>
      <c r="AM10" s="36">
        <f t="shared" si="7"/>
        <v>129.40663821639998</v>
      </c>
      <c r="AN10" s="36">
        <f t="shared" si="7"/>
        <v>129.40663821639998</v>
      </c>
      <c r="AO10" s="36">
        <f t="shared" si="7"/>
        <v>129.40663821639998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64.30235473859382</v>
      </c>
      <c r="G11" s="361">
        <f t="shared" ref="G11:V11" si="8">((1/G6)*$B$6*5.6783*$C$6)+(1/G9*$B$9*5.678*$C$9)</f>
        <v>64.30235473859382</v>
      </c>
      <c r="H11" s="361">
        <f t="shared" si="8"/>
        <v>64.30235473859382</v>
      </c>
      <c r="I11" s="361">
        <f t="shared" si="8"/>
        <v>43.273540430205983</v>
      </c>
      <c r="J11" s="361">
        <f t="shared" si="8"/>
        <v>43.273540430205983</v>
      </c>
      <c r="K11" s="361">
        <f t="shared" si="8"/>
        <v>43.273540430205983</v>
      </c>
      <c r="L11" s="361">
        <f t="shared" si="8"/>
        <v>43.273540430205983</v>
      </c>
      <c r="M11" s="361">
        <f t="shared" si="8"/>
        <v>43.273540430205983</v>
      </c>
      <c r="N11" s="361">
        <f t="shared" si="8"/>
        <v>43.273540430205983</v>
      </c>
      <c r="O11" s="361">
        <f t="shared" si="8"/>
        <v>43.273540430205983</v>
      </c>
      <c r="P11" s="361">
        <f t="shared" si="8"/>
        <v>43.273540430205983</v>
      </c>
      <c r="Q11" s="361">
        <f t="shared" si="8"/>
        <v>35.462837972804785</v>
      </c>
      <c r="R11" s="361">
        <f t="shared" si="8"/>
        <v>35.462837972804785</v>
      </c>
      <c r="S11" s="361">
        <f t="shared" si="8"/>
        <v>35.462837972804785</v>
      </c>
      <c r="T11" s="361">
        <f t="shared" si="8"/>
        <v>35.462837972804785</v>
      </c>
      <c r="U11" s="361">
        <f t="shared" si="8"/>
        <v>64.30235473859382</v>
      </c>
      <c r="V11" s="361">
        <f t="shared" si="8"/>
        <v>43.273540430205983</v>
      </c>
      <c r="W11" s="272"/>
      <c r="X11" s="250">
        <f>1/X6*$B$6*5.678*$C$6</f>
        <v>37.19185617519998</v>
      </c>
      <c r="Y11"/>
      <c r="Z11" s="36">
        <f t="shared" ref="Z11:AO11" si="9">1/Z8*$B$8*5.678*$C$8</f>
        <v>56.75729746333333</v>
      </c>
      <c r="AA11" s="36">
        <f t="shared" si="9"/>
        <v>56.75729746333333</v>
      </c>
      <c r="AB11" s="36">
        <f t="shared" si="9"/>
        <v>56.75729746333333</v>
      </c>
      <c r="AC11" s="36">
        <f t="shared" si="9"/>
        <v>56.75729746333333</v>
      </c>
      <c r="AD11" s="36">
        <f t="shared" si="9"/>
        <v>56.75729746333333</v>
      </c>
      <c r="AE11" s="36">
        <f t="shared" si="9"/>
        <v>81.081853519047613</v>
      </c>
      <c r="AF11" s="36">
        <f t="shared" si="9"/>
        <v>81.081853519047613</v>
      </c>
      <c r="AG11" s="36">
        <f t="shared" si="9"/>
        <v>81.081853519047613</v>
      </c>
      <c r="AH11" s="36">
        <f t="shared" si="9"/>
        <v>81.081853519047613</v>
      </c>
      <c r="AI11" s="36">
        <f t="shared" si="9"/>
        <v>56.75729746333333</v>
      </c>
      <c r="AJ11" s="36">
        <f t="shared" si="9"/>
        <v>56.75729746333333</v>
      </c>
      <c r="AK11" s="36">
        <f t="shared" si="9"/>
        <v>56.75729746333333</v>
      </c>
      <c r="AL11" s="36">
        <f t="shared" si="9"/>
        <v>56.75729746333333</v>
      </c>
      <c r="AM11" s="36">
        <f t="shared" si="9"/>
        <v>56.75729746333333</v>
      </c>
      <c r="AN11" s="36">
        <f t="shared" si="9"/>
        <v>81.081853519047613</v>
      </c>
      <c r="AO11" s="36">
        <f t="shared" si="9"/>
        <v>56.75729746333333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136.21751391199999</v>
      </c>
      <c r="G12" s="361">
        <f t="shared" ref="G12:T12" si="10">1/G7*$B$7*5.678*$C$7</f>
        <v>136.21751391199999</v>
      </c>
      <c r="H12" s="361">
        <f t="shared" si="10"/>
        <v>136.21751391199999</v>
      </c>
      <c r="I12" s="361">
        <f t="shared" si="10"/>
        <v>102.16313543400001</v>
      </c>
      <c r="J12" s="361">
        <f t="shared" si="10"/>
        <v>102.16313543400001</v>
      </c>
      <c r="K12" s="361">
        <f t="shared" si="10"/>
        <v>102.16313543400001</v>
      </c>
      <c r="L12" s="361">
        <f t="shared" si="10"/>
        <v>102.16313543400001</v>
      </c>
      <c r="M12" s="361">
        <f t="shared" si="10"/>
        <v>102.16313543400001</v>
      </c>
      <c r="N12" s="361">
        <f t="shared" si="10"/>
        <v>91.946821890600006</v>
      </c>
      <c r="O12" s="361">
        <f t="shared" si="10"/>
        <v>91.946821890600006</v>
      </c>
      <c r="P12" s="361">
        <f t="shared" si="10"/>
        <v>91.946821890600006</v>
      </c>
      <c r="Q12" s="361">
        <f t="shared" si="10"/>
        <v>91.946821890600006</v>
      </c>
      <c r="R12" s="361">
        <f t="shared" si="10"/>
        <v>91.946821890600006</v>
      </c>
      <c r="S12" s="361">
        <f t="shared" si="10"/>
        <v>91.946821890600006</v>
      </c>
      <c r="T12" s="361">
        <f t="shared" si="10"/>
        <v>91.946821890600006</v>
      </c>
      <c r="U12" s="361">
        <f>G12</f>
        <v>136.21751391199999</v>
      </c>
      <c r="V12" s="361">
        <f>I12</f>
        <v>102.16313543400001</v>
      </c>
      <c r="W12" s="272"/>
      <c r="X12" s="250">
        <f>1/X7*$B$7*5.678*$C$7</f>
        <v>136.21751391199999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73.47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130.97837876153847</v>
      </c>
      <c r="G13" s="361">
        <f t="shared" ref="G13:V13" si="12">IF($B$12=0, 1/G8*$B$8*5.678*$C$8, $B$13*$K$59)</f>
        <v>130.97837876153847</v>
      </c>
      <c r="H13" s="361">
        <f t="shared" si="12"/>
        <v>130.97837876153847</v>
      </c>
      <c r="I13" s="361">
        <f t="shared" si="12"/>
        <v>89.616785468421028</v>
      </c>
      <c r="J13" s="361">
        <f t="shared" si="12"/>
        <v>89.616785468421028</v>
      </c>
      <c r="K13" s="361">
        <f t="shared" si="12"/>
        <v>89.616785468421028</v>
      </c>
      <c r="L13" s="361">
        <f t="shared" si="12"/>
        <v>89.616785468421028</v>
      </c>
      <c r="M13" s="361">
        <f t="shared" si="12"/>
        <v>89.616785468421028</v>
      </c>
      <c r="N13" s="361">
        <f t="shared" si="12"/>
        <v>56.75729746333333</v>
      </c>
      <c r="O13" s="361">
        <f>IF($B$12=0, 1/O8*$B$8*5.678*$C$8, $B$13*$K$59)</f>
        <v>56.75729746333333</v>
      </c>
      <c r="P13" s="361">
        <f t="shared" si="12"/>
        <v>56.75729746333333</v>
      </c>
      <c r="Q13" s="361">
        <f t="shared" si="12"/>
        <v>56.75729746333333</v>
      </c>
      <c r="R13" s="361">
        <f t="shared" si="12"/>
        <v>56.75729746333333</v>
      </c>
      <c r="S13" s="361">
        <f t="shared" si="12"/>
        <v>44.808392734210514</v>
      </c>
      <c r="T13" s="361">
        <f t="shared" si="12"/>
        <v>44.808392734210514</v>
      </c>
      <c r="U13" s="361">
        <f t="shared" si="12"/>
        <v>130.97837876153847</v>
      </c>
      <c r="V13" s="361">
        <f t="shared" si="12"/>
        <v>89.616785468421028</v>
      </c>
      <c r="W13" s="272"/>
      <c r="X13" s="250">
        <f>1/X8*$B$8*5.678*$C$8</f>
        <v>89.616785468421028</v>
      </c>
      <c r="Y13" s="14" t="s">
        <v>634</v>
      </c>
      <c r="Z13" s="38">
        <f>SUM(Z9:Z12)</f>
        <v>223.6460386841747</v>
      </c>
      <c r="AA13" s="38">
        <f t="shared" ref="AA13:AO13" si="13">SUM(AA9:AA12)</f>
        <v>223.6460386841747</v>
      </c>
      <c r="AB13" s="38">
        <f t="shared" si="13"/>
        <v>227.95516408930132</v>
      </c>
      <c r="AC13" s="38">
        <f t="shared" si="13"/>
        <v>227.95516408930132</v>
      </c>
      <c r="AD13" s="38">
        <f t="shared" si="13"/>
        <v>227.95516408930132</v>
      </c>
      <c r="AE13" s="38">
        <f t="shared" si="13"/>
        <v>258.23041713304758</v>
      </c>
      <c r="AF13" s="38">
        <f t="shared" si="13"/>
        <v>258.23041713304758</v>
      </c>
      <c r="AG13" s="38">
        <f t="shared" si="13"/>
        <v>258.23041713304758</v>
      </c>
      <c r="AH13" s="38">
        <f t="shared" si="13"/>
        <v>258.23041713304758</v>
      </c>
      <c r="AI13" s="38">
        <f t="shared" si="13"/>
        <v>227.95516408930132</v>
      </c>
      <c r="AJ13" s="38">
        <f t="shared" si="13"/>
        <v>223.6460386841747</v>
      </c>
      <c r="AK13" s="38">
        <f t="shared" si="13"/>
        <v>223.6460386841747</v>
      </c>
      <c r="AL13" s="38">
        <f t="shared" si="13"/>
        <v>223.6460386841747</v>
      </c>
      <c r="AM13" s="38">
        <f t="shared" si="13"/>
        <v>223.6460386841747</v>
      </c>
      <c r="AN13" s="38">
        <f t="shared" si="13"/>
        <v>247.97059473988895</v>
      </c>
      <c r="AO13" s="38">
        <f t="shared" si="13"/>
        <v>223.6460386841747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166.88874122084138</v>
      </c>
      <c r="AA14" s="38">
        <f t="shared" ref="AA14:AO14" si="16">AA13-AA11</f>
        <v>166.88874122084138</v>
      </c>
      <c r="AB14" s="38">
        <f t="shared" si="16"/>
        <v>171.197866625968</v>
      </c>
      <c r="AC14" s="38">
        <f t="shared" si="16"/>
        <v>171.197866625968</v>
      </c>
      <c r="AD14" s="38">
        <f t="shared" si="16"/>
        <v>171.197866625968</v>
      </c>
      <c r="AE14" s="38">
        <f t="shared" si="16"/>
        <v>177.14856361399995</v>
      </c>
      <c r="AF14" s="38">
        <f t="shared" si="16"/>
        <v>177.14856361399995</v>
      </c>
      <c r="AG14" s="38">
        <f t="shared" si="16"/>
        <v>177.14856361399995</v>
      </c>
      <c r="AH14" s="38">
        <f t="shared" si="16"/>
        <v>177.14856361399995</v>
      </c>
      <c r="AI14" s="38">
        <f t="shared" si="16"/>
        <v>171.197866625968</v>
      </c>
      <c r="AJ14" s="38">
        <f t="shared" si="16"/>
        <v>166.88874122084138</v>
      </c>
      <c r="AK14" s="38">
        <f t="shared" si="16"/>
        <v>166.88874122084138</v>
      </c>
      <c r="AL14" s="38">
        <f t="shared" si="16"/>
        <v>166.88874122084138</v>
      </c>
      <c r="AM14" s="38">
        <f t="shared" si="16"/>
        <v>166.88874122084138</v>
      </c>
      <c r="AN14" s="38">
        <f t="shared" si="16"/>
        <v>166.88874122084133</v>
      </c>
      <c r="AO14" s="38">
        <f t="shared" si="16"/>
        <v>166.88874122084138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335.7182755553323</v>
      </c>
      <c r="G15" s="364">
        <f>IF($B$12=0,SUM(G11:G14),SUM(G10,G11,G12,G14))</f>
        <v>335.7182755553323</v>
      </c>
      <c r="H15" s="364">
        <f t="shared" ref="H15:X15" si="17">IF($B$12=0,SUM(H11:H14),SUM(H10,H11,H12,H14))</f>
        <v>335.7182755553323</v>
      </c>
      <c r="I15" s="364">
        <f t="shared" si="17"/>
        <v>239.27348947582703</v>
      </c>
      <c r="J15" s="364">
        <f t="shared" si="17"/>
        <v>239.27348947582703</v>
      </c>
      <c r="K15" s="364">
        <f t="shared" si="17"/>
        <v>239.27348947582703</v>
      </c>
      <c r="L15" s="364">
        <f t="shared" si="17"/>
        <v>239.27348947582703</v>
      </c>
      <c r="M15" s="364">
        <f t="shared" si="17"/>
        <v>239.27348947582703</v>
      </c>
      <c r="N15" s="364">
        <f t="shared" si="17"/>
        <v>196.1976879273393</v>
      </c>
      <c r="O15" s="364">
        <f t="shared" si="17"/>
        <v>196.1976879273393</v>
      </c>
      <c r="P15" s="364">
        <f t="shared" si="17"/>
        <v>196.1976879273393</v>
      </c>
      <c r="Q15" s="364">
        <f t="shared" si="17"/>
        <v>188.38698546993811</v>
      </c>
      <c r="R15" s="364">
        <f t="shared" si="17"/>
        <v>188.38698546993811</v>
      </c>
      <c r="S15" s="364">
        <f t="shared" si="17"/>
        <v>176.43808074081531</v>
      </c>
      <c r="T15" s="364">
        <f t="shared" si="17"/>
        <v>176.43808074081531</v>
      </c>
      <c r="U15" s="364">
        <f t="shared" si="17"/>
        <v>335.7182755553323</v>
      </c>
      <c r="V15" s="364">
        <f t="shared" si="17"/>
        <v>239.27348947582703</v>
      </c>
      <c r="W15" s="364"/>
      <c r="X15" s="251">
        <f t="shared" si="17"/>
        <v>273.57622477802101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204.73989679379383</v>
      </c>
      <c r="G16" s="364">
        <f t="shared" ref="G16:X16" si="18">SUM(G11,G12,G14)</f>
        <v>204.73989679379383</v>
      </c>
      <c r="H16" s="364">
        <f t="shared" si="18"/>
        <v>204.73989679379383</v>
      </c>
      <c r="I16" s="364">
        <f t="shared" si="18"/>
        <v>149.65670400740601</v>
      </c>
      <c r="J16" s="364">
        <f t="shared" si="18"/>
        <v>149.65670400740601</v>
      </c>
      <c r="K16" s="364">
        <f t="shared" si="18"/>
        <v>149.65670400740601</v>
      </c>
      <c r="L16" s="364">
        <f t="shared" si="18"/>
        <v>149.65670400740601</v>
      </c>
      <c r="M16" s="364">
        <f t="shared" si="18"/>
        <v>149.65670400740601</v>
      </c>
      <c r="N16" s="364">
        <f t="shared" si="18"/>
        <v>139.44039046400599</v>
      </c>
      <c r="O16" s="364">
        <f t="shared" si="18"/>
        <v>139.44039046400599</v>
      </c>
      <c r="P16" s="364">
        <f t="shared" si="18"/>
        <v>139.44039046400599</v>
      </c>
      <c r="Q16" s="364">
        <f t="shared" si="18"/>
        <v>131.62968800660479</v>
      </c>
      <c r="R16" s="364">
        <f t="shared" si="18"/>
        <v>131.62968800660479</v>
      </c>
      <c r="S16" s="364">
        <f t="shared" si="18"/>
        <v>131.62968800660479</v>
      </c>
      <c r="T16" s="364">
        <f t="shared" si="18"/>
        <v>131.62968800660479</v>
      </c>
      <c r="U16" s="364">
        <f t="shared" si="18"/>
        <v>204.73989679379383</v>
      </c>
      <c r="V16" s="364">
        <f t="shared" si="18"/>
        <v>149.65670400740601</v>
      </c>
      <c r="W16" s="364"/>
      <c r="X16" s="251">
        <f t="shared" si="18"/>
        <v>183.95943930959996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1317.4395499999998</v>
      </c>
      <c r="G35" s="176">
        <f t="shared" si="26"/>
        <v>2209.542024941667</v>
      </c>
      <c r="H35" s="176">
        <f t="shared" si="26"/>
        <v>1736.0686916083337</v>
      </c>
      <c r="I35" s="176">
        <f t="shared" si="26"/>
        <v>2860.5678582750002</v>
      </c>
      <c r="J35" s="176">
        <f t="shared" si="26"/>
        <v>2564.6470249416666</v>
      </c>
      <c r="K35" s="176">
        <f t="shared" si="26"/>
        <v>1736.0686916083337</v>
      </c>
      <c r="L35" s="176">
        <f t="shared" si="26"/>
        <v>3097.3045249416668</v>
      </c>
      <c r="M35" s="176">
        <f t="shared" si="26"/>
        <v>2919.7520249416671</v>
      </c>
      <c r="N35" s="176">
        <f t="shared" si="26"/>
        <v>2623.8311916083335</v>
      </c>
      <c r="O35" s="176">
        <f t="shared" si="26"/>
        <v>4044.2511916083331</v>
      </c>
      <c r="P35" s="176">
        <f t="shared" si="26"/>
        <v>3570.7778582750002</v>
      </c>
      <c r="Q35" s="176">
        <f t="shared" si="26"/>
        <v>4340.1720249416667</v>
      </c>
      <c r="R35" s="176">
        <f t="shared" si="26"/>
        <v>4695.2770249416672</v>
      </c>
      <c r="S35" s="176">
        <f t="shared" si="26"/>
        <v>4991.1978582749998</v>
      </c>
      <c r="T35" s="271">
        <f t="shared" si="26"/>
        <v>6880.7512166666666</v>
      </c>
      <c r="U35" s="271"/>
      <c r="V35" s="271"/>
      <c r="W35" s="271"/>
      <c r="X35" s="261">
        <f t="shared" si="26"/>
        <v>3092.9645499999997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106.53149999999999</v>
      </c>
      <c r="G43" s="144">
        <f t="shared" si="27"/>
        <v>106.53149999999999</v>
      </c>
      <c r="H43" s="144">
        <f t="shared" si="27"/>
        <v>106.53149999999999</v>
      </c>
      <c r="I43" s="144">
        <f t="shared" si="27"/>
        <v>106.53149999999999</v>
      </c>
      <c r="J43" s="144">
        <f t="shared" si="27"/>
        <v>106.53149999999999</v>
      </c>
      <c r="K43" s="144">
        <f t="shared" si="27"/>
        <v>106.53149999999999</v>
      </c>
      <c r="L43" s="144">
        <f t="shared" si="27"/>
        <v>106.53149999999999</v>
      </c>
      <c r="M43" s="144">
        <f t="shared" si="27"/>
        <v>106.53149999999999</v>
      </c>
      <c r="N43" s="144">
        <f t="shared" si="27"/>
        <v>106.53149999999999</v>
      </c>
      <c r="O43" s="144">
        <f t="shared" si="27"/>
        <v>106.53149999999999</v>
      </c>
      <c r="P43" s="144">
        <f t="shared" si="27"/>
        <v>106.53149999999999</v>
      </c>
      <c r="Q43" s="144">
        <f t="shared" si="27"/>
        <v>106.53149999999999</v>
      </c>
      <c r="R43" s="144">
        <f t="shared" si="27"/>
        <v>106.53149999999999</v>
      </c>
      <c r="S43" s="144">
        <f t="shared" si="27"/>
        <v>106.53149999999999</v>
      </c>
      <c r="T43" s="267">
        <f t="shared" si="27"/>
        <v>106.53149999999999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60.082326595393823</v>
      </c>
      <c r="G44" s="36">
        <f>1/G40*$B$6*5.678*$C$6</f>
        <v>60.079152283015361</v>
      </c>
      <c r="H44" s="36">
        <f>1/H40*$B$6*5.678*$C$6</f>
        <v>60.079152283015361</v>
      </c>
      <c r="I44" s="36">
        <f t="shared" ref="I44:T44" si="28">1/I40*$B$6*5.678*$C$6</f>
        <v>60.079152283015361</v>
      </c>
      <c r="J44" s="36">
        <f t="shared" si="28"/>
        <v>60.079152283015361</v>
      </c>
      <c r="K44" s="36">
        <f t="shared" si="28"/>
        <v>60.079152283015361</v>
      </c>
      <c r="L44" s="36">
        <f t="shared" si="28"/>
        <v>60.079152283015361</v>
      </c>
      <c r="M44" s="36">
        <f t="shared" si="28"/>
        <v>60.079152283015361</v>
      </c>
      <c r="N44" s="36">
        <f t="shared" si="28"/>
        <v>39.051448983959979</v>
      </c>
      <c r="O44" s="36">
        <f t="shared" si="28"/>
        <v>39.051448983959979</v>
      </c>
      <c r="P44" s="36">
        <f t="shared" si="28"/>
        <v>39.051448983959979</v>
      </c>
      <c r="Q44" s="36">
        <f t="shared" si="28"/>
        <v>39.051448983959979</v>
      </c>
      <c r="R44" s="36">
        <f t="shared" si="28"/>
        <v>39.051448983959979</v>
      </c>
      <c r="S44" s="36">
        <f t="shared" si="28"/>
        <v>37.19185617519998</v>
      </c>
      <c r="T44" s="272">
        <f t="shared" si="28"/>
        <v>37.19185617519998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227.02918985333332</v>
      </c>
      <c r="G45" s="36">
        <f t="shared" si="29"/>
        <v>221.35346010700002</v>
      </c>
      <c r="H45" s="36">
        <f t="shared" si="29"/>
        <v>221.35346010700002</v>
      </c>
      <c r="I45" s="36">
        <f t="shared" si="29"/>
        <v>170.27189239</v>
      </c>
      <c r="J45" s="36">
        <f t="shared" si="29"/>
        <v>170.27189239</v>
      </c>
      <c r="K45" s="36">
        <f t="shared" si="29"/>
        <v>170.27189239</v>
      </c>
      <c r="L45" s="36">
        <f t="shared" si="29"/>
        <v>119.19032467299999</v>
      </c>
      <c r="M45" s="36">
        <f t="shared" si="29"/>
        <v>119.19032467299999</v>
      </c>
      <c r="N45" s="36">
        <f t="shared" si="29"/>
        <v>119.19032467299999</v>
      </c>
      <c r="O45" s="36">
        <f t="shared" si="29"/>
        <v>119.19032467299999</v>
      </c>
      <c r="P45" s="36">
        <f t="shared" si="29"/>
        <v>119.19032467299999</v>
      </c>
      <c r="Q45" s="36">
        <f t="shared" si="29"/>
        <v>119.19032467299999</v>
      </c>
      <c r="R45" s="36">
        <f t="shared" si="29"/>
        <v>119.19032467299999</v>
      </c>
      <c r="S45" s="36">
        <f t="shared" si="29"/>
        <v>119.19032467299999</v>
      </c>
      <c r="T45" s="272">
        <f t="shared" si="29"/>
        <v>117.42889130344828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130.97837876153847</v>
      </c>
      <c r="G46" s="36">
        <f t="shared" si="30"/>
        <v>130.97837876153847</v>
      </c>
      <c r="H46" s="36">
        <f t="shared" si="30"/>
        <v>130.97837876153847</v>
      </c>
      <c r="I46" s="36">
        <f t="shared" si="30"/>
        <v>89.616785468421028</v>
      </c>
      <c r="J46" s="36">
        <f t="shared" si="30"/>
        <v>89.616785468421028</v>
      </c>
      <c r="K46" s="36">
        <f t="shared" si="30"/>
        <v>89.616785468421028</v>
      </c>
      <c r="L46" s="36">
        <f t="shared" si="30"/>
        <v>89.616785468421028</v>
      </c>
      <c r="M46" s="36">
        <f t="shared" si="30"/>
        <v>89.616785468421028</v>
      </c>
      <c r="N46" s="36">
        <f t="shared" si="30"/>
        <v>89.616785468421028</v>
      </c>
      <c r="O46" s="36">
        <f t="shared" si="30"/>
        <v>56.75729746333333</v>
      </c>
      <c r="P46" s="36">
        <f t="shared" si="30"/>
        <v>56.75729746333333</v>
      </c>
      <c r="Q46" s="36">
        <f t="shared" si="30"/>
        <v>56.75729746333333</v>
      </c>
      <c r="R46" s="36">
        <f t="shared" si="30"/>
        <v>56.75729746333333</v>
      </c>
      <c r="S46" s="36">
        <f t="shared" si="30"/>
        <v>44.808392734210514</v>
      </c>
      <c r="T46" s="272">
        <f t="shared" si="30"/>
        <v>44.808392734210514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428.63996443266558</v>
      </c>
      <c r="G48" s="294">
        <f t="shared" ref="G48:T48" si="32">IF($B$12=0,SUM(G44:G47),SUM(G43,G44,G45,G47))</f>
        <v>422.96106037395384</v>
      </c>
      <c r="H48" s="294">
        <f t="shared" si="32"/>
        <v>422.96106037395384</v>
      </c>
      <c r="I48" s="294">
        <f t="shared" si="32"/>
        <v>330.51789936383636</v>
      </c>
      <c r="J48" s="294">
        <f t="shared" si="32"/>
        <v>330.51789936383636</v>
      </c>
      <c r="K48" s="294">
        <f t="shared" si="32"/>
        <v>330.51789936383636</v>
      </c>
      <c r="L48" s="294">
        <f t="shared" si="32"/>
        <v>279.43633164683638</v>
      </c>
      <c r="M48" s="294">
        <f t="shared" si="32"/>
        <v>279.43633164683638</v>
      </c>
      <c r="N48" s="294">
        <f t="shared" si="32"/>
        <v>258.40862834778102</v>
      </c>
      <c r="O48" s="294">
        <f t="shared" si="32"/>
        <v>225.54914034269331</v>
      </c>
      <c r="P48" s="294">
        <f t="shared" si="32"/>
        <v>225.54914034269331</v>
      </c>
      <c r="Q48" s="294">
        <f t="shared" si="32"/>
        <v>225.54914034269331</v>
      </c>
      <c r="R48" s="294">
        <f t="shared" si="32"/>
        <v>225.54914034269331</v>
      </c>
      <c r="S48" s="294">
        <f t="shared" si="32"/>
        <v>211.74064280481048</v>
      </c>
      <c r="T48" s="294">
        <f t="shared" si="32"/>
        <v>209.97920943525878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297.66158567112711</v>
      </c>
      <c r="G49" s="294">
        <f t="shared" ref="G49:T49" si="33">SUM(G44,G45,G47)</f>
        <v>291.98268161241538</v>
      </c>
      <c r="H49" s="294">
        <f t="shared" si="33"/>
        <v>291.98268161241538</v>
      </c>
      <c r="I49" s="294">
        <f t="shared" si="33"/>
        <v>240.90111389541536</v>
      </c>
      <c r="J49" s="294">
        <f t="shared" si="33"/>
        <v>240.90111389541536</v>
      </c>
      <c r="K49" s="294">
        <f t="shared" si="33"/>
        <v>240.90111389541536</v>
      </c>
      <c r="L49" s="294">
        <f t="shared" si="33"/>
        <v>189.81954617841535</v>
      </c>
      <c r="M49" s="294">
        <f t="shared" si="33"/>
        <v>189.81954617841535</v>
      </c>
      <c r="N49" s="294">
        <f t="shared" si="33"/>
        <v>168.79184287935996</v>
      </c>
      <c r="O49" s="294">
        <f t="shared" si="33"/>
        <v>168.79184287935996</v>
      </c>
      <c r="P49" s="294">
        <f t="shared" si="33"/>
        <v>168.79184287935996</v>
      </c>
      <c r="Q49" s="294">
        <f t="shared" si="33"/>
        <v>168.79184287935996</v>
      </c>
      <c r="R49" s="294">
        <f t="shared" si="33"/>
        <v>168.79184287935996</v>
      </c>
      <c r="S49" s="294">
        <f t="shared" si="33"/>
        <v>166.93225007059996</v>
      </c>
      <c r="T49" s="294">
        <f t="shared" si="33"/>
        <v>165.17081670104827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8" t="s">
        <v>622</v>
      </c>
      <c r="E56" s="549"/>
      <c r="F56" s="550"/>
      <c r="G56" s="554" t="s">
        <v>615</v>
      </c>
      <c r="H56" s="549"/>
      <c r="I56" s="555"/>
      <c r="J56" s="556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51" t="s">
        <v>614</v>
      </c>
      <c r="E57" s="552"/>
      <c r="F57" s="553"/>
      <c r="G57" s="557" t="s">
        <v>616</v>
      </c>
      <c r="H57" s="552"/>
      <c r="I57" s="558"/>
      <c r="J57" s="553"/>
      <c r="K57" s="559">
        <v>1.17</v>
      </c>
      <c r="L57" s="559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51"/>
      <c r="E58" s="552"/>
      <c r="F58" s="553"/>
      <c r="G58" s="557" t="s">
        <v>617</v>
      </c>
      <c r="H58" s="552"/>
      <c r="I58" s="558"/>
      <c r="J58" s="553"/>
      <c r="K58" s="559">
        <v>0.86</v>
      </c>
      <c r="L58" s="559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51" t="s">
        <v>618</v>
      </c>
      <c r="E59" s="552"/>
      <c r="F59" s="553"/>
      <c r="G59" s="557" t="s">
        <v>616</v>
      </c>
      <c r="H59" s="552"/>
      <c r="I59" s="558"/>
      <c r="J59" s="553"/>
      <c r="K59" s="559">
        <v>1.45</v>
      </c>
      <c r="L59" s="559"/>
      <c r="S59" s="17"/>
      <c r="T59" s="17"/>
      <c r="U59" s="17"/>
      <c r="V59" s="17"/>
      <c r="W59" s="17"/>
    </row>
    <row r="60" spans="2:24" ht="15" customHeight="1">
      <c r="D60" s="551"/>
      <c r="E60" s="552"/>
      <c r="F60" s="553"/>
      <c r="G60" s="557" t="s">
        <v>617</v>
      </c>
      <c r="H60" s="552"/>
      <c r="I60" s="558"/>
      <c r="J60" s="553"/>
      <c r="K60" s="559">
        <v>0.85</v>
      </c>
      <c r="L60" s="559"/>
      <c r="S60" s="17"/>
      <c r="T60" s="17"/>
      <c r="U60" s="17"/>
      <c r="V60" s="17"/>
      <c r="W60" s="17"/>
    </row>
    <row r="61" spans="2:24" ht="15" customHeight="1">
      <c r="D61" s="551" t="s">
        <v>619</v>
      </c>
      <c r="E61" s="552"/>
      <c r="F61" s="553"/>
      <c r="G61" s="557" t="s">
        <v>616</v>
      </c>
      <c r="H61" s="552"/>
      <c r="I61" s="558"/>
      <c r="J61" s="553"/>
      <c r="K61" s="559">
        <v>2.0699999999999998</v>
      </c>
      <c r="L61" s="559"/>
      <c r="S61" s="17"/>
      <c r="T61" s="17"/>
      <c r="U61" s="17"/>
      <c r="V61" s="17"/>
      <c r="W61" s="17"/>
    </row>
    <row r="62" spans="2:24" ht="15" customHeight="1">
      <c r="B62" s="2"/>
      <c r="D62" s="551"/>
      <c r="E62" s="552"/>
      <c r="F62" s="553"/>
      <c r="G62" s="557" t="s">
        <v>617</v>
      </c>
      <c r="H62" s="552"/>
      <c r="I62" s="558"/>
      <c r="J62" s="553"/>
      <c r="K62" s="559">
        <v>0.92</v>
      </c>
      <c r="L62" s="559"/>
      <c r="S62" s="17"/>
      <c r="T62" s="17"/>
      <c r="U62" s="17"/>
      <c r="V62" s="17"/>
      <c r="W62" s="17"/>
    </row>
    <row r="63" spans="2:24" ht="15" customHeight="1">
      <c r="D63" s="551" t="s">
        <v>620</v>
      </c>
      <c r="E63" s="552"/>
      <c r="F63" s="553"/>
      <c r="G63" s="557" t="s">
        <v>616</v>
      </c>
      <c r="H63" s="552"/>
      <c r="I63" s="558"/>
      <c r="J63" s="553"/>
      <c r="K63" s="559">
        <v>3.67</v>
      </c>
      <c r="L63" s="559"/>
      <c r="S63" s="17"/>
      <c r="T63" s="17"/>
      <c r="U63" s="17"/>
      <c r="V63" s="17"/>
      <c r="W63" s="17"/>
    </row>
    <row r="64" spans="2:24" ht="15" customHeight="1">
      <c r="D64" s="551" t="s">
        <v>621</v>
      </c>
      <c r="E64" s="552"/>
      <c r="F64" s="553"/>
      <c r="G64" s="557" t="s">
        <v>617</v>
      </c>
      <c r="H64" s="552"/>
      <c r="I64" s="558"/>
      <c r="J64" s="553"/>
      <c r="K64" s="559">
        <v>1.24</v>
      </c>
      <c r="L64" s="559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999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945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16.495501874999999</v>
      </c>
      <c r="J2" s="49">
        <f>L2*0.5</f>
        <v>32.991003749999997</v>
      </c>
      <c r="K2" s="49">
        <f>L2*0.75</f>
        <v>49.486505624999992</v>
      </c>
      <c r="L2" s="356">
        <f>IF(Age="existing",0.15*A_houseSI+3.5*(Nbedrooms+1)+(65/4),0.15*A_houseSI+3.5*(Nbedrooms+1))</f>
        <v>65.982007499999995</v>
      </c>
      <c r="M2" s="296">
        <f>1.25*L2</f>
        <v>82.477509374999997</v>
      </c>
      <c r="N2" s="49">
        <f>L2*2</f>
        <v>131.96401499999999</v>
      </c>
      <c r="O2" s="49">
        <f>L2*3</f>
        <v>197.94602249999997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35.459907158234664</v>
      </c>
      <c r="J3" s="49">
        <f>L3*0.5</f>
        <v>70.919814316469328</v>
      </c>
      <c r="K3" s="49">
        <f>L3*0.75</f>
        <v>106.37972147470398</v>
      </c>
      <c r="L3" s="357">
        <f>IF(Age="existing",0.03*A_houseFT+7.5*(Nbedrooms+1)+(130/4), 0.03*A_houseFT+7.5*(Nbedrooms+1))</f>
        <v>141.83962863293866</v>
      </c>
      <c r="M3" s="296">
        <f>1.25*L3</f>
        <v>177.29953579117333</v>
      </c>
      <c r="N3" s="49">
        <f>L3*2</f>
        <v>283.67925726587731</v>
      </c>
      <c r="O3" s="49">
        <f>L3*3</f>
        <v>425.51888589881594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5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3</v>
      </c>
      <c r="D6" s="242"/>
      <c r="E6" s="242"/>
      <c r="F6" s="242"/>
      <c r="G6" s="227" t="s">
        <v>1000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13.005349036910927</v>
      </c>
      <c r="C9" s="227">
        <f>(Leakage!I34*A_houseSI*Weather!C25)/1.44</f>
        <v>13.322552671957537</v>
      </c>
      <c r="D9" s="227">
        <f>(Leakage!J34*A_houseSI*Weather!D25)/1.44</f>
        <v>13.639756307004143</v>
      </c>
      <c r="E9" s="227">
        <f>(Leakage!K34*A_houseSI*Weather!E25)/1.44</f>
        <v>12.159472676786638</v>
      </c>
      <c r="F9" s="227">
        <f>(Leakage!L34*A_houseSI*Weather!F25)/1.44</f>
        <v>12.688145401864318</v>
      </c>
      <c r="G9" s="227">
        <f>(Leakage!M34*A_houseSI*Weather!G25)/1.44</f>
        <v>15.8601817523304</v>
      </c>
      <c r="H9" s="227">
        <f>(Leakage!N34*A_houseSI*Weather!H25)/1.44</f>
        <v>13.216818126941998</v>
      </c>
      <c r="I9" s="227">
        <f>(Leakage!O34*A_houseSI*Weather!I25)/1.44</f>
        <v>14.274163577097362</v>
      </c>
      <c r="J9" s="227">
        <f>(Leakage!P34*A_houseSI*Weather!J25)/1.44</f>
        <v>14.5384999396362</v>
      </c>
      <c r="K9" s="227">
        <f>(Leakage!Q34*A_houseSI*Weather!K25)/1.44</f>
        <v>12.688145401864315</v>
      </c>
      <c r="L9" s="227">
        <f>(Leakage!R34*A_houseSI*Weather!L25)/1.44</f>
        <v>11.84226904174003</v>
      </c>
      <c r="M9" s="227">
        <f>(Leakage!S34*A_houseSI*Weather!M25)/1.44</f>
        <v>12.89961449189539</v>
      </c>
      <c r="N9" s="227">
        <f>(Leakage!T34*A_houseSI*Weather!N25)/1.44</f>
        <v>13.322552671957531</v>
      </c>
      <c r="O9" s="227">
        <f>(Leakage!U34*A_houseSI*Weather!O25)/1.44</f>
        <v>14.802836302175034</v>
      </c>
      <c r="P9" s="227">
        <f>(Leakage!V34*A_houseSI*Weather!P25)/1.44</f>
        <v>11.10212722663128</v>
      </c>
      <c r="Q9" s="227">
        <f>(Leakage!W34*A_houseSI*Weather!Q25)/1.44</f>
        <v>12.053738131771105</v>
      </c>
      <c r="R9" s="227">
        <f>(Leakage!X34*A_houseSI*Weather!R25)/1.44</f>
        <v>11.366463589170118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52.976658463089066</v>
      </c>
      <c r="C10" s="348">
        <f t="shared" si="0"/>
        <v>52.659454828042456</v>
      </c>
      <c r="D10" s="348">
        <f t="shared" si="0"/>
        <v>52.342251192995853</v>
      </c>
      <c r="E10" s="348">
        <f t="shared" si="0"/>
        <v>53.82253482321336</v>
      </c>
      <c r="F10" s="348">
        <f t="shared" si="0"/>
        <v>53.293862098135676</v>
      </c>
      <c r="G10" s="348">
        <f t="shared" si="0"/>
        <v>50.121825747669597</v>
      </c>
      <c r="H10" s="348">
        <f t="shared" si="0"/>
        <v>52.765189373057993</v>
      </c>
      <c r="I10" s="348">
        <f t="shared" si="0"/>
        <v>51.707843922902633</v>
      </c>
      <c r="J10" s="348">
        <f t="shared" si="0"/>
        <v>51.443507560363798</v>
      </c>
      <c r="K10" s="348">
        <f t="shared" si="0"/>
        <v>53.293862098135676</v>
      </c>
      <c r="L10" s="348">
        <f t="shared" si="0"/>
        <v>54.139738458259963</v>
      </c>
      <c r="M10" s="348">
        <f t="shared" si="0"/>
        <v>53.082393008104603</v>
      </c>
      <c r="N10" s="348">
        <f t="shared" si="0"/>
        <v>52.659454828042463</v>
      </c>
      <c r="O10" s="348">
        <f t="shared" si="0"/>
        <v>51.179171197824957</v>
      </c>
      <c r="P10" s="348">
        <f t="shared" si="0"/>
        <v>54.879880273368713</v>
      </c>
      <c r="Q10" s="348">
        <f t="shared" si="0"/>
        <v>53.928269368228889</v>
      </c>
      <c r="R10" s="348">
        <f t="shared" si="0"/>
        <v>54.615543910829878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23.103120755753142</v>
      </c>
      <c r="C11" s="242">
        <f>C10*0.4361</f>
        <v>22.964788250509315</v>
      </c>
      <c r="D11" s="242">
        <f t="shared" ref="D11:P11" si="1">D10*0.4361</f>
        <v>22.826455745265491</v>
      </c>
      <c r="E11" s="242">
        <f t="shared" si="1"/>
        <v>23.472007436403345</v>
      </c>
      <c r="F11" s="242">
        <f t="shared" si="1"/>
        <v>23.241453260996966</v>
      </c>
      <c r="G11" s="242">
        <f t="shared" si="1"/>
        <v>21.858128208558711</v>
      </c>
      <c r="H11" s="242">
        <f t="shared" si="1"/>
        <v>23.010899085590591</v>
      </c>
      <c r="I11" s="242">
        <f t="shared" si="1"/>
        <v>22.549790734777837</v>
      </c>
      <c r="J11" s="242">
        <f t="shared" si="1"/>
        <v>22.434513647074652</v>
      </c>
      <c r="K11" s="242">
        <f t="shared" si="1"/>
        <v>23.241453260996966</v>
      </c>
      <c r="L11" s="242">
        <f t="shared" si="1"/>
        <v>23.610339941647169</v>
      </c>
      <c r="M11" s="242">
        <f t="shared" si="1"/>
        <v>23.149231590834418</v>
      </c>
      <c r="N11" s="242">
        <f t="shared" si="1"/>
        <v>22.964788250509319</v>
      </c>
      <c r="O11" s="242">
        <f t="shared" si="1"/>
        <v>22.319236559371461</v>
      </c>
      <c r="P11" s="242">
        <f t="shared" si="1"/>
        <v>23.933115787216096</v>
      </c>
      <c r="Q11" s="242">
        <f>Q10*0.4361</f>
        <v>23.518118271484617</v>
      </c>
      <c r="R11" s="242">
        <f>R10*0.4361</f>
        <v>23.817838699512908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1099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1100</v>
      </c>
      <c r="B13" s="399">
        <f t="shared" ref="B13:R13" si="3">IF(VentSystem="CFIS",3*B10/-1000,3*B10/-1000)</f>
        <v>-0.1589299753892672</v>
      </c>
      <c r="C13" s="399">
        <f t="shared" si="3"/>
        <v>-0.15797836448412739</v>
      </c>
      <c r="D13" s="399">
        <f t="shared" si="3"/>
        <v>-0.15702675357898754</v>
      </c>
      <c r="E13" s="399">
        <f t="shared" si="3"/>
        <v>-0.16146760446964009</v>
      </c>
      <c r="F13" s="399">
        <f t="shared" si="3"/>
        <v>-0.15988158629440705</v>
      </c>
      <c r="G13" s="399">
        <f t="shared" si="3"/>
        <v>-0.1503654772430088</v>
      </c>
      <c r="H13" s="399">
        <f t="shared" si="3"/>
        <v>-0.158295568119174</v>
      </c>
      <c r="I13" s="399">
        <f t="shared" si="3"/>
        <v>-0.15512353176870788</v>
      </c>
      <c r="J13" s="399">
        <f t="shared" si="3"/>
        <v>-0.1543305226810914</v>
      </c>
      <c r="K13" s="399">
        <f t="shared" si="3"/>
        <v>-0.15988158629440705</v>
      </c>
      <c r="L13" s="399">
        <f t="shared" si="3"/>
        <v>-0.16241921537477991</v>
      </c>
      <c r="M13" s="399">
        <f t="shared" si="3"/>
        <v>-0.15924717902431382</v>
      </c>
      <c r="N13" s="399">
        <f t="shared" si="3"/>
        <v>-0.15797836448412739</v>
      </c>
      <c r="O13" s="399">
        <f t="shared" si="3"/>
        <v>-0.15353751359347487</v>
      </c>
      <c r="P13" s="399">
        <f t="shared" si="3"/>
        <v>-0.16463964082010613</v>
      </c>
      <c r="Q13" s="399">
        <f t="shared" si="3"/>
        <v>-0.16178480810468668</v>
      </c>
      <c r="R13" s="399">
        <f t="shared" si="3"/>
        <v>-0.16384663173248964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1101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0.11330627578261142</v>
      </c>
      <c r="L17" s="44">
        <f>E17*10^-3*3600/V_houseSI+10/100*A_houseSI*3600/1000/V_houseSI</f>
        <v>0.25730627578261145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0.22661255156522284</v>
      </c>
      <c r="L18" s="44">
        <f>E18*10^-3*3600/V_houseSI+10/100*A_houseSI*3600/1000/V_houseSI</f>
        <v>0.37061255156522288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0.158628786095656</v>
      </c>
      <c r="L19" s="44">
        <f>E19*10^-3*3600/V_houseSI+10/100*A_houseSI*3600/1000/V_houseSI</f>
        <v>0.30262878609565602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0.3399188273478343</v>
      </c>
      <c r="L20" s="44">
        <f>E20*10^-3*3600/V_houseSI+10/100*A_houseSI*3600/1000/V_houseSI</f>
        <v>0.48391882734783431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1001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0.50772882298229516</v>
      </c>
      <c r="C67" s="71">
        <f>($B$67*A_houseSI*Weather!B25)/1.44</f>
        <v>43.351163456369754</v>
      </c>
      <c r="D67" s="71">
        <f>($B$67*A_houseSI*Weather!C25)/1.44</f>
        <v>44.408508906525114</v>
      </c>
      <c r="E67" s="71">
        <f>($B$67*A_houseSI*Weather!D25)/1.44</f>
        <v>45.465854356680474</v>
      </c>
      <c r="F67" s="71">
        <f>($B$67*A_houseSI*Weather!E25)/1.44</f>
        <v>48.637890707146553</v>
      </c>
      <c r="G67" s="71">
        <f>($B$67*A_houseSI*Weather!F25)/1.44</f>
        <v>50.752581607457273</v>
      </c>
      <c r="H67" s="71">
        <f>($B$67*A_houseSI*Weather!G25)/1.44</f>
        <v>63.440727009321598</v>
      </c>
      <c r="I67" s="71">
        <f>($B$67*A_houseSI*Weather!H25)/1.44</f>
        <v>52.867272507767993</v>
      </c>
      <c r="J67" s="71">
        <f>($B$67*A_houseSI*Weather!I25)/1.44</f>
        <v>57.096654308389446</v>
      </c>
      <c r="K67" s="71">
        <f>($B$67*A_houseSI*Weather!J25)/1.44</f>
        <v>58.153999758544799</v>
      </c>
      <c r="L67" s="71">
        <f>($B$67*A_houseSI*Weather!K25)/1.44</f>
        <v>63.440727009321598</v>
      </c>
      <c r="M67" s="71">
        <f>($B$67*A_houseSI*Weather!L25)/1.44</f>
        <v>59.211345208700159</v>
      </c>
      <c r="N67" s="71">
        <f>($B$67*A_houseSI*Weather!M25)/1.44</f>
        <v>64.498072459476958</v>
      </c>
      <c r="O67" s="71">
        <f>($B$67*A_houseSI*Weather!N25)/1.44</f>
        <v>66.612763359787678</v>
      </c>
      <c r="P67" s="71">
        <f>($B$67*A_houseSI*Weather!O25)/1.44</f>
        <v>74.01418151087519</v>
      </c>
      <c r="Q67" s="71">
        <f>($B$67*A_houseSI*Weather!P25)/1.44</f>
        <v>74.01418151087519</v>
      </c>
    </row>
    <row r="68" spans="1:19" ht="15" customHeight="1">
      <c r="A68" s="71">
        <v>7</v>
      </c>
      <c r="B68" s="71">
        <f>Leakage!AF12</f>
        <v>0.3554101760876065</v>
      </c>
      <c r="C68" s="71">
        <f>($B$68*A_houseSI*Weather!B25)/1.44</f>
        <v>30.345814419458819</v>
      </c>
      <c r="D68" s="71">
        <f>($B$68*A_houseSI*Weather!C25)/1.44</f>
        <v>31.085956234567568</v>
      </c>
      <c r="E68" s="71">
        <f>($B$68*A_houseSI*Weather!D25)/1.44</f>
        <v>31.826098049676325</v>
      </c>
      <c r="F68" s="71">
        <f>($B$68*A_houseSI*Weather!E25)/1.44</f>
        <v>34.046523495002582</v>
      </c>
      <c r="G68" s="71">
        <f>($B$68*A_houseSI*Weather!F25)/1.44</f>
        <v>35.526807125220081</v>
      </c>
      <c r="H68" s="71">
        <f>($B$68*A_houseSI*Weather!G25)/1.44</f>
        <v>44.4085089065251</v>
      </c>
      <c r="I68" s="71">
        <f>($B$68*A_houseSI*Weather!H25)/1.44</f>
        <v>37.007090755437581</v>
      </c>
      <c r="J68" s="71">
        <f>($B$68*A_houseSI*Weather!I25)/1.44</f>
        <v>39.967658015872594</v>
      </c>
      <c r="K68" s="71">
        <f>($B$68*A_houseSI*Weather!J25)/1.44</f>
        <v>40.707799830981344</v>
      </c>
      <c r="L68" s="71">
        <f>($B$68*A_houseSI*Weather!K25)/1.44</f>
        <v>44.4085089065251</v>
      </c>
      <c r="M68" s="71">
        <f>($B$68*A_houseSI*Weather!L25)/1.44</f>
        <v>41.447941646090101</v>
      </c>
      <c r="N68" s="71">
        <f>($B$68*A_houseSI*Weather!M25)/1.44</f>
        <v>45.148650721633857</v>
      </c>
      <c r="O68" s="71">
        <f>($B$68*A_houseSI*Weather!N25)/1.44</f>
        <v>46.628934351851356</v>
      </c>
      <c r="P68" s="71">
        <f>($B$68*A_houseSI*Weather!O25)/1.44</f>
        <v>51.809927057612619</v>
      </c>
      <c r="Q68" s="71">
        <f>($B$68*A_houseSI*Weather!P25)/1.44</f>
        <v>51.809927057612619</v>
      </c>
    </row>
    <row r="69" spans="1:19" ht="15" customHeight="1">
      <c r="A69" s="71">
        <v>5</v>
      </c>
      <c r="B69" s="71">
        <f>Leakage!AF13</f>
        <v>0.25386441149114758</v>
      </c>
      <c r="C69" s="71">
        <f>($B$69*A_houseSI*Weather!B25)/1.44</f>
        <v>21.675581728184877</v>
      </c>
      <c r="D69" s="71">
        <f>($B$69*A_houseSI*Weather!C25)/1.44</f>
        <v>22.204254453262557</v>
      </c>
      <c r="E69" s="71">
        <f>($B$69*A_houseSI*Weather!D25)/1.44</f>
        <v>22.732927178340237</v>
      </c>
      <c r="F69" s="71">
        <f>($B$69*A_houseSI*Weather!E25)/1.44</f>
        <v>24.318945353573277</v>
      </c>
      <c r="G69" s="71">
        <f>($B$69*A_houseSI*Weather!F25)/1.44</f>
        <v>25.376290803728637</v>
      </c>
      <c r="H69" s="71">
        <f>($B$69*A_houseSI*Weather!G25)/1.44</f>
        <v>31.720363504660799</v>
      </c>
      <c r="I69" s="71">
        <f>($B$69*A_houseSI*Weather!H25)/1.44</f>
        <v>26.433636253883996</v>
      </c>
      <c r="J69" s="71">
        <f>($B$69*A_houseSI*Weather!I25)/1.44</f>
        <v>28.548327154194723</v>
      </c>
      <c r="K69" s="71">
        <f>($B$69*A_houseSI*Weather!J25)/1.44</f>
        <v>29.0769998792724</v>
      </c>
      <c r="L69" s="71">
        <f>($B$69*A_houseSI*Weather!K25)/1.44</f>
        <v>31.720363504660799</v>
      </c>
      <c r="M69" s="71">
        <f>($B$69*A_houseSI*Weather!L25)/1.44</f>
        <v>29.60567260435008</v>
      </c>
      <c r="N69" s="71">
        <f>($B$69*A_houseSI*Weather!M25)/1.44</f>
        <v>32.249036229738479</v>
      </c>
      <c r="O69" s="71">
        <f>($B$69*A_houseSI*Weather!N25)/1.44</f>
        <v>33.306381679893839</v>
      </c>
      <c r="P69" s="71">
        <f>($B$69*A_houseSI*Weather!O25)/1.44</f>
        <v>37.007090755437595</v>
      </c>
      <c r="Q69" s="71">
        <f>($B$69*A_houseSI*Weather!P25)/1.44</f>
        <v>37.007090755437595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13.005349036910927</v>
      </c>
      <c r="D70" s="71">
        <f>($B$70*A_houseSI*Weather!C25)/1.44</f>
        <v>13.322552671957537</v>
      </c>
      <c r="E70" s="71">
        <f>($B$70*A_houseSI*Weather!D25)/1.44</f>
        <v>13.639756307004143</v>
      </c>
      <c r="F70" s="71">
        <f>($B$70*A_houseSI*Weather!E25)/1.44</f>
        <v>14.59136721214397</v>
      </c>
      <c r="G70" s="71">
        <f>($B$70*A_houseSI*Weather!F25)/1.44</f>
        <v>15.225774482237185</v>
      </c>
      <c r="H70" s="71">
        <f>($B$70*A_houseSI*Weather!G25)/1.44</f>
        <v>19.032218102796481</v>
      </c>
      <c r="I70" s="71">
        <f>($B$70*A_houseSI*Weather!H25)/1.44</f>
        <v>15.860181752330401</v>
      </c>
      <c r="J70" s="71">
        <f>($B$70*A_houseSI*Weather!I25)/1.44</f>
        <v>17.128996292516835</v>
      </c>
      <c r="K70" s="71">
        <f>($B$70*A_houseSI*Weather!J25)/1.44</f>
        <v>17.446199927563441</v>
      </c>
      <c r="L70" s="71">
        <f>($B$70*A_houseSI*Weather!K25)/1.44</f>
        <v>19.032218102796481</v>
      </c>
      <c r="M70" s="71">
        <f>($B$70*A_houseSI*Weather!L25)/1.44</f>
        <v>17.763403562610051</v>
      </c>
      <c r="N70" s="71">
        <f>($B$70*A_houseSI*Weather!M25)/1.44</f>
        <v>19.349421737843091</v>
      </c>
      <c r="O70" s="71">
        <f>($B$70*A_houseSI*Weather!N25)/1.44</f>
        <v>19.983829007936308</v>
      </c>
      <c r="P70" s="71">
        <f>($B$70*A_houseSI*Weather!O25)/1.44</f>
        <v>22.204254453262561</v>
      </c>
      <c r="Q70" s="71">
        <f>($B$70*A_houseSI*Weather!P25)/1.44</f>
        <v>22.204254453262561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6.5026745184554633</v>
      </c>
      <c r="D71" s="71">
        <f>($B$71*A_houseSI*Weather!C25)/1.44</f>
        <v>6.6612763359787683</v>
      </c>
      <c r="E71" s="71">
        <f>($B$71*A_houseSI*Weather!D25)/1.44</f>
        <v>6.8198781535020716</v>
      </c>
      <c r="F71" s="71">
        <f>($B$71*A_houseSI*Weather!E25)/1.44</f>
        <v>7.295683606071985</v>
      </c>
      <c r="G71" s="71">
        <f>($B$71*A_houseSI*Weather!F25)/1.44</f>
        <v>7.6128872411185924</v>
      </c>
      <c r="H71" s="71">
        <f>($B$71*A_houseSI*Weather!G25)/1.44</f>
        <v>9.5161090513982405</v>
      </c>
      <c r="I71" s="71">
        <f>($B$71*A_houseSI*Weather!H25)/1.44</f>
        <v>7.9300908761652007</v>
      </c>
      <c r="J71" s="71">
        <f>($B$71*A_houseSI*Weather!I25)/1.44</f>
        <v>8.5644981462584173</v>
      </c>
      <c r="K71" s="71">
        <f>($B$71*A_houseSI*Weather!J25)/1.44</f>
        <v>8.7230999637817206</v>
      </c>
      <c r="L71" s="71">
        <f>($B$71*A_houseSI*Weather!K25)/1.44</f>
        <v>9.5161090513982405</v>
      </c>
      <c r="M71" s="71">
        <f>($B$71*A_houseSI*Weather!L25)/1.44</f>
        <v>8.8817017813050256</v>
      </c>
      <c r="N71" s="71">
        <f>($B$71*A_houseSI*Weather!M25)/1.44</f>
        <v>9.6747108689215455</v>
      </c>
      <c r="O71" s="71">
        <f>($B$71*A_houseSI*Weather!N25)/1.44</f>
        <v>9.9919145039681538</v>
      </c>
      <c r="P71" s="71">
        <f>($B$71*A_houseSI*Weather!O25)/1.44</f>
        <v>11.10212722663128</v>
      </c>
      <c r="Q71" s="71">
        <f>($B$71*A_houseSI*Weather!P25)/1.44</f>
        <v>11.10212722663128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2.601069807382185</v>
      </c>
      <c r="D72" s="71">
        <f>($B$72*A_houseSI*Weather!C25)/1.44</f>
        <v>2.6645105343915065</v>
      </c>
      <c r="E72" s="71">
        <f>($B$72*A_houseSI*Weather!D25)/1.44</f>
        <v>2.7279512614008281</v>
      </c>
      <c r="F72" s="71">
        <f>($B$72*A_houseSI*Weather!E25)/1.44</f>
        <v>2.9182734424287933</v>
      </c>
      <c r="G72" s="71">
        <f>($B$72*A_houseSI*Weather!F25)/1.44</f>
        <v>3.045154896447436</v>
      </c>
      <c r="H72" s="71">
        <f>($B$72*A_houseSI*Weather!G25)/1.44</f>
        <v>3.8064436205592949</v>
      </c>
      <c r="I72" s="71">
        <f>($B$72*A_houseSI*Weather!H25)/1.44</f>
        <v>3.1720363504660796</v>
      </c>
      <c r="J72" s="71">
        <f>($B$72*A_houseSI*Weather!I25)/1.44</f>
        <v>3.4257992585033663</v>
      </c>
      <c r="K72" s="71">
        <f>($B$72*A_houseSI*Weather!J25)/1.44</f>
        <v>3.4892399855126879</v>
      </c>
      <c r="L72" s="71">
        <f>($B$72*A_houseSI*Weather!K25)/1.44</f>
        <v>3.8064436205592949</v>
      </c>
      <c r="M72" s="71">
        <f>($B$72*A_houseSI*Weather!L25)/1.44</f>
        <v>3.5526807125220095</v>
      </c>
      <c r="N72" s="71">
        <f>($B$72*A_houseSI*Weather!M25)/1.44</f>
        <v>3.8698843475686164</v>
      </c>
      <c r="O72" s="71">
        <f>($B$72*A_houseSI*Weather!N25)/1.44</f>
        <v>3.99676580158726</v>
      </c>
      <c r="P72" s="71">
        <f>($B$72*A_houseSI*Weather!O25)/1.44</f>
        <v>4.440850890652511</v>
      </c>
      <c r="Q72" s="71">
        <f>($B$72*A_houseSI*Weather!P25)/1.44</f>
        <v>4.440850890652511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0.50772882298229516</v>
      </c>
      <c r="C78" s="345">
        <f>IF(Age="existing",IF(Fans!$L$2-Fans!C67&lt;=0,0,Fans!$L$2-Fans!C67),IF(C67&lt;(2/3)*Fans!$L$2,Fans!$L$2-Fans!C67,(1/3)*Fans!$L$2))</f>
        <v>22.63084404363024</v>
      </c>
      <c r="D78" s="345">
        <f>IF(Age="existing",IF(Fans!$L$2-Fans!D67&lt;=0,0,Fans!$L$2-Fans!D67),IF(D67&lt;(2/3)*Fans!$L$2,Fans!$L$2-Fans!D67,(1/3)*Fans!$L$2))</f>
        <v>21.994002499999997</v>
      </c>
      <c r="E78" s="345">
        <f>IF(Age="existing",IF(Fans!$L$2-Fans!E67&lt;=0,0,Fans!$L$2-Fans!E67),IF(E67&lt;(2/3)*Fans!$L$2,Fans!$L$2-Fans!E67,(1/3)*Fans!$L$2))</f>
        <v>21.994002499999997</v>
      </c>
      <c r="F78" s="345">
        <f>IF(Age="existing",IF(Fans!$L$2-Fans!F67&lt;=0,0,Fans!$L$2-Fans!F67),IF(F67&lt;(2/3)*Fans!$L$2,Fans!$L$2-Fans!F67,(1/3)*Fans!$L$2))</f>
        <v>21.994002499999997</v>
      </c>
      <c r="G78" s="345">
        <f>IF(Age="existing",IF(Fans!$L$2-Fans!G67&lt;=0,0,Fans!$L$2-Fans!G67),IF(G67&lt;(2/3)*Fans!$L$2,Fans!$L$2-Fans!G67,(1/3)*Fans!$L$2))</f>
        <v>21.994002499999997</v>
      </c>
      <c r="H78" s="345">
        <f>IF(Age="existing",IF(Fans!$L$2-Fans!H67&lt;=0,0,Fans!$L$2-Fans!H67),IF(H67&lt;(2/3)*Fans!$L$2,Fans!$L$2-Fans!H67,(1/3)*Fans!$L$2))</f>
        <v>21.994002499999997</v>
      </c>
      <c r="I78" s="345">
        <f>IF(Age="existing",IF(Fans!$L$2-Fans!I67&lt;=0,0,Fans!$L$2-Fans!I67),IF(I67&lt;(2/3)*Fans!$L$2,Fans!$L$2-Fans!I67,(1/3)*Fans!$L$2))</f>
        <v>21.994002499999997</v>
      </c>
      <c r="J78" s="345">
        <f>IF(Age="existing",IF(Fans!$L$2-Fans!J67&lt;=0,0,Fans!$L$2-Fans!J67),IF(J67&lt;(2/3)*Fans!$L$2,Fans!$L$2-Fans!J67,(1/3)*Fans!$L$2))</f>
        <v>21.994002499999997</v>
      </c>
      <c r="K78" s="345">
        <f>IF(Age="existing",IF(Fans!$L$2-Fans!K67&lt;=0,0,Fans!$L$2-Fans!K67),IF(K67&lt;(2/3)*Fans!$L$2,Fans!$L$2-Fans!K67,(1/3)*Fans!$L$2))</f>
        <v>21.994002499999997</v>
      </c>
      <c r="L78" s="345">
        <f>IF(Age="existing",IF(Fans!$L$2-Fans!L67&lt;=0,0,Fans!$L$2-Fans!L67),IF(L67&lt;(2/3)*Fans!$L$2,Fans!$L$2-Fans!L67,(1/3)*Fans!$L$2))</f>
        <v>21.994002499999997</v>
      </c>
      <c r="M78" s="345">
        <f>IF(Age="existing",IF(Fans!$L$2-Fans!M67&lt;=0,0,Fans!$L$2-Fans!M67),IF(M67&lt;(2/3)*Fans!$L$2,Fans!$L$2-Fans!M67,(1/3)*Fans!$L$2))</f>
        <v>21.994002499999997</v>
      </c>
      <c r="N78" s="345">
        <f>IF(Age="existing",IF(Fans!$L$2-Fans!N67&lt;=0,0,Fans!$L$2-Fans!N67),IF(N67&lt;(2/3)*Fans!$L$2,Fans!$L$2-Fans!N67,(1/3)*Fans!$L$2))</f>
        <v>21.994002499999997</v>
      </c>
      <c r="O78" s="345">
        <f>IF(Age="existing",IF(Fans!$L$2-Fans!O67&lt;=0,0,Fans!$L$2-Fans!O67),IF(O67&lt;(2/3)*Fans!$L$2,Fans!$L$2-Fans!O67,(1/3)*Fans!$L$2))</f>
        <v>21.994002499999997</v>
      </c>
      <c r="P78" s="345">
        <f>IF(Age="existing",IF(Fans!$L$2-Fans!P67&lt;=0,0,Fans!$L$2-Fans!P67),IF(P67&lt;(2/3)*Fans!$L$2,Fans!$L$2-Fans!P67,(1/3)*Fans!$L$2))</f>
        <v>21.994002499999997</v>
      </c>
      <c r="Q78" s="345">
        <f>IF(Age="existing",IF(Fans!$L$2-Fans!Q67&lt;=0,0,Fans!$L$2-Fans!Q67),IF(Q67&lt;(2/3)*Fans!$L$2,Fans!$L$2-Fans!Q67,(1/3)*Fans!$L$2))</f>
        <v>21.994002499999997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</v>
      </c>
      <c r="C79" s="345">
        <f>IF(Age="existing",IF(Fans!$L$2-Fans!C68&lt;=0,0,Fans!$L$2-Fans!C68),IF(C68&lt;(2/3)*Fans!$L$2,Fans!$L$2-Fans!C68,(1/3)*Fans!$L$2))</f>
        <v>35.636193080541176</v>
      </c>
      <c r="D79" s="345">
        <f>IF(Age="existing",IF(Fans!$L$2-Fans!D68&lt;=0,0,Fans!$L$2-Fans!D68),IF(D68&lt;(2/3)*Fans!$L$2,Fans!$L$2-Fans!D68,(1/3)*Fans!$L$2))</f>
        <v>34.896051265432426</v>
      </c>
      <c r="E79" s="345">
        <f>IF(Age="existing",IF(Fans!$L$2-Fans!E68&lt;=0,0,Fans!$L$2-Fans!E68),IF(E68&lt;(2/3)*Fans!$L$2,Fans!$L$2-Fans!E68,(1/3)*Fans!$L$2))</f>
        <v>34.155909450323669</v>
      </c>
      <c r="F79" s="345">
        <f>IF(Age="existing",IF(Fans!$L$2-Fans!F68&lt;=0,0,Fans!$L$2-Fans!F68),IF(F68&lt;(2/3)*Fans!$L$2,Fans!$L$2-Fans!F68,(1/3)*Fans!$L$2))</f>
        <v>31.935484004997413</v>
      </c>
      <c r="G79" s="345">
        <f>IF(Age="existing",IF(Fans!$L$2-Fans!G68&lt;=0,0,Fans!$L$2-Fans!G68),IF(G68&lt;(2/3)*Fans!$L$2,Fans!$L$2-Fans!G68,(1/3)*Fans!$L$2))</f>
        <v>30.455200374779913</v>
      </c>
      <c r="H79" s="345">
        <f>IF(Age="existing",IF(Fans!$L$2-Fans!H68&lt;=0,0,Fans!$L$2-Fans!H68),IF(H68&lt;(2/3)*Fans!$L$2,Fans!$L$2-Fans!H68,(1/3)*Fans!$L$2))</f>
        <v>21.994002499999997</v>
      </c>
      <c r="I79" s="345">
        <f>IF(Age="existing",IF(Fans!$L$2-Fans!I68&lt;=0,0,Fans!$L$2-Fans!I68),IF(I68&lt;(2/3)*Fans!$L$2,Fans!$L$2-Fans!I68,(1/3)*Fans!$L$2))</f>
        <v>28.974916744562414</v>
      </c>
      <c r="J79" s="345">
        <f>IF(Age="existing",IF(Fans!$L$2-Fans!J68&lt;=0,0,Fans!$L$2-Fans!J68),IF(J68&lt;(2/3)*Fans!$L$2,Fans!$L$2-Fans!J68,(1/3)*Fans!$L$2))</f>
        <v>26.014349484127401</v>
      </c>
      <c r="K79" s="345">
        <f>IF(Age="existing",IF(Fans!$L$2-Fans!K68&lt;=0,0,Fans!$L$2-Fans!K68),IF(K68&lt;(2/3)*Fans!$L$2,Fans!$L$2-Fans!K68,(1/3)*Fans!$L$2))</f>
        <v>25.274207669018651</v>
      </c>
      <c r="L79" s="345">
        <f>IF(Age="existing",IF(Fans!$L$2-Fans!L68&lt;=0,0,Fans!$L$2-Fans!L68),IF(L68&lt;(2/3)*Fans!$L$2,Fans!$L$2-Fans!L68,(1/3)*Fans!$L$2))</f>
        <v>21.994002499999997</v>
      </c>
      <c r="M79" s="345">
        <f>IF(Age="existing",IF(Fans!$L$2-Fans!M68&lt;=0,0,Fans!$L$2-Fans!M68),IF(M68&lt;(2/3)*Fans!$L$2,Fans!$L$2-Fans!M68,(1/3)*Fans!$L$2))</f>
        <v>24.534065853909894</v>
      </c>
      <c r="N79" s="345">
        <f>IF(Age="existing",IF(Fans!$L$2-Fans!N68&lt;=0,0,Fans!$L$2-Fans!N68),IF(N68&lt;(2/3)*Fans!$L$2,Fans!$L$2-Fans!N68,(1/3)*Fans!$L$2))</f>
        <v>21.994002499999997</v>
      </c>
      <c r="O79" s="345">
        <f>IF(Age="existing",IF(Fans!$L$2-Fans!O68&lt;=0,0,Fans!$L$2-Fans!O68),IF(O68&lt;(2/3)*Fans!$L$2,Fans!$L$2-Fans!O68,(1/3)*Fans!$L$2))</f>
        <v>21.994002499999997</v>
      </c>
      <c r="P79" s="345">
        <f>IF(Age="existing",IF(Fans!$L$2-Fans!P68&lt;=0,0,Fans!$L$2-Fans!P68),IF(P68&lt;(2/3)*Fans!$L$2,Fans!$L$2-Fans!P68,(1/3)*Fans!$L$2))</f>
        <v>21.994002499999997</v>
      </c>
      <c r="Q79" s="345">
        <f>IF(Age="existing",IF(Fans!$L$2-Fans!Q68&lt;=0,0,Fans!$L$2-Fans!Q68),IF(Q68&lt;(2/3)*Fans!$L$2,Fans!$L$2-Fans!Q68,(1/3)*Fans!$L$2))</f>
        <v>21.994002499999997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0.25386441149114758</v>
      </c>
      <c r="C80" s="345">
        <f>IF(Age="existing",IF(Fans!$L$2-Fans!C69&lt;=0,0,Fans!$L$2-Fans!C69),IF(C69&lt;(2/3)*Fans!$L$2,Fans!$L$2-Fans!C69,(1/3)*Fans!$L$2))</f>
        <v>44.306425771815114</v>
      </c>
      <c r="D80" s="345">
        <f>IF(Age="existing",IF(Fans!$L$2-Fans!D69&lt;=0,0,Fans!$L$2-Fans!D69),IF(D69&lt;(2/3)*Fans!$L$2,Fans!$L$2-Fans!D69,(1/3)*Fans!$L$2))</f>
        <v>43.777753046737438</v>
      </c>
      <c r="E80" s="345">
        <f>IF(Age="existing",IF(Fans!$L$2-Fans!E69&lt;=0,0,Fans!$L$2-Fans!E69),IF(E69&lt;(2/3)*Fans!$L$2,Fans!$L$2-Fans!E69,(1/3)*Fans!$L$2))</f>
        <v>43.249080321659761</v>
      </c>
      <c r="F80" s="345">
        <f>IF(Age="existing",IF(Fans!$L$2-Fans!F69&lt;=0,0,Fans!$L$2-Fans!F69),IF(F69&lt;(2/3)*Fans!$L$2,Fans!$L$2-Fans!F69,(1/3)*Fans!$L$2))</f>
        <v>41.663062146426718</v>
      </c>
      <c r="G80" s="345">
        <f>IF(Age="existing",IF(Fans!$L$2-Fans!G69&lt;=0,0,Fans!$L$2-Fans!G69),IF(G69&lt;(2/3)*Fans!$L$2,Fans!$L$2-Fans!G69,(1/3)*Fans!$L$2))</f>
        <v>40.605716696271358</v>
      </c>
      <c r="H80" s="345">
        <f>IF(Age="existing",IF(Fans!$L$2-Fans!H69&lt;=0,0,Fans!$L$2-Fans!H69),IF(H69&lt;(2/3)*Fans!$L$2,Fans!$L$2-Fans!H69,(1/3)*Fans!$L$2))</f>
        <v>34.261643995339199</v>
      </c>
      <c r="I80" s="345">
        <f>IF(Age="existing",IF(Fans!$L$2-Fans!I69&lt;=0,0,Fans!$L$2-Fans!I69),IF(I69&lt;(2/3)*Fans!$L$2,Fans!$L$2-Fans!I69,(1/3)*Fans!$L$2))</f>
        <v>39.548371246115998</v>
      </c>
      <c r="J80" s="345">
        <f>IF(Age="existing",IF(Fans!$L$2-Fans!J69&lt;=0,0,Fans!$L$2-Fans!J69),IF(J69&lt;(2/3)*Fans!$L$2,Fans!$L$2-Fans!J69,(1/3)*Fans!$L$2))</f>
        <v>37.433680345805271</v>
      </c>
      <c r="K80" s="345">
        <f>IF(Age="existing",IF(Fans!$L$2-Fans!K69&lt;=0,0,Fans!$L$2-Fans!K69),IF(K69&lt;(2/3)*Fans!$L$2,Fans!$L$2-Fans!K69,(1/3)*Fans!$L$2))</f>
        <v>36.905007620727595</v>
      </c>
      <c r="L80" s="345">
        <f>IF(Age="existing",IF(Fans!$L$2-Fans!L69&lt;=0,0,Fans!$L$2-Fans!L69),IF(L69&lt;(2/3)*Fans!$L$2,Fans!$L$2-Fans!L69,(1/3)*Fans!$L$2))</f>
        <v>34.261643995339199</v>
      </c>
      <c r="M80" s="345">
        <f>IF(Age="existing",IF(Fans!$L$2-Fans!M69&lt;=0,0,Fans!$L$2-Fans!M69),IF(M69&lt;(2/3)*Fans!$L$2,Fans!$L$2-Fans!M69,(1/3)*Fans!$L$2))</f>
        <v>36.376334895649919</v>
      </c>
      <c r="N80" s="345">
        <f>IF(Age="existing",IF(Fans!$L$2-Fans!N69&lt;=0,0,Fans!$L$2-Fans!N69),IF(N69&lt;(2/3)*Fans!$L$2,Fans!$L$2-Fans!N69,(1/3)*Fans!$L$2))</f>
        <v>33.732971270261515</v>
      </c>
      <c r="O80" s="345">
        <f>IF(Age="existing",IF(Fans!$L$2-Fans!O69&lt;=0,0,Fans!$L$2-Fans!O69),IF(O69&lt;(2/3)*Fans!$L$2,Fans!$L$2-Fans!O69,(1/3)*Fans!$L$2))</f>
        <v>32.675625820106156</v>
      </c>
      <c r="P80" s="345">
        <f>IF(Age="existing",IF(Fans!$L$2-Fans!P69&lt;=0,0,Fans!$L$2-Fans!P69),IF(P69&lt;(2/3)*Fans!$L$2,Fans!$L$2-Fans!P69,(1/3)*Fans!$L$2))</f>
        <v>28.9749167445624</v>
      </c>
      <c r="Q80" s="345">
        <f>IF(Age="existing",IF(Fans!$L$2-Fans!Q69&lt;=0,0,Fans!$L$2-Fans!Q69),IF(Q69&lt;(2/3)*Fans!$L$2,Fans!$L$2-Fans!Q69,(1/3)*Fans!$L$2))</f>
        <v>28.9749167445624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52.976658463089066</v>
      </c>
      <c r="D81" s="345">
        <f>IF(Age="existing",IF(Fans!$L$2-Fans!D70&lt;=0,0,Fans!$L$2-Fans!D70),IF(D70&lt;(2/3)*Fans!$L$2,Fans!$L$2-Fans!D70,(1/3)*Fans!$L$2))</f>
        <v>52.659454828042456</v>
      </c>
      <c r="E81" s="345">
        <f>IF(Age="existing",IF(Fans!$L$2-Fans!E70&lt;=0,0,Fans!$L$2-Fans!E70),IF(E70&lt;(2/3)*Fans!$L$2,Fans!$L$2-Fans!E70,(1/3)*Fans!$L$2))</f>
        <v>52.342251192995853</v>
      </c>
      <c r="F81" s="345">
        <f>IF(Age="existing",IF(Fans!$L$2-Fans!F70&lt;=0,0,Fans!$L$2-Fans!F70),IF(F70&lt;(2/3)*Fans!$L$2,Fans!$L$2-Fans!F70,(1/3)*Fans!$L$2))</f>
        <v>51.390640287856023</v>
      </c>
      <c r="G81" s="345">
        <f>IF(Age="existing",IF(Fans!$L$2-Fans!G70&lt;=0,0,Fans!$L$2-Fans!G70),IF(G70&lt;(2/3)*Fans!$L$2,Fans!$L$2-Fans!G70,(1/3)*Fans!$L$2))</f>
        <v>50.75623301776281</v>
      </c>
      <c r="H81" s="345">
        <f>IF(Age="existing",IF(Fans!$L$2-Fans!H70&lt;=0,0,Fans!$L$2-Fans!H70),IF(H70&lt;(2/3)*Fans!$L$2,Fans!$L$2-Fans!H70,(1/3)*Fans!$L$2))</f>
        <v>46.949789397203517</v>
      </c>
      <c r="I81" s="345">
        <f>IF(Age="existing",IF(Fans!$L$2-Fans!I70&lt;=0,0,Fans!$L$2-Fans!I70),IF(I70&lt;(2/3)*Fans!$L$2,Fans!$L$2-Fans!I70,(1/3)*Fans!$L$2))</f>
        <v>50.12182574766959</v>
      </c>
      <c r="J81" s="345">
        <f>IF(Age="existing",IF(Fans!$L$2-Fans!J70&lt;=0,0,Fans!$L$2-Fans!J70),IF(J70&lt;(2/3)*Fans!$L$2,Fans!$L$2-Fans!J70,(1/3)*Fans!$L$2))</f>
        <v>48.853011207483164</v>
      </c>
      <c r="K81" s="345">
        <f>IF(Age="existing",IF(Fans!$L$2-Fans!K70&lt;=0,0,Fans!$L$2-Fans!K70),IF(K70&lt;(2/3)*Fans!$L$2,Fans!$L$2-Fans!K70,(1/3)*Fans!$L$2))</f>
        <v>48.535807572436553</v>
      </c>
      <c r="L81" s="345">
        <f>IF(Age="existing",IF(Fans!$L$2-Fans!L70&lt;=0,0,Fans!$L$2-Fans!L70),IF(L70&lt;(2/3)*Fans!$L$2,Fans!$L$2-Fans!L70,(1/3)*Fans!$L$2))</f>
        <v>46.949789397203517</v>
      </c>
      <c r="M81" s="345">
        <f>IF(Age="existing",IF(Fans!$L$2-Fans!M70&lt;=0,0,Fans!$L$2-Fans!M70),IF(M70&lt;(2/3)*Fans!$L$2,Fans!$L$2-Fans!M70,(1/3)*Fans!$L$2))</f>
        <v>48.218603937389943</v>
      </c>
      <c r="N81" s="345">
        <f>IF(Age="existing",IF(Fans!$L$2-Fans!N70&lt;=0,0,Fans!$L$2-Fans!N70),IF(N70&lt;(2/3)*Fans!$L$2,Fans!$L$2-Fans!N70,(1/3)*Fans!$L$2))</f>
        <v>46.632585762156907</v>
      </c>
      <c r="O81" s="345">
        <f>IF(Age="existing",IF(Fans!$L$2-Fans!O70&lt;=0,0,Fans!$L$2-Fans!O70),IF(O70&lt;(2/3)*Fans!$L$2,Fans!$L$2-Fans!O70,(1/3)*Fans!$L$2))</f>
        <v>45.998178492063687</v>
      </c>
      <c r="P81" s="345">
        <f>IF(Age="existing",IF(Fans!$L$2-Fans!P70&lt;=0,0,Fans!$L$2-Fans!P70),IF(P70&lt;(2/3)*Fans!$L$2,Fans!$L$2-Fans!P70,(1/3)*Fans!$L$2))</f>
        <v>43.777753046737431</v>
      </c>
      <c r="Q81" s="345">
        <f>IF(Age="existing",IF(Fans!$L$2-Fans!Q70&lt;=0,0,Fans!$L$2-Fans!Q70),IF(Q70&lt;(2/3)*Fans!$L$2,Fans!$L$2-Fans!Q70,(1/3)*Fans!$L$2))</f>
        <v>43.777753046737431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59.47933298154453</v>
      </c>
      <c r="D82" s="345">
        <f>IF(Age="existing",IF(Fans!$L$2-Fans!D71&lt;=0,0,Fans!$L$2-Fans!D71),IF(D71&lt;(2/3)*Fans!$L$2,Fans!$L$2-Fans!D71,(1/3)*Fans!$L$2))</f>
        <v>59.320731164021225</v>
      </c>
      <c r="E82" s="345">
        <f>IF(Age="existing",IF(Fans!$L$2-Fans!E71&lt;=0,0,Fans!$L$2-Fans!E71),IF(E71&lt;(2/3)*Fans!$L$2,Fans!$L$2-Fans!E71,(1/3)*Fans!$L$2))</f>
        <v>59.16212934649792</v>
      </c>
      <c r="F82" s="345">
        <f>IF(Age="existing",IF(Fans!$L$2-Fans!F71&lt;=0,0,Fans!$L$2-Fans!F71),IF(F71&lt;(2/3)*Fans!$L$2,Fans!$L$2-Fans!F71,(1/3)*Fans!$L$2))</f>
        <v>58.686323893928012</v>
      </c>
      <c r="G82" s="345">
        <f>IF(Age="existing",IF(Fans!$L$2-Fans!G71&lt;=0,0,Fans!$L$2-Fans!G71),IF(G71&lt;(2/3)*Fans!$L$2,Fans!$L$2-Fans!G71,(1/3)*Fans!$L$2))</f>
        <v>58.369120258881402</v>
      </c>
      <c r="H82" s="345">
        <f>IF(Age="existing",IF(Fans!$L$2-Fans!H71&lt;=0,0,Fans!$L$2-Fans!H71),IF(H71&lt;(2/3)*Fans!$L$2,Fans!$L$2-Fans!H71,(1/3)*Fans!$L$2))</f>
        <v>56.465898448601756</v>
      </c>
      <c r="I82" s="345">
        <f>IF(Age="existing",IF(Fans!$L$2-Fans!I71&lt;=0,0,Fans!$L$2-Fans!I71),IF(I71&lt;(2/3)*Fans!$L$2,Fans!$L$2-Fans!I71,(1/3)*Fans!$L$2))</f>
        <v>58.051916623834792</v>
      </c>
      <c r="J82" s="345">
        <f>IF(Age="existing",IF(Fans!$L$2-Fans!J71&lt;=0,0,Fans!$L$2-Fans!J71),IF(J71&lt;(2/3)*Fans!$L$2,Fans!$L$2-Fans!J71,(1/3)*Fans!$L$2))</f>
        <v>57.417509353741579</v>
      </c>
      <c r="K82" s="345">
        <f>IF(Age="existing",IF(Fans!$L$2-Fans!K71&lt;=0,0,Fans!$L$2-Fans!K71),IF(K71&lt;(2/3)*Fans!$L$2,Fans!$L$2-Fans!K71,(1/3)*Fans!$L$2))</f>
        <v>57.258907536218274</v>
      </c>
      <c r="L82" s="345">
        <f>IF(Age="existing",IF(Fans!$L$2-Fans!L71&lt;=0,0,Fans!$L$2-Fans!L71),IF(L71&lt;(2/3)*Fans!$L$2,Fans!$L$2-Fans!L71,(1/3)*Fans!$L$2))</f>
        <v>56.465898448601756</v>
      </c>
      <c r="M82" s="345">
        <f>IF(Age="existing",IF(Fans!$L$2-Fans!M71&lt;=0,0,Fans!$L$2-Fans!M71),IF(M71&lt;(2/3)*Fans!$L$2,Fans!$L$2-Fans!M71,(1/3)*Fans!$L$2))</f>
        <v>57.100305718694969</v>
      </c>
      <c r="N82" s="345">
        <f>IF(Age="existing",IF(Fans!$L$2-Fans!N71&lt;=0,0,Fans!$L$2-Fans!N71),IF(N71&lt;(2/3)*Fans!$L$2,Fans!$L$2-Fans!N71,(1/3)*Fans!$L$2))</f>
        <v>56.307296631078451</v>
      </c>
      <c r="O82" s="345">
        <f>IF(Age="existing",IF(Fans!$L$2-Fans!O71&lt;=0,0,Fans!$L$2-Fans!O71),IF(O71&lt;(2/3)*Fans!$L$2,Fans!$L$2-Fans!O71,(1/3)*Fans!$L$2))</f>
        <v>55.990092996031841</v>
      </c>
      <c r="P82" s="345">
        <f>IF(Age="existing",IF(Fans!$L$2-Fans!P71&lt;=0,0,Fans!$L$2-Fans!P71),IF(P71&lt;(2/3)*Fans!$L$2,Fans!$L$2-Fans!P71,(1/3)*Fans!$L$2))</f>
        <v>54.879880273368713</v>
      </c>
      <c r="Q82" s="345">
        <f>IF(Age="existing",IF(Fans!$L$2-Fans!Q71&lt;=0,0,Fans!$L$2-Fans!Q71),IF(Q71&lt;(2/3)*Fans!$L$2,Fans!$L$2-Fans!Q71,(1/3)*Fans!$L$2))</f>
        <v>54.879880273368713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63.380937692617806</v>
      </c>
      <c r="D83" s="345">
        <f>IF(Age="existing",IF(Fans!$L$2-Fans!D72&lt;=0,0,Fans!$L$2-Fans!D72),IF(D72&lt;(2/3)*Fans!$L$2,Fans!$L$2-Fans!D72,(1/3)*Fans!$L$2))</f>
        <v>63.317496965608491</v>
      </c>
      <c r="E83" s="345">
        <f>IF(Age="existing",IF(Fans!$L$2-Fans!E72&lt;=0,0,Fans!$L$2-Fans!E72),IF(E72&lt;(2/3)*Fans!$L$2,Fans!$L$2-Fans!E72,(1/3)*Fans!$L$2))</f>
        <v>63.254056238599169</v>
      </c>
      <c r="F83" s="345">
        <f>IF(Age="existing",IF(Fans!$L$2-Fans!F72&lt;=0,0,Fans!$L$2-Fans!F72),IF(F72&lt;(2/3)*Fans!$L$2,Fans!$L$2-Fans!F72,(1/3)*Fans!$L$2))</f>
        <v>63.063734057571203</v>
      </c>
      <c r="G83" s="345">
        <f>IF(Age="existing",IF(Fans!$L$2-Fans!G72&lt;=0,0,Fans!$L$2-Fans!G72),IF(G72&lt;(2/3)*Fans!$L$2,Fans!$L$2-Fans!G72,(1/3)*Fans!$L$2))</f>
        <v>62.936852603552559</v>
      </c>
      <c r="H83" s="345">
        <f>IF(Age="existing",IF(Fans!$L$2-Fans!H72&lt;=0,0,Fans!$L$2-Fans!H72),IF(H72&lt;(2/3)*Fans!$L$2,Fans!$L$2-Fans!H72,(1/3)*Fans!$L$2))</f>
        <v>62.175563879440702</v>
      </c>
      <c r="I83" s="345">
        <f>IF(Age="existing",IF(Fans!$L$2-Fans!I72&lt;=0,0,Fans!$L$2-Fans!I72),IF(I72&lt;(2/3)*Fans!$L$2,Fans!$L$2-Fans!I72,(1/3)*Fans!$L$2))</f>
        <v>62.809971149533915</v>
      </c>
      <c r="J83" s="345">
        <f>IF(Age="existing",IF(Fans!$L$2-Fans!J72&lt;=0,0,Fans!$L$2-Fans!J72),IF(J72&lt;(2/3)*Fans!$L$2,Fans!$L$2-Fans!J72,(1/3)*Fans!$L$2))</f>
        <v>62.556208241496627</v>
      </c>
      <c r="K83" s="345">
        <f>IF(Age="existing",IF(Fans!$L$2-Fans!K72&lt;=0,0,Fans!$L$2-Fans!K72),IF(K72&lt;(2/3)*Fans!$L$2,Fans!$L$2-Fans!K72,(1/3)*Fans!$L$2))</f>
        <v>62.492767514487305</v>
      </c>
      <c r="L83" s="345">
        <f>IF(Age="existing",IF(Fans!$L$2-Fans!L72&lt;=0,0,Fans!$L$2-Fans!L72),IF(L72&lt;(2/3)*Fans!$L$2,Fans!$L$2-Fans!L72,(1/3)*Fans!$L$2))</f>
        <v>62.175563879440702</v>
      </c>
      <c r="M83" s="345">
        <f>IF(Age="existing",IF(Fans!$L$2-Fans!M72&lt;=0,0,Fans!$L$2-Fans!M72),IF(M72&lt;(2/3)*Fans!$L$2,Fans!$L$2-Fans!M72,(1/3)*Fans!$L$2))</f>
        <v>62.429326787477983</v>
      </c>
      <c r="N83" s="345">
        <f>IF(Age="existing",IF(Fans!$L$2-Fans!N72&lt;=0,0,Fans!$L$2-Fans!N72),IF(N72&lt;(2/3)*Fans!$L$2,Fans!$L$2-Fans!N72,(1/3)*Fans!$L$2))</f>
        <v>62.11212315243138</v>
      </c>
      <c r="O83" s="345">
        <f>IF(Age="existing",IF(Fans!$L$2-Fans!O72&lt;=0,0,Fans!$L$2-Fans!O72),IF(O72&lt;(2/3)*Fans!$L$2,Fans!$L$2-Fans!O72,(1/3)*Fans!$L$2))</f>
        <v>61.985241698412736</v>
      </c>
      <c r="P83" s="345">
        <f>IF(Age="existing",IF(Fans!$L$2-Fans!P72&lt;=0,0,Fans!$L$2-Fans!P72),IF(P72&lt;(2/3)*Fans!$L$2,Fans!$L$2-Fans!P72,(1/3)*Fans!$L$2))</f>
        <v>61.541156609347482</v>
      </c>
      <c r="Q83" s="345">
        <f>IF(Age="existing",IF(Fans!$L$2-Fans!Q72&lt;=0,0,Fans!$L$2-Fans!Q72),IF(Q72&lt;(2/3)*Fans!$L$2,Fans!$L$2-Fans!Q72,(1/3)*Fans!$L$2))</f>
        <v>61.541156609347482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65.982007499999995</v>
      </c>
      <c r="D84" s="346">
        <f t="shared" ref="D84:Q84" si="15">$L$2</f>
        <v>65.982007499999995</v>
      </c>
      <c r="E84" s="346">
        <f t="shared" si="15"/>
        <v>65.982007499999995</v>
      </c>
      <c r="F84" s="346">
        <f t="shared" si="15"/>
        <v>65.982007499999995</v>
      </c>
      <c r="G84" s="346">
        <f t="shared" si="15"/>
        <v>65.982007499999995</v>
      </c>
      <c r="H84" s="346">
        <f t="shared" si="15"/>
        <v>65.982007499999995</v>
      </c>
      <c r="I84" s="346">
        <f t="shared" si="15"/>
        <v>65.982007499999995</v>
      </c>
      <c r="J84" s="346">
        <f t="shared" si="15"/>
        <v>65.982007499999995</v>
      </c>
      <c r="K84" s="346">
        <f t="shared" si="15"/>
        <v>65.982007499999995</v>
      </c>
      <c r="L84" s="346">
        <f t="shared" si="15"/>
        <v>65.982007499999995</v>
      </c>
      <c r="M84" s="346">
        <f t="shared" si="15"/>
        <v>65.982007499999995</v>
      </c>
      <c r="N84" s="346">
        <f t="shared" si="15"/>
        <v>65.982007499999995</v>
      </c>
      <c r="O84" s="346">
        <f t="shared" si="15"/>
        <v>65.982007499999995</v>
      </c>
      <c r="P84" s="346">
        <f t="shared" si="15"/>
        <v>65.982007499999995</v>
      </c>
      <c r="Q84" s="346">
        <f t="shared" si="15"/>
        <v>65.982007499999995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0.50772882298229516</v>
      </c>
      <c r="C89" s="219">
        <f>1.1*C78</f>
        <v>24.893928447993268</v>
      </c>
      <c r="D89" s="219">
        <f t="shared" ref="D89:Q89" si="16">1.1*D78</f>
        <v>24.193402749999997</v>
      </c>
      <c r="E89" s="219">
        <f t="shared" si="16"/>
        <v>24.193402749999997</v>
      </c>
      <c r="F89" s="219">
        <f t="shared" si="16"/>
        <v>24.193402749999997</v>
      </c>
      <c r="G89" s="219">
        <f t="shared" si="16"/>
        <v>24.193402749999997</v>
      </c>
      <c r="H89" s="219">
        <f t="shared" si="16"/>
        <v>24.193402749999997</v>
      </c>
      <c r="I89" s="219">
        <f t="shared" si="16"/>
        <v>24.193402749999997</v>
      </c>
      <c r="J89" s="219">
        <f t="shared" si="16"/>
        <v>24.193402749999997</v>
      </c>
      <c r="K89" s="219">
        <f t="shared" si="16"/>
        <v>24.193402749999997</v>
      </c>
      <c r="L89" s="219">
        <f t="shared" si="16"/>
        <v>24.193402749999997</v>
      </c>
      <c r="M89" s="219">
        <f t="shared" si="16"/>
        <v>24.193402749999997</v>
      </c>
      <c r="N89" s="219">
        <f t="shared" si="16"/>
        <v>24.193402749999997</v>
      </c>
      <c r="O89" s="219">
        <f t="shared" si="16"/>
        <v>24.193402749999997</v>
      </c>
      <c r="P89" s="219">
        <f t="shared" si="16"/>
        <v>24.193402749999997</v>
      </c>
      <c r="Q89" s="219">
        <f t="shared" si="16"/>
        <v>24.193402749999997</v>
      </c>
    </row>
    <row r="90" spans="1:19" ht="15" customHeight="1">
      <c r="A90" s="71">
        <v>7</v>
      </c>
      <c r="B90" s="219">
        <f>Leakage!AF12</f>
        <v>0.3554101760876065</v>
      </c>
      <c r="C90" s="219">
        <f t="shared" ref="C90:Q90" si="17">1.1*C79</f>
        <v>39.199812388595298</v>
      </c>
      <c r="D90" s="219">
        <f t="shared" si="17"/>
        <v>38.385656391975672</v>
      </c>
      <c r="E90" s="219">
        <f t="shared" si="17"/>
        <v>37.57150039535604</v>
      </c>
      <c r="F90" s="219">
        <f t="shared" si="17"/>
        <v>35.129032405497156</v>
      </c>
      <c r="G90" s="219">
        <f t="shared" si="17"/>
        <v>33.500720412257905</v>
      </c>
      <c r="H90" s="219">
        <f t="shared" si="17"/>
        <v>24.193402749999997</v>
      </c>
      <c r="I90" s="219">
        <f t="shared" si="17"/>
        <v>31.872408419018658</v>
      </c>
      <c r="J90" s="219">
        <f t="shared" si="17"/>
        <v>28.615784432540142</v>
      </c>
      <c r="K90" s="219">
        <f t="shared" si="17"/>
        <v>27.801628435920517</v>
      </c>
      <c r="L90" s="219">
        <f t="shared" si="17"/>
        <v>24.193402749999997</v>
      </c>
      <c r="M90" s="219">
        <f t="shared" si="17"/>
        <v>26.987472439300884</v>
      </c>
      <c r="N90" s="219">
        <f t="shared" si="17"/>
        <v>24.193402749999997</v>
      </c>
      <c r="O90" s="219">
        <f t="shared" si="17"/>
        <v>24.193402749999997</v>
      </c>
      <c r="P90" s="219">
        <f t="shared" si="17"/>
        <v>24.193402749999997</v>
      </c>
      <c r="Q90" s="219">
        <f t="shared" si="17"/>
        <v>24.193402749999997</v>
      </c>
    </row>
    <row r="91" spans="1:19" ht="15" customHeight="1">
      <c r="A91" s="71">
        <v>5</v>
      </c>
      <c r="B91" s="219">
        <f>Leakage!AF13</f>
        <v>0.25386441149114758</v>
      </c>
      <c r="C91" s="219">
        <f t="shared" ref="C91:Q91" si="18">1.1*C80</f>
        <v>48.73706834899663</v>
      </c>
      <c r="D91" s="219">
        <f t="shared" si="18"/>
        <v>48.155528351411185</v>
      </c>
      <c r="E91" s="219">
        <f t="shared" si="18"/>
        <v>47.57398835382574</v>
      </c>
      <c r="F91" s="219">
        <f t="shared" si="18"/>
        <v>45.829368361069392</v>
      </c>
      <c r="G91" s="219">
        <f t="shared" si="18"/>
        <v>44.666288365898495</v>
      </c>
      <c r="H91" s="219">
        <f t="shared" si="18"/>
        <v>37.687808394873123</v>
      </c>
      <c r="I91" s="219">
        <f t="shared" si="18"/>
        <v>43.503208370727599</v>
      </c>
      <c r="J91" s="219">
        <f t="shared" si="18"/>
        <v>41.177048380385799</v>
      </c>
      <c r="K91" s="219">
        <f t="shared" si="18"/>
        <v>40.595508382800361</v>
      </c>
      <c r="L91" s="219">
        <f t="shared" si="18"/>
        <v>37.687808394873123</v>
      </c>
      <c r="M91" s="219">
        <f t="shared" si="18"/>
        <v>40.013968385214916</v>
      </c>
      <c r="N91" s="219">
        <f t="shared" si="18"/>
        <v>37.106268397287671</v>
      </c>
      <c r="O91" s="219">
        <f t="shared" si="18"/>
        <v>35.943188402116775</v>
      </c>
      <c r="P91" s="219">
        <f t="shared" si="18"/>
        <v>31.872408419018644</v>
      </c>
      <c r="Q91" s="219">
        <f t="shared" si="18"/>
        <v>31.872408419018644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58.274324309397976</v>
      </c>
      <c r="D92" s="219">
        <f t="shared" si="19"/>
        <v>57.925400310846705</v>
      </c>
      <c r="E92" s="219">
        <f t="shared" si="19"/>
        <v>57.576476312295441</v>
      </c>
      <c r="F92" s="219">
        <f t="shared" si="19"/>
        <v>56.529704316641627</v>
      </c>
      <c r="G92" s="219">
        <f t="shared" si="19"/>
        <v>55.831856319539092</v>
      </c>
      <c r="H92" s="219">
        <f t="shared" si="19"/>
        <v>51.644768336923875</v>
      </c>
      <c r="I92" s="219">
        <f t="shared" si="19"/>
        <v>55.13400832243655</v>
      </c>
      <c r="J92" s="219">
        <f t="shared" si="19"/>
        <v>53.738312328231487</v>
      </c>
      <c r="K92" s="219">
        <f t="shared" si="19"/>
        <v>53.389388329680216</v>
      </c>
      <c r="L92" s="219">
        <f t="shared" si="19"/>
        <v>51.644768336923875</v>
      </c>
      <c r="M92" s="219">
        <f t="shared" si="19"/>
        <v>53.040464331128945</v>
      </c>
      <c r="N92" s="219">
        <f t="shared" si="19"/>
        <v>51.295844338372603</v>
      </c>
      <c r="O92" s="219">
        <f t="shared" si="19"/>
        <v>50.597996341270061</v>
      </c>
      <c r="P92" s="219">
        <f t="shared" si="19"/>
        <v>48.155528351411178</v>
      </c>
      <c r="Q92" s="219">
        <f t="shared" si="19"/>
        <v>48.155528351411178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65.427266279698983</v>
      </c>
      <c r="D93" s="219">
        <f t="shared" si="20"/>
        <v>65.252804280423348</v>
      </c>
      <c r="E93" s="219">
        <f t="shared" si="20"/>
        <v>65.078342281147712</v>
      </c>
      <c r="F93" s="219">
        <f t="shared" si="20"/>
        <v>64.55495628332082</v>
      </c>
      <c r="G93" s="219">
        <f t="shared" si="20"/>
        <v>64.206032284769549</v>
      </c>
      <c r="H93" s="219">
        <f t="shared" si="20"/>
        <v>62.112488293461936</v>
      </c>
      <c r="I93" s="219">
        <f t="shared" si="20"/>
        <v>63.857108286218278</v>
      </c>
      <c r="J93" s="219">
        <f t="shared" si="20"/>
        <v>63.159260289115743</v>
      </c>
      <c r="K93" s="219">
        <f t="shared" si="20"/>
        <v>62.984798289840107</v>
      </c>
      <c r="L93" s="219">
        <f t="shared" si="20"/>
        <v>62.112488293461936</v>
      </c>
      <c r="M93" s="219">
        <f t="shared" si="20"/>
        <v>62.810336290564472</v>
      </c>
      <c r="N93" s="219">
        <f t="shared" si="20"/>
        <v>61.938026294186301</v>
      </c>
      <c r="O93" s="219">
        <f t="shared" si="20"/>
        <v>61.58910229563503</v>
      </c>
      <c r="P93" s="219">
        <f t="shared" si="20"/>
        <v>60.367868300705588</v>
      </c>
      <c r="Q93" s="219">
        <f t="shared" si="20"/>
        <v>60.367868300705588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69.719031461879595</v>
      </c>
      <c r="D94" s="219">
        <f t="shared" si="21"/>
        <v>69.649246662169347</v>
      </c>
      <c r="E94" s="219">
        <f t="shared" si="21"/>
        <v>69.579461862459098</v>
      </c>
      <c r="F94" s="219">
        <f t="shared" si="21"/>
        <v>69.370107463328324</v>
      </c>
      <c r="G94" s="219">
        <f t="shared" si="21"/>
        <v>69.230537863907827</v>
      </c>
      <c r="H94" s="219">
        <f t="shared" si="21"/>
        <v>68.393120267384774</v>
      </c>
      <c r="I94" s="219">
        <f t="shared" si="21"/>
        <v>69.090968264487316</v>
      </c>
      <c r="J94" s="219">
        <f t="shared" si="21"/>
        <v>68.811829065646293</v>
      </c>
      <c r="K94" s="219">
        <f t="shared" si="21"/>
        <v>68.742044265936045</v>
      </c>
      <c r="L94" s="219">
        <f t="shared" si="21"/>
        <v>68.393120267384774</v>
      </c>
      <c r="M94" s="219">
        <f t="shared" si="21"/>
        <v>68.672259466225782</v>
      </c>
      <c r="N94" s="219">
        <f t="shared" si="21"/>
        <v>68.323335467674525</v>
      </c>
      <c r="O94" s="219">
        <f t="shared" si="21"/>
        <v>68.183765868254014</v>
      </c>
      <c r="P94" s="219">
        <f t="shared" si="21"/>
        <v>67.695272270282231</v>
      </c>
      <c r="Q94" s="219">
        <f t="shared" si="21"/>
        <v>67.695272270282231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0.50772882298229516</v>
      </c>
      <c r="C99" s="347">
        <f>C78*0.4361</f>
        <v>9.8693110874271479</v>
      </c>
      <c r="D99" s="347">
        <f t="shared" ref="D99:Q99" si="22">D78*0.4361</f>
        <v>9.591584490249998</v>
      </c>
      <c r="E99" s="347">
        <f t="shared" si="22"/>
        <v>9.591584490249998</v>
      </c>
      <c r="F99" s="347">
        <f t="shared" si="22"/>
        <v>9.591584490249998</v>
      </c>
      <c r="G99" s="347">
        <f t="shared" si="22"/>
        <v>9.591584490249998</v>
      </c>
      <c r="H99" s="347">
        <f t="shared" si="22"/>
        <v>9.591584490249998</v>
      </c>
      <c r="I99" s="347">
        <f t="shared" si="22"/>
        <v>9.591584490249998</v>
      </c>
      <c r="J99" s="347">
        <f t="shared" si="22"/>
        <v>9.591584490249998</v>
      </c>
      <c r="K99" s="347">
        <f t="shared" si="22"/>
        <v>9.591584490249998</v>
      </c>
      <c r="L99" s="347">
        <f t="shared" si="22"/>
        <v>9.591584490249998</v>
      </c>
      <c r="M99" s="347">
        <f t="shared" si="22"/>
        <v>9.591584490249998</v>
      </c>
      <c r="N99" s="347">
        <f t="shared" si="22"/>
        <v>9.591584490249998</v>
      </c>
      <c r="O99" s="347">
        <f t="shared" si="22"/>
        <v>9.591584490249998</v>
      </c>
      <c r="P99" s="347">
        <f t="shared" si="22"/>
        <v>9.591584490249998</v>
      </c>
      <c r="Q99" s="347">
        <f t="shared" si="22"/>
        <v>9.591584490249998</v>
      </c>
    </row>
    <row r="100" spans="1:17" ht="15" customHeight="1">
      <c r="A100" s="345">
        <v>7</v>
      </c>
      <c r="B100" s="347">
        <f>Leakage!AF12</f>
        <v>0.3554101760876065</v>
      </c>
      <c r="C100" s="347">
        <f t="shared" ref="C100:Q100" si="23">C79*0.4361</f>
        <v>15.540943802424007</v>
      </c>
      <c r="D100" s="347">
        <f t="shared" si="23"/>
        <v>15.21816795685508</v>
      </c>
      <c r="E100" s="347">
        <f t="shared" si="23"/>
        <v>14.895392111286151</v>
      </c>
      <c r="F100" s="347">
        <f t="shared" si="23"/>
        <v>13.927064574579372</v>
      </c>
      <c r="G100" s="347">
        <f t="shared" si="23"/>
        <v>13.28151288344152</v>
      </c>
      <c r="H100" s="347">
        <f t="shared" si="23"/>
        <v>9.591584490249998</v>
      </c>
      <c r="I100" s="347">
        <f t="shared" si="23"/>
        <v>12.635961192303668</v>
      </c>
      <c r="J100" s="347">
        <f t="shared" si="23"/>
        <v>11.344857810027959</v>
      </c>
      <c r="K100" s="347">
        <f t="shared" si="23"/>
        <v>11.022081964459034</v>
      </c>
      <c r="L100" s="347">
        <f t="shared" si="23"/>
        <v>9.591584490249998</v>
      </c>
      <c r="M100" s="347">
        <f t="shared" si="23"/>
        <v>10.699306118890105</v>
      </c>
      <c r="N100" s="347">
        <f t="shared" si="23"/>
        <v>9.591584490249998</v>
      </c>
      <c r="O100" s="347">
        <f t="shared" si="23"/>
        <v>9.591584490249998</v>
      </c>
      <c r="P100" s="347">
        <f t="shared" si="23"/>
        <v>9.591584490249998</v>
      </c>
      <c r="Q100" s="347">
        <f t="shared" si="23"/>
        <v>9.591584490249998</v>
      </c>
    </row>
    <row r="101" spans="1:17" ht="15" customHeight="1">
      <c r="A101" s="345">
        <v>5</v>
      </c>
      <c r="B101" s="347">
        <f>Leakage!AF13</f>
        <v>0.25386441149114758</v>
      </c>
      <c r="C101" s="347">
        <f t="shared" ref="C101:Q101" si="24">C80*0.4361</f>
        <v>19.322032279088571</v>
      </c>
      <c r="D101" s="347">
        <f t="shared" si="24"/>
        <v>19.091478103682196</v>
      </c>
      <c r="E101" s="347">
        <f t="shared" si="24"/>
        <v>18.86092392827582</v>
      </c>
      <c r="F101" s="347">
        <f t="shared" si="24"/>
        <v>18.169261402056691</v>
      </c>
      <c r="G101" s="347">
        <f t="shared" si="24"/>
        <v>17.70815305124394</v>
      </c>
      <c r="H101" s="347">
        <f t="shared" si="24"/>
        <v>14.941502946367423</v>
      </c>
      <c r="I101" s="347">
        <f t="shared" si="24"/>
        <v>17.247044700431186</v>
      </c>
      <c r="J101" s="347">
        <f t="shared" si="24"/>
        <v>16.324827998805677</v>
      </c>
      <c r="K101" s="347">
        <f t="shared" si="24"/>
        <v>16.094273823399305</v>
      </c>
      <c r="L101" s="347">
        <f t="shared" si="24"/>
        <v>14.941502946367423</v>
      </c>
      <c r="M101" s="347">
        <f t="shared" si="24"/>
        <v>15.863719647992928</v>
      </c>
      <c r="N101" s="347">
        <f t="shared" si="24"/>
        <v>14.710948770961046</v>
      </c>
      <c r="O101" s="347">
        <f t="shared" si="24"/>
        <v>14.249840420148294</v>
      </c>
      <c r="P101" s="347">
        <f t="shared" si="24"/>
        <v>12.635961192303663</v>
      </c>
      <c r="Q101" s="347">
        <f t="shared" si="24"/>
        <v>12.635961192303663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23.103120755753142</v>
      </c>
      <c r="D102" s="347">
        <f t="shared" si="25"/>
        <v>22.964788250509315</v>
      </c>
      <c r="E102" s="347">
        <f t="shared" si="25"/>
        <v>22.826455745265491</v>
      </c>
      <c r="F102" s="347">
        <f t="shared" si="25"/>
        <v>22.411458229534009</v>
      </c>
      <c r="G102" s="347">
        <f t="shared" si="25"/>
        <v>22.134793219046362</v>
      </c>
      <c r="H102" s="347">
        <f t="shared" si="25"/>
        <v>20.474803156120455</v>
      </c>
      <c r="I102" s="347">
        <f t="shared" si="25"/>
        <v>21.858128208558707</v>
      </c>
      <c r="J102" s="347">
        <f t="shared" si="25"/>
        <v>21.304798187583408</v>
      </c>
      <c r="K102" s="347">
        <f t="shared" si="25"/>
        <v>21.166465682339581</v>
      </c>
      <c r="L102" s="347">
        <f t="shared" si="25"/>
        <v>20.474803156120455</v>
      </c>
      <c r="M102" s="347">
        <f t="shared" si="25"/>
        <v>21.028133177095754</v>
      </c>
      <c r="N102" s="347">
        <f t="shared" si="25"/>
        <v>20.336470650876628</v>
      </c>
      <c r="O102" s="347">
        <f t="shared" si="25"/>
        <v>20.059805640388973</v>
      </c>
      <c r="P102" s="347">
        <f t="shared" si="25"/>
        <v>19.091478103682192</v>
      </c>
      <c r="Q102" s="347">
        <f t="shared" si="25"/>
        <v>19.091478103682192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25.938937113251569</v>
      </c>
      <c r="D103" s="347">
        <f t="shared" si="26"/>
        <v>25.869770860629657</v>
      </c>
      <c r="E103" s="347">
        <f t="shared" si="26"/>
        <v>25.800604608007742</v>
      </c>
      <c r="F103" s="347">
        <f t="shared" si="26"/>
        <v>25.593105850142006</v>
      </c>
      <c r="G103" s="347">
        <f t="shared" si="26"/>
        <v>25.454773344898179</v>
      </c>
      <c r="H103" s="347">
        <f t="shared" si="26"/>
        <v>24.624778313435225</v>
      </c>
      <c r="I103" s="347">
        <f t="shared" si="26"/>
        <v>25.316440839654351</v>
      </c>
      <c r="J103" s="347">
        <f t="shared" si="26"/>
        <v>25.0397758291667</v>
      </c>
      <c r="K103" s="347">
        <f t="shared" si="26"/>
        <v>24.970609576544788</v>
      </c>
      <c r="L103" s="347">
        <f t="shared" si="26"/>
        <v>24.624778313435225</v>
      </c>
      <c r="M103" s="347">
        <f t="shared" si="26"/>
        <v>24.901443323922877</v>
      </c>
      <c r="N103" s="347">
        <f t="shared" si="26"/>
        <v>24.555612060813313</v>
      </c>
      <c r="O103" s="347">
        <f t="shared" si="26"/>
        <v>24.417279555569486</v>
      </c>
      <c r="P103" s="347">
        <f t="shared" si="26"/>
        <v>23.933115787216096</v>
      </c>
      <c r="Q103" s="347">
        <f t="shared" si="26"/>
        <v>23.933115787216096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27.640426927750624</v>
      </c>
      <c r="D104" s="347">
        <f t="shared" si="27"/>
        <v>27.612760426701861</v>
      </c>
      <c r="E104" s="347">
        <f t="shared" si="27"/>
        <v>27.585093925653098</v>
      </c>
      <c r="F104" s="347">
        <f t="shared" si="27"/>
        <v>27.502094422506801</v>
      </c>
      <c r="G104" s="347">
        <f t="shared" si="27"/>
        <v>27.44676142040927</v>
      </c>
      <c r="H104" s="347">
        <f t="shared" si="27"/>
        <v>27.114763407824089</v>
      </c>
      <c r="I104" s="347">
        <f t="shared" si="27"/>
        <v>27.39142841831174</v>
      </c>
      <c r="J104" s="347">
        <f t="shared" si="27"/>
        <v>27.28076241411668</v>
      </c>
      <c r="K104" s="347">
        <f t="shared" si="27"/>
        <v>27.253095913067913</v>
      </c>
      <c r="L104" s="347">
        <f t="shared" si="27"/>
        <v>27.114763407824089</v>
      </c>
      <c r="M104" s="347">
        <f t="shared" si="27"/>
        <v>27.225429412019146</v>
      </c>
      <c r="N104" s="347">
        <f t="shared" si="27"/>
        <v>27.087096906775326</v>
      </c>
      <c r="O104" s="347">
        <f t="shared" si="27"/>
        <v>27.031763904677792</v>
      </c>
      <c r="P104" s="347">
        <f t="shared" si="27"/>
        <v>26.838098397336434</v>
      </c>
      <c r="Q104" s="347">
        <f t="shared" si="27"/>
        <v>26.838098397336434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28.774753470749996</v>
      </c>
      <c r="D105" s="347">
        <f t="shared" si="28"/>
        <v>28.774753470749996</v>
      </c>
      <c r="E105" s="347">
        <f t="shared" si="28"/>
        <v>28.774753470749996</v>
      </c>
      <c r="F105" s="347">
        <f t="shared" si="28"/>
        <v>28.774753470749996</v>
      </c>
      <c r="G105" s="347">
        <f t="shared" si="28"/>
        <v>28.774753470749996</v>
      </c>
      <c r="H105" s="347">
        <f t="shared" si="28"/>
        <v>28.774753470749996</v>
      </c>
      <c r="I105" s="347">
        <f t="shared" si="28"/>
        <v>28.774753470749996</v>
      </c>
      <c r="J105" s="347">
        <f t="shared" si="28"/>
        <v>28.774753470749996</v>
      </c>
      <c r="K105" s="347">
        <f t="shared" si="28"/>
        <v>28.774753470749996</v>
      </c>
      <c r="L105" s="347">
        <f t="shared" si="28"/>
        <v>28.774753470749996</v>
      </c>
      <c r="M105" s="347">
        <f t="shared" si="28"/>
        <v>28.774753470749996</v>
      </c>
      <c r="N105" s="347">
        <f t="shared" si="28"/>
        <v>28.774753470749996</v>
      </c>
      <c r="O105" s="347">
        <f t="shared" si="28"/>
        <v>28.774753470749996</v>
      </c>
      <c r="P105" s="347">
        <f t="shared" si="28"/>
        <v>28.774753470749996</v>
      </c>
      <c r="Q105" s="347">
        <f t="shared" si="28"/>
        <v>28.774753470749996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0.50772882298229516</v>
      </c>
      <c r="C111" s="219">
        <f>C99*1.1</f>
        <v>10.856242196169864</v>
      </c>
      <c r="D111" s="219">
        <f t="shared" ref="D111:Q111" si="29">D99*1.1</f>
        <v>10.550742939274999</v>
      </c>
      <c r="E111" s="219">
        <f t="shared" si="29"/>
        <v>10.550742939274999</v>
      </c>
      <c r="F111" s="219">
        <f t="shared" si="29"/>
        <v>10.550742939274999</v>
      </c>
      <c r="G111" s="219">
        <f t="shared" si="29"/>
        <v>10.550742939274999</v>
      </c>
      <c r="H111" s="219">
        <f t="shared" si="29"/>
        <v>10.550742939274999</v>
      </c>
      <c r="I111" s="219">
        <f t="shared" si="29"/>
        <v>10.550742939274999</v>
      </c>
      <c r="J111" s="219">
        <f t="shared" si="29"/>
        <v>10.550742939274999</v>
      </c>
      <c r="K111" s="219">
        <f t="shared" si="29"/>
        <v>10.550742939274999</v>
      </c>
      <c r="L111" s="219">
        <f t="shared" si="29"/>
        <v>10.550742939274999</v>
      </c>
      <c r="M111" s="219">
        <f t="shared" si="29"/>
        <v>10.550742939274999</v>
      </c>
      <c r="N111" s="219">
        <f t="shared" si="29"/>
        <v>10.550742939274999</v>
      </c>
      <c r="O111" s="219">
        <f t="shared" si="29"/>
        <v>10.550742939274999</v>
      </c>
      <c r="P111" s="219">
        <f t="shared" si="29"/>
        <v>10.550742939274999</v>
      </c>
      <c r="Q111" s="219">
        <f t="shared" si="29"/>
        <v>10.550742939274999</v>
      </c>
    </row>
    <row r="112" spans="1:17" ht="15" customHeight="1">
      <c r="A112" s="71">
        <v>7</v>
      </c>
      <c r="B112" s="219">
        <f>Leakage!AF12</f>
        <v>0.3554101760876065</v>
      </c>
      <c r="C112" s="219">
        <f t="shared" ref="C112:Q112" si="30">C100*1.1</f>
        <v>17.095038182666407</v>
      </c>
      <c r="D112" s="219">
        <f t="shared" si="30"/>
        <v>16.73998475254059</v>
      </c>
      <c r="E112" s="219">
        <f t="shared" si="30"/>
        <v>16.384931322414769</v>
      </c>
      <c r="F112" s="219">
        <f t="shared" si="30"/>
        <v>15.319771032037311</v>
      </c>
      <c r="G112" s="219">
        <f t="shared" si="30"/>
        <v>14.609664171785674</v>
      </c>
      <c r="H112" s="219">
        <f t="shared" si="30"/>
        <v>10.550742939274999</v>
      </c>
      <c r="I112" s="219">
        <f t="shared" si="30"/>
        <v>13.899557311534036</v>
      </c>
      <c r="J112" s="219">
        <f t="shared" si="30"/>
        <v>12.479343591030755</v>
      </c>
      <c r="K112" s="219">
        <f t="shared" si="30"/>
        <v>12.124290160904938</v>
      </c>
      <c r="L112" s="219">
        <f t="shared" si="30"/>
        <v>10.550742939274999</v>
      </c>
      <c r="M112" s="219">
        <f t="shared" si="30"/>
        <v>11.769236730779117</v>
      </c>
      <c r="N112" s="219">
        <f t="shared" si="30"/>
        <v>10.550742939274999</v>
      </c>
      <c r="O112" s="219">
        <f t="shared" si="30"/>
        <v>10.550742939274999</v>
      </c>
      <c r="P112" s="219">
        <f t="shared" si="30"/>
        <v>10.550742939274999</v>
      </c>
      <c r="Q112" s="219">
        <f t="shared" si="30"/>
        <v>10.550742939274999</v>
      </c>
    </row>
    <row r="113" spans="1:17" ht="15" customHeight="1">
      <c r="A113" s="71">
        <v>5</v>
      </c>
      <c r="B113" s="219">
        <f>Leakage!AF13</f>
        <v>0.25386441149114758</v>
      </c>
      <c r="C113" s="219">
        <f t="shared" ref="C113:Q113" si="31">C101*1.1</f>
        <v>21.254235506997428</v>
      </c>
      <c r="D113" s="219">
        <f t="shared" si="31"/>
        <v>21.000625914050417</v>
      </c>
      <c r="E113" s="219">
        <f t="shared" si="31"/>
        <v>20.747016321103406</v>
      </c>
      <c r="F113" s="219">
        <f t="shared" si="31"/>
        <v>19.98618754226236</v>
      </c>
      <c r="G113" s="219">
        <f t="shared" si="31"/>
        <v>19.478968356368334</v>
      </c>
      <c r="H113" s="219">
        <f t="shared" si="31"/>
        <v>16.435653241004168</v>
      </c>
      <c r="I113" s="219">
        <f t="shared" si="31"/>
        <v>18.971749170474308</v>
      </c>
      <c r="J113" s="219">
        <f t="shared" si="31"/>
        <v>17.957310798686247</v>
      </c>
      <c r="K113" s="219">
        <f t="shared" si="31"/>
        <v>17.703701205739236</v>
      </c>
      <c r="L113" s="219">
        <f t="shared" si="31"/>
        <v>16.435653241004168</v>
      </c>
      <c r="M113" s="219">
        <f t="shared" si="31"/>
        <v>17.450091612792221</v>
      </c>
      <c r="N113" s="219">
        <f t="shared" si="31"/>
        <v>16.182043648057153</v>
      </c>
      <c r="O113" s="219">
        <f t="shared" si="31"/>
        <v>15.674824462163125</v>
      </c>
      <c r="P113" s="219">
        <f t="shared" si="31"/>
        <v>13.89955731153403</v>
      </c>
      <c r="Q113" s="219">
        <f t="shared" si="31"/>
        <v>13.89955731153403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25.413432831328457</v>
      </c>
      <c r="D114" s="219">
        <f t="shared" si="32"/>
        <v>25.261267075560248</v>
      </c>
      <c r="E114" s="219">
        <f t="shared" si="32"/>
        <v>25.109101319792043</v>
      </c>
      <c r="F114" s="219">
        <f t="shared" si="32"/>
        <v>24.652604052487412</v>
      </c>
      <c r="G114" s="219">
        <f t="shared" si="32"/>
        <v>24.348272540951001</v>
      </c>
      <c r="H114" s="219">
        <f t="shared" si="32"/>
        <v>22.522283471732504</v>
      </c>
      <c r="I114" s="219">
        <f t="shared" si="32"/>
        <v>24.043941029414579</v>
      </c>
      <c r="J114" s="219">
        <f t="shared" si="32"/>
        <v>23.435278006341751</v>
      </c>
      <c r="K114" s="219">
        <f t="shared" si="32"/>
        <v>23.283112250573542</v>
      </c>
      <c r="L114" s="219">
        <f t="shared" si="32"/>
        <v>22.522283471732504</v>
      </c>
      <c r="M114" s="219">
        <f t="shared" si="32"/>
        <v>23.130946494805332</v>
      </c>
      <c r="N114" s="219">
        <f t="shared" si="32"/>
        <v>22.370117715964291</v>
      </c>
      <c r="O114" s="219">
        <f t="shared" si="32"/>
        <v>22.065786204427873</v>
      </c>
      <c r="P114" s="219">
        <f t="shared" si="32"/>
        <v>21.000625914050413</v>
      </c>
      <c r="Q114" s="219">
        <f t="shared" si="32"/>
        <v>21.000625914050413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28.532830824576727</v>
      </c>
      <c r="D115" s="219">
        <f t="shared" si="33"/>
        <v>28.456747946692627</v>
      </c>
      <c r="E115" s="219">
        <f t="shared" si="33"/>
        <v>28.380665068808518</v>
      </c>
      <c r="F115" s="219">
        <f t="shared" si="33"/>
        <v>28.152416435156209</v>
      </c>
      <c r="G115" s="219">
        <f t="shared" si="33"/>
        <v>28.000250679387999</v>
      </c>
      <c r="H115" s="219">
        <f t="shared" si="33"/>
        <v>27.087256144778749</v>
      </c>
      <c r="I115" s="219">
        <f t="shared" si="33"/>
        <v>27.84808492361979</v>
      </c>
      <c r="J115" s="219">
        <f t="shared" si="33"/>
        <v>27.543753412083372</v>
      </c>
      <c r="K115" s="219">
        <f t="shared" si="33"/>
        <v>27.467670534199268</v>
      </c>
      <c r="L115" s="219">
        <f t="shared" si="33"/>
        <v>27.087256144778749</v>
      </c>
      <c r="M115" s="219">
        <f t="shared" si="33"/>
        <v>27.391587656315167</v>
      </c>
      <c r="N115" s="219">
        <f t="shared" si="33"/>
        <v>27.011173266894648</v>
      </c>
      <c r="O115" s="219">
        <f t="shared" si="33"/>
        <v>26.859007511126435</v>
      </c>
      <c r="P115" s="219">
        <f t="shared" si="33"/>
        <v>26.326427365937707</v>
      </c>
      <c r="Q115" s="219">
        <f t="shared" si="33"/>
        <v>26.326427365937707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30.404469620525688</v>
      </c>
      <c r="D116" s="219">
        <f t="shared" si="34"/>
        <v>30.374036469372051</v>
      </c>
      <c r="E116" s="219">
        <f t="shared" si="34"/>
        <v>30.34360331821841</v>
      </c>
      <c r="F116" s="219">
        <f t="shared" si="34"/>
        <v>30.252303864757483</v>
      </c>
      <c r="G116" s="219">
        <f t="shared" si="34"/>
        <v>30.191437562450201</v>
      </c>
      <c r="H116" s="219">
        <f t="shared" si="34"/>
        <v>29.826239748606501</v>
      </c>
      <c r="I116" s="219">
        <f t="shared" si="34"/>
        <v>30.130571260142915</v>
      </c>
      <c r="J116" s="219">
        <f t="shared" si="34"/>
        <v>30.008838655528351</v>
      </c>
      <c r="K116" s="219">
        <f t="shared" si="34"/>
        <v>29.978405504374706</v>
      </c>
      <c r="L116" s="219">
        <f t="shared" si="34"/>
        <v>29.826239748606501</v>
      </c>
      <c r="M116" s="219">
        <f t="shared" si="34"/>
        <v>29.947972353221061</v>
      </c>
      <c r="N116" s="219">
        <f t="shared" si="34"/>
        <v>29.795806597452859</v>
      </c>
      <c r="O116" s="219">
        <f t="shared" si="34"/>
        <v>29.734940295145574</v>
      </c>
      <c r="P116" s="219">
        <f t="shared" si="34"/>
        <v>29.521908237070079</v>
      </c>
      <c r="Q116" s="219">
        <f t="shared" si="34"/>
        <v>29.521908237070079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60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61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89872.817411194846</v>
      </c>
      <c r="C5" s="5" t="s">
        <v>339</v>
      </c>
      <c r="D5" s="531">
        <f>B5/24/3412</f>
        <v>1.0975090051191243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1097.5090051191244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60" t="s">
        <v>605</v>
      </c>
      <c r="P9" s="562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61"/>
      <c r="P10" s="563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11.8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1.3657407407407409E-4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927.73611000000005</v>
      </c>
      <c r="C19" s="17">
        <f>B19/1000</f>
        <v>0.92773611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157.97361100000001</v>
      </c>
      <c r="C20" s="17">
        <f>B20/1000</f>
        <v>0.15797361100000001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1204</v>
      </c>
      <c r="B22" s="406">
        <f>VLOOKUP(CONCATENATE(OccDensity,HomeSize),C28:G37,5,FALSE)</f>
        <v>6</v>
      </c>
      <c r="F22" s="305"/>
      <c r="G22" s="305"/>
    </row>
    <row r="23" spans="1:18" ht="15" customHeight="1">
      <c r="A23" s="290" t="s">
        <v>1203</v>
      </c>
      <c r="B23" s="406">
        <f>Noccupants-1</f>
        <v>5</v>
      </c>
      <c r="F23" s="305"/>
      <c r="G23" s="305"/>
      <c r="H23" s="305"/>
    </row>
    <row r="24" spans="1:18" ht="15" customHeight="1">
      <c r="A24" s="290" t="s">
        <v>1002</v>
      </c>
      <c r="B24" s="337" t="str">
        <f>CONCATENATE("sched", VLOOKUP(CONCATENATE(OccDensity,HomeSize),C28:F37,3,FALSE), ".txt")</f>
        <v>sched3.txt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987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988</v>
      </c>
      <c r="E41" s="5" t="s">
        <v>1051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989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990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991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992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993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994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995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996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997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1322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0.99960016666666662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0.89964014999999997</v>
      </c>
      <c r="E11" s="1" t="s">
        <v>138</v>
      </c>
      <c r="F11" s="14" t="s">
        <v>1321</v>
      </c>
    </row>
    <row r="12" spans="1:7" ht="15" customHeight="1">
      <c r="A12" s="100" t="s">
        <v>349</v>
      </c>
      <c r="D12" s="496">
        <f>D10-(D11*2/3)</f>
        <v>0.3998400666666666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1292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0.5660247946157696</v>
      </c>
      <c r="E15" s="493" t="s">
        <v>1268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6.1224999999999996</v>
      </c>
    </row>
    <row r="28" spans="1:11" ht="15" customHeight="1">
      <c r="A28" s="100" t="s">
        <v>458</v>
      </c>
      <c r="C28" s="18">
        <f>L_houseSI</f>
        <v>24.49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1313</v>
      </c>
      <c r="B35" s="1">
        <f>HVAC!C27 * (SQRT(1.20411 / (2 * 2)) / 1)</f>
        <v>0.22993743866145203</v>
      </c>
      <c r="D35" s="1">
        <f xml:space="preserve"> SQRT(1.20411 / 2) * 4^(D14 - 0.5)</f>
        <v>0.95527207509191736</v>
      </c>
    </row>
    <row r="36" spans="1:4" ht="15" customHeight="1">
      <c r="A36" s="1" t="s">
        <v>1314</v>
      </c>
      <c r="B36" s="1">
        <f>1*B35*SQRT(2/1.20411)*4^(0.5-0.65)</f>
        <v>0.24070361173211011</v>
      </c>
    </row>
    <row r="37" spans="1:4" ht="15" customHeight="1">
      <c r="A37" s="1" t="s">
        <v>1319</v>
      </c>
      <c r="B37" s="1">
        <f>B36*Leakage!H14</f>
        <v>6.0175902933027527E-2</v>
      </c>
    </row>
    <row r="38" spans="1:4" ht="15" customHeight="1">
      <c r="A38" s="1" t="s">
        <v>1315</v>
      </c>
      <c r="B38" s="1">
        <f>Leakage!H32</f>
        <v>4.6856257812500003E-2</v>
      </c>
    </row>
    <row r="39" spans="1:4" ht="15" customHeight="1">
      <c r="A39" s="1" t="s">
        <v>1320</v>
      </c>
      <c r="B39" s="1">
        <f>B38*Leakage!H14</f>
        <v>1.1714064453125001E-2</v>
      </c>
    </row>
    <row r="40" spans="1:4" ht="15" customHeight="1">
      <c r="A40" s="1" t="s">
        <v>1316</v>
      </c>
      <c r="B40" s="1">
        <f>D15 * SQRT(1.20411 / 2) * 4^(D14 - 0.5)</f>
        <v>0.5407076801060825</v>
      </c>
    </row>
    <row r="41" spans="1:4" ht="15" customHeight="1">
      <c r="A41" s="1" t="s">
        <v>1317</v>
      </c>
      <c r="B41" s="1">
        <f>B39 * SQRT(1.20411 / 2) * 4^(D14 - 0.5)</f>
        <v>1.1190118657897185E-2</v>
      </c>
    </row>
    <row r="42" spans="1:4" ht="15" customHeight="1">
      <c r="A42" s="1" t="s">
        <v>1318</v>
      </c>
      <c r="B42" s="1">
        <f>B37 * SQRT(1.20411 / 2) * 4^(D14 - 0.5)</f>
        <v>5.7484359665363007E-2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1310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871.55665769644793</v>
      </c>
      <c r="C9" s="5" t="s">
        <v>557</v>
      </c>
      <c r="D9" s="17">
        <f>B9*0.3048^2</f>
        <v>80.970263032239416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161.39938105489776</v>
      </c>
      <c r="C10" s="139" t="s">
        <v>557</v>
      </c>
      <c r="D10" s="17">
        <f>B10*0.3048^2</f>
        <v>14.994493154118409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338.23668254676801</v>
      </c>
      <c r="C16" s="499" t="s">
        <v>133</v>
      </c>
      <c r="D16" s="504">
        <f>D9/D14</f>
        <v>103.09454084025489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34.798012607692179</v>
      </c>
      <c r="C17" s="499" t="s">
        <v>133</v>
      </c>
      <c r="D17" s="504">
        <f>D10/D15</f>
        <v>10.606434242824577</v>
      </c>
      <c r="E17" s="499" t="s">
        <v>134</v>
      </c>
    </row>
    <row r="18" spans="1:6" ht="15" customHeight="1">
      <c r="A18" s="290" t="s">
        <v>1328</v>
      </c>
      <c r="D18" s="327">
        <v>0</v>
      </c>
      <c r="F18" s="313" t="s">
        <v>1330</v>
      </c>
    </row>
    <row r="19" spans="1:6" ht="15" customHeight="1">
      <c r="A19" s="290" t="s">
        <v>1329</v>
      </c>
      <c r="D19" s="327">
        <v>0</v>
      </c>
      <c r="F19" s="313" t="s">
        <v>1332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0.7466563786008229</v>
      </c>
      <c r="D17" s="312">
        <f>VLOOKUP(CONCATENATE(HVAC!D16,HomeSize),HVAC!$D$57:$K$75,8,FALSE)</f>
        <v>0.65519547325102878</v>
      </c>
      <c r="E17" s="312" t="e">
        <f>VLOOKUP(CONCATENATE(HVAC!E16,HomeSize),HVAC!$D$57:$K$75,8,FALSE)</f>
        <v>#N/A</v>
      </c>
      <c r="F17" s="312">
        <f>VLOOKUP(CONCATENATE(HVAC!F16,HomeSize),HVAC!$D$57:$K$75,8,FALSE)</f>
        <v>0.71116255144032914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0.64277263374485594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0.63117283950617287</v>
      </c>
      <c r="S17" s="312">
        <f>VLOOKUP(CONCATENATE(HVAC!S16,HomeSize),HVAC!$D$57:$K$75,8,FALSE)</f>
        <v>0.70421810699588472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3.2225308641975308</v>
      </c>
      <c r="D18" s="312">
        <f>VLOOKUP(CONCATENATE(HVAC!D16,HomeSize),HVAC!$D$57:$K$75,7,FALSE)</f>
        <v>7.4259259259259256</v>
      </c>
      <c r="E18" s="312" t="e">
        <f>VLOOKUP(CONCATENATE(HVAC!E16,HomeSize),HVAC!$D$57:$K$75,7,FALSE)</f>
        <v>#N/A</v>
      </c>
      <c r="F18" s="312">
        <f>VLOOKUP(CONCATENATE(HVAC!F16,HomeSize),HVAC!$D$57:$K$75,7,FALSE)</f>
        <v>9.1395061728395053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10.729938271604937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5.4438271604938269</v>
      </c>
      <c r="S18" s="312">
        <f>VLOOKUP(CONCATENATE(HVAC!S16,HomeSize),HVAC!$D$57:$K$75,7,FALSE)</f>
        <v>7.4669753086419748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1054</v>
      </c>
      <c r="B19" s="94" t="s">
        <v>411</v>
      </c>
      <c r="C19" s="137">
        <f>C17*A_houseFT/1000</f>
        <v>2.4101975473372845</v>
      </c>
      <c r="D19" s="137">
        <f t="shared" ref="D19:Q19" si="0">D17*A_houseFT/1000</f>
        <v>2.1149628770537374</v>
      </c>
      <c r="E19" s="137" t="e">
        <f t="shared" si="0"/>
        <v>#N/A</v>
      </c>
      <c r="F19" s="137">
        <f t="shared" si="0"/>
        <v>2.29562391263782</v>
      </c>
      <c r="G19" s="137" t="e">
        <f t="shared" si="0"/>
        <v>#N/A</v>
      </c>
      <c r="H19" s="137" t="e">
        <f t="shared" si="0"/>
        <v>#N/A</v>
      </c>
      <c r="I19" s="137">
        <f t="shared" si="0"/>
        <v>2.0748621049089246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2.0374181126991724</v>
      </c>
      <c r="S19" s="312">
        <f>S17*A_houseFT/1000</f>
        <v>2.2732073319357511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1055</v>
      </c>
      <c r="B20" s="228" t="s">
        <v>1056</v>
      </c>
      <c r="C20" s="319">
        <f t="shared" ref="C20:S20" si="1">C18*(A_houseFT/1000)</f>
        <v>10.402289738235725</v>
      </c>
      <c r="D20" s="319">
        <f t="shared" si="1"/>
        <v>23.970796964079259</v>
      </c>
      <c r="E20" s="319" t="e">
        <f t="shared" si="1"/>
        <v>#N/A</v>
      </c>
      <c r="F20" s="319">
        <f t="shared" si="1"/>
        <v>29.502212788874271</v>
      </c>
      <c r="G20" s="319" t="e">
        <f t="shared" si="1"/>
        <v>#N/A</v>
      </c>
      <c r="H20" s="319" t="e">
        <f t="shared" si="1"/>
        <v>#N/A</v>
      </c>
      <c r="I20" s="319">
        <f t="shared" si="1"/>
        <v>34.636107915885923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17.572606685470902</v>
      </c>
      <c r="S20" s="319">
        <f t="shared" si="1"/>
        <v>24.103303863340376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1334</v>
      </c>
      <c r="B21" s="228" t="s">
        <v>289</v>
      </c>
      <c r="C21" s="530">
        <f>VLOOKUP(CONCATENATE(C16,HomeSize),HVAC!$D$57:$K$75,5,FALSE)*C19</f>
        <v>856.10216881420342</v>
      </c>
      <c r="D21" s="530">
        <f>VLOOKUP(CONCATENATE(D16,HomeSize),HVAC!$D$57:$K$75,5,FALSE)*D19</f>
        <v>751.23481392948747</v>
      </c>
      <c r="E21" s="530" t="e">
        <f>VLOOKUP(CONCATENATE(E16,HomeSize),HVAC!$D$57:$K$75,5,FALSE)*E19</f>
        <v>#N/A</v>
      </c>
      <c r="F21" s="530">
        <f>VLOOKUP(CONCATENATE(F16,HomeSize),HVAC!$D$57:$K$75,5,FALSE)*F19</f>
        <v>886.34039266946229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801.10425870533584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723.69091363074597</v>
      </c>
      <c r="S21" s="530">
        <f>VLOOKUP(CONCATENATE(S16,HomeSize),HVAC!$D$57:$K$75,5,FALSE)*S19</f>
        <v>877.68535086039356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1335</v>
      </c>
      <c r="B22" s="228" t="s">
        <v>289</v>
      </c>
      <c r="C22" s="530">
        <f>16.8*C20</f>
        <v>174.75846760236018</v>
      </c>
      <c r="D22" s="530">
        <f t="shared" ref="D22:S22" si="2">16.8*D20</f>
        <v>402.70938899653157</v>
      </c>
      <c r="E22" s="530" t="e">
        <f t="shared" si="2"/>
        <v>#N/A</v>
      </c>
      <c r="F22" s="530">
        <f t="shared" si="2"/>
        <v>495.6371748530878</v>
      </c>
      <c r="G22" s="530" t="e">
        <f t="shared" si="2"/>
        <v>#N/A</v>
      </c>
      <c r="H22" s="530" t="e">
        <f t="shared" si="2"/>
        <v>#N/A</v>
      </c>
      <c r="I22" s="530">
        <f t="shared" si="2"/>
        <v>581.88661298688351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295.21979231591115</v>
      </c>
      <c r="S22" s="530">
        <f t="shared" si="2"/>
        <v>404.93550490411832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1336</v>
      </c>
      <c r="B23" s="228" t="s">
        <v>640</v>
      </c>
      <c r="C23" s="530">
        <f>IF(C22&gt;C21*0.8,C20,(C21*0.8/C22)*C20)</f>
        <v>40.766769943533497</v>
      </c>
      <c r="D23" s="530">
        <f t="shared" ref="D23:S23" si="3">IF(D22&gt;D21*0.8,D20,(D21*0.8/D22)*D20)</f>
        <v>35.773086377594637</v>
      </c>
      <c r="E23" s="530" t="e">
        <f t="shared" si="3"/>
        <v>#N/A</v>
      </c>
      <c r="F23" s="530">
        <f t="shared" si="3"/>
        <v>42.206685365212486</v>
      </c>
      <c r="G23" s="530" t="e">
        <f t="shared" si="3"/>
        <v>#N/A</v>
      </c>
      <c r="H23" s="530" t="e">
        <f t="shared" si="3"/>
        <v>#N/A</v>
      </c>
      <c r="I23" s="530">
        <f t="shared" si="3"/>
        <v>38.147821843111238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34.46147207765457</v>
      </c>
      <c r="S23" s="530">
        <f t="shared" si="3"/>
        <v>41.7945405171616</v>
      </c>
      <c r="Z23" s="118"/>
      <c r="AA23" s="119"/>
      <c r="AB23" s="87"/>
      <c r="AC23" s="87"/>
      <c r="AD23" s="228"/>
    </row>
    <row r="24" spans="1:30" ht="15" customHeight="1">
      <c r="A24" s="58" t="s">
        <v>1337</v>
      </c>
      <c r="B24" s="113" t="s">
        <v>411</v>
      </c>
      <c r="C24" s="505">
        <f>ROUNDUP(C19*2,0)/2</f>
        <v>2.5</v>
      </c>
      <c r="D24" s="505">
        <f t="shared" ref="D24:S24" si="4">ROUNDUP(D19*2,0)/2</f>
        <v>2.5</v>
      </c>
      <c r="E24" s="505" t="e">
        <f t="shared" si="4"/>
        <v>#N/A</v>
      </c>
      <c r="F24" s="505">
        <f t="shared" si="4"/>
        <v>2.5</v>
      </c>
      <c r="G24" s="505" t="e">
        <f>ROUNDUP(G19*2,0)/2</f>
        <v>#N/A</v>
      </c>
      <c r="H24" s="505" t="e">
        <f t="shared" si="4"/>
        <v>#N/A</v>
      </c>
      <c r="I24" s="505">
        <f t="shared" si="4"/>
        <v>2.5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2.5</v>
      </c>
      <c r="S24" s="505">
        <f t="shared" si="4"/>
        <v>2.5</v>
      </c>
      <c r="Z24" s="121"/>
      <c r="AA24" s="107"/>
      <c r="AB24" s="104"/>
      <c r="AC24" s="104"/>
      <c r="AD24" s="89"/>
    </row>
    <row r="25" spans="1:30" ht="15" customHeight="1">
      <c r="A25" s="58" t="s">
        <v>1337</v>
      </c>
      <c r="B25" s="113" t="s">
        <v>412</v>
      </c>
      <c r="C25" s="505">
        <f>C24*12</f>
        <v>30</v>
      </c>
      <c r="D25" s="505">
        <f t="shared" ref="D25:S25" si="5">D24*12</f>
        <v>30</v>
      </c>
      <c r="E25" s="505" t="e">
        <f t="shared" si="5"/>
        <v>#N/A</v>
      </c>
      <c r="F25" s="505">
        <f t="shared" si="5"/>
        <v>30</v>
      </c>
      <c r="G25" s="505" t="e">
        <f t="shared" si="5"/>
        <v>#N/A</v>
      </c>
      <c r="H25" s="505" t="e">
        <f t="shared" si="5"/>
        <v>#N/A</v>
      </c>
      <c r="I25" s="505">
        <f t="shared" si="5"/>
        <v>30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30</v>
      </c>
      <c r="S25" s="505">
        <f t="shared" si="5"/>
        <v>30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1338</v>
      </c>
      <c r="B26" s="113" t="s">
        <v>412</v>
      </c>
      <c r="C26" s="506">
        <f>ROUNDUP(C23/10,0)*10</f>
        <v>50</v>
      </c>
      <c r="D26" s="506">
        <f>ROUNDUP(D23/10,0)*10</f>
        <v>40</v>
      </c>
      <c r="E26" s="506" t="e">
        <f>ROUNDUP(E23/10,0)*10</f>
        <v>#N/A</v>
      </c>
      <c r="F26" s="506">
        <f>ROUNDUP(F23/10,0)*10</f>
        <v>50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40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40</v>
      </c>
      <c r="S26" s="506">
        <f t="shared" si="6"/>
        <v>50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0.41908932956160005</v>
      </c>
      <c r="D27" s="494">
        <f>VLOOKUP(CONCATENATE(D16,HomeSize),HVAC!$D$57:$K$75,5,FALSE)*D24*0.3048^3/60</f>
        <v>0.41908932956160005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0.45554726954880009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0.45554726954880009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0.41908932956160005</v>
      </c>
      <c r="S27" s="494">
        <f>VLOOKUP(CONCATENATE(S16,HomeSize),HVAC!$D$57:$K$75,5,FALSE)*S24*0.3048^3/60</f>
        <v>0.45554726954880009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0.39641340254837187</v>
      </c>
      <c r="D28" s="494">
        <f t="shared" ref="D28:S28" si="7">16.8*D26*(1/2119)</f>
        <v>0.31713072203869752</v>
      </c>
      <c r="E28" s="494" t="e">
        <f t="shared" si="7"/>
        <v>#N/A</v>
      </c>
      <c r="F28" s="494">
        <f t="shared" si="7"/>
        <v>0.39641340254837187</v>
      </c>
      <c r="G28" s="494" t="e">
        <f t="shared" si="7"/>
        <v>#N/A</v>
      </c>
      <c r="H28" s="494" t="e">
        <f t="shared" si="7"/>
        <v>#N/A</v>
      </c>
      <c r="I28" s="494">
        <f t="shared" si="7"/>
        <v>0.31713072203869752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0.31713072203869752</v>
      </c>
      <c r="S28" s="494">
        <f t="shared" si="7"/>
        <v>0.39641340254837187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148.3043983199521</v>
      </c>
      <c r="D29" s="507">
        <f t="shared" ref="D29:S29" si="8">D27*2119*0.167</f>
        <v>148.3043983199521</v>
      </c>
      <c r="E29" s="507" t="e">
        <f t="shared" si="8"/>
        <v>#N/A</v>
      </c>
      <c r="F29" s="507">
        <f t="shared" si="8"/>
        <v>161.20587891704255</v>
      </c>
      <c r="G29" s="507" t="e">
        <f t="shared" si="8"/>
        <v>#N/A</v>
      </c>
      <c r="H29" s="507" t="e">
        <f t="shared" si="8"/>
        <v>#N/A</v>
      </c>
      <c r="I29" s="507">
        <f t="shared" si="8"/>
        <v>161.20587891704255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148.3043983199521</v>
      </c>
      <c r="S29" s="507">
        <f t="shared" si="8"/>
        <v>161.20587891704255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140.28</v>
      </c>
      <c r="D30" s="507">
        <f t="shared" ref="D30:S30" si="9">D28*2119*0.167</f>
        <v>112.224</v>
      </c>
      <c r="E30" s="507" t="e">
        <f t="shared" si="9"/>
        <v>#N/A</v>
      </c>
      <c r="F30" s="507">
        <f t="shared" si="9"/>
        <v>140.28</v>
      </c>
      <c r="G30" s="507" t="e">
        <f t="shared" si="9"/>
        <v>#N/A</v>
      </c>
      <c r="H30" s="507" t="e">
        <f t="shared" si="9"/>
        <v>#N/A</v>
      </c>
      <c r="I30" s="507">
        <f t="shared" si="9"/>
        <v>112.224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112.224</v>
      </c>
      <c r="S30" s="507">
        <f t="shared" si="9"/>
        <v>140.28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1053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6.8410602505901945</v>
      </c>
      <c r="J40" s="317">
        <f>D40/(A_houseFT/1000)</f>
        <v>21.685337187318726</v>
      </c>
      <c r="K40" s="315">
        <f>J40/12</f>
        <v>1.8071114322765605</v>
      </c>
      <c r="L40" s="196">
        <v>7.5</v>
      </c>
      <c r="M40" s="196">
        <v>23.8</v>
      </c>
      <c r="O40" s="320">
        <f>C$27/0.00047194745</f>
        <v>887.9999872053553</v>
      </c>
      <c r="P40" s="283">
        <f>O40/C29</f>
        <v>5.9876847704110769</v>
      </c>
      <c r="Q40" s="293">
        <f>O40/6</f>
        <v>147.99999786755922</v>
      </c>
      <c r="R40" s="319">
        <f>C28</f>
        <v>0.39641340254837187</v>
      </c>
      <c r="S40" s="293">
        <f>R40/0.00047194745</f>
        <v>839.95241959326586</v>
      </c>
      <c r="T40" s="293">
        <f>C30</f>
        <v>140.28</v>
      </c>
      <c r="U40" s="312">
        <f>S40/T40</f>
        <v>5.9876847704110769</v>
      </c>
      <c r="V40" s="293">
        <f t="shared" ref="V40:V48" si="10">S40/6</f>
        <v>139.99206993221097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887.9999872053553</v>
      </c>
      <c r="P41" s="283">
        <f>O41/D29</f>
        <v>5.9876847704110769</v>
      </c>
      <c r="Q41" s="293">
        <f t="shared" ref="Q41:Q54" si="11">O41/6</f>
        <v>147.99999786755922</v>
      </c>
      <c r="R41" s="319">
        <f>D28</f>
        <v>0.31713072203869752</v>
      </c>
      <c r="S41" s="293">
        <f t="shared" ref="S41:S54" si="12">R41/0.00047194745</f>
        <v>671.96193567461273</v>
      </c>
      <c r="T41" s="293">
        <f>D30</f>
        <v>112.224</v>
      </c>
      <c r="U41" s="312">
        <f t="shared" ref="U41:U54" si="13">S41/T41</f>
        <v>5.9876847704110769</v>
      </c>
      <c r="V41" s="293">
        <f t="shared" si="10"/>
        <v>111.99365594576879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965.24998609230772</v>
      </c>
      <c r="P43" s="283">
        <f>O43/F29</f>
        <v>5.9876847704110761</v>
      </c>
      <c r="Q43" s="293">
        <f t="shared" si="11"/>
        <v>160.87499768205129</v>
      </c>
      <c r="R43" s="319">
        <f>F28</f>
        <v>0.39641340254837187</v>
      </c>
      <c r="S43" s="293">
        <f t="shared" si="12"/>
        <v>839.95241959326586</v>
      </c>
      <c r="T43" s="293">
        <f>F30</f>
        <v>140.28</v>
      </c>
      <c r="U43" s="312">
        <f t="shared" si="13"/>
        <v>5.9876847704110769</v>
      </c>
      <c r="V43" s="293">
        <f t="shared" si="10"/>
        <v>139.99206993221097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965.24998609230772</v>
      </c>
      <c r="P46" s="283">
        <f>O46/I29</f>
        <v>5.9876847704110761</v>
      </c>
      <c r="Q46" s="293">
        <f t="shared" si="11"/>
        <v>160.87499768205129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12.216179018911062</v>
      </c>
      <c r="M54" s="309">
        <f>G54/(A_houseFT/1000)</f>
        <v>38.7238164059263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1052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1286</v>
      </c>
      <c r="R22" s="341" t="s">
        <v>1287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1102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1286</v>
      </c>
      <c r="R2" s="341" t="s">
        <v>1287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933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934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1062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1063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1064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1065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935</v>
      </c>
      <c r="C13" t="s">
        <v>936</v>
      </c>
      <c r="D13" t="s">
        <v>937</v>
      </c>
      <c r="E13" t="s">
        <v>938</v>
      </c>
      <c r="F13" t="s">
        <v>939</v>
      </c>
      <c r="G13" t="s">
        <v>940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941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942</v>
      </c>
      <c r="B25" s="290"/>
      <c r="C25" s="290"/>
      <c r="D25" s="290"/>
      <c r="G25" s="290"/>
    </row>
    <row r="26" spans="1:18">
      <c r="A26" s="210" t="s">
        <v>933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934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958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959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946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947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948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949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950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951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952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953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954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955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956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957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960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959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946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947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948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949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950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951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952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953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954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955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956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957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1062</v>
      </c>
      <c r="C72" s="290" t="s">
        <v>1063</v>
      </c>
      <c r="D72" s="290" t="s">
        <v>1080</v>
      </c>
      <c r="E72" s="290" t="s">
        <v>1065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1084</v>
      </c>
      <c r="C79" s="290" t="s">
        <v>1085</v>
      </c>
      <c r="D79" s="290" t="s">
        <v>1082</v>
      </c>
      <c r="E79" s="290" t="s">
        <v>1083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1086</v>
      </c>
      <c r="B87" s="290" t="s">
        <v>1087</v>
      </c>
      <c r="C87" s="290" t="s">
        <v>1088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1086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1226</v>
      </c>
    </row>
    <row r="2" spans="1:3">
      <c r="A2" t="s">
        <v>1233</v>
      </c>
      <c r="B2" t="s">
        <v>1234</v>
      </c>
    </row>
    <row r="7" spans="1:3">
      <c r="A7" t="s">
        <v>1225</v>
      </c>
      <c r="B7" s="457" t="str">
        <f>DehumidType</f>
        <v>No</v>
      </c>
    </row>
    <row r="8" spans="1:3">
      <c r="A8" s="290" t="s">
        <v>1228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1229</v>
      </c>
      <c r="B9" s="514">
        <v>1.85</v>
      </c>
      <c r="C9" s="290"/>
    </row>
    <row r="10" spans="1:3">
      <c r="A10" s="290" t="s">
        <v>1230</v>
      </c>
      <c r="B10" s="514">
        <v>55</v>
      </c>
      <c r="C10" s="290"/>
    </row>
    <row r="11" spans="1:3">
      <c r="A11" s="290" t="s">
        <v>1231</v>
      </c>
      <c r="B11" s="514">
        <v>2.5</v>
      </c>
      <c r="C11" s="290" t="s">
        <v>1232</v>
      </c>
    </row>
    <row r="14" spans="1:3">
      <c r="A14" t="s">
        <v>1235</v>
      </c>
    </row>
    <row r="15" spans="1:3">
      <c r="A15" t="s">
        <v>1236</v>
      </c>
      <c r="B15" t="s">
        <v>1237</v>
      </c>
    </row>
    <row r="16" spans="1:3">
      <c r="A16" t="s">
        <v>1238</v>
      </c>
      <c r="B16">
        <v>1.85</v>
      </c>
    </row>
    <row r="17" spans="1:9">
      <c r="A17" t="s">
        <v>1239</v>
      </c>
      <c r="B17">
        <v>2.8</v>
      </c>
    </row>
    <row r="19" spans="1:9" ht="15" thickBot="1">
      <c r="A19" t="s">
        <v>1241</v>
      </c>
      <c r="E19" s="142" t="s">
        <v>1240</v>
      </c>
    </row>
    <row r="20" spans="1:9" ht="28">
      <c r="A20" s="447" t="s">
        <v>1243</v>
      </c>
      <c r="B20" s="448" t="s">
        <v>1230</v>
      </c>
      <c r="C20" s="448" t="s">
        <v>1244</v>
      </c>
      <c r="D20" s="449" t="s">
        <v>1228</v>
      </c>
      <c r="E20" t="s">
        <v>892</v>
      </c>
      <c r="F20" t="s">
        <v>1242</v>
      </c>
      <c r="G20" t="s">
        <v>1247</v>
      </c>
      <c r="H20" t="s">
        <v>177</v>
      </c>
    </row>
    <row r="21" spans="1:9">
      <c r="A21" s="450" t="s">
        <v>1245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1245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1245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1245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1246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1246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1246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1246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1312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34" t="s">
        <v>1350</v>
      </c>
      <c r="B1" s="534"/>
      <c r="C1" s="534"/>
      <c r="D1" s="534"/>
      <c r="E1" s="534"/>
      <c r="F1" s="534"/>
      <c r="G1" s="534"/>
      <c r="H1" s="534"/>
    </row>
    <row r="2" spans="1:8" ht="15">
      <c r="A2" s="535" t="s">
        <v>1342</v>
      </c>
      <c r="B2" s="564" t="s">
        <v>1351</v>
      </c>
      <c r="C2" s="564"/>
      <c r="D2" s="564"/>
      <c r="E2" s="536"/>
      <c r="F2" s="536"/>
      <c r="G2" s="536"/>
      <c r="H2" s="534"/>
    </row>
    <row r="3" spans="1:8">
      <c r="A3" s="537">
        <v>1</v>
      </c>
      <c r="B3" s="538">
        <v>0.48</v>
      </c>
      <c r="C3" s="534"/>
      <c r="D3" s="534"/>
      <c r="E3" s="534"/>
      <c r="F3" s="534"/>
      <c r="G3" s="534"/>
      <c r="H3" s="534"/>
    </row>
    <row r="4" spans="1:8">
      <c r="A4" s="537">
        <v>2</v>
      </c>
      <c r="B4" s="538">
        <v>0.59</v>
      </c>
      <c r="C4" s="534"/>
      <c r="D4" s="534"/>
      <c r="E4" s="534"/>
      <c r="F4" s="534"/>
      <c r="G4" s="534"/>
      <c r="H4" s="534"/>
    </row>
    <row r="5" spans="1:8">
      <c r="A5" s="537">
        <v>3</v>
      </c>
      <c r="B5" s="538">
        <v>0.67</v>
      </c>
      <c r="C5" s="534"/>
      <c r="D5" s="534"/>
      <c r="E5" s="534"/>
      <c r="F5" s="534"/>
      <c r="G5" s="534"/>
      <c r="H5" s="534"/>
    </row>
    <row r="6" spans="1:8">
      <c r="A6" s="534"/>
      <c r="B6" s="534"/>
      <c r="C6" s="534"/>
      <c r="D6" s="534"/>
      <c r="E6" s="534"/>
      <c r="F6" s="534"/>
      <c r="G6" s="534"/>
      <c r="H6" s="534"/>
    </row>
    <row r="7" spans="1:8">
      <c r="A7" s="534"/>
      <c r="B7" s="534"/>
      <c r="C7" s="534"/>
      <c r="D7" s="534"/>
      <c r="E7" s="534"/>
      <c r="F7" s="534"/>
      <c r="G7" s="534"/>
      <c r="H7" s="534"/>
    </row>
    <row r="8" spans="1:8" ht="14" customHeight="1">
      <c r="A8" s="539"/>
      <c r="B8" s="539"/>
      <c r="D8" s="545"/>
      <c r="E8" s="536"/>
      <c r="F8" s="536"/>
      <c r="G8" s="536"/>
      <c r="H8" s="534"/>
    </row>
    <row r="9" spans="1:8" ht="22">
      <c r="A9" s="540" t="s">
        <v>1343</v>
      </c>
      <c r="B9" t="s">
        <v>1352</v>
      </c>
      <c r="C9" s="541" t="s">
        <v>1344</v>
      </c>
      <c r="D9" s="546"/>
      <c r="E9" s="536"/>
      <c r="F9" s="536"/>
      <c r="G9" s="536"/>
      <c r="H9" s="534"/>
    </row>
    <row r="10" spans="1:8">
      <c r="A10" s="535" t="s">
        <v>1362</v>
      </c>
      <c r="B10" t="s">
        <v>1323</v>
      </c>
      <c r="C10" s="538">
        <v>0.5</v>
      </c>
      <c r="D10" s="547"/>
      <c r="E10" s="536"/>
      <c r="F10" s="536"/>
      <c r="G10" s="536"/>
      <c r="H10" s="534"/>
    </row>
    <row r="11" spans="1:8">
      <c r="A11" s="537">
        <v>1</v>
      </c>
      <c r="B11" t="s">
        <v>1227</v>
      </c>
      <c r="C11" s="538">
        <v>0.7</v>
      </c>
      <c r="D11" s="547"/>
      <c r="E11" s="536"/>
      <c r="F11" s="536"/>
      <c r="G11" s="536"/>
      <c r="H11" s="534"/>
    </row>
    <row r="12" spans="1:8">
      <c r="A12" s="537">
        <v>2</v>
      </c>
      <c r="B12" t="s">
        <v>1227</v>
      </c>
      <c r="C12" s="538">
        <v>0.64</v>
      </c>
      <c r="D12" s="547"/>
      <c r="E12" s="534"/>
      <c r="F12" s="534"/>
      <c r="G12" s="534"/>
      <c r="H12" s="534"/>
    </row>
    <row r="13" spans="1:8">
      <c r="A13" s="537">
        <v>3</v>
      </c>
      <c r="B13" t="s">
        <v>1227</v>
      </c>
      <c r="C13" s="538">
        <v>0.61</v>
      </c>
      <c r="D13" s="547"/>
      <c r="E13" s="534"/>
      <c r="F13" s="534"/>
      <c r="G13" s="534"/>
      <c r="H13" s="534"/>
    </row>
    <row r="14" spans="1:8" s="290" customFormat="1">
      <c r="A14" s="535"/>
      <c r="B14" s="538"/>
      <c r="C14" s="534"/>
      <c r="D14" s="534"/>
      <c r="E14" s="534"/>
      <c r="F14" s="534"/>
      <c r="G14" s="534"/>
      <c r="H14" s="534"/>
    </row>
    <row r="15" spans="1:8" ht="14" customHeight="1">
      <c r="A15" s="534"/>
      <c r="B15" s="534"/>
      <c r="C15" s="534"/>
      <c r="D15" s="534"/>
      <c r="E15" s="534"/>
      <c r="F15" s="534"/>
      <c r="G15" s="534"/>
      <c r="H15" s="534"/>
    </row>
    <row r="16" spans="1:8">
      <c r="A16" s="542" t="s">
        <v>1354</v>
      </c>
      <c r="B16" s="534"/>
      <c r="C16" s="534"/>
      <c r="D16" s="534"/>
      <c r="E16" s="534"/>
      <c r="F16" s="534"/>
      <c r="G16" s="534"/>
      <c r="H16" s="534"/>
    </row>
    <row r="17" spans="1:8" ht="22">
      <c r="A17" s="535" t="s">
        <v>1342</v>
      </c>
      <c r="B17" s="533" t="s">
        <v>1346</v>
      </c>
      <c r="C17" s="538" t="s">
        <v>1348</v>
      </c>
      <c r="D17" s="538" t="s">
        <v>1349</v>
      </c>
      <c r="E17" s="534"/>
      <c r="F17" s="534"/>
      <c r="G17" s="534"/>
      <c r="H17" s="534"/>
    </row>
    <row r="18" spans="1:8">
      <c r="A18" s="543">
        <v>1</v>
      </c>
      <c r="B18" s="533" t="s">
        <v>1345</v>
      </c>
      <c r="C18" s="538">
        <v>0.156</v>
      </c>
      <c r="D18" s="538">
        <v>0.128</v>
      </c>
      <c r="E18" s="534"/>
      <c r="F18" s="534"/>
      <c r="G18" s="534"/>
      <c r="H18" s="534"/>
    </row>
    <row r="19" spans="1:8">
      <c r="A19" s="543">
        <v>2</v>
      </c>
      <c r="B19" s="533" t="s">
        <v>1345</v>
      </c>
      <c r="C19" s="538">
        <v>0.17</v>
      </c>
      <c r="D19" s="538">
        <v>0.14199999999999999</v>
      </c>
      <c r="E19" s="534"/>
      <c r="F19" s="534"/>
      <c r="G19" s="534"/>
      <c r="H19" s="534"/>
    </row>
    <row r="20" spans="1:8">
      <c r="A20" s="543">
        <v>3</v>
      </c>
      <c r="B20" s="533" t="s">
        <v>1345</v>
      </c>
      <c r="C20" s="538">
        <v>0.17</v>
      </c>
      <c r="D20" s="538">
        <v>0.151</v>
      </c>
      <c r="E20" s="534"/>
      <c r="F20" s="534"/>
      <c r="G20" s="534"/>
      <c r="H20" s="534"/>
    </row>
    <row r="21" spans="1:8">
      <c r="A21" s="543">
        <v>1</v>
      </c>
      <c r="B21" s="533" t="s">
        <v>1347</v>
      </c>
      <c r="C21" s="538">
        <v>0.14199999999999999</v>
      </c>
      <c r="D21" s="538">
        <v>0.128</v>
      </c>
      <c r="E21" s="534"/>
      <c r="F21" s="534"/>
      <c r="G21" s="534"/>
      <c r="H21" s="534"/>
    </row>
    <row r="22" spans="1:8">
      <c r="A22" s="543">
        <v>2</v>
      </c>
      <c r="B22" s="533" t="s">
        <v>1347</v>
      </c>
      <c r="C22" s="538">
        <v>0.156</v>
      </c>
      <c r="D22" s="538">
        <v>0.14199999999999999</v>
      </c>
      <c r="E22" s="534"/>
      <c r="F22" s="534"/>
      <c r="G22" s="534"/>
      <c r="H22" s="534"/>
    </row>
    <row r="23" spans="1:8">
      <c r="A23" s="543">
        <v>3</v>
      </c>
      <c r="B23" s="533" t="s">
        <v>1347</v>
      </c>
      <c r="C23" s="538">
        <v>0.16700000000000001</v>
      </c>
      <c r="D23" s="538">
        <v>0.154</v>
      </c>
      <c r="E23" s="534"/>
      <c r="F23" s="534"/>
      <c r="G23" s="534"/>
      <c r="H23" s="534"/>
    </row>
    <row r="24" spans="1:8" s="290" customFormat="1">
      <c r="A24" s="543"/>
      <c r="B24" s="533"/>
      <c r="C24" s="538"/>
      <c r="D24" s="538"/>
      <c r="E24" s="534"/>
      <c r="F24" s="534"/>
      <c r="G24" s="534"/>
      <c r="H24" s="534"/>
    </row>
    <row r="25" spans="1:8" s="290" customFormat="1">
      <c r="A25" s="543"/>
      <c r="B25" s="533"/>
      <c r="C25" s="538"/>
      <c r="D25" s="538"/>
      <c r="E25" s="534"/>
      <c r="F25" s="534"/>
      <c r="G25" s="534"/>
      <c r="H25" s="534"/>
    </row>
    <row r="26" spans="1:8" ht="22">
      <c r="A26" s="540" t="s">
        <v>1355</v>
      </c>
      <c r="B26" s="534"/>
      <c r="C26" s="534"/>
      <c r="D26" s="534"/>
      <c r="E26" s="534"/>
      <c r="F26" s="534"/>
      <c r="G26" s="534"/>
      <c r="H26" s="534"/>
    </row>
    <row r="27" spans="1:8">
      <c r="A27" s="537" t="s">
        <v>1342</v>
      </c>
      <c r="B27" s="533" t="s">
        <v>1352</v>
      </c>
      <c r="C27" s="544" t="s">
        <v>1353</v>
      </c>
      <c r="D27" s="534"/>
      <c r="E27" s="534"/>
      <c r="F27" s="534"/>
      <c r="G27" s="534"/>
      <c r="H27" s="534"/>
    </row>
    <row r="28" spans="1:8">
      <c r="A28" s="537">
        <v>1</v>
      </c>
      <c r="B28" s="533" t="s">
        <v>1323</v>
      </c>
      <c r="C28" s="538">
        <v>5.3999999999999999E-2</v>
      </c>
      <c r="D28" s="534"/>
      <c r="E28" s="534"/>
      <c r="F28" s="534"/>
      <c r="G28" s="534"/>
      <c r="H28" s="534"/>
    </row>
    <row r="29" spans="1:8">
      <c r="A29" s="537">
        <v>2</v>
      </c>
      <c r="B29" s="533" t="s">
        <v>1323</v>
      </c>
      <c r="C29" s="538">
        <v>7.8E-2</v>
      </c>
      <c r="D29" s="534"/>
      <c r="E29" s="534"/>
      <c r="F29" s="534"/>
      <c r="G29" s="534"/>
      <c r="H29" s="534"/>
    </row>
    <row r="30" spans="1:8">
      <c r="A30" s="537">
        <v>3</v>
      </c>
      <c r="B30" s="533" t="s">
        <v>1323</v>
      </c>
      <c r="C30" s="538">
        <v>9.8000000000000004E-2</v>
      </c>
      <c r="D30" s="536"/>
      <c r="E30" s="536"/>
      <c r="F30" s="536"/>
      <c r="G30" s="536"/>
      <c r="H30" s="534"/>
    </row>
    <row r="31" spans="1:8">
      <c r="A31" s="537">
        <v>1</v>
      </c>
      <c r="B31" s="533" t="s">
        <v>1227</v>
      </c>
      <c r="C31" s="538">
        <v>6.9000000000000006E-2</v>
      </c>
      <c r="D31" s="536"/>
      <c r="E31" s="536"/>
      <c r="F31" s="536"/>
      <c r="G31" s="536"/>
      <c r="H31" s="534"/>
    </row>
    <row r="32" spans="1:8">
      <c r="A32" s="537">
        <v>2</v>
      </c>
      <c r="B32" s="533" t="s">
        <v>1227</v>
      </c>
      <c r="C32" s="538">
        <v>8.8999999999999996E-2</v>
      </c>
      <c r="D32" s="534"/>
      <c r="E32" s="534"/>
      <c r="F32" s="534"/>
      <c r="G32" s="536"/>
      <c r="H32" s="534"/>
    </row>
    <row r="33" spans="1:8">
      <c r="A33" s="537">
        <v>3</v>
      </c>
      <c r="B33" s="533" t="s">
        <v>1227</v>
      </c>
      <c r="C33" s="538">
        <v>0.107</v>
      </c>
      <c r="D33" s="534"/>
      <c r="E33" s="534"/>
      <c r="F33" s="534"/>
      <c r="G33" s="536"/>
      <c r="H33" s="534"/>
    </row>
    <row r="34" spans="1:8">
      <c r="A34" s="534"/>
      <c r="B34" s="534"/>
      <c r="C34" s="534"/>
      <c r="D34" s="534"/>
      <c r="E34" s="534"/>
      <c r="F34" s="534"/>
      <c r="G34" s="536"/>
      <c r="H34" s="534"/>
    </row>
    <row r="35" spans="1:8">
      <c r="A35" s="534"/>
      <c r="B35" s="534"/>
      <c r="C35" s="534"/>
      <c r="D35" s="534"/>
      <c r="E35" s="534"/>
      <c r="F35" s="534"/>
      <c r="G35" s="536"/>
      <c r="H35" s="534"/>
    </row>
    <row r="36" spans="1:8">
      <c r="A36" s="536"/>
      <c r="B36" s="536"/>
      <c r="C36" s="536"/>
      <c r="D36" s="536"/>
      <c r="E36" s="536"/>
      <c r="F36" s="536"/>
      <c r="G36" s="536"/>
      <c r="H36" s="534"/>
    </row>
    <row r="37" spans="1:8">
      <c r="A37" s="534"/>
      <c r="B37" s="534"/>
      <c r="C37" s="534"/>
      <c r="D37" s="534"/>
      <c r="E37" s="534"/>
      <c r="F37" s="534"/>
      <c r="G37" s="534"/>
      <c r="H37" s="534"/>
    </row>
    <row r="38" spans="1:8">
      <c r="A38" s="534"/>
      <c r="B38" s="540"/>
      <c r="C38" s="540"/>
      <c r="D38" s="540"/>
      <c r="E38" s="540"/>
      <c r="F38" s="540"/>
      <c r="G38" s="534"/>
      <c r="H38" s="5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2016-12-19T19:46:26Z</dcterms:modified>
</cp:coreProperties>
</file>