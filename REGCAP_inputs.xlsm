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560" yWindow="560" windowWidth="25040" windowHeight="1550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Parametrics!$C$52:$C$53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Parametrics!$C$46:$C$48</definedName>
    <definedName name="luStories">Parametrics!$C$13:$C$14</definedName>
    <definedName name="luVentSystem">Parametrics!$C$36:$C$38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1" i="16" l="1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D6" i="2"/>
  <c r="D7" i="2"/>
  <c r="D8" i="2"/>
  <c r="D20" i="2"/>
  <c r="H31" i="3"/>
  <c r="D15" i="2"/>
  <c r="H34" i="3"/>
  <c r="B22" i="7"/>
  <c r="B23" i="7"/>
  <c r="L2" i="6"/>
  <c r="I31" i="3"/>
  <c r="I34" i="3"/>
  <c r="C9" i="6"/>
  <c r="C10" i="6"/>
  <c r="J31" i="3"/>
  <c r="J34" i="3"/>
  <c r="D9" i="6"/>
  <c r="D10" i="6"/>
  <c r="K31" i="3"/>
  <c r="K34" i="3"/>
  <c r="E9" i="6"/>
  <c r="E10" i="6"/>
  <c r="L31" i="3"/>
  <c r="L34" i="3"/>
  <c r="F9" i="6"/>
  <c r="F10" i="6"/>
  <c r="M31" i="3"/>
  <c r="M34" i="3"/>
  <c r="G9" i="6"/>
  <c r="G10" i="6"/>
  <c r="N31" i="3"/>
  <c r="N34" i="3"/>
  <c r="H9" i="6"/>
  <c r="H10" i="6"/>
  <c r="O31" i="3"/>
  <c r="O34" i="3"/>
  <c r="I9" i="6"/>
  <c r="I10" i="6"/>
  <c r="P31" i="3"/>
  <c r="P34" i="3"/>
  <c r="J9" i="6"/>
  <c r="J10" i="6"/>
  <c r="Q31" i="3"/>
  <c r="Q34" i="3"/>
  <c r="K9" i="6"/>
  <c r="K10" i="6"/>
  <c r="R31" i="3"/>
  <c r="R34" i="3"/>
  <c r="L9" i="6"/>
  <c r="L10" i="6"/>
  <c r="S31" i="3"/>
  <c r="S34" i="3"/>
  <c r="M9" i="6"/>
  <c r="M10" i="6"/>
  <c r="T31" i="3"/>
  <c r="T34" i="3"/>
  <c r="N9" i="6"/>
  <c r="N10" i="6"/>
  <c r="U31" i="3"/>
  <c r="U34" i="3"/>
  <c r="O9" i="6"/>
  <c r="O10" i="6"/>
  <c r="V31" i="3"/>
  <c r="V34" i="3"/>
  <c r="P9" i="6"/>
  <c r="P10" i="6"/>
  <c r="W31" i="3"/>
  <c r="W34" i="3"/>
  <c r="Q9" i="6"/>
  <c r="Q10" i="6"/>
  <c r="X31" i="3"/>
  <c r="X34" i="3"/>
  <c r="R9" i="6"/>
  <c r="R10" i="6"/>
  <c r="B9" i="6"/>
  <c r="B10" i="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K25" i="16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46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<sst xmlns="http://schemas.openxmlformats.org/spreadsheetml/2006/main" count="2823" uniqueCount="1351">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</sst>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5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2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5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4"/>
  <sheetViews>
    <sheetView topLeftCell="A13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2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4">
        <v>42718</v>
      </c>
    </row>
    <row r="5" spans="1:2" ht="15" thickBot="1"/>
    <row r="6" spans="1:2">
      <c r="A6" s="455" t="s">
        <v>3</v>
      </c>
      <c r="B6" s="465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6" t="s">
        <v>1209</v>
      </c>
      <c r="B30" s="466" t="s">
        <v>0</v>
      </c>
      <c r="C30" s="466" t="s">
        <v>1211</v>
      </c>
      <c r="D30" s="466" t="s">
        <v>1216</v>
      </c>
    </row>
    <row r="31" spans="1:4">
      <c r="A31" t="s">
        <v>1210</v>
      </c>
      <c r="B31" t="s">
        <v>1259</v>
      </c>
      <c r="C31" s="463">
        <v>42465</v>
      </c>
      <c r="D31" t="s">
        <v>1217</v>
      </c>
    </row>
    <row r="32" spans="1:4">
      <c r="A32" t="s">
        <v>1278</v>
      </c>
      <c r="B32" s="436" t="s">
        <v>1287</v>
      </c>
      <c r="C32" s="521">
        <v>42585</v>
      </c>
      <c r="D32" t="s">
        <v>1281</v>
      </c>
    </row>
    <row r="33" spans="1:4">
      <c r="A33" s="290" t="s">
        <v>1293</v>
      </c>
      <c r="B33" s="436" t="s">
        <v>1294</v>
      </c>
      <c r="C33" s="521">
        <v>42605</v>
      </c>
      <c r="D33" t="s">
        <v>1217</v>
      </c>
    </row>
    <row r="34" spans="1:4">
      <c r="B34" t="s">
        <v>1295</v>
      </c>
      <c r="C34" s="521">
        <v>42710</v>
      </c>
      <c r="D34" t="s">
        <v>1281</v>
      </c>
    </row>
    <row r="35" spans="1:4">
      <c r="B35" t="s">
        <v>1317</v>
      </c>
      <c r="C35" s="521">
        <v>42710</v>
      </c>
      <c r="D35" t="s">
        <v>1281</v>
      </c>
    </row>
    <row r="36" spans="1:4">
      <c r="B36" t="s">
        <v>1322</v>
      </c>
      <c r="C36" s="521">
        <v>42711</v>
      </c>
      <c r="D36" t="s">
        <v>1281</v>
      </c>
    </row>
    <row r="37" spans="1:4">
      <c r="A37" t="s">
        <v>1325</v>
      </c>
      <c r="B37" t="s">
        <v>1324</v>
      </c>
      <c r="C37" s="521">
        <v>42717</v>
      </c>
      <c r="D37" t="s">
        <v>1281</v>
      </c>
    </row>
    <row r="38" spans="1:4">
      <c r="B38" t="s">
        <v>1333</v>
      </c>
      <c r="C38" s="521">
        <v>42723</v>
      </c>
      <c r="D38" t="s">
        <v>1281</v>
      </c>
    </row>
    <row r="39" spans="1:4">
      <c r="B39" t="s">
        <v>1334</v>
      </c>
      <c r="C39" s="521">
        <v>42723</v>
      </c>
      <c r="D39" t="s">
        <v>1281</v>
      </c>
    </row>
    <row r="40" spans="1:4">
      <c r="B40" t="s">
        <v>1339</v>
      </c>
      <c r="C40" s="521">
        <v>42723</v>
      </c>
      <c r="D40" t="s">
        <v>1281</v>
      </c>
    </row>
    <row r="41" spans="1:4">
      <c r="B41" t="s">
        <v>1341</v>
      </c>
      <c r="C41" s="521">
        <v>42723</v>
      </c>
      <c r="D41" s="290" t="s">
        <v>1281</v>
      </c>
    </row>
    <row r="42" spans="1:4">
      <c r="B42" t="s">
        <v>1342</v>
      </c>
      <c r="C42" s="521">
        <v>42723</v>
      </c>
      <c r="D42" s="290" t="s">
        <v>1281</v>
      </c>
    </row>
    <row r="43" spans="1:4">
      <c r="B43" t="s">
        <v>1345</v>
      </c>
    </row>
    <row r="44" spans="1:4">
      <c r="B44" t="s">
        <v>1346</v>
      </c>
      <c r="C44" s="521">
        <v>42739</v>
      </c>
      <c r="D44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I50" sqref="I50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898</v>
      </c>
      <c r="E2" s="375" t="s">
        <v>1326</v>
      </c>
      <c r="F2" s="371"/>
      <c r="G2" s="372">
        <v>4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D45 &amp; "_" &amp;D51 &amp; "_"</f>
        <v>1stExt_1stExt_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IF(ISNUMBER(I7),I7,LEFT(I7,1)) &amp; "_" &amp; HumControl,"")</f>
        <v>1stExt_1stExt_1_4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1stExt_1stExt_2_4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/>
      <c r="K10" s="20" t="str">
        <f t="shared" si="1"/>
        <v/>
      </c>
      <c r="L10" s="458" t="str">
        <f t="shared" si="2"/>
        <v/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1stExt_1stExt_7_4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/>
      <c r="C18" s="366" t="str">
        <f>IF(B18&lt;&gt;"",A18,"")</f>
        <v/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/>
      <c r="K22" s="20" t="str">
        <f t="shared" si="1"/>
        <v/>
      </c>
      <c r="L22" s="458" t="str">
        <f t="shared" si="2"/>
        <v/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/>
      <c r="K23" s="459" t="str">
        <f t="shared" si="1"/>
        <v/>
      </c>
      <c r="L23" s="458" t="str">
        <f t="shared" si="2"/>
        <v/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0"/>
      <c r="K25" s="461">
        <f>COUNTA(B3:B5)*COUNTA(B8:B10)*COUNTA(B13:B14)*COUNTA(B18:B20) * COUNTA(B28:B33)*COUNTA(B36:B38)*COUNTA(F3:F23)*COUNTA(J7:J23)*COUNTA(B46:B48)*COUNTA(B52:B53)</f>
        <v>90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1340</v>
      </c>
    </row>
    <row r="36" spans="1:16">
      <c r="A36" s="365" t="s">
        <v>920</v>
      </c>
      <c r="B36" s="378"/>
      <c r="C36" s="366" t="str">
        <f>IF(B36&lt;&gt;"",A36,"")</f>
        <v/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 t="s">
        <v>1340</v>
      </c>
      <c r="B38" s="379" t="s">
        <v>1050</v>
      </c>
      <c r="C38" s="368" t="str">
        <f>IF(B38&lt;&gt;"",A38,"")</f>
        <v>Simple Exhaust</v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1349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65" t="s">
        <v>983</v>
      </c>
      <c r="B46" s="385" t="s">
        <v>1050</v>
      </c>
      <c r="C46" s="366" t="str">
        <f>IF(B46&lt;&gt;"",A46,"")</f>
        <v>occ_full.txt</v>
      </c>
    </row>
    <row r="47" spans="1:16">
      <c r="A47" s="365" t="s">
        <v>1336</v>
      </c>
      <c r="B47" s="386" t="s">
        <v>1050</v>
      </c>
      <c r="C47" s="366" t="str">
        <f t="shared" ref="C47:C48" si="4">IF(B47&lt;&gt;"",A47,"")</f>
        <v>occ_1stShift.txt</v>
      </c>
    </row>
    <row r="48" spans="1:16">
      <c r="A48" s="540" t="s">
        <v>1337</v>
      </c>
      <c r="B48" s="541" t="s">
        <v>1050</v>
      </c>
      <c r="C48" s="366" t="str">
        <f t="shared" si="4"/>
        <v>occ_3rdShift.txt</v>
      </c>
    </row>
    <row r="49" spans="1:4" s="290" customFormat="1">
      <c r="A49" s="20" t="s">
        <v>1349</v>
      </c>
      <c r="B49" s="541" t="s">
        <v>1050</v>
      </c>
      <c r="C49" s="366" t="str">
        <f t="shared" ref="C49" si="5">IF(B49&lt;&gt;"",A49,"")</f>
        <v>occ_1stShift_extended.txt</v>
      </c>
    </row>
    <row r="50" spans="1:4" ht="15" thickBot="1">
      <c r="A50" s="20"/>
      <c r="B50" s="542"/>
      <c r="C50" s="20"/>
    </row>
    <row r="51" spans="1:4" ht="15">
      <c r="A51" s="375" t="s">
        <v>1338</v>
      </c>
      <c r="B51" s="371"/>
      <c r="C51" s="372" t="s">
        <v>1350</v>
      </c>
      <c r="D51" t="str">
        <f>IF(fanSchedule="REGCAP_FanSchedule_1stShift.txt", "1st",IF(fanSchedule="REGCAP_FanSchedule_3rdShift.txt","3rd", "1stExt"))</f>
        <v>1stExt</v>
      </c>
    </row>
    <row r="52" spans="1:4">
      <c r="A52" s="365" t="s">
        <v>1347</v>
      </c>
      <c r="B52" s="385" t="s">
        <v>1050</v>
      </c>
      <c r="C52" s="366" t="str">
        <f>IF(B52&lt;&gt;"",A52,"")</f>
        <v>REGCAP_FanSchedule_1stShift.txt</v>
      </c>
    </row>
    <row r="53" spans="1:4">
      <c r="A53" s="540" t="s">
        <v>1348</v>
      </c>
      <c r="B53" s="541" t="s">
        <v>1050</v>
      </c>
      <c r="C53" s="366" t="str">
        <f>IF(B53&lt;&gt;"",A53,"")</f>
        <v>REGCAP_FanSchedule_3rdShift.txt</v>
      </c>
    </row>
    <row r="54" spans="1:4">
      <c r="A54" s="20" t="s">
        <v>1350</v>
      </c>
      <c r="B54" s="541" t="s">
        <v>1050</v>
      </c>
      <c r="C54" s="36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2" activePane="bottomLeft" state="frozen"/>
      <selection pane="bottomLeft" activeCell="C3" sqref="C3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REGCAP_FanSchedule_1stShift_ext.txt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occ_1stShift_extended.txt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1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2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4.6166666666666663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90.847999999999999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47.872457922529563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-8.4580314350758953E-2</v>
      </c>
      <c r="D50" t="s">
        <v>51</v>
      </c>
      <c r="G50" t="s">
        <v>50</v>
      </c>
    </row>
    <row r="51" spans="2:7">
      <c r="B51" s="407" t="s">
        <v>1094</v>
      </c>
      <c r="C51" s="515">
        <f>Fans!B14</f>
        <v>1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784.24891084927458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166.66666666666663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3.7833333333333332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0.18666666666666665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3.7833333333333332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5.3333333333333337E-2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4.6166666666666663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68.757185308095615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7.0737844967176553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0.33527146364928007</v>
      </c>
      <c r="D122" s="305" t="s">
        <v>732</v>
      </c>
      <c r="E122" s="305" t="str">
        <f>"q=" &amp;TEXT(Inputs!C122/0.3048^3*60,"0")&amp; " CFM"</f>
        <v>q=710 CFM</v>
      </c>
      <c r="F122" s="305"/>
      <c r="G122" s="3" t="s">
        <v>111</v>
      </c>
    </row>
    <row r="123" spans="1:7">
      <c r="B123" t="s">
        <v>1152</v>
      </c>
      <c r="C123" s="426">
        <f>HVAC!C28</f>
        <v>0.31713072203869752</v>
      </c>
      <c r="D123" s="305" t="s">
        <v>112</v>
      </c>
      <c r="E123" s="305" t="str">
        <f>"q=" &amp;TEXT(Inputs!C123/0.3048^3*60,"0")&amp; " CFM"</f>
        <v>q=672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</v>
      </c>
      <c r="D128" s="305" t="s">
        <v>121</v>
      </c>
      <c r="E128" s="305" t="str">
        <f>"= "&amp;TEXT(Inputs!C128*12*1055/1000,"0.0")&amp;"kJ"</f>
        <v>= 25.3kJ</v>
      </c>
      <c r="F128" s="305"/>
      <c r="G128" s="3" t="s">
        <v>111</v>
      </c>
    </row>
    <row r="129" spans="1:7">
      <c r="B129" t="s">
        <v>444</v>
      </c>
      <c r="C129" s="430">
        <f>HVAC!C25</f>
        <v>24</v>
      </c>
      <c r="D129" s="305" t="s">
        <v>122</v>
      </c>
      <c r="E129" s="305" t="str">
        <f>"= "&amp;TEXT(Inputs!C129*1055*1000/(3600)/1000,"0.0")&amp;"kW"</f>
        <v>= 7.0kW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40</v>
      </c>
      <c r="D131" s="305" t="s">
        <v>125</v>
      </c>
      <c r="E131" s="305" t="str">
        <f>"= "&amp;TEXT(Inputs!C131*1055*1000/(3600)/1000,"0.0")&amp;"kW"</f>
        <v>= 11.7kW</v>
      </c>
      <c r="F131" s="305"/>
      <c r="G131" s="3" t="s">
        <v>111</v>
      </c>
    </row>
    <row r="132" spans="1:7">
      <c r="B132" t="s">
        <v>1154</v>
      </c>
      <c r="C132" s="427">
        <f>HVAC!C30</f>
        <v>112.224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118.6435186559617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0.31679999999999997</v>
      </c>
      <c r="D140" t="s">
        <v>1319</v>
      </c>
    </row>
    <row r="141" spans="1:7" s="290" customFormat="1">
      <c r="B141" s="290" t="s">
        <v>1320</v>
      </c>
      <c r="C141" s="403">
        <v>0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4</v>
      </c>
      <c r="D151" t="s">
        <v>1327</v>
      </c>
      <c r="G151" t="s">
        <v>1171</v>
      </c>
    </row>
    <row r="152" spans="1:7" s="290" customFormat="1">
      <c r="B152" s="290" t="s">
        <v>1343</v>
      </c>
      <c r="C152" s="435">
        <f>IF(OR(HumControl=2, HumControl=4),1,0)</f>
        <v>1</v>
      </c>
      <c r="D152" s="290" t="s">
        <v>1344</v>
      </c>
    </row>
    <row r="153" spans="1:7">
      <c r="A153" s="290" t="s">
        <v>1175</v>
      </c>
      <c r="B153" t="s">
        <v>1161</v>
      </c>
      <c r="C153" s="454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52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51">
        <f>Dehumidifier!B10</f>
        <v>55</v>
      </c>
      <c r="D155" t="s">
        <v>1169</v>
      </c>
      <c r="G155" s="290" t="s">
        <v>1203</v>
      </c>
    </row>
    <row r="156" spans="1:7">
      <c r="B156" t="s">
        <v>1165</v>
      </c>
      <c r="C156" s="453">
        <f>Dehumidifier!B11</f>
        <v>2.5</v>
      </c>
      <c r="D156" t="s">
        <v>1170</v>
      </c>
      <c r="E156" t="s">
        <v>1166</v>
      </c>
      <c r="G156" s="290" t="s">
        <v>1203</v>
      </c>
    </row>
    <row r="157" spans="1:7">
      <c r="A157" s="305" t="s">
        <v>1206</v>
      </c>
      <c r="B157" t="s">
        <v>1223</v>
      </c>
      <c r="C157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tabSelected="1"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4" sqref="B4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3" width="12.83203125" style="13" customWidth="1" outlineLevel="1"/>
    <col min="4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Inputs!$C$3</f>
        <v>REGCAP_FanSchedule_1stShift_ext.txt</v>
      </c>
      <c r="D3" s="57" t="str">
        <f>Inputs!$C$3</f>
        <v>REGCAP_FanSchedule_1stShift_ext.txt</v>
      </c>
      <c r="E3" s="57" t="str">
        <f>Inputs!$C$3</f>
        <v>REGCAP_FanSchedule_1stShift_ext.txt</v>
      </c>
      <c r="F3" s="57" t="str">
        <f>Inputs!$C$3</f>
        <v>REGCAP_FanSchedule_1stShift_ext.txt</v>
      </c>
      <c r="G3" s="57" t="str">
        <f>Inputs!$C$3</f>
        <v>REGCAP_FanSchedule_1stShift_ext.txt</v>
      </c>
      <c r="H3" s="57" t="str">
        <f>Inputs!$C$3</f>
        <v>REGCAP_FanSchedule_1stShift_ext.txt</v>
      </c>
      <c r="I3" s="57" t="str">
        <f>Inputs!$C$3</f>
        <v>REGCAP_FanSchedule_1stShift_ext.txt</v>
      </c>
      <c r="J3" s="57" t="str">
        <f>Inputs!$C$3</f>
        <v>REGCAP_FanSchedule_1stShift_ext.txt</v>
      </c>
      <c r="K3" s="57" t="str">
        <f>Inputs!$C$3</f>
        <v>REGCAP_FanSchedule_1stShift_ext.txt</v>
      </c>
      <c r="L3" s="57" t="str">
        <f>Inputs!$C$3</f>
        <v>REGCAP_FanSchedule_1stShift_ext.txt</v>
      </c>
      <c r="M3" s="57" t="str">
        <f>Inputs!$C$3</f>
        <v>REGCAP_FanSchedule_1stShift_ext.txt</v>
      </c>
      <c r="N3" s="57" t="str">
        <f>Inputs!$C$3</f>
        <v>REGCAP_FanSchedule_1stShift_ext.txt</v>
      </c>
      <c r="O3" s="57" t="str">
        <f>Inputs!$C$3</f>
        <v>REGCAP_FanSchedule_1stShift_ext.txt</v>
      </c>
      <c r="P3" s="57" t="str">
        <f>Inputs!$C$3</f>
        <v>REGCAP_FanSchedule_1stShift_ext.txt</v>
      </c>
      <c r="Q3" s="57" t="str">
        <f>Inputs!$C$3</f>
        <v>REGCAP_FanSchedule_1stShift_ext.txt</v>
      </c>
      <c r="R3" s="57" t="str">
        <f>Inputs!$C$3</f>
        <v>REGCAP_FanSchedule_1stShift_ext.txt</v>
      </c>
      <c r="S3" s="57" t="str">
        <f>Inputs!$C$3</f>
        <v>REGCAP_FanSchedule_1stShift_ext.txt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occ_1stShift_extended.txt</v>
      </c>
      <c r="D5" s="57" t="str">
        <f>Inputs!$C$5</f>
        <v>occ_1stShift_extended.txt</v>
      </c>
      <c r="E5" s="57" t="str">
        <f>Inputs!$C$5</f>
        <v>occ_1stShift_extended.txt</v>
      </c>
      <c r="F5" s="57" t="str">
        <f>Inputs!$C$5</f>
        <v>occ_1stShift_extended.txt</v>
      </c>
      <c r="G5" s="57" t="str">
        <f>Inputs!$C$5</f>
        <v>occ_1stShift_extended.txt</v>
      </c>
      <c r="H5" s="57" t="str">
        <f>Inputs!$C$5</f>
        <v>occ_1stShift_extended.txt</v>
      </c>
      <c r="I5" s="57" t="str">
        <f>Inputs!$C$5</f>
        <v>occ_1stShift_extended.txt</v>
      </c>
      <c r="J5" s="57" t="str">
        <f>Inputs!$C$5</f>
        <v>occ_1stShift_extended.txt</v>
      </c>
      <c r="K5" s="57" t="str">
        <f>Inputs!$C$5</f>
        <v>occ_1stShift_extended.txt</v>
      </c>
      <c r="L5" s="57" t="str">
        <f>Inputs!$C$5</f>
        <v>occ_1stShift_extended.txt</v>
      </c>
      <c r="M5" s="57" t="str">
        <f>Inputs!$C$5</f>
        <v>occ_1stShift_extended.txt</v>
      </c>
      <c r="N5" s="57" t="str">
        <f>Inputs!$C$5</f>
        <v>occ_1stShift_extended.txt</v>
      </c>
      <c r="O5" s="57" t="str">
        <f>Inputs!$C$5</f>
        <v>occ_1stShift_extended.txt</v>
      </c>
      <c r="P5" s="57" t="str">
        <f>Inputs!$C$5</f>
        <v>occ_1stShift_extended.txt</v>
      </c>
      <c r="Q5" s="57" t="str">
        <f>Inputs!$C$5</f>
        <v>occ_1stShift_extended.txt</v>
      </c>
      <c r="R5" s="57" t="str">
        <f>Inputs!$C$5</f>
        <v>occ_1stShift_extended.txt</v>
      </c>
      <c r="S5" s="57" t="str">
        <f>Inputs!$C$5</f>
        <v>occ_1stShift_extended.txt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4.6166666666666663</v>
      </c>
      <c r="D18" s="169">
        <f t="shared" si="2"/>
        <v>4.6166666666666663</v>
      </c>
      <c r="E18" s="169">
        <f t="shared" si="2"/>
        <v>4.6166666666666663</v>
      </c>
      <c r="F18" s="169">
        <f t="shared" si="2"/>
        <v>4.6166666666666663</v>
      </c>
      <c r="G18" s="169">
        <f t="shared" si="2"/>
        <v>4.6166666666666663</v>
      </c>
      <c r="H18" s="169">
        <f t="shared" si="2"/>
        <v>4.6166666666666663</v>
      </c>
      <c r="I18" s="169">
        <f t="shared" si="2"/>
        <v>4.6166666666666663</v>
      </c>
      <c r="J18" s="169">
        <f t="shared" si="2"/>
        <v>4.6166666666666663</v>
      </c>
      <c r="K18" s="169">
        <f t="shared" si="2"/>
        <v>4.6166666666666663</v>
      </c>
      <c r="L18" s="169">
        <f t="shared" si="2"/>
        <v>4.6166666666666663</v>
      </c>
      <c r="M18" s="169">
        <f t="shared" si="2"/>
        <v>4.6166666666666663</v>
      </c>
      <c r="N18" s="169">
        <f t="shared" si="2"/>
        <v>4.6166666666666663</v>
      </c>
      <c r="O18" s="169">
        <f t="shared" si="2"/>
        <v>4.6166666666666663</v>
      </c>
      <c r="P18" s="169">
        <f t="shared" si="2"/>
        <v>4.6166666666666663</v>
      </c>
      <c r="Q18" s="169">
        <f t="shared" si="2"/>
        <v>4.6166666666666663</v>
      </c>
      <c r="R18" s="169">
        <f t="shared" si="2"/>
        <v>4.6166666666666663</v>
      </c>
      <c r="S18" s="169">
        <f t="shared" si="2"/>
        <v>4.6166666666666663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4.6166666666666663</v>
      </c>
      <c r="D21" s="169">
        <f t="shared" si="2"/>
        <v>4.6166666666666663</v>
      </c>
      <c r="E21" s="169">
        <f t="shared" si="2"/>
        <v>4.6166666666666663</v>
      </c>
      <c r="F21" s="169">
        <f t="shared" si="2"/>
        <v>4.6166666666666663</v>
      </c>
      <c r="G21" s="169">
        <f t="shared" si="2"/>
        <v>4.6166666666666663</v>
      </c>
      <c r="H21" s="169">
        <f t="shared" si="2"/>
        <v>4.6166666666666663</v>
      </c>
      <c r="I21" s="169">
        <f t="shared" si="2"/>
        <v>4.6166666666666663</v>
      </c>
      <c r="J21" s="169">
        <f t="shared" si="2"/>
        <v>4.6166666666666663</v>
      </c>
      <c r="K21" s="169">
        <f t="shared" si="2"/>
        <v>4.6166666666666663</v>
      </c>
      <c r="L21" s="169">
        <f t="shared" si="2"/>
        <v>4.6166666666666663</v>
      </c>
      <c r="M21" s="169">
        <f t="shared" si="2"/>
        <v>4.6166666666666663</v>
      </c>
      <c r="N21" s="169">
        <f t="shared" si="2"/>
        <v>4.6166666666666663</v>
      </c>
      <c r="O21" s="169">
        <f t="shared" si="2"/>
        <v>4.6166666666666663</v>
      </c>
      <c r="P21" s="169">
        <f t="shared" si="2"/>
        <v>4.6166666666666663</v>
      </c>
      <c r="Q21" s="169">
        <f t="shared" si="2"/>
        <v>4.6166666666666663</v>
      </c>
      <c r="R21" s="169">
        <f t="shared" si="2"/>
        <v>4.6166666666666663</v>
      </c>
      <c r="S21" s="169">
        <f t="shared" si="2"/>
        <v>4.6166666666666663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6">
        <f t="shared" si="3"/>
        <v>500</v>
      </c>
      <c r="T35" s="343"/>
    </row>
    <row r="36" spans="1:22" ht="15" customHeight="1">
      <c r="B36" s="305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6">
        <f t="shared" si="3"/>
        <v>200</v>
      </c>
      <c r="T36" s="343"/>
    </row>
    <row r="37" spans="1:22" ht="15" customHeight="1">
      <c r="B37" s="305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6">
        <f t="shared" si="3"/>
        <v>200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43"/>
      <c r="V39" s="305"/>
    </row>
    <row r="40" spans="1:22" ht="15" customHeight="1">
      <c r="B40" s="305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43"/>
    </row>
    <row r="41" spans="1:22" s="305" customFormat="1" ht="15" customHeight="1">
      <c r="B41" s="305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47.872457922529563</v>
      </c>
      <c r="D49" s="401">
        <f>Fans!C12</f>
        <v>47.776889812815085</v>
      </c>
      <c r="E49" s="401">
        <f>Fans!D12</f>
        <v>47.679018857083378</v>
      </c>
      <c r="F49" s="401">
        <f>Fans!E12</f>
        <v>48.116047856795127</v>
      </c>
      <c r="G49" s="401">
        <f>Fans!F12</f>
        <v>47.965723186226832</v>
      </c>
      <c r="H49" s="401">
        <f>Fans!G12</f>
        <v>46.929442478479423</v>
      </c>
      <c r="I49" s="401">
        <f>Fans!H12</f>
        <v>47.809001721166268</v>
      </c>
      <c r="J49" s="401">
        <f>Fans!I12</f>
        <v>47.476368407568344</v>
      </c>
      <c r="K49" s="401">
        <f>Fans!J12</f>
        <v>47.389212082611181</v>
      </c>
      <c r="L49" s="401">
        <f>Fans!K12</f>
        <v>47.965723186226832</v>
      </c>
      <c r="M49" s="401">
        <f>Fans!L12</f>
        <v>48.203172197779821</v>
      </c>
      <c r="N49" s="401">
        <f>Fans!M12</f>
        <v>47.903802215541681</v>
      </c>
      <c r="O49" s="401">
        <f>Fans!N12</f>
        <v>47.776889812815085</v>
      </c>
      <c r="P49" s="401">
        <f>Fans!O12</f>
        <v>47.30045655903097</v>
      </c>
      <c r="Q49" s="401">
        <f>Fans!P12</f>
        <v>48.397506814454921</v>
      </c>
      <c r="R49" s="401">
        <f>Fans!Q12</f>
        <v>48.145345175569723</v>
      </c>
      <c r="S49" s="401">
        <f>Fans!R12</f>
        <v>48.329540872974569</v>
      </c>
      <c r="T49" s="343"/>
    </row>
    <row r="50" spans="2:20" ht="15" customHeight="1">
      <c r="B50" s="305" t="s">
        <v>1093</v>
      </c>
      <c r="C50" s="214">
        <f>Fans!B13</f>
        <v>-8.4580314350758953E-2</v>
      </c>
      <c r="D50" s="214">
        <f>Fans!C13</f>
        <v>-8.4411466100380014E-2</v>
      </c>
      <c r="E50" s="214">
        <f>Fans!D13</f>
        <v>-8.4238549217461808E-2</v>
      </c>
      <c r="F50" s="214">
        <f>Fans!E13</f>
        <v>-8.5010685259355359E-2</v>
      </c>
      <c r="G50" s="214">
        <f>Fans!F13</f>
        <v>-8.4745093968598653E-2</v>
      </c>
      <c r="H50" s="214">
        <f>Fans!G13</f>
        <v>-8.2914209325935392E-2</v>
      </c>
      <c r="I50" s="214">
        <f>Fans!H13</f>
        <v>-8.4468200920788467E-2</v>
      </c>
      <c r="J50" s="214">
        <f>Fans!I13</f>
        <v>-8.3880509554007679E-2</v>
      </c>
      <c r="K50" s="214">
        <f>Fans!J13</f>
        <v>-8.3726523114154044E-2</v>
      </c>
      <c r="L50" s="214">
        <f>Fans!K13</f>
        <v>-8.4745093968598653E-2</v>
      </c>
      <c r="M50" s="214">
        <f>Fans!L13</f>
        <v>-8.5164615190423718E-2</v>
      </c>
      <c r="N50" s="214">
        <f>Fans!M13</f>
        <v>-8.4635692960321002E-2</v>
      </c>
      <c r="O50" s="214">
        <f>Fans!N13</f>
        <v>-8.4411466100380014E-2</v>
      </c>
      <c r="P50" s="214">
        <f>Fans!O13</f>
        <v>-8.3569711235037064E-2</v>
      </c>
      <c r="Q50" s="214">
        <f>Fans!P13</f>
        <v>-8.5507962569708343E-2</v>
      </c>
      <c r="R50" s="214">
        <f>Fans!Q13</f>
        <v>-8.5062447306660294E-2</v>
      </c>
      <c r="S50" s="214">
        <f>Fans!R13</f>
        <v>-8.538788140101515E-2</v>
      </c>
      <c r="T50" s="343"/>
    </row>
    <row r="51" spans="2:20" ht="15" customHeight="1">
      <c r="B51" s="305" t="s">
        <v>1094</v>
      </c>
      <c r="C51" s="213">
        <f>Fans!B14</f>
        <v>1</v>
      </c>
      <c r="D51" s="213">
        <f>Fans!C14</f>
        <v>1</v>
      </c>
      <c r="E51" s="213">
        <f>Fans!D14</f>
        <v>1</v>
      </c>
      <c r="F51" s="213">
        <f>Fans!E14</f>
        <v>1</v>
      </c>
      <c r="G51" s="213">
        <f>Fans!F14</f>
        <v>1</v>
      </c>
      <c r="H51" s="213">
        <f>Fans!G14</f>
        <v>1</v>
      </c>
      <c r="I51" s="213">
        <f>Fans!H14</f>
        <v>1</v>
      </c>
      <c r="J51" s="213">
        <f>Fans!I14</f>
        <v>1</v>
      </c>
      <c r="K51" s="213">
        <f>Fans!J14</f>
        <v>1</v>
      </c>
      <c r="L51" s="213">
        <f>Fans!K14</f>
        <v>1</v>
      </c>
      <c r="M51" s="213">
        <f>Fans!L14</f>
        <v>1</v>
      </c>
      <c r="N51" s="213">
        <f>Fans!M14</f>
        <v>1</v>
      </c>
      <c r="O51" s="213">
        <f>Fans!N14</f>
        <v>1</v>
      </c>
      <c r="P51" s="213">
        <f>Fans!O14</f>
        <v>1</v>
      </c>
      <c r="Q51" s="213">
        <f>Fans!P14</f>
        <v>1</v>
      </c>
      <c r="R51" s="213">
        <f>Fans!Q14</f>
        <v>1</v>
      </c>
      <c r="S51" s="213">
        <f>Fans!R14</f>
        <v>1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112.224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112.224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112.224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0.31713072203869752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0.31713072203869752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0.31713072203869752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20</v>
      </c>
      <c r="D73" s="169">
        <f t="shared" ref="D73:S73" si="38">C73</f>
        <v>20</v>
      </c>
      <c r="E73" s="169">
        <f t="shared" si="38"/>
        <v>20</v>
      </c>
      <c r="F73" s="169">
        <f t="shared" si="38"/>
        <v>20</v>
      </c>
      <c r="G73" s="169">
        <f t="shared" si="38"/>
        <v>20</v>
      </c>
      <c r="H73" s="169">
        <f t="shared" si="38"/>
        <v>20</v>
      </c>
      <c r="I73" s="169">
        <f t="shared" si="38"/>
        <v>20</v>
      </c>
      <c r="J73" s="169">
        <f t="shared" si="38"/>
        <v>20</v>
      </c>
      <c r="K73" s="169">
        <f t="shared" si="38"/>
        <v>20</v>
      </c>
      <c r="L73" s="169">
        <f t="shared" si="38"/>
        <v>20</v>
      </c>
      <c r="M73" s="169">
        <f t="shared" si="38"/>
        <v>20</v>
      </c>
      <c r="N73" s="169">
        <f t="shared" si="38"/>
        <v>20</v>
      </c>
      <c r="O73" s="169">
        <f t="shared" si="38"/>
        <v>20</v>
      </c>
      <c r="P73" s="169">
        <f t="shared" si="38"/>
        <v>20</v>
      </c>
      <c r="Q73" s="169">
        <f t="shared" si="38"/>
        <v>20</v>
      </c>
      <c r="R73" s="169">
        <f t="shared" si="38"/>
        <v>20</v>
      </c>
      <c r="S73" s="169">
        <f t="shared" si="38"/>
        <v>20</v>
      </c>
    </row>
    <row r="74" spans="1:20" ht="15" customHeight="1">
      <c r="B74" s="305" t="s">
        <v>440</v>
      </c>
      <c r="C74" s="169">
        <f>Inputs!C74</f>
        <v>10</v>
      </c>
      <c r="D74" s="169">
        <f t="shared" ref="D74:S74" si="39">C74</f>
        <v>10</v>
      </c>
      <c r="E74" s="169">
        <f t="shared" si="39"/>
        <v>10</v>
      </c>
      <c r="F74" s="169">
        <f t="shared" si="39"/>
        <v>10</v>
      </c>
      <c r="G74" s="169">
        <f t="shared" si="39"/>
        <v>10</v>
      </c>
      <c r="H74" s="169">
        <f t="shared" si="39"/>
        <v>10</v>
      </c>
      <c r="I74" s="169">
        <f t="shared" si="39"/>
        <v>10</v>
      </c>
      <c r="J74" s="169">
        <f t="shared" si="39"/>
        <v>10</v>
      </c>
      <c r="K74" s="169">
        <f t="shared" si="39"/>
        <v>10</v>
      </c>
      <c r="L74" s="169">
        <f t="shared" si="39"/>
        <v>10</v>
      </c>
      <c r="M74" s="169">
        <f t="shared" si="39"/>
        <v>10</v>
      </c>
      <c r="N74" s="169">
        <f t="shared" si="39"/>
        <v>10</v>
      </c>
      <c r="O74" s="169">
        <f t="shared" si="39"/>
        <v>10</v>
      </c>
      <c r="P74" s="169">
        <f t="shared" si="39"/>
        <v>10</v>
      </c>
      <c r="Q74" s="169">
        <f t="shared" si="39"/>
        <v>10</v>
      </c>
      <c r="R74" s="169">
        <f t="shared" si="39"/>
        <v>10</v>
      </c>
      <c r="S74" s="169">
        <f t="shared" si="39"/>
        <v>10</v>
      </c>
    </row>
    <row r="75" spans="1:20" ht="15" customHeight="1">
      <c r="B75" s="305" t="s">
        <v>441</v>
      </c>
      <c r="C75" s="169">
        <f>Inputs!C75</f>
        <v>10</v>
      </c>
      <c r="D75" s="169">
        <f t="shared" ref="D75:S91" si="40">C75</f>
        <v>10</v>
      </c>
      <c r="E75" s="169">
        <f t="shared" si="40"/>
        <v>10</v>
      </c>
      <c r="F75" s="169">
        <f t="shared" si="40"/>
        <v>10</v>
      </c>
      <c r="G75" s="169">
        <f t="shared" si="40"/>
        <v>10</v>
      </c>
      <c r="H75" s="169">
        <f t="shared" si="40"/>
        <v>10</v>
      </c>
      <c r="I75" s="169">
        <f t="shared" si="40"/>
        <v>10</v>
      </c>
      <c r="J75" s="169">
        <f t="shared" si="40"/>
        <v>10</v>
      </c>
      <c r="K75" s="169">
        <f t="shared" si="40"/>
        <v>10</v>
      </c>
      <c r="L75" s="169">
        <f t="shared" si="40"/>
        <v>10</v>
      </c>
      <c r="M75" s="169">
        <f t="shared" si="40"/>
        <v>10</v>
      </c>
      <c r="N75" s="169">
        <f t="shared" si="40"/>
        <v>10</v>
      </c>
      <c r="O75" s="169">
        <f t="shared" si="40"/>
        <v>10</v>
      </c>
      <c r="P75" s="169">
        <f t="shared" si="40"/>
        <v>10</v>
      </c>
      <c r="Q75" s="169">
        <f t="shared" si="40"/>
        <v>10</v>
      </c>
      <c r="R75" s="169">
        <f t="shared" si="40"/>
        <v>10</v>
      </c>
      <c r="S75" s="169">
        <f t="shared" si="40"/>
        <v>10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6">
        <f t="shared" si="40"/>
        <v>784.24891084927458</v>
      </c>
    </row>
    <row r="81" spans="1:19" ht="15" customHeight="1">
      <c r="A81" s="305" t="s">
        <v>70</v>
      </c>
      <c r="B81" s="305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6">
        <f t="shared" si="40"/>
        <v>166.66666666666663</v>
      </c>
    </row>
    <row r="82" spans="1:19" ht="15" customHeight="1">
      <c r="B82" s="305" t="s">
        <v>1123</v>
      </c>
      <c r="C82" s="169">
        <f>Inputs!C82</f>
        <v>0.37750080048057194</v>
      </c>
      <c r="D82" s="169">
        <f t="shared" si="41"/>
        <v>0.37750080048057194</v>
      </c>
      <c r="E82" s="169">
        <f t="shared" si="40"/>
        <v>0.37750080048057194</v>
      </c>
      <c r="F82" s="169">
        <f t="shared" si="40"/>
        <v>0.37750080048057194</v>
      </c>
      <c r="G82" s="169">
        <f t="shared" si="40"/>
        <v>0.37750080048057194</v>
      </c>
      <c r="H82" s="169">
        <f t="shared" si="40"/>
        <v>0.37750080048057194</v>
      </c>
      <c r="I82" s="169">
        <f t="shared" si="40"/>
        <v>0.37750080048057194</v>
      </c>
      <c r="J82" s="169">
        <f t="shared" si="40"/>
        <v>0.37750080048057194</v>
      </c>
      <c r="K82" s="169">
        <f t="shared" si="40"/>
        <v>0.37750080048057194</v>
      </c>
      <c r="L82" s="169">
        <f t="shared" si="40"/>
        <v>0.37750080048057194</v>
      </c>
      <c r="M82" s="169">
        <f t="shared" si="40"/>
        <v>0.37750080048057194</v>
      </c>
      <c r="N82" s="169">
        <f t="shared" si="40"/>
        <v>0.37750080048057194</v>
      </c>
      <c r="O82" s="169">
        <f t="shared" si="40"/>
        <v>0.37750080048057194</v>
      </c>
      <c r="P82" s="169">
        <f t="shared" si="40"/>
        <v>0.37750080048057194</v>
      </c>
      <c r="Q82" s="169">
        <f t="shared" si="40"/>
        <v>0.37750080048057194</v>
      </c>
      <c r="R82" s="169">
        <f t="shared" si="40"/>
        <v>0.37750080048057194</v>
      </c>
      <c r="S82" s="169">
        <f t="shared" si="40"/>
        <v>0.37750080048057194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5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3.7833333333333332</v>
      </c>
      <c r="D99" s="169">
        <f t="shared" si="46"/>
        <v>3.7833333333333332</v>
      </c>
      <c r="E99" s="169">
        <f t="shared" si="46"/>
        <v>3.7833333333333332</v>
      </c>
      <c r="F99" s="169">
        <f t="shared" si="46"/>
        <v>3.7833333333333332</v>
      </c>
      <c r="G99" s="169">
        <f t="shared" si="46"/>
        <v>3.7833333333333332</v>
      </c>
      <c r="H99" s="169">
        <f t="shared" si="46"/>
        <v>3.7833333333333332</v>
      </c>
      <c r="I99" s="169">
        <f t="shared" si="46"/>
        <v>3.7833333333333332</v>
      </c>
      <c r="J99" s="169">
        <f t="shared" si="46"/>
        <v>3.7833333333333332</v>
      </c>
      <c r="K99" s="169">
        <f t="shared" si="46"/>
        <v>3.7833333333333332</v>
      </c>
      <c r="L99" s="169">
        <f t="shared" si="46"/>
        <v>3.7833333333333332</v>
      </c>
      <c r="M99" s="169">
        <f t="shared" si="46"/>
        <v>3.7833333333333332</v>
      </c>
      <c r="N99" s="169">
        <f t="shared" si="46"/>
        <v>3.7833333333333332</v>
      </c>
      <c r="O99" s="169">
        <f t="shared" si="46"/>
        <v>3.7833333333333332</v>
      </c>
      <c r="P99" s="169">
        <f t="shared" si="46"/>
        <v>3.7833333333333332</v>
      </c>
      <c r="Q99" s="169">
        <f t="shared" si="46"/>
        <v>3.7833333333333332</v>
      </c>
      <c r="R99" s="169">
        <f t="shared" si="46"/>
        <v>3.7833333333333332</v>
      </c>
      <c r="S99" s="169">
        <f t="shared" si="46"/>
        <v>3.7833333333333332</v>
      </c>
    </row>
    <row r="100" spans="1:19" ht="15" customHeight="1">
      <c r="B100" s="305" t="s">
        <v>1253</v>
      </c>
      <c r="C100" s="169">
        <f>Inputs!C100</f>
        <v>5.3333333333333337E-2</v>
      </c>
      <c r="D100" s="169">
        <f t="shared" si="46"/>
        <v>5.3333333333333337E-2</v>
      </c>
      <c r="E100" s="169">
        <f t="shared" si="46"/>
        <v>5.3333333333333337E-2</v>
      </c>
      <c r="F100" s="169">
        <f t="shared" si="46"/>
        <v>5.3333333333333337E-2</v>
      </c>
      <c r="G100" s="169">
        <f t="shared" si="46"/>
        <v>5.3333333333333337E-2</v>
      </c>
      <c r="H100" s="169">
        <f t="shared" si="46"/>
        <v>5.3333333333333337E-2</v>
      </c>
      <c r="I100" s="169">
        <f t="shared" si="46"/>
        <v>5.3333333333333337E-2</v>
      </c>
      <c r="J100" s="169">
        <f t="shared" si="46"/>
        <v>5.3333333333333337E-2</v>
      </c>
      <c r="K100" s="169">
        <f t="shared" si="46"/>
        <v>5.3333333333333337E-2</v>
      </c>
      <c r="L100" s="169">
        <f t="shared" si="46"/>
        <v>5.3333333333333337E-2</v>
      </c>
      <c r="M100" s="169">
        <f t="shared" si="46"/>
        <v>5.3333333333333337E-2</v>
      </c>
      <c r="N100" s="169">
        <f t="shared" si="46"/>
        <v>5.3333333333333337E-2</v>
      </c>
      <c r="O100" s="169">
        <f t="shared" si="46"/>
        <v>5.3333333333333337E-2</v>
      </c>
      <c r="P100" s="169">
        <f t="shared" si="46"/>
        <v>5.3333333333333337E-2</v>
      </c>
      <c r="Q100" s="169">
        <f t="shared" si="46"/>
        <v>5.3333333333333337E-2</v>
      </c>
      <c r="R100" s="169">
        <f t="shared" si="46"/>
        <v>5.3333333333333337E-2</v>
      </c>
      <c r="S100" s="169">
        <f t="shared" si="46"/>
        <v>5.3333333333333337E-2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6">
        <f t="shared" si="46"/>
        <v>4.6166666666666663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6">
        <f t="shared" si="47"/>
        <v>68.757185308095615</v>
      </c>
    </row>
    <row r="119" spans="1:19" ht="15" customHeight="1">
      <c r="B119" s="305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6">
        <f t="shared" si="47"/>
        <v>7.0737844967176553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0.33527146364928007</v>
      </c>
      <c r="D122" s="324">
        <f>HVAC!D27</f>
        <v>0.33527146364928007</v>
      </c>
      <c r="E122" s="324" t="e">
        <f>HVAC!E27</f>
        <v>#N/A</v>
      </c>
      <c r="F122" s="324">
        <f>HVAC!F27</f>
        <v>0.3644378156390401</v>
      </c>
      <c r="G122" s="324" t="e">
        <f>HVAC!G27</f>
        <v>#N/A</v>
      </c>
      <c r="H122" s="324" t="e">
        <f>HVAC!H27</f>
        <v>#N/A</v>
      </c>
      <c r="I122" s="324">
        <f>HVAC!I27</f>
        <v>0.3644378156390401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0.33527146364928007</v>
      </c>
      <c r="S122" s="324">
        <f>HVAC!S27</f>
        <v>0.3644378156390401</v>
      </c>
    </row>
    <row r="123" spans="1:19" ht="15" customHeight="1">
      <c r="B123" s="305" t="s">
        <v>1152</v>
      </c>
      <c r="C123" s="325">
        <f>HVAC!C28</f>
        <v>0.31713072203869752</v>
      </c>
      <c r="D123" s="325">
        <f>HVAC!D28</f>
        <v>0.23784804152902314</v>
      </c>
      <c r="E123" s="325" t="e">
        <f>HVAC!E28</f>
        <v>#N/A</v>
      </c>
      <c r="F123" s="325">
        <f>HVAC!F28</f>
        <v>0.31713072203869752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0.31713072203869752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</v>
      </c>
      <c r="D128" s="10">
        <f>HVAC!D24</f>
        <v>2</v>
      </c>
      <c r="E128" s="10" t="e">
        <f>HVAC!E24</f>
        <v>#N/A</v>
      </c>
      <c r="F128" s="10">
        <f>HVAC!F24</f>
        <v>2</v>
      </c>
      <c r="G128" s="10" t="e">
        <f>HVAC!G24</f>
        <v>#N/A</v>
      </c>
      <c r="H128" s="10" t="e">
        <f>HVAC!H24</f>
        <v>#N/A</v>
      </c>
      <c r="I128" s="10">
        <f>HVAC!I24</f>
        <v>2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</v>
      </c>
      <c r="S128" s="10">
        <f>HVAC!S24</f>
        <v>2</v>
      </c>
    </row>
    <row r="129" spans="1:20" ht="15" customHeight="1">
      <c r="B129" s="305" t="s">
        <v>444</v>
      </c>
      <c r="C129" s="9">
        <f>HVAC!C25</f>
        <v>24</v>
      </c>
      <c r="D129" s="9">
        <f>HVAC!D25</f>
        <v>24</v>
      </c>
      <c r="E129" s="9" t="e">
        <f>HVAC!E25</f>
        <v>#N/A</v>
      </c>
      <c r="F129" s="9">
        <f>HVAC!F25</f>
        <v>24</v>
      </c>
      <c r="G129" s="9" t="e">
        <f>HVAC!G25</f>
        <v>#N/A</v>
      </c>
      <c r="H129" s="9" t="e">
        <f>HVAC!H25</f>
        <v>#N/A</v>
      </c>
      <c r="I129" s="9">
        <f>HVAC!I25</f>
        <v>24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24</v>
      </c>
      <c r="S129" s="9">
        <f>HVAC!S25</f>
        <v>24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40</v>
      </c>
      <c r="D131" s="10">
        <f>HVAC!D26</f>
        <v>30</v>
      </c>
      <c r="E131" s="10" t="e">
        <f>HVAC!E26</f>
        <v>#N/A</v>
      </c>
      <c r="F131" s="10">
        <f>HVAC!F26</f>
        <v>40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40</v>
      </c>
    </row>
    <row r="132" spans="1:20" ht="15" customHeight="1">
      <c r="B132" s="305" t="s">
        <v>1154</v>
      </c>
      <c r="C132" s="322">
        <f>HVAC!C30</f>
        <v>112.224</v>
      </c>
      <c r="D132" s="322">
        <f>HVAC!D30</f>
        <v>84.168000000000021</v>
      </c>
      <c r="E132" s="322" t="e">
        <f>HVAC!E30</f>
        <v>#N/A</v>
      </c>
      <c r="F132" s="322">
        <f>HVAC!F30</f>
        <v>112.224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112.224</v>
      </c>
    </row>
    <row r="133" spans="1:20" ht="15" customHeight="1">
      <c r="B133" s="305" t="s">
        <v>1155</v>
      </c>
      <c r="C133" s="323">
        <f>HVAC!C29</f>
        <v>118.6435186559617</v>
      </c>
      <c r="D133" s="323">
        <f>HVAC!D29</f>
        <v>118.6435186559617</v>
      </c>
      <c r="E133" s="323" t="e">
        <f>HVAC!E29</f>
        <v>#N/A</v>
      </c>
      <c r="F133" s="323">
        <f>HVAC!F29</f>
        <v>128.96470313363403</v>
      </c>
      <c r="G133" s="323" t="e">
        <f>HVAC!G29</f>
        <v>#N/A</v>
      </c>
      <c r="H133" s="323" t="e">
        <f>HVAC!H29</f>
        <v>#N/A</v>
      </c>
      <c r="I133" s="323">
        <f>HVAC!I29</f>
        <v>128.96470313363403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118.6435186559617</v>
      </c>
      <c r="S133" s="323">
        <f>HVAC!S29</f>
        <v>128.96470313363403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0.31679999999999997</v>
      </c>
      <c r="D140" s="224">
        <f>C140</f>
        <v>0.31679999999999997</v>
      </c>
      <c r="E140" s="224">
        <f t="shared" si="51"/>
        <v>0.31679999999999997</v>
      </c>
      <c r="F140" s="224">
        <f t="shared" si="51"/>
        <v>0.31679999999999997</v>
      </c>
      <c r="G140" s="224">
        <f t="shared" si="51"/>
        <v>0.31679999999999997</v>
      </c>
      <c r="H140" s="224">
        <f t="shared" si="51"/>
        <v>0.31679999999999997</v>
      </c>
      <c r="I140" s="224">
        <f t="shared" si="51"/>
        <v>0.31679999999999997</v>
      </c>
      <c r="J140" s="224">
        <f t="shared" si="51"/>
        <v>0.31679999999999997</v>
      </c>
      <c r="K140" s="224">
        <f t="shared" si="51"/>
        <v>0.31679999999999997</v>
      </c>
      <c r="L140" s="224">
        <f t="shared" si="51"/>
        <v>0.31679999999999997</v>
      </c>
      <c r="M140" s="224">
        <f t="shared" si="51"/>
        <v>0.31679999999999997</v>
      </c>
      <c r="N140" s="224">
        <f t="shared" si="51"/>
        <v>0.31679999999999997</v>
      </c>
      <c r="O140" s="224">
        <f t="shared" si="51"/>
        <v>0.31679999999999997</v>
      </c>
      <c r="P140" s="224">
        <f t="shared" si="51"/>
        <v>0.31679999999999997</v>
      </c>
      <c r="Q140" s="224">
        <f t="shared" si="51"/>
        <v>0.31679999999999997</v>
      </c>
      <c r="R140" s="224">
        <f t="shared" si="51"/>
        <v>0.31679999999999997</v>
      </c>
      <c r="S140" s="224">
        <f t="shared" si="51"/>
        <v>0.31679999999999997</v>
      </c>
      <c r="T140" s="69"/>
    </row>
    <row r="141" spans="1:20" s="305" customFormat="1" ht="15" customHeight="1">
      <c r="B141" s="305" t="s">
        <v>1320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4</v>
      </c>
      <c r="D151" s="275">
        <f>C151</f>
        <v>4</v>
      </c>
      <c r="E151" s="275">
        <f t="shared" ref="E151:S151" si="54">D151</f>
        <v>4</v>
      </c>
      <c r="F151" s="275">
        <f t="shared" si="54"/>
        <v>4</v>
      </c>
      <c r="G151" s="275">
        <f t="shared" si="54"/>
        <v>4</v>
      </c>
      <c r="H151" s="275">
        <f t="shared" si="54"/>
        <v>4</v>
      </c>
      <c r="I151" s="275">
        <f t="shared" si="54"/>
        <v>4</v>
      </c>
      <c r="J151" s="275">
        <f t="shared" si="54"/>
        <v>4</v>
      </c>
      <c r="K151" s="275">
        <f t="shared" si="54"/>
        <v>4</v>
      </c>
      <c r="L151" s="275">
        <f t="shared" si="54"/>
        <v>4</v>
      </c>
      <c r="M151" s="275">
        <f t="shared" si="54"/>
        <v>4</v>
      </c>
      <c r="N151" s="275">
        <f t="shared" si="54"/>
        <v>4</v>
      </c>
      <c r="O151" s="275">
        <f t="shared" si="54"/>
        <v>4</v>
      </c>
      <c r="P151" s="275">
        <f t="shared" si="54"/>
        <v>4</v>
      </c>
      <c r="Q151" s="275">
        <f t="shared" si="54"/>
        <v>4</v>
      </c>
      <c r="R151" s="275">
        <f t="shared" si="54"/>
        <v>4</v>
      </c>
      <c r="S151" s="275">
        <f t="shared" si="54"/>
        <v>4</v>
      </c>
    </row>
    <row r="152" spans="1:20" s="305" customFormat="1" ht="15" customHeight="1">
      <c r="B152" s="290" t="s">
        <v>1343</v>
      </c>
      <c r="C152" s="275">
        <f>Inputs!$C$152</f>
        <v>1</v>
      </c>
      <c r="D152" s="275">
        <f>Inputs!$C$152</f>
        <v>1</v>
      </c>
      <c r="E152" s="275">
        <f>Inputs!$C$152</f>
        <v>1</v>
      </c>
      <c r="F152" s="275">
        <f>Inputs!$C$152</f>
        <v>1</v>
      </c>
      <c r="G152" s="275">
        <f>Inputs!$C$152</f>
        <v>1</v>
      </c>
      <c r="H152" s="275">
        <f>Inputs!$C$152</f>
        <v>1</v>
      </c>
      <c r="I152" s="275">
        <f>Inputs!$C$152</f>
        <v>1</v>
      </c>
      <c r="J152" s="275">
        <f>Inputs!$C$152</f>
        <v>1</v>
      </c>
      <c r="K152" s="275">
        <f>Inputs!$C$152</f>
        <v>1</v>
      </c>
      <c r="L152" s="275">
        <f>Inputs!$C$152</f>
        <v>1</v>
      </c>
      <c r="M152" s="275">
        <f>Inputs!$C$152</f>
        <v>1</v>
      </c>
      <c r="N152" s="275">
        <f>Inputs!$C$152</f>
        <v>1</v>
      </c>
      <c r="O152" s="275">
        <f>Inputs!$C$152</f>
        <v>1</v>
      </c>
      <c r="P152" s="275">
        <f>Inputs!$C$152</f>
        <v>1</v>
      </c>
      <c r="Q152" s="275">
        <f>Inputs!$C$152</f>
        <v>1</v>
      </c>
      <c r="R152" s="275">
        <f>Inputs!$C$152</f>
        <v>1</v>
      </c>
      <c r="S152" s="275">
        <f>Inputs!$C$152</f>
        <v>1</v>
      </c>
      <c r="T152" s="69"/>
    </row>
    <row r="153" spans="1:20" ht="15" customHeight="1">
      <c r="A153" s="305" t="s">
        <v>1175</v>
      </c>
      <c r="B153" s="305" t="s">
        <v>1161</v>
      </c>
      <c r="C153" s="144">
        <f>Inputs!C153</f>
        <v>0</v>
      </c>
      <c r="D153" s="144">
        <f>C153</f>
        <v>0</v>
      </c>
      <c r="E153" s="144">
        <f t="shared" ref="E153:S153" si="55">D153</f>
        <v>0</v>
      </c>
      <c r="F153" s="144">
        <f t="shared" si="55"/>
        <v>0</v>
      </c>
      <c r="G153" s="144">
        <f t="shared" si="55"/>
        <v>0</v>
      </c>
      <c r="H153" s="144">
        <f t="shared" si="55"/>
        <v>0</v>
      </c>
      <c r="I153" s="144">
        <f t="shared" si="55"/>
        <v>0</v>
      </c>
      <c r="J153" s="144">
        <f t="shared" si="55"/>
        <v>0</v>
      </c>
      <c r="K153" s="144">
        <f t="shared" si="55"/>
        <v>0</v>
      </c>
      <c r="L153" s="144">
        <f t="shared" si="55"/>
        <v>0</v>
      </c>
      <c r="M153" s="144">
        <f t="shared" si="55"/>
        <v>0</v>
      </c>
      <c r="N153" s="144">
        <f t="shared" si="55"/>
        <v>0</v>
      </c>
      <c r="O153" s="144">
        <f t="shared" si="55"/>
        <v>0</v>
      </c>
      <c r="P153" s="144">
        <f t="shared" si="55"/>
        <v>0</v>
      </c>
      <c r="Q153" s="144">
        <f t="shared" si="55"/>
        <v>0</v>
      </c>
      <c r="R153" s="144">
        <f t="shared" si="55"/>
        <v>0</v>
      </c>
      <c r="S153" s="144">
        <f t="shared" si="55"/>
        <v>0</v>
      </c>
    </row>
    <row r="154" spans="1:20" ht="15" customHeight="1">
      <c r="B154" s="305" t="s">
        <v>1163</v>
      </c>
      <c r="C154" s="169">
        <f>Inputs!C154</f>
        <v>1.85</v>
      </c>
      <c r="D154" s="169">
        <f t="shared" ref="D154:S157" si="56">C154</f>
        <v>1.85</v>
      </c>
      <c r="E154" s="169">
        <f t="shared" si="56"/>
        <v>1.85</v>
      </c>
      <c r="F154" s="169">
        <f t="shared" si="56"/>
        <v>1.85</v>
      </c>
      <c r="G154" s="169">
        <f t="shared" si="56"/>
        <v>1.85</v>
      </c>
      <c r="H154" s="169">
        <f t="shared" si="56"/>
        <v>1.85</v>
      </c>
      <c r="I154" s="169">
        <f t="shared" si="56"/>
        <v>1.85</v>
      </c>
      <c r="J154" s="169">
        <f t="shared" si="56"/>
        <v>1.85</v>
      </c>
      <c r="K154" s="169">
        <f t="shared" si="56"/>
        <v>1.85</v>
      </c>
      <c r="L154" s="169">
        <f t="shared" si="56"/>
        <v>1.85</v>
      </c>
      <c r="M154" s="169">
        <f t="shared" si="56"/>
        <v>1.85</v>
      </c>
      <c r="N154" s="169">
        <f t="shared" si="56"/>
        <v>1.85</v>
      </c>
      <c r="O154" s="169">
        <f t="shared" si="56"/>
        <v>1.85</v>
      </c>
      <c r="P154" s="169">
        <f t="shared" si="56"/>
        <v>1.85</v>
      </c>
      <c r="Q154" s="169">
        <f t="shared" si="56"/>
        <v>1.85</v>
      </c>
      <c r="R154" s="169">
        <f t="shared" si="56"/>
        <v>1.85</v>
      </c>
      <c r="S154" s="169">
        <f t="shared" si="56"/>
        <v>1.85</v>
      </c>
    </row>
    <row r="155" spans="1:20" ht="15" customHeight="1">
      <c r="B155" s="305" t="s">
        <v>1164</v>
      </c>
      <c r="C155" s="144">
        <f>Inputs!C155</f>
        <v>55</v>
      </c>
      <c r="D155" s="144">
        <f t="shared" si="56"/>
        <v>55</v>
      </c>
      <c r="E155" s="144">
        <f t="shared" si="56"/>
        <v>55</v>
      </c>
      <c r="F155" s="144">
        <f t="shared" si="56"/>
        <v>55</v>
      </c>
      <c r="G155" s="144">
        <f t="shared" si="56"/>
        <v>55</v>
      </c>
      <c r="H155" s="144">
        <f t="shared" si="56"/>
        <v>55</v>
      </c>
      <c r="I155" s="144">
        <f t="shared" si="56"/>
        <v>55</v>
      </c>
      <c r="J155" s="144">
        <f t="shared" si="56"/>
        <v>55</v>
      </c>
      <c r="K155" s="144">
        <f t="shared" si="56"/>
        <v>55</v>
      </c>
      <c r="L155" s="144">
        <f t="shared" si="56"/>
        <v>55</v>
      </c>
      <c r="M155" s="144">
        <f t="shared" si="56"/>
        <v>55</v>
      </c>
      <c r="N155" s="144">
        <f t="shared" si="56"/>
        <v>55</v>
      </c>
      <c r="O155" s="144">
        <f t="shared" si="56"/>
        <v>55</v>
      </c>
      <c r="P155" s="144">
        <f t="shared" si="56"/>
        <v>55</v>
      </c>
      <c r="Q155" s="144">
        <f t="shared" si="56"/>
        <v>55</v>
      </c>
      <c r="R155" s="144">
        <f t="shared" si="56"/>
        <v>55</v>
      </c>
      <c r="S155" s="144">
        <f t="shared" si="56"/>
        <v>55</v>
      </c>
    </row>
    <row r="156" spans="1:20" ht="15" customHeight="1">
      <c r="B156" s="305" t="s">
        <v>1165</v>
      </c>
      <c r="C156" s="276">
        <f>Inputs!C156</f>
        <v>2.5</v>
      </c>
      <c r="D156" s="276">
        <f t="shared" si="56"/>
        <v>2.5</v>
      </c>
      <c r="E156" s="276">
        <f t="shared" si="56"/>
        <v>2.5</v>
      </c>
      <c r="F156" s="276">
        <f t="shared" si="56"/>
        <v>2.5</v>
      </c>
      <c r="G156" s="276">
        <f t="shared" si="56"/>
        <v>2.5</v>
      </c>
      <c r="H156" s="276">
        <f t="shared" si="56"/>
        <v>2.5</v>
      </c>
      <c r="I156" s="276">
        <f t="shared" si="56"/>
        <v>2.5</v>
      </c>
      <c r="J156" s="276">
        <f t="shared" si="56"/>
        <v>2.5</v>
      </c>
      <c r="K156" s="276">
        <f t="shared" si="56"/>
        <v>2.5</v>
      </c>
      <c r="L156" s="276">
        <f t="shared" si="56"/>
        <v>2.5</v>
      </c>
      <c r="M156" s="276">
        <f t="shared" si="56"/>
        <v>2.5</v>
      </c>
      <c r="N156" s="276">
        <f t="shared" si="56"/>
        <v>2.5</v>
      </c>
      <c r="O156" s="276">
        <f t="shared" si="56"/>
        <v>2.5</v>
      </c>
      <c r="P156" s="276">
        <f t="shared" si="56"/>
        <v>2.5</v>
      </c>
      <c r="Q156" s="276">
        <f t="shared" si="56"/>
        <v>2.5</v>
      </c>
      <c r="R156" s="276">
        <f t="shared" si="56"/>
        <v>2.5</v>
      </c>
      <c r="S156" s="276">
        <f t="shared" si="56"/>
        <v>2.5</v>
      </c>
    </row>
    <row r="157" spans="1:20" ht="15" customHeight="1">
      <c r="A157" s="305" t="s">
        <v>1206</v>
      </c>
      <c r="C157" s="276" t="str">
        <f>Inputs!C157</f>
        <v>E_O_F</v>
      </c>
      <c r="D157" s="276" t="str">
        <f t="shared" si="56"/>
        <v>E_O_F</v>
      </c>
      <c r="E157" s="276" t="str">
        <f t="shared" si="56"/>
        <v>E_O_F</v>
      </c>
      <c r="F157" s="276" t="str">
        <f t="shared" si="56"/>
        <v>E_O_F</v>
      </c>
      <c r="G157" s="276" t="str">
        <f t="shared" si="56"/>
        <v>E_O_F</v>
      </c>
      <c r="H157" s="276" t="str">
        <f t="shared" si="56"/>
        <v>E_O_F</v>
      </c>
      <c r="I157" s="276" t="str">
        <f t="shared" si="56"/>
        <v>E_O_F</v>
      </c>
      <c r="J157" s="276" t="str">
        <f t="shared" si="56"/>
        <v>E_O_F</v>
      </c>
      <c r="K157" s="276" t="str">
        <f t="shared" si="56"/>
        <v>E_O_F</v>
      </c>
      <c r="L157" s="276" t="str">
        <f t="shared" si="56"/>
        <v>E_O_F</v>
      </c>
      <c r="M157" s="276" t="str">
        <f t="shared" si="56"/>
        <v>E_O_F</v>
      </c>
      <c r="N157" s="276" t="str">
        <f t="shared" si="56"/>
        <v>E_O_F</v>
      </c>
      <c r="O157" s="276" t="str">
        <f t="shared" si="56"/>
        <v>E_O_F</v>
      </c>
      <c r="P157" s="276" t="str">
        <f t="shared" si="56"/>
        <v>E_O_F</v>
      </c>
      <c r="Q157" s="276" t="str">
        <f t="shared" si="56"/>
        <v>E_O_F</v>
      </c>
      <c r="R157" s="276" t="str">
        <f t="shared" si="56"/>
        <v>E_O_F</v>
      </c>
      <c r="S157" s="276" t="str">
        <f t="shared" si="56"/>
        <v>E_O_F</v>
      </c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  <row r="159" spans="1:20" ht="15" customHeight="1"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75"/>
      <c r="S159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65.616799999999998</v>
      </c>
      <c r="C6" s="286" t="s">
        <v>133</v>
      </c>
      <c r="D6">
        <f>IF(HomeSize="Small",14.14,IF(HomeSize="Med",20,24.49))</f>
        <v>20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32.808399999999999</v>
      </c>
      <c r="C7" s="286" t="s">
        <v>133</v>
      </c>
      <c r="D7" s="289">
        <f>L_houseSI/2</f>
        <v>10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2152.8525296017224</v>
      </c>
      <c r="C8" s="286" t="s">
        <v>557</v>
      </c>
      <c r="D8" s="287">
        <f>L_houseSI*W_houseSI*Stories</f>
        <v>200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2152.8525296017224</v>
      </c>
      <c r="C9" s="286" t="s">
        <v>557</v>
      </c>
      <c r="D9" s="329">
        <f>A_houseSI/Stories</f>
        <v>200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196.85040000000001</v>
      </c>
      <c r="C11" s="286" t="s">
        <v>133</v>
      </c>
      <c r="D11" s="289">
        <f>2*L_houseSI+2*W_houseSI</f>
        <v>60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430.57050592034449</v>
      </c>
      <c r="C16" s="286"/>
      <c r="D16" s="328">
        <f>0.2*A_houseSI</f>
        <v>40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1240.9459418729816</v>
      </c>
      <c r="C19" s="285"/>
      <c r="D19" s="32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4" t="s">
        <v>150</v>
      </c>
      <c r="B20" s="330">
        <f>35.3147*V_houseSI</f>
        <v>17657.350000000002</v>
      </c>
      <c r="C20" s="285"/>
      <c r="D20" s="287">
        <f>A_houseSI*D13</f>
        <v>500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1.6666666666666665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166.66666666666663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4.6166666666666663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3.7833333333333332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4.6166666666666663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241.37315509393338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7" t="s">
        <v>166</v>
      </c>
      <c r="M1" s="467"/>
      <c r="N1" s="467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69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69">
        <f>H22</f>
        <v>0.16666666666666666</v>
      </c>
      <c r="N6" s="72" t="s">
        <v>11</v>
      </c>
      <c r="P6" s="127" t="s">
        <v>465</v>
      </c>
      <c r="Q6" s="76">
        <f>V_houseSI</f>
        <v>500</v>
      </c>
      <c r="R6" s="75" t="s">
        <v>151</v>
      </c>
      <c r="T6" s="127" t="s">
        <v>465</v>
      </c>
      <c r="U6" s="76">
        <f>V_houseSI</f>
        <v>500</v>
      </c>
      <c r="V6" s="75" t="s">
        <v>151</v>
      </c>
      <c r="X6" s="127" t="s">
        <v>465</v>
      </c>
      <c r="Y6" s="76">
        <f>V_houseSI</f>
        <v>500</v>
      </c>
      <c r="Z6" s="75" t="s">
        <v>151</v>
      </c>
      <c r="AA6" s="125" t="s">
        <v>465</v>
      </c>
      <c r="AB6" s="76">
        <f t="shared" ref="AB6:AG6" si="0">V_houseSI</f>
        <v>500</v>
      </c>
      <c r="AC6" s="76">
        <f t="shared" si="0"/>
        <v>500</v>
      </c>
      <c r="AD6" s="76">
        <f t="shared" si="0"/>
        <v>500</v>
      </c>
      <c r="AE6" s="76">
        <f t="shared" si="0"/>
        <v>500</v>
      </c>
      <c r="AF6" s="76">
        <f t="shared" si="0"/>
        <v>500</v>
      </c>
      <c r="AG6" s="76">
        <f t="shared" si="0"/>
        <v>500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4.7619047619047616E-2</v>
      </c>
      <c r="R7" s="75" t="s">
        <v>138</v>
      </c>
      <c r="T7" s="127" t="s">
        <v>206</v>
      </c>
      <c r="U7" s="77">
        <f>(U5*U6)/3600/14</f>
        <v>5.1587301587301584E-2</v>
      </c>
      <c r="V7" s="75" t="s">
        <v>138</v>
      </c>
      <c r="X7" s="127" t="s">
        <v>206</v>
      </c>
      <c r="Y7" s="77">
        <f>(Y5*Y6)/3600/14</f>
        <v>8.531746031746032E-2</v>
      </c>
      <c r="Z7" s="75" t="s">
        <v>138</v>
      </c>
      <c r="AA7" s="125" t="s">
        <v>206</v>
      </c>
      <c r="AB7" s="77">
        <f t="shared" ref="AB7:AG7" si="1">(AB5*AB6)/3600/14</f>
        <v>9.9206349206349201E-2</v>
      </c>
      <c r="AC7" s="77">
        <f t="shared" si="1"/>
        <v>6.9444444444444448E-2</v>
      </c>
      <c r="AD7" s="77">
        <f t="shared" si="1"/>
        <v>4.96031746031746E-2</v>
      </c>
      <c r="AE7" s="77">
        <f t="shared" si="1"/>
        <v>2.9761904761904764E-2</v>
      </c>
      <c r="AF7" s="77">
        <f t="shared" si="1"/>
        <v>1.4880952380952382E-2</v>
      </c>
      <c r="AG7" s="77">
        <f t="shared" si="1"/>
        <v>5.9523809523809521E-3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2.5793650793650791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1">
        <f>VLOOKUP(Airtightness,Leakage!AB11:AF16,3,FALSE)</f>
        <v>1.4880952380952382E-2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8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69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69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500</v>
      </c>
      <c r="AD11" s="77">
        <f t="shared" ref="AD11:AD16" si="4">(AB11*AC11)/3600/14</f>
        <v>9.9206349206349201E-2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0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500</v>
      </c>
      <c r="AD12" s="77">
        <f>(AB12*AC12)/3600/14</f>
        <v>6.9444444444444448E-2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24">
        <f>D9*D10/(SQRT(rho_air/2)*D12^(n-0.5))</f>
        <v>1.5604365099229991E-2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500</v>
      </c>
      <c r="AD13" s="77">
        <f t="shared" si="4"/>
        <v>4.96031746031746E-2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88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500</v>
      </c>
      <c r="AD14" s="77">
        <f t="shared" si="4"/>
        <v>2.9761904761904764E-2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500</v>
      </c>
      <c r="AD15" s="77">
        <f t="shared" si="4"/>
        <v>1.4880952380952382E-2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500</v>
      </c>
      <c r="AD16" s="77">
        <f t="shared" si="4"/>
        <v>5.9523809523809521E-3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20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69">
        <f>H31*1.05</f>
        <v>3.125E-2</v>
      </c>
      <c r="I32" s="469">
        <f t="shared" ref="I32:X32" si="7">I31*1.05</f>
        <v>3.125E-2</v>
      </c>
      <c r="J32" s="469">
        <f t="shared" si="7"/>
        <v>3.125E-2</v>
      </c>
      <c r="K32" s="469">
        <f t="shared" si="7"/>
        <v>2.6041666666666668E-2</v>
      </c>
      <c r="L32" s="469">
        <f t="shared" si="7"/>
        <v>2.6041666666666668E-2</v>
      </c>
      <c r="M32" s="469">
        <f t="shared" si="7"/>
        <v>2.6041666666666668E-2</v>
      </c>
      <c r="N32" s="469">
        <f t="shared" si="7"/>
        <v>2.6041666666666668E-2</v>
      </c>
      <c r="O32" s="469">
        <f t="shared" si="7"/>
        <v>2.6041666666666668E-2</v>
      </c>
      <c r="P32" s="469">
        <f t="shared" si="7"/>
        <v>2.6041666666666668E-2</v>
      </c>
      <c r="Q32" s="469">
        <f t="shared" si="7"/>
        <v>2.0833333333333336E-2</v>
      </c>
      <c r="R32" s="469">
        <f t="shared" si="7"/>
        <v>2.0833333333333336E-2</v>
      </c>
      <c r="S32" s="469">
        <f t="shared" si="7"/>
        <v>2.0833333333333336E-2</v>
      </c>
      <c r="T32" s="469">
        <f t="shared" si="7"/>
        <v>2.0833333333333336E-2</v>
      </c>
      <c r="U32" s="469">
        <f t="shared" si="7"/>
        <v>2.0833333333333336E-2</v>
      </c>
      <c r="V32" s="469">
        <f t="shared" si="7"/>
        <v>1.5625E-2</v>
      </c>
      <c r="W32" s="469">
        <f t="shared" si="7"/>
        <v>3.125E-2</v>
      </c>
      <c r="X32" s="469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0">
        <v>0</v>
      </c>
      <c r="Q2" s="28"/>
      <c r="R2" s="28"/>
      <c r="S2" s="28"/>
    </row>
    <row r="3" spans="1:19" s="305" customFormat="1" ht="15" customHeight="1">
      <c r="A3" s="290"/>
      <c r="B3" s="513"/>
      <c r="Q3" s="28"/>
      <c r="R3" s="28"/>
      <c r="S3" s="28"/>
    </row>
    <row r="4" spans="1:19" s="305" customFormat="1" ht="15" customHeight="1">
      <c r="A4" s="23" t="s">
        <v>211</v>
      </c>
      <c r="B4" s="513"/>
      <c r="Q4" s="28"/>
      <c r="R4" s="28"/>
      <c r="S4" s="28"/>
    </row>
    <row r="5" spans="1:19" ht="15" customHeight="1">
      <c r="A5" s="104"/>
      <c r="B5" s="104"/>
      <c r="C5" s="514" t="s">
        <v>1260</v>
      </c>
      <c r="D5" s="514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8" t="s">
        <v>225</v>
      </c>
      <c r="B10" s="509"/>
      <c r="C10" s="507">
        <f>SQRT(2*C8^2/(1.2*(1+C9*C6/C7)))</f>
        <v>1.9281086206186945E-2</v>
      </c>
      <c r="D10" s="507">
        <f>SQRT(2*D8^2/(1.2*(1+D9*D6/D7)))</f>
        <v>1.9281086206186945E-2</v>
      </c>
      <c r="E10" s="509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1.4880952380952382E-2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0.34545873890893497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0.67857547357179882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115.28387799999997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40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200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23.700377663731032</v>
      </c>
      <c r="AA9" s="36">
        <f t="shared" si="5"/>
        <v>23.700377663731032</v>
      </c>
      <c r="AB9" s="36">
        <f t="shared" si="5"/>
        <v>27.492438089927997</v>
      </c>
      <c r="AC9" s="36">
        <f t="shared" si="5"/>
        <v>27.492438089927997</v>
      </c>
      <c r="AD9" s="36">
        <f t="shared" si="5"/>
        <v>27.492438089927997</v>
      </c>
      <c r="AE9" s="36">
        <f t="shared" si="5"/>
        <v>32.729092964199992</v>
      </c>
      <c r="AF9" s="36">
        <f t="shared" si="5"/>
        <v>32.729092964199992</v>
      </c>
      <c r="AG9" s="36">
        <f t="shared" si="5"/>
        <v>32.729092964199992</v>
      </c>
      <c r="AH9" s="36">
        <f t="shared" si="5"/>
        <v>32.729092964199992</v>
      </c>
      <c r="AI9" s="36">
        <f t="shared" si="5"/>
        <v>27.492438089927997</v>
      </c>
      <c r="AJ9" s="36">
        <f t="shared" si="5"/>
        <v>23.700377663731032</v>
      </c>
      <c r="AK9" s="36">
        <f t="shared" si="5"/>
        <v>23.700377663731032</v>
      </c>
      <c r="AL9" s="36">
        <f t="shared" si="5"/>
        <v>23.700377663731032</v>
      </c>
      <c r="AM9" s="36">
        <f t="shared" si="5"/>
        <v>23.700377663731032</v>
      </c>
      <c r="AN9" s="36">
        <f t="shared" si="5"/>
        <v>23.700377663731032</v>
      </c>
      <c r="AO9" s="36">
        <f t="shared" si="5"/>
        <v>23.700377663731032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51</v>
      </c>
      <c r="Z10" s="36">
        <f t="shared" ref="Z10:AO10" si="7">1/Z7*$B$7*5.678*$C$7</f>
        <v>86.305599999999998</v>
      </c>
      <c r="AA10" s="36">
        <f t="shared" si="7"/>
        <v>86.305599999999998</v>
      </c>
      <c r="AB10" s="36">
        <f t="shared" si="7"/>
        <v>86.305599999999998</v>
      </c>
      <c r="AC10" s="36">
        <f t="shared" si="7"/>
        <v>86.305599999999998</v>
      </c>
      <c r="AD10" s="36">
        <f t="shared" si="7"/>
        <v>86.305599999999998</v>
      </c>
      <c r="AE10" s="36">
        <f t="shared" si="7"/>
        <v>86.305599999999998</v>
      </c>
      <c r="AF10" s="36">
        <f t="shared" si="7"/>
        <v>86.305599999999998</v>
      </c>
      <c r="AG10" s="36">
        <f t="shared" si="7"/>
        <v>86.305599999999998</v>
      </c>
      <c r="AH10" s="36">
        <f t="shared" si="7"/>
        <v>86.305599999999998</v>
      </c>
      <c r="AI10" s="36">
        <f t="shared" si="7"/>
        <v>86.305599999999998</v>
      </c>
      <c r="AJ10" s="36">
        <f t="shared" si="7"/>
        <v>86.305599999999998</v>
      </c>
      <c r="AK10" s="36">
        <f t="shared" si="7"/>
        <v>86.305599999999998</v>
      </c>
      <c r="AL10" s="36">
        <f t="shared" si="7"/>
        <v>86.305599999999998</v>
      </c>
      <c r="AM10" s="36">
        <f t="shared" si="7"/>
        <v>86.305599999999998</v>
      </c>
      <c r="AN10" s="36">
        <f t="shared" si="7"/>
        <v>86.305599999999998</v>
      </c>
      <c r="AO10" s="36">
        <f t="shared" si="7"/>
        <v>86.305599999999998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57.092894810105378</v>
      </c>
      <c r="G11" s="361">
        <f t="shared" ref="G11:V11" si="8">((1/G6)*$B$6*5.6783*$C$6)+(1/G9*$B$9*5.678*$C$9)</f>
        <v>57.092894810105378</v>
      </c>
      <c r="H11" s="361">
        <f t="shared" si="8"/>
        <v>57.092894810105378</v>
      </c>
      <c r="I11" s="361">
        <f t="shared" si="8"/>
        <v>38.587391476688495</v>
      </c>
      <c r="J11" s="361">
        <f t="shared" si="8"/>
        <v>38.587391476688495</v>
      </c>
      <c r="K11" s="361">
        <f t="shared" si="8"/>
        <v>38.587391476688495</v>
      </c>
      <c r="L11" s="361">
        <f t="shared" si="8"/>
        <v>38.587391476688495</v>
      </c>
      <c r="M11" s="361">
        <f t="shared" si="8"/>
        <v>38.587391476688495</v>
      </c>
      <c r="N11" s="361">
        <f t="shared" si="8"/>
        <v>38.587391476688495</v>
      </c>
      <c r="O11" s="361">
        <f t="shared" si="8"/>
        <v>38.587391476688495</v>
      </c>
      <c r="P11" s="361">
        <f t="shared" si="8"/>
        <v>38.587391476688495</v>
      </c>
      <c r="Q11" s="361">
        <f t="shared" si="8"/>
        <v>31.713918809990798</v>
      </c>
      <c r="R11" s="361">
        <f t="shared" si="8"/>
        <v>31.713918809990798</v>
      </c>
      <c r="S11" s="361">
        <f t="shared" si="8"/>
        <v>31.713918809990798</v>
      </c>
      <c r="T11" s="361">
        <f t="shared" si="8"/>
        <v>31.713918809990798</v>
      </c>
      <c r="U11" s="361">
        <f t="shared" si="8"/>
        <v>57.092894810105378</v>
      </c>
      <c r="V11" s="361">
        <f t="shared" si="8"/>
        <v>38.587391476688495</v>
      </c>
      <c r="W11" s="272"/>
      <c r="X11" s="250">
        <f>1/X6*$B$6*5.678*$C$6</f>
        <v>32.729092964199992</v>
      </c>
      <c r="Y11"/>
      <c r="Z11" s="36">
        <f t="shared" ref="Z11:AO11" si="9">1/Z8*$B$8*5.678*$C$8</f>
        <v>37.853333333333332</v>
      </c>
      <c r="AA11" s="36">
        <f t="shared" si="9"/>
        <v>37.853333333333332</v>
      </c>
      <c r="AB11" s="36">
        <f t="shared" si="9"/>
        <v>37.853333333333332</v>
      </c>
      <c r="AC11" s="36">
        <f t="shared" si="9"/>
        <v>37.853333333333332</v>
      </c>
      <c r="AD11" s="36">
        <f t="shared" si="9"/>
        <v>37.853333333333332</v>
      </c>
      <c r="AE11" s="36">
        <f t="shared" si="9"/>
        <v>54.076190476190476</v>
      </c>
      <c r="AF11" s="36">
        <f t="shared" si="9"/>
        <v>54.076190476190476</v>
      </c>
      <c r="AG11" s="36">
        <f t="shared" si="9"/>
        <v>54.076190476190476</v>
      </c>
      <c r="AH11" s="36">
        <f t="shared" si="9"/>
        <v>54.076190476190476</v>
      </c>
      <c r="AI11" s="36">
        <f t="shared" si="9"/>
        <v>37.853333333333332</v>
      </c>
      <c r="AJ11" s="36">
        <f t="shared" si="9"/>
        <v>37.853333333333332</v>
      </c>
      <c r="AK11" s="36">
        <f t="shared" si="9"/>
        <v>37.853333333333332</v>
      </c>
      <c r="AL11" s="36">
        <f t="shared" si="9"/>
        <v>37.853333333333332</v>
      </c>
      <c r="AM11" s="36">
        <f t="shared" si="9"/>
        <v>37.853333333333332</v>
      </c>
      <c r="AN11" s="36">
        <f t="shared" si="9"/>
        <v>54.076190476190476</v>
      </c>
      <c r="AO11" s="36">
        <f t="shared" si="9"/>
        <v>37.853333333333332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90.847999999999999</v>
      </c>
      <c r="G12" s="361">
        <f t="shared" ref="G12:T12" si="10">1/G7*$B$7*5.678*$C$7</f>
        <v>90.847999999999999</v>
      </c>
      <c r="H12" s="361">
        <f t="shared" si="10"/>
        <v>90.847999999999999</v>
      </c>
      <c r="I12" s="361">
        <f t="shared" si="10"/>
        <v>68.135999999999996</v>
      </c>
      <c r="J12" s="361">
        <f t="shared" si="10"/>
        <v>68.135999999999996</v>
      </c>
      <c r="K12" s="361">
        <f t="shared" si="10"/>
        <v>68.135999999999996</v>
      </c>
      <c r="L12" s="361">
        <f t="shared" si="10"/>
        <v>68.135999999999996</v>
      </c>
      <c r="M12" s="361">
        <f t="shared" si="10"/>
        <v>68.135999999999996</v>
      </c>
      <c r="N12" s="361">
        <f t="shared" si="10"/>
        <v>61.322400000000002</v>
      </c>
      <c r="O12" s="361">
        <f t="shared" si="10"/>
        <v>61.322400000000002</v>
      </c>
      <c r="P12" s="361">
        <f t="shared" si="10"/>
        <v>61.322400000000002</v>
      </c>
      <c r="Q12" s="361">
        <f t="shared" si="10"/>
        <v>61.322400000000002</v>
      </c>
      <c r="R12" s="361">
        <f t="shared" si="10"/>
        <v>61.322400000000002</v>
      </c>
      <c r="S12" s="361">
        <f t="shared" si="10"/>
        <v>61.322400000000002</v>
      </c>
      <c r="T12" s="361">
        <f t="shared" si="10"/>
        <v>61.322400000000002</v>
      </c>
      <c r="U12" s="361">
        <f>G12</f>
        <v>90.847999999999999</v>
      </c>
      <c r="V12" s="361">
        <f>I12</f>
        <v>68.135999999999996</v>
      </c>
      <c r="W12" s="272"/>
      <c r="X12" s="250">
        <f>1/X7*$B$7*5.678*$C$7</f>
        <v>90.847999999999999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60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87.353846153846163</v>
      </c>
      <c r="G13" s="361">
        <f t="shared" ref="G13:V13" si="12">IF($B$12=0, 1/G8*$B$8*5.678*$C$8, $B$13*$K$59)</f>
        <v>87.353846153846163</v>
      </c>
      <c r="H13" s="361">
        <f t="shared" si="12"/>
        <v>87.353846153846163</v>
      </c>
      <c r="I13" s="361">
        <f t="shared" si="12"/>
        <v>59.768421052631574</v>
      </c>
      <c r="J13" s="361">
        <f t="shared" si="12"/>
        <v>59.768421052631574</v>
      </c>
      <c r="K13" s="361">
        <f t="shared" si="12"/>
        <v>59.768421052631574</v>
      </c>
      <c r="L13" s="361">
        <f t="shared" si="12"/>
        <v>59.768421052631574</v>
      </c>
      <c r="M13" s="361">
        <f t="shared" si="12"/>
        <v>59.768421052631574</v>
      </c>
      <c r="N13" s="361">
        <f t="shared" si="12"/>
        <v>37.853333333333332</v>
      </c>
      <c r="O13" s="361">
        <f>IF($B$12=0, 1/O8*$B$8*5.678*$C$8, $B$13*$K$59)</f>
        <v>37.853333333333332</v>
      </c>
      <c r="P13" s="361">
        <f t="shared" si="12"/>
        <v>37.853333333333332</v>
      </c>
      <c r="Q13" s="361">
        <f t="shared" si="12"/>
        <v>37.853333333333332</v>
      </c>
      <c r="R13" s="361">
        <f t="shared" si="12"/>
        <v>37.853333333333332</v>
      </c>
      <c r="S13" s="361">
        <f t="shared" si="12"/>
        <v>29.884210526315787</v>
      </c>
      <c r="T13" s="361">
        <f t="shared" si="12"/>
        <v>29.884210526315787</v>
      </c>
      <c r="U13" s="361">
        <f t="shared" si="12"/>
        <v>87.353846153846163</v>
      </c>
      <c r="V13" s="361">
        <f t="shared" si="12"/>
        <v>59.768421052631574</v>
      </c>
      <c r="W13" s="272"/>
      <c r="X13" s="250">
        <f>1/X8*$B$8*5.678*$C$8</f>
        <v>59.768421052631574</v>
      </c>
      <c r="Y13" s="14" t="s">
        <v>634</v>
      </c>
      <c r="Z13" s="38">
        <f>SUM(Z9:Z12)</f>
        <v>158.40938021946437</v>
      </c>
      <c r="AA13" s="38">
        <f t="shared" ref="AA13:AO13" si="13">SUM(AA9:AA12)</f>
        <v>158.40938021946437</v>
      </c>
      <c r="AB13" s="38">
        <f t="shared" si="13"/>
        <v>162.20144064566134</v>
      </c>
      <c r="AC13" s="38">
        <f t="shared" si="13"/>
        <v>162.20144064566134</v>
      </c>
      <c r="AD13" s="38">
        <f t="shared" si="13"/>
        <v>162.20144064566134</v>
      </c>
      <c r="AE13" s="38">
        <f t="shared" si="13"/>
        <v>183.66095266279046</v>
      </c>
      <c r="AF13" s="38">
        <f t="shared" si="13"/>
        <v>183.66095266279046</v>
      </c>
      <c r="AG13" s="38">
        <f t="shared" si="13"/>
        <v>183.66095266279046</v>
      </c>
      <c r="AH13" s="38">
        <f t="shared" si="13"/>
        <v>183.66095266279046</v>
      </c>
      <c r="AI13" s="38">
        <f t="shared" si="13"/>
        <v>162.20144064566134</v>
      </c>
      <c r="AJ13" s="38">
        <f t="shared" si="13"/>
        <v>158.40938021946437</v>
      </c>
      <c r="AK13" s="38">
        <f t="shared" si="13"/>
        <v>158.40938021946437</v>
      </c>
      <c r="AL13" s="38">
        <f t="shared" si="13"/>
        <v>158.40938021946437</v>
      </c>
      <c r="AM13" s="38">
        <f t="shared" si="13"/>
        <v>158.40938021946437</v>
      </c>
      <c r="AN13" s="38">
        <f t="shared" si="13"/>
        <v>174.63223736232152</v>
      </c>
      <c r="AO13" s="38">
        <f t="shared" si="13"/>
        <v>158.40938021946437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120.55604688613104</v>
      </c>
      <c r="AA14" s="38">
        <f t="shared" ref="AA14:AO14" si="16">AA13-AA11</f>
        <v>120.55604688613104</v>
      </c>
      <c r="AB14" s="38">
        <f t="shared" si="16"/>
        <v>124.34810731232801</v>
      </c>
      <c r="AC14" s="38">
        <f t="shared" si="16"/>
        <v>124.34810731232801</v>
      </c>
      <c r="AD14" s="38">
        <f t="shared" si="16"/>
        <v>124.34810731232801</v>
      </c>
      <c r="AE14" s="38">
        <f t="shared" si="16"/>
        <v>129.58476218659999</v>
      </c>
      <c r="AF14" s="38">
        <f t="shared" si="16"/>
        <v>129.58476218659999</v>
      </c>
      <c r="AG14" s="38">
        <f t="shared" si="16"/>
        <v>129.58476218659999</v>
      </c>
      <c r="AH14" s="38">
        <f t="shared" si="16"/>
        <v>129.58476218659999</v>
      </c>
      <c r="AI14" s="38">
        <f t="shared" si="16"/>
        <v>124.34810731232801</v>
      </c>
      <c r="AJ14" s="38">
        <f t="shared" si="16"/>
        <v>120.55604688613104</v>
      </c>
      <c r="AK14" s="38">
        <f t="shared" si="16"/>
        <v>120.55604688613104</v>
      </c>
      <c r="AL14" s="38">
        <f t="shared" si="16"/>
        <v>120.55604688613104</v>
      </c>
      <c r="AM14" s="38">
        <f t="shared" si="16"/>
        <v>120.55604688613104</v>
      </c>
      <c r="AN14" s="38">
        <f t="shared" si="16"/>
        <v>120.55604688613104</v>
      </c>
      <c r="AO14" s="38">
        <f t="shared" si="16"/>
        <v>120.55604688613104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239.51476910715155</v>
      </c>
      <c r="G15" s="364">
        <f>IF($B$12=0,SUM(G11:G14),SUM(G10,G11,G12,G14))</f>
        <v>239.51476910715155</v>
      </c>
      <c r="H15" s="364">
        <f t="shared" ref="H15:X15" si="17">IF($B$12=0,SUM(H11:H14),SUM(H10,H11,H12,H14))</f>
        <v>239.51476910715155</v>
      </c>
      <c r="I15" s="364">
        <f t="shared" si="17"/>
        <v>170.71184067252008</v>
      </c>
      <c r="J15" s="364">
        <f t="shared" si="17"/>
        <v>170.71184067252008</v>
      </c>
      <c r="K15" s="364">
        <f t="shared" si="17"/>
        <v>170.71184067252008</v>
      </c>
      <c r="L15" s="364">
        <f t="shared" si="17"/>
        <v>170.71184067252008</v>
      </c>
      <c r="M15" s="364">
        <f t="shared" si="17"/>
        <v>170.71184067252008</v>
      </c>
      <c r="N15" s="364">
        <f t="shared" si="17"/>
        <v>141.98315295322183</v>
      </c>
      <c r="O15" s="364">
        <f t="shared" si="17"/>
        <v>141.98315295322183</v>
      </c>
      <c r="P15" s="364">
        <f t="shared" si="17"/>
        <v>141.98315295322183</v>
      </c>
      <c r="Q15" s="364">
        <f t="shared" si="17"/>
        <v>135.10968028652414</v>
      </c>
      <c r="R15" s="364">
        <f t="shared" si="17"/>
        <v>135.10968028652414</v>
      </c>
      <c r="S15" s="364">
        <f t="shared" si="17"/>
        <v>127.14055747950658</v>
      </c>
      <c r="T15" s="364">
        <f t="shared" si="17"/>
        <v>127.14055747950658</v>
      </c>
      <c r="U15" s="364">
        <f t="shared" si="17"/>
        <v>239.51476910715155</v>
      </c>
      <c r="V15" s="364">
        <f t="shared" si="17"/>
        <v>170.71184067252008</v>
      </c>
      <c r="W15" s="364"/>
      <c r="X15" s="251">
        <f t="shared" si="17"/>
        <v>193.89558323923157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152.16092295330537</v>
      </c>
      <c r="G16" s="364">
        <f t="shared" ref="G16:X16" si="18">SUM(G11,G12,G14)</f>
        <v>152.16092295330537</v>
      </c>
      <c r="H16" s="364">
        <f t="shared" si="18"/>
        <v>152.16092295330537</v>
      </c>
      <c r="I16" s="364">
        <f t="shared" si="18"/>
        <v>110.94341961988849</v>
      </c>
      <c r="J16" s="364">
        <f t="shared" si="18"/>
        <v>110.94341961988849</v>
      </c>
      <c r="K16" s="364">
        <f t="shared" si="18"/>
        <v>110.94341961988849</v>
      </c>
      <c r="L16" s="364">
        <f t="shared" si="18"/>
        <v>110.94341961988849</v>
      </c>
      <c r="M16" s="364">
        <f t="shared" si="18"/>
        <v>110.94341961988849</v>
      </c>
      <c r="N16" s="364">
        <f t="shared" si="18"/>
        <v>104.12981961988849</v>
      </c>
      <c r="O16" s="364">
        <f t="shared" si="18"/>
        <v>104.12981961988849</v>
      </c>
      <c r="P16" s="364">
        <f t="shared" si="18"/>
        <v>104.12981961988849</v>
      </c>
      <c r="Q16" s="364">
        <f t="shared" si="18"/>
        <v>97.2563469531908</v>
      </c>
      <c r="R16" s="364">
        <f t="shared" si="18"/>
        <v>97.2563469531908</v>
      </c>
      <c r="S16" s="364">
        <f t="shared" si="18"/>
        <v>97.2563469531908</v>
      </c>
      <c r="T16" s="364">
        <f t="shared" si="18"/>
        <v>97.2563469531908</v>
      </c>
      <c r="U16" s="364">
        <f t="shared" si="18"/>
        <v>152.16092295330537</v>
      </c>
      <c r="V16" s="364">
        <f t="shared" si="18"/>
        <v>110.94341961988849</v>
      </c>
      <c r="W16" s="364"/>
      <c r="X16" s="251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6">
        <f>(1/F20+$B$20)^-1/5.678</f>
        <v>3.3022190912293063</v>
      </c>
      <c r="G21" s="477">
        <f t="shared" ref="G21:X21" si="21">(1/G20+$B$20)^-1/5.678</f>
        <v>3.8025553171731401</v>
      </c>
      <c r="H21" s="477">
        <f t="shared" si="21"/>
        <v>3.8025553171731401</v>
      </c>
      <c r="I21" s="477">
        <f t="shared" si="21"/>
        <v>3.8025553171731401</v>
      </c>
      <c r="J21" s="477">
        <f t="shared" si="21"/>
        <v>3.8025553171731401</v>
      </c>
      <c r="K21" s="477">
        <f t="shared" si="21"/>
        <v>3.8025553171731401</v>
      </c>
      <c r="L21" s="477">
        <f t="shared" si="21"/>
        <v>4.358484457110734</v>
      </c>
      <c r="M21" s="477">
        <f t="shared" si="21"/>
        <v>4.358484457110734</v>
      </c>
      <c r="N21" s="477">
        <f t="shared" si="21"/>
        <v>4.358484457110734</v>
      </c>
      <c r="O21" s="477">
        <f t="shared" si="21"/>
        <v>4.358484457110734</v>
      </c>
      <c r="P21" s="477">
        <f t="shared" si="21"/>
        <v>4.358484457110734</v>
      </c>
      <c r="Q21" s="477">
        <f t="shared" si="21"/>
        <v>4.358484457110734</v>
      </c>
      <c r="R21" s="477">
        <f t="shared" si="21"/>
        <v>4.358484457110734</v>
      </c>
      <c r="S21" s="477">
        <f t="shared" si="21"/>
        <v>4.358484457110734</v>
      </c>
      <c r="T21" s="477">
        <f t="shared" si="21"/>
        <v>4.358484457110734</v>
      </c>
      <c r="U21" s="478">
        <f>G21</f>
        <v>3.8025553171731401</v>
      </c>
      <c r="V21" s="478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6">
        <f>(1/F20+$B$21)^-1/5.678</f>
        <v>4.5943917791016435</v>
      </c>
      <c r="G22" s="477">
        <f t="shared" ref="G22:X22" si="23">(1/G20+$B$21)^-1/5.678</f>
        <v>5.6239473598527123</v>
      </c>
      <c r="H22" s="477">
        <f t="shared" si="23"/>
        <v>5.6239473598527123</v>
      </c>
      <c r="I22" s="477">
        <f t="shared" si="23"/>
        <v>5.6239473598527123</v>
      </c>
      <c r="J22" s="477">
        <f t="shared" si="23"/>
        <v>5.6239473598527123</v>
      </c>
      <c r="K22" s="477">
        <f t="shared" si="23"/>
        <v>5.6239473598527123</v>
      </c>
      <c r="L22" s="477">
        <f t="shared" si="23"/>
        <v>6.931565642633938</v>
      </c>
      <c r="M22" s="477">
        <f t="shared" si="23"/>
        <v>6.931565642633938</v>
      </c>
      <c r="N22" s="477">
        <f t="shared" si="23"/>
        <v>6.931565642633938</v>
      </c>
      <c r="O22" s="477">
        <f t="shared" si="23"/>
        <v>6.931565642633938</v>
      </c>
      <c r="P22" s="477">
        <f t="shared" si="23"/>
        <v>6.931565642633938</v>
      </c>
      <c r="Q22" s="477">
        <f t="shared" si="23"/>
        <v>6.931565642633938</v>
      </c>
      <c r="R22" s="477">
        <f t="shared" si="23"/>
        <v>6.931565642633938</v>
      </c>
      <c r="S22" s="477">
        <f t="shared" si="23"/>
        <v>6.931565642633938</v>
      </c>
      <c r="T22" s="477">
        <f t="shared" si="23"/>
        <v>6.931565642633938</v>
      </c>
      <c r="U22" s="478">
        <f>G22</f>
        <v>5.6239473598527123</v>
      </c>
      <c r="V22" s="478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79">
        <f>F85</f>
        <v>0.25</v>
      </c>
      <c r="G28" s="479">
        <f t="shared" ref="G28:M28" si="25">G85</f>
        <v>0.25</v>
      </c>
      <c r="H28" s="479">
        <f t="shared" si="25"/>
        <v>0.25</v>
      </c>
      <c r="I28" s="479">
        <f t="shared" si="25"/>
        <v>0.27</v>
      </c>
      <c r="J28" s="479">
        <f t="shared" si="25"/>
        <v>0.27</v>
      </c>
      <c r="K28" s="479">
        <f t="shared" si="25"/>
        <v>0.27</v>
      </c>
      <c r="L28" s="479">
        <f t="shared" si="25"/>
        <v>0.27</v>
      </c>
      <c r="M28" s="479">
        <f t="shared" si="25"/>
        <v>0.27</v>
      </c>
      <c r="N28" s="480">
        <v>0.3</v>
      </c>
      <c r="O28" s="480">
        <v>0.3</v>
      </c>
      <c r="P28" s="480">
        <v>0.3</v>
      </c>
      <c r="Q28" s="480">
        <v>0.3</v>
      </c>
      <c r="R28" s="480">
        <v>0.3</v>
      </c>
      <c r="S28" s="480">
        <v>0.3</v>
      </c>
      <c r="T28" s="481">
        <v>0.35</v>
      </c>
      <c r="U28" s="479">
        <f>G28</f>
        <v>0.25</v>
      </c>
      <c r="V28" s="479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1075.8999999999999</v>
      </c>
      <c r="G35" s="176">
        <f t="shared" si="26"/>
        <v>1804.4442833333335</v>
      </c>
      <c r="H35" s="176">
        <f t="shared" si="26"/>
        <v>1417.777616666667</v>
      </c>
      <c r="I35" s="176">
        <f t="shared" si="26"/>
        <v>2336.1109500000002</v>
      </c>
      <c r="J35" s="176">
        <f t="shared" si="26"/>
        <v>2094.4442833333333</v>
      </c>
      <c r="K35" s="176">
        <f t="shared" si="26"/>
        <v>1417.777616666667</v>
      </c>
      <c r="L35" s="176">
        <f t="shared" si="26"/>
        <v>2529.4442833333337</v>
      </c>
      <c r="M35" s="176">
        <f t="shared" si="26"/>
        <v>2384.4442833333337</v>
      </c>
      <c r="N35" s="176">
        <f t="shared" si="26"/>
        <v>2142.7776166666667</v>
      </c>
      <c r="O35" s="176">
        <f t="shared" si="26"/>
        <v>3302.7776166666667</v>
      </c>
      <c r="P35" s="176">
        <f t="shared" si="26"/>
        <v>2916.1109500000002</v>
      </c>
      <c r="Q35" s="176">
        <f t="shared" si="26"/>
        <v>3544.4442833333337</v>
      </c>
      <c r="R35" s="176">
        <f t="shared" si="26"/>
        <v>3834.4442833333337</v>
      </c>
      <c r="S35" s="176">
        <f t="shared" si="26"/>
        <v>4076.1109499999998</v>
      </c>
      <c r="T35" s="271">
        <f t="shared" si="26"/>
        <v>5619.2333333333336</v>
      </c>
      <c r="U35" s="271"/>
      <c r="V35" s="271"/>
      <c r="W35" s="271"/>
      <c r="X35" s="261">
        <f t="shared" si="26"/>
        <v>2525.8999999999996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87</v>
      </c>
      <c r="G43" s="144">
        <f t="shared" si="27"/>
        <v>87</v>
      </c>
      <c r="H43" s="144">
        <f t="shared" si="27"/>
        <v>87</v>
      </c>
      <c r="I43" s="144">
        <f t="shared" si="27"/>
        <v>87</v>
      </c>
      <c r="J43" s="144">
        <f t="shared" si="27"/>
        <v>87</v>
      </c>
      <c r="K43" s="144">
        <f t="shared" si="27"/>
        <v>87</v>
      </c>
      <c r="L43" s="144">
        <f t="shared" si="27"/>
        <v>87</v>
      </c>
      <c r="M43" s="144">
        <f t="shared" si="27"/>
        <v>87</v>
      </c>
      <c r="N43" s="144">
        <f t="shared" si="27"/>
        <v>87</v>
      </c>
      <c r="O43" s="144">
        <f t="shared" si="27"/>
        <v>87</v>
      </c>
      <c r="P43" s="144">
        <f t="shared" si="27"/>
        <v>87</v>
      </c>
      <c r="Q43" s="144">
        <f t="shared" si="27"/>
        <v>87</v>
      </c>
      <c r="R43" s="144">
        <f t="shared" si="27"/>
        <v>87</v>
      </c>
      <c r="S43" s="144">
        <f t="shared" si="27"/>
        <v>87</v>
      </c>
      <c r="T43" s="267">
        <f t="shared" si="27"/>
        <v>87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52.872866666905381</v>
      </c>
      <c r="G44" s="36">
        <f>1/G40*$B$6*5.678*$C$6</f>
        <v>52.870073249861527</v>
      </c>
      <c r="H44" s="36">
        <f>1/H40*$B$6*5.678*$C$6</f>
        <v>52.870073249861527</v>
      </c>
      <c r="I44" s="36">
        <f t="shared" ref="I44:T44" si="28">1/I40*$B$6*5.678*$C$6</f>
        <v>52.870073249861527</v>
      </c>
      <c r="J44" s="36">
        <f t="shared" si="28"/>
        <v>52.870073249861527</v>
      </c>
      <c r="K44" s="36">
        <f t="shared" si="28"/>
        <v>52.870073249861527</v>
      </c>
      <c r="L44" s="36">
        <f t="shared" si="28"/>
        <v>52.870073249861527</v>
      </c>
      <c r="M44" s="36">
        <f t="shared" si="28"/>
        <v>52.870073249861527</v>
      </c>
      <c r="N44" s="36">
        <f t="shared" si="28"/>
        <v>34.365547612409991</v>
      </c>
      <c r="O44" s="36">
        <f t="shared" si="28"/>
        <v>34.365547612409991</v>
      </c>
      <c r="P44" s="36">
        <f t="shared" si="28"/>
        <v>34.365547612409991</v>
      </c>
      <c r="Q44" s="36">
        <f t="shared" si="28"/>
        <v>34.365547612409991</v>
      </c>
      <c r="R44" s="36">
        <f t="shared" si="28"/>
        <v>34.365547612409991</v>
      </c>
      <c r="S44" s="36">
        <f t="shared" si="28"/>
        <v>32.729092964199992</v>
      </c>
      <c r="T44" s="272">
        <f t="shared" si="28"/>
        <v>32.729092964199992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151.41333333333333</v>
      </c>
      <c r="G45" s="36">
        <f t="shared" si="29"/>
        <v>147.62800000000001</v>
      </c>
      <c r="H45" s="36">
        <f t="shared" si="29"/>
        <v>147.62800000000001</v>
      </c>
      <c r="I45" s="36">
        <f t="shared" si="29"/>
        <v>113.56</v>
      </c>
      <c r="J45" s="36">
        <f t="shared" si="29"/>
        <v>113.56</v>
      </c>
      <c r="K45" s="36">
        <f t="shared" si="29"/>
        <v>113.56</v>
      </c>
      <c r="L45" s="36">
        <f t="shared" si="29"/>
        <v>79.49199999999999</v>
      </c>
      <c r="M45" s="36">
        <f t="shared" si="29"/>
        <v>79.49199999999999</v>
      </c>
      <c r="N45" s="36">
        <f t="shared" si="29"/>
        <v>79.49199999999999</v>
      </c>
      <c r="O45" s="36">
        <f t="shared" si="29"/>
        <v>79.49199999999999</v>
      </c>
      <c r="P45" s="36">
        <f t="shared" si="29"/>
        <v>79.49199999999999</v>
      </c>
      <c r="Q45" s="36">
        <f t="shared" si="29"/>
        <v>79.49199999999999</v>
      </c>
      <c r="R45" s="36">
        <f t="shared" si="29"/>
        <v>79.49199999999999</v>
      </c>
      <c r="S45" s="36">
        <f t="shared" si="29"/>
        <v>79.49199999999999</v>
      </c>
      <c r="T45" s="272">
        <f t="shared" si="29"/>
        <v>78.317241379310346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87.353846153846163</v>
      </c>
      <c r="G46" s="36">
        <f t="shared" si="30"/>
        <v>87.353846153846163</v>
      </c>
      <c r="H46" s="36">
        <f t="shared" si="30"/>
        <v>87.353846153846163</v>
      </c>
      <c r="I46" s="36">
        <f t="shared" si="30"/>
        <v>59.768421052631574</v>
      </c>
      <c r="J46" s="36">
        <f t="shared" si="30"/>
        <v>59.768421052631574</v>
      </c>
      <c r="K46" s="36">
        <f t="shared" si="30"/>
        <v>59.768421052631574</v>
      </c>
      <c r="L46" s="36">
        <f t="shared" si="30"/>
        <v>59.768421052631574</v>
      </c>
      <c r="M46" s="36">
        <f t="shared" si="30"/>
        <v>59.768421052631574</v>
      </c>
      <c r="N46" s="36">
        <f t="shared" si="30"/>
        <v>59.768421052631574</v>
      </c>
      <c r="O46" s="36">
        <f t="shared" si="30"/>
        <v>37.853333333333332</v>
      </c>
      <c r="P46" s="36">
        <f t="shared" si="30"/>
        <v>37.853333333333332</v>
      </c>
      <c r="Q46" s="36">
        <f t="shared" si="30"/>
        <v>37.853333333333332</v>
      </c>
      <c r="R46" s="36">
        <f t="shared" si="30"/>
        <v>37.853333333333332</v>
      </c>
      <c r="S46" s="36">
        <f t="shared" si="30"/>
        <v>29.884210526315787</v>
      </c>
      <c r="T46" s="272">
        <f t="shared" si="30"/>
        <v>29.884210526315787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302.19011537648487</v>
      </c>
      <c r="G48" s="294">
        <f t="shared" ref="G48:T48" si="32">IF($B$12=0,SUM(G44:G47),SUM(G43,G44,G45,G47))</f>
        <v>298.40198862610771</v>
      </c>
      <c r="H48" s="294">
        <f t="shared" si="32"/>
        <v>298.40198862610771</v>
      </c>
      <c r="I48" s="294">
        <f t="shared" si="32"/>
        <v>236.74856352489309</v>
      </c>
      <c r="J48" s="294">
        <f t="shared" si="32"/>
        <v>236.74856352489309</v>
      </c>
      <c r="K48" s="294">
        <f t="shared" si="32"/>
        <v>236.74856352489309</v>
      </c>
      <c r="L48" s="294">
        <f t="shared" si="32"/>
        <v>202.68056352489307</v>
      </c>
      <c r="M48" s="294">
        <f t="shared" si="32"/>
        <v>202.68056352489307</v>
      </c>
      <c r="N48" s="294">
        <f t="shared" si="32"/>
        <v>184.17603788744154</v>
      </c>
      <c r="O48" s="294">
        <f t="shared" si="32"/>
        <v>162.2609501681433</v>
      </c>
      <c r="P48" s="294">
        <f t="shared" si="32"/>
        <v>162.2609501681433</v>
      </c>
      <c r="Q48" s="294">
        <f t="shared" si="32"/>
        <v>162.2609501681433</v>
      </c>
      <c r="R48" s="294">
        <f t="shared" si="32"/>
        <v>162.2609501681433</v>
      </c>
      <c r="S48" s="294">
        <f t="shared" si="32"/>
        <v>152.65537271291578</v>
      </c>
      <c r="T48" s="294">
        <f t="shared" si="32"/>
        <v>151.48061409222612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214.83626922263869</v>
      </c>
      <c r="G49" s="294">
        <f t="shared" ref="G49:T49" si="33">SUM(G44,G45,G47)</f>
        <v>211.04814247226153</v>
      </c>
      <c r="H49" s="294">
        <f t="shared" si="33"/>
        <v>211.04814247226153</v>
      </c>
      <c r="I49" s="294">
        <f t="shared" si="33"/>
        <v>176.98014247226152</v>
      </c>
      <c r="J49" s="294">
        <f t="shared" si="33"/>
        <v>176.98014247226152</v>
      </c>
      <c r="K49" s="294">
        <f t="shared" si="33"/>
        <v>176.98014247226152</v>
      </c>
      <c r="L49" s="294">
        <f t="shared" si="33"/>
        <v>142.91214247226151</v>
      </c>
      <c r="M49" s="294">
        <f t="shared" si="33"/>
        <v>142.91214247226151</v>
      </c>
      <c r="N49" s="294">
        <f t="shared" si="33"/>
        <v>124.40761683480997</v>
      </c>
      <c r="O49" s="294">
        <f t="shared" si="33"/>
        <v>124.40761683480997</v>
      </c>
      <c r="P49" s="294">
        <f t="shared" si="33"/>
        <v>124.40761683480997</v>
      </c>
      <c r="Q49" s="294">
        <f t="shared" si="33"/>
        <v>124.40761683480997</v>
      </c>
      <c r="R49" s="294">
        <f t="shared" si="33"/>
        <v>124.40761683480997</v>
      </c>
      <c r="S49" s="294">
        <f t="shared" si="33"/>
        <v>122.77116218659998</v>
      </c>
      <c r="T49" s="294">
        <f t="shared" si="33"/>
        <v>121.59640356591034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5" t="s">
        <v>622</v>
      </c>
      <c r="E56" s="552"/>
      <c r="F56" s="556"/>
      <c r="G56" s="551" t="s">
        <v>615</v>
      </c>
      <c r="H56" s="552"/>
      <c r="I56" s="553"/>
      <c r="J56" s="554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6" t="s">
        <v>614</v>
      </c>
      <c r="E57" s="547"/>
      <c r="F57" s="548"/>
      <c r="G57" s="549" t="s">
        <v>616</v>
      </c>
      <c r="H57" s="547"/>
      <c r="I57" s="550"/>
      <c r="J57" s="548"/>
      <c r="K57" s="545">
        <v>1.17</v>
      </c>
      <c r="L57" s="545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6"/>
      <c r="E58" s="547"/>
      <c r="F58" s="548"/>
      <c r="G58" s="549" t="s">
        <v>617</v>
      </c>
      <c r="H58" s="547"/>
      <c r="I58" s="550"/>
      <c r="J58" s="548"/>
      <c r="K58" s="545">
        <v>0.86</v>
      </c>
      <c r="L58" s="545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6" t="s">
        <v>618</v>
      </c>
      <c r="E59" s="547"/>
      <c r="F59" s="548"/>
      <c r="G59" s="549" t="s">
        <v>616</v>
      </c>
      <c r="H59" s="547"/>
      <c r="I59" s="550"/>
      <c r="J59" s="548"/>
      <c r="K59" s="545">
        <v>1.45</v>
      </c>
      <c r="L59" s="545"/>
      <c r="S59" s="17"/>
      <c r="T59" s="17"/>
      <c r="U59" s="17"/>
      <c r="V59" s="17"/>
      <c r="W59" s="17"/>
    </row>
    <row r="60" spans="2:24" ht="15" customHeight="1">
      <c r="D60" s="546"/>
      <c r="E60" s="547"/>
      <c r="F60" s="548"/>
      <c r="G60" s="549" t="s">
        <v>617</v>
      </c>
      <c r="H60" s="547"/>
      <c r="I60" s="550"/>
      <c r="J60" s="548"/>
      <c r="K60" s="545">
        <v>0.85</v>
      </c>
      <c r="L60" s="545"/>
      <c r="S60" s="17"/>
      <c r="T60" s="17"/>
      <c r="U60" s="17"/>
      <c r="V60" s="17"/>
      <c r="W60" s="17"/>
    </row>
    <row r="61" spans="2:24" ht="15" customHeight="1">
      <c r="D61" s="546" t="s">
        <v>619</v>
      </c>
      <c r="E61" s="547"/>
      <c r="F61" s="548"/>
      <c r="G61" s="549" t="s">
        <v>616</v>
      </c>
      <c r="H61" s="547"/>
      <c r="I61" s="550"/>
      <c r="J61" s="548"/>
      <c r="K61" s="545">
        <v>2.0699999999999998</v>
      </c>
      <c r="L61" s="545"/>
      <c r="S61" s="17"/>
      <c r="T61" s="17"/>
      <c r="U61" s="17"/>
      <c r="V61" s="17"/>
      <c r="W61" s="17"/>
    </row>
    <row r="62" spans="2:24" ht="15" customHeight="1">
      <c r="B62" s="2"/>
      <c r="D62" s="546"/>
      <c r="E62" s="547"/>
      <c r="F62" s="548"/>
      <c r="G62" s="549" t="s">
        <v>617</v>
      </c>
      <c r="H62" s="547"/>
      <c r="I62" s="550"/>
      <c r="J62" s="548"/>
      <c r="K62" s="545">
        <v>0.92</v>
      </c>
      <c r="L62" s="545"/>
      <c r="S62" s="17"/>
      <c r="T62" s="17"/>
      <c r="U62" s="17"/>
      <c r="V62" s="17"/>
      <c r="W62" s="17"/>
    </row>
    <row r="63" spans="2:24" ht="15" customHeight="1">
      <c r="D63" s="546" t="s">
        <v>620</v>
      </c>
      <c r="E63" s="547"/>
      <c r="F63" s="548"/>
      <c r="G63" s="549" t="s">
        <v>616</v>
      </c>
      <c r="H63" s="547"/>
      <c r="I63" s="550"/>
      <c r="J63" s="548"/>
      <c r="K63" s="545">
        <v>3.67</v>
      </c>
      <c r="L63" s="545"/>
      <c r="S63" s="17"/>
      <c r="T63" s="17"/>
      <c r="U63" s="17"/>
      <c r="V63" s="17"/>
      <c r="W63" s="17"/>
    </row>
    <row r="64" spans="2:24" ht="15" customHeight="1">
      <c r="D64" s="546" t="s">
        <v>621</v>
      </c>
      <c r="E64" s="547"/>
      <c r="F64" s="548"/>
      <c r="G64" s="549" t="s">
        <v>617</v>
      </c>
      <c r="H64" s="547"/>
      <c r="I64" s="550"/>
      <c r="J64" s="548"/>
      <c r="K64" s="545">
        <v>1.24</v>
      </c>
      <c r="L64" s="545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9" sqref="B9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 thickBot="1">
      <c r="A2" s="14" t="s">
        <v>478</v>
      </c>
      <c r="G2" s="242" t="s">
        <v>868</v>
      </c>
      <c r="H2" s="84" t="s">
        <v>636</v>
      </c>
      <c r="I2" s="49">
        <f>L2*0.25</f>
        <v>11</v>
      </c>
      <c r="J2" s="49">
        <f>L2*0.5</f>
        <v>22</v>
      </c>
      <c r="K2" s="49">
        <f>L2*0.75</f>
        <v>33</v>
      </c>
      <c r="L2" s="356">
        <f>IF(Age="existing",0.15*A_houseSI+3.5*(Nbedrooms+1)+(65/4),0.15*A_houseSI+3.5*(Nbedrooms+1))</f>
        <v>44</v>
      </c>
      <c r="M2" s="296">
        <f>1.25*L2</f>
        <v>55</v>
      </c>
      <c r="N2" s="49">
        <f>L2*2</f>
        <v>88</v>
      </c>
      <c r="O2" s="49">
        <f>L2*3</f>
        <v>132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23.646393972012916</v>
      </c>
      <c r="J3" s="49">
        <f>L3*0.5</f>
        <v>47.292787944025832</v>
      </c>
      <c r="K3" s="49">
        <f>L3*0.75</f>
        <v>70.939181916038748</v>
      </c>
      <c r="L3" s="357">
        <f>IF(Age="existing",0.03*A_houseFT+7.5*(Nbedrooms+1)+(130/4), 0.03*A_houseFT+7.5*(Nbedrooms+1))</f>
        <v>94.585575888051665</v>
      </c>
      <c r="M3" s="296">
        <f>1.25*L3</f>
        <v>118.23196986006458</v>
      </c>
      <c r="N3" s="49">
        <f>L3*2</f>
        <v>189.17115177610333</v>
      </c>
      <c r="O3" s="49">
        <f>L3*3</f>
        <v>283.75672766415499</v>
      </c>
      <c r="R3" s="543" t="s">
        <v>921</v>
      </c>
      <c r="S3" s="544">
        <v>17</v>
      </c>
      <c r="T3" s="391" t="s">
        <v>505</v>
      </c>
      <c r="U3" s="146" t="s">
        <v>506</v>
      </c>
      <c r="V3" s="392" t="s">
        <v>507</v>
      </c>
    </row>
    <row r="4" spans="1:22" ht="15" customHeight="1" thickBot="1">
      <c r="A4" s="14"/>
      <c r="B4" s="45"/>
      <c r="C4" s="227"/>
      <c r="H4" s="2"/>
      <c r="L4" s="242"/>
      <c r="R4" s="398" t="s">
        <v>1340</v>
      </c>
      <c r="S4" s="368">
        <v>1</v>
      </c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8.673700725947544</v>
      </c>
      <c r="C9" s="227">
        <f>(Leakage!I34*A_houseSI*Weather!C25)/1.44</f>
        <v>8.8852544021901672</v>
      </c>
      <c r="D9" s="227">
        <f>(Leakage!J34*A_houseSI*Weather!D25)/1.44</f>
        <v>9.0968080784327903</v>
      </c>
      <c r="E9" s="227">
        <f>(Leakage!K34*A_houseSI*Weather!E25)/1.44</f>
        <v>8.1095575893005467</v>
      </c>
      <c r="F9" s="227">
        <f>(Leakage!L34*A_houseSI*Weather!F25)/1.44</f>
        <v>8.4621470497049174</v>
      </c>
      <c r="G9" s="227">
        <f>(Leakage!M34*A_houseSI*Weather!G25)/1.44</f>
        <v>10.577683812131147</v>
      </c>
      <c r="H9" s="227">
        <f>(Leakage!N34*A_houseSI*Weather!H25)/1.44</f>
        <v>8.8147365101092898</v>
      </c>
      <c r="I9" s="227">
        <f>(Leakage!O34*A_houseSI*Weather!I25)/1.44</f>
        <v>9.5199154309180329</v>
      </c>
      <c r="J9" s="227">
        <f>(Leakage!P34*A_houseSI*Weather!J25)/1.44</f>
        <v>9.6962101611202183</v>
      </c>
      <c r="K9" s="227">
        <f>(Leakage!Q34*A_houseSI*Weather!K25)/1.44</f>
        <v>8.4621470497049192</v>
      </c>
      <c r="L9" s="227">
        <f>(Leakage!R34*A_houseSI*Weather!L25)/1.44</f>
        <v>7.8980039130579254</v>
      </c>
      <c r="M9" s="227">
        <f>(Leakage!S34*A_houseSI*Weather!M25)/1.44</f>
        <v>8.6031828338666667</v>
      </c>
      <c r="N9" s="227">
        <f>(Leakage!T34*A_houseSI*Weather!N25)/1.44</f>
        <v>8.8852544021901654</v>
      </c>
      <c r="O9" s="227">
        <f>(Leakage!U34*A_houseSI*Weather!O25)/1.44</f>
        <v>9.8725048913224036</v>
      </c>
      <c r="P9" s="227">
        <f>(Leakage!V34*A_houseSI*Weather!P25)/1.44</f>
        <v>7.4043786684918054</v>
      </c>
      <c r="Q9" s="227">
        <f>(Leakage!W34*A_houseSI*Weather!Q25)/1.44</f>
        <v>8.0390396972196747</v>
      </c>
      <c r="R9" s="227">
        <f>(Leakage!X34*A_houseSI*Weather!R25)/1.44</f>
        <v>7.5806733986939889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FanSize*IF($L$2=0,0,$L$2-(B9/$L$2)*B9)</f>
        <v>42.290157175379477</v>
      </c>
      <c r="C10" s="348">
        <f t="shared" si="0"/>
        <v>42.205733050190005</v>
      </c>
      <c r="D10" s="348">
        <f t="shared" si="0"/>
        <v>42.119274608730905</v>
      </c>
      <c r="E10" s="348">
        <f t="shared" si="0"/>
        <v>42.505342629677678</v>
      </c>
      <c r="F10" s="348">
        <f t="shared" si="0"/>
        <v>42.372546984299326</v>
      </c>
      <c r="G10" s="348">
        <f t="shared" si="0"/>
        <v>41.457104662967694</v>
      </c>
      <c r="H10" s="348">
        <f t="shared" si="0"/>
        <v>42.234100460394231</v>
      </c>
      <c r="I10" s="348">
        <f t="shared" si="0"/>
        <v>41.940254777003837</v>
      </c>
      <c r="J10" s="348">
        <f t="shared" si="0"/>
        <v>41.863261557077024</v>
      </c>
      <c r="K10" s="348">
        <f t="shared" si="0"/>
        <v>42.372546984299326</v>
      </c>
      <c r="L10" s="348">
        <f t="shared" si="0"/>
        <v>42.582307595211859</v>
      </c>
      <c r="M10" s="348">
        <f t="shared" si="0"/>
        <v>42.317846480160497</v>
      </c>
      <c r="N10" s="348">
        <f t="shared" si="0"/>
        <v>42.205733050190005</v>
      </c>
      <c r="O10" s="348">
        <f t="shared" si="0"/>
        <v>41.784855617518531</v>
      </c>
      <c r="P10" s="348">
        <f t="shared" si="0"/>
        <v>42.75398128485417</v>
      </c>
      <c r="Q10" s="348">
        <f t="shared" si="0"/>
        <v>42.531223653330144</v>
      </c>
      <c r="R10" s="348">
        <f t="shared" si="0"/>
        <v>42.693940700507575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18.442737544182989</v>
      </c>
      <c r="C11" s="242">
        <f>C10*0.4361</f>
        <v>18.40592018318786</v>
      </c>
      <c r="D11" s="242">
        <f t="shared" ref="D11:P11" si="1">D10*0.4361</f>
        <v>18.368215656867548</v>
      </c>
      <c r="E11" s="242">
        <f t="shared" si="1"/>
        <v>18.536579920802435</v>
      </c>
      <c r="F11" s="242">
        <f t="shared" si="1"/>
        <v>18.478667739852934</v>
      </c>
      <c r="G11" s="242">
        <f t="shared" si="1"/>
        <v>18.079443343520211</v>
      </c>
      <c r="H11" s="242">
        <f t="shared" si="1"/>
        <v>18.418291210777923</v>
      </c>
      <c r="I11" s="242">
        <f t="shared" si="1"/>
        <v>18.290145108251373</v>
      </c>
      <c r="J11" s="242">
        <f t="shared" si="1"/>
        <v>18.256568365041289</v>
      </c>
      <c r="K11" s="242">
        <f t="shared" si="1"/>
        <v>18.478667739852934</v>
      </c>
      <c r="L11" s="242">
        <f t="shared" si="1"/>
        <v>18.570144342271892</v>
      </c>
      <c r="M11" s="242">
        <f t="shared" si="1"/>
        <v>18.454812849997992</v>
      </c>
      <c r="N11" s="242">
        <f t="shared" si="1"/>
        <v>18.40592018318786</v>
      </c>
      <c r="O11" s="242">
        <f t="shared" si="1"/>
        <v>18.222375534799831</v>
      </c>
      <c r="P11" s="242">
        <f t="shared" si="1"/>
        <v>18.645011238324901</v>
      </c>
      <c r="Q11" s="242">
        <f>Q10*0.4361</f>
        <v>18.547866635217275</v>
      </c>
      <c r="R11" s="242">
        <f>R10*0.4361</f>
        <v>18.618827539491352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>IF(VentSystem="CFIS",0,0.566*B13*-1000)</f>
        <v>47.872457922529563</v>
      </c>
      <c r="C12" s="399">
        <f t="shared" ref="C12:R12" si="2">IF(VentSystem="CFIS",0,0.566*C13*-1000)</f>
        <v>47.776889812815085</v>
      </c>
      <c r="D12" s="399">
        <f t="shared" si="2"/>
        <v>47.679018857083378</v>
      </c>
      <c r="E12" s="399">
        <f t="shared" si="2"/>
        <v>48.116047856795127</v>
      </c>
      <c r="F12" s="399">
        <f t="shared" si="2"/>
        <v>47.965723186226832</v>
      </c>
      <c r="G12" s="399">
        <f t="shared" si="2"/>
        <v>46.929442478479423</v>
      </c>
      <c r="H12" s="399">
        <f t="shared" si="2"/>
        <v>47.809001721166268</v>
      </c>
      <c r="I12" s="399">
        <f t="shared" si="2"/>
        <v>47.476368407568344</v>
      </c>
      <c r="J12" s="399">
        <f t="shared" si="2"/>
        <v>47.389212082611181</v>
      </c>
      <c r="K12" s="399">
        <f t="shared" si="2"/>
        <v>47.965723186226832</v>
      </c>
      <c r="L12" s="399">
        <f t="shared" si="2"/>
        <v>48.203172197779821</v>
      </c>
      <c r="M12" s="399">
        <f t="shared" si="2"/>
        <v>47.903802215541681</v>
      </c>
      <c r="N12" s="399">
        <f t="shared" si="2"/>
        <v>47.776889812815085</v>
      </c>
      <c r="O12" s="399">
        <f t="shared" si="2"/>
        <v>47.30045655903097</v>
      </c>
      <c r="P12" s="399">
        <f t="shared" si="2"/>
        <v>48.397506814454921</v>
      </c>
      <c r="Q12" s="399">
        <f t="shared" si="2"/>
        <v>48.145345175569723</v>
      </c>
      <c r="R12" s="399">
        <f t="shared" si="2"/>
        <v>48.329540872974569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3">IF(VentSystem="CFIS",3*B10/-1000,IF(AND(VentSystem="Simple Exhaust",HumControl=1),B10/-1000,IF(AND(VentSystem="Simple Exhaust",HumControl&gt;1),2*B10/-1000,0)))</f>
        <v>-8.4580314350758953E-2</v>
      </c>
      <c r="C13" s="399">
        <f t="shared" si="3"/>
        <v>-8.4411466100380014E-2</v>
      </c>
      <c r="D13" s="399">
        <f t="shared" si="3"/>
        <v>-8.4238549217461808E-2</v>
      </c>
      <c r="E13" s="399">
        <f t="shared" si="3"/>
        <v>-8.5010685259355359E-2</v>
      </c>
      <c r="F13" s="399">
        <f t="shared" si="3"/>
        <v>-8.4745093968598653E-2</v>
      </c>
      <c r="G13" s="399">
        <f t="shared" si="3"/>
        <v>-8.2914209325935392E-2</v>
      </c>
      <c r="H13" s="399">
        <f t="shared" si="3"/>
        <v>-8.4468200920788467E-2</v>
      </c>
      <c r="I13" s="399">
        <f t="shared" si="3"/>
        <v>-8.3880509554007679E-2</v>
      </c>
      <c r="J13" s="399">
        <f t="shared" si="3"/>
        <v>-8.3726523114154044E-2</v>
      </c>
      <c r="K13" s="399">
        <f t="shared" si="3"/>
        <v>-8.4745093968598653E-2</v>
      </c>
      <c r="L13" s="399">
        <f t="shared" si="3"/>
        <v>-8.5164615190423718E-2</v>
      </c>
      <c r="M13" s="399">
        <f t="shared" si="3"/>
        <v>-8.4635692960321002E-2</v>
      </c>
      <c r="N13" s="399">
        <f t="shared" si="3"/>
        <v>-8.4411466100380014E-2</v>
      </c>
      <c r="O13" s="399">
        <f t="shared" si="3"/>
        <v>-8.3569711235037064E-2</v>
      </c>
      <c r="P13" s="399">
        <f t="shared" si="3"/>
        <v>-8.5507962569708343E-2</v>
      </c>
      <c r="Q13" s="399">
        <f t="shared" si="3"/>
        <v>-8.5062447306660294E-2</v>
      </c>
      <c r="R13" s="399">
        <f t="shared" si="3"/>
        <v>-8.538788140101515E-2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4">VLOOKUP(VentSystem,$R$2:$S$4,2,FALSE)</f>
        <v>1</v>
      </c>
      <c r="C14" s="400">
        <f t="shared" si="4"/>
        <v>1</v>
      </c>
      <c r="D14" s="400">
        <f t="shared" si="4"/>
        <v>1</v>
      </c>
      <c r="E14" s="400">
        <f t="shared" si="4"/>
        <v>1</v>
      </c>
      <c r="F14" s="400">
        <f t="shared" si="4"/>
        <v>1</v>
      </c>
      <c r="G14" s="400">
        <f t="shared" si="4"/>
        <v>1</v>
      </c>
      <c r="H14" s="400">
        <f t="shared" si="4"/>
        <v>1</v>
      </c>
      <c r="I14" s="400">
        <f t="shared" si="4"/>
        <v>1</v>
      </c>
      <c r="J14" s="400">
        <f t="shared" si="4"/>
        <v>1</v>
      </c>
      <c r="K14" s="400">
        <f t="shared" si="4"/>
        <v>1</v>
      </c>
      <c r="L14" s="400">
        <f t="shared" si="4"/>
        <v>1</v>
      </c>
      <c r="M14" s="400">
        <f t="shared" si="4"/>
        <v>1</v>
      </c>
      <c r="N14" s="400">
        <f t="shared" si="4"/>
        <v>1</v>
      </c>
      <c r="O14" s="400">
        <f t="shared" si="4"/>
        <v>1</v>
      </c>
      <c r="P14" s="400">
        <f t="shared" si="4"/>
        <v>1</v>
      </c>
      <c r="Q14" s="400">
        <f t="shared" si="4"/>
        <v>1</v>
      </c>
      <c r="R14" s="400">
        <f t="shared" si="4"/>
        <v>1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4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2">
        <f>F29*G17</f>
        <v>10.199999999999999</v>
      </c>
      <c r="K17" s="42">
        <f>E17*10^-3*3600/V_houseSI</f>
        <v>0.1698914582350165</v>
      </c>
      <c r="L17" s="44">
        <f>E17*10^-3*3600/V_houseSI+10/100*A_houseSI*3600/1000/V_houseSI</f>
        <v>0.31389145823501652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4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2">
        <f>F24*G18</f>
        <v>37.200000000000003</v>
      </c>
      <c r="K18" s="42">
        <f>E18*10^-3*3600/V_houseSI</f>
        <v>0.339782916470033</v>
      </c>
      <c r="L18" s="44">
        <f>E18*10^-3*3600/V_houseSI+10/100*A_houseSI*3600/1000/V_houseSI</f>
        <v>0.48378291647003302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5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2">
        <f>F42</f>
        <v>11.8</v>
      </c>
      <c r="K19" s="42">
        <f>E19*10^-3*3600/V_houseSI</f>
        <v>0.23784804152902311</v>
      </c>
      <c r="L19" s="44">
        <f>E19*10^-3*3600/V_houseSI+10/100*A_houseSI*3600/1000/V_houseSI</f>
        <v>0.38184804152902307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4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3">
        <v>0</v>
      </c>
      <c r="K20" s="42">
        <f>E20*10^-3*3600/V_houseSI</f>
        <v>0.5096743747050495</v>
      </c>
      <c r="L20" s="44">
        <f>E20*10^-3*3600/V_houseSI+10/100*A_houseSI*3600/1000/V_houseSI</f>
        <v>0.65367437470504952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28.912335753158466</v>
      </c>
      <c r="D67" s="71">
        <f>($B$67*A_houseSI*Weather!C25)/1.44</f>
        <v>29.617514673967214</v>
      </c>
      <c r="E67" s="71">
        <f>($B$67*A_houseSI*Weather!D25)/1.44</f>
        <v>30.322693594775956</v>
      </c>
      <c r="F67" s="71">
        <f>($B$67*A_houseSI*Weather!E25)/1.44</f>
        <v>32.438230357202187</v>
      </c>
      <c r="G67" s="71">
        <f>($B$67*A_houseSI*Weather!F25)/1.44</f>
        <v>33.84858819881967</v>
      </c>
      <c r="H67" s="71">
        <f>($B$67*A_houseSI*Weather!G25)/1.44</f>
        <v>42.310735248524587</v>
      </c>
      <c r="I67" s="71">
        <f>($B$67*A_houseSI*Weather!H25)/1.44</f>
        <v>35.258946040437159</v>
      </c>
      <c r="J67" s="71">
        <f>($B$67*A_houseSI*Weather!I25)/1.44</f>
        <v>38.079661723672132</v>
      </c>
      <c r="K67" s="71">
        <f>($B$67*A_houseSI*Weather!J25)/1.44</f>
        <v>38.784840644480873</v>
      </c>
      <c r="L67" s="71">
        <f>($B$67*A_houseSI*Weather!K25)/1.44</f>
        <v>42.310735248524587</v>
      </c>
      <c r="M67" s="71">
        <f>($B$67*A_houseSI*Weather!L25)/1.44</f>
        <v>39.490019565289614</v>
      </c>
      <c r="N67" s="71">
        <f>($B$67*A_houseSI*Weather!M25)/1.44</f>
        <v>43.015914169333328</v>
      </c>
      <c r="O67" s="71">
        <f>($B$67*A_houseSI*Weather!N25)/1.44</f>
        <v>44.426272010950818</v>
      </c>
      <c r="P67" s="71">
        <f>($B$67*A_houseSI*Weather!O25)/1.44</f>
        <v>49.362524456612014</v>
      </c>
      <c r="Q67" s="71">
        <f>($B$67*A_houseSI*Weather!P25)/1.44</f>
        <v>49.362524456612014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20.238635027210929</v>
      </c>
      <c r="D68" s="71">
        <f>($B$68*A_houseSI*Weather!C25)/1.44</f>
        <v>20.732260271777047</v>
      </c>
      <c r="E68" s="71">
        <f>($B$68*A_houseSI*Weather!D25)/1.44</f>
        <v>21.225885516343169</v>
      </c>
      <c r="F68" s="71">
        <f>($B$68*A_houseSI*Weather!E25)/1.44</f>
        <v>22.706761250041531</v>
      </c>
      <c r="G68" s="71">
        <f>($B$68*A_houseSI*Weather!F25)/1.44</f>
        <v>23.694011739173767</v>
      </c>
      <c r="H68" s="71">
        <f>($B$68*A_houseSI*Weather!G25)/1.44</f>
        <v>29.617514673967214</v>
      </c>
      <c r="I68" s="71">
        <f>($B$68*A_houseSI*Weather!H25)/1.44</f>
        <v>24.681262228306011</v>
      </c>
      <c r="J68" s="71">
        <f>($B$68*A_houseSI*Weather!I25)/1.44</f>
        <v>26.655763206570494</v>
      </c>
      <c r="K68" s="71">
        <f>($B$68*A_houseSI*Weather!J25)/1.44</f>
        <v>27.149388451136613</v>
      </c>
      <c r="L68" s="71">
        <f>($B$68*A_houseSI*Weather!K25)/1.44</f>
        <v>29.617514673967214</v>
      </c>
      <c r="M68" s="71">
        <f>($B$68*A_houseSI*Weather!L25)/1.44</f>
        <v>27.643013695702738</v>
      </c>
      <c r="N68" s="71">
        <f>($B$68*A_houseSI*Weather!M25)/1.44</f>
        <v>30.111139918533333</v>
      </c>
      <c r="O68" s="71">
        <f>($B$68*A_houseSI*Weather!N25)/1.44</f>
        <v>31.098390407665576</v>
      </c>
      <c r="P68" s="71">
        <f>($B$68*A_houseSI*Weather!O25)/1.44</f>
        <v>34.553767119628418</v>
      </c>
      <c r="Q68" s="71">
        <f>($B$68*A_houseSI*Weather!P25)/1.44</f>
        <v>34.553767119628418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14.456167876579233</v>
      </c>
      <c r="D69" s="71">
        <f>($B$69*A_houseSI*Weather!C25)/1.44</f>
        <v>14.808757336983607</v>
      </c>
      <c r="E69" s="71">
        <f>($B$69*A_houseSI*Weather!D25)/1.44</f>
        <v>15.161346797387978</v>
      </c>
      <c r="F69" s="71">
        <f>($B$69*A_houseSI*Weather!E25)/1.44</f>
        <v>16.219115178601093</v>
      </c>
      <c r="G69" s="71">
        <f>($B$69*A_houseSI*Weather!F25)/1.44</f>
        <v>16.924294099409835</v>
      </c>
      <c r="H69" s="71">
        <f>($B$69*A_houseSI*Weather!G25)/1.44</f>
        <v>21.155367624262293</v>
      </c>
      <c r="I69" s="71">
        <f>($B$69*A_houseSI*Weather!H25)/1.44</f>
        <v>17.62947302021858</v>
      </c>
      <c r="J69" s="71">
        <f>($B$69*A_houseSI*Weather!I25)/1.44</f>
        <v>19.039830861836066</v>
      </c>
      <c r="K69" s="71">
        <f>($B$69*A_houseSI*Weather!J25)/1.44</f>
        <v>19.392420322240437</v>
      </c>
      <c r="L69" s="71">
        <f>($B$69*A_houseSI*Weather!K25)/1.44</f>
        <v>21.155367624262293</v>
      </c>
      <c r="M69" s="71">
        <f>($B$69*A_houseSI*Weather!L25)/1.44</f>
        <v>19.745009782644807</v>
      </c>
      <c r="N69" s="71">
        <f>($B$69*A_houseSI*Weather!M25)/1.44</f>
        <v>21.507957084666664</v>
      </c>
      <c r="O69" s="71">
        <f>($B$69*A_houseSI*Weather!N25)/1.44</f>
        <v>22.213136005475409</v>
      </c>
      <c r="P69" s="71">
        <f>($B$69*A_houseSI*Weather!O25)/1.44</f>
        <v>24.681262228306007</v>
      </c>
      <c r="Q69" s="71">
        <f>($B$69*A_houseSI*Weather!P25)/1.44</f>
        <v>24.681262228306007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8.673700725947544</v>
      </c>
      <c r="D70" s="71">
        <f>($B$70*A_houseSI*Weather!C25)/1.44</f>
        <v>8.8852544021901672</v>
      </c>
      <c r="E70" s="71">
        <f>($B$70*A_houseSI*Weather!D25)/1.44</f>
        <v>9.0968080784327903</v>
      </c>
      <c r="F70" s="71">
        <f>($B$70*A_houseSI*Weather!E25)/1.44</f>
        <v>9.7314691071606596</v>
      </c>
      <c r="G70" s="71">
        <f>($B$70*A_houseSI*Weather!F25)/1.44</f>
        <v>10.154576459645904</v>
      </c>
      <c r="H70" s="71">
        <f>($B$70*A_houseSI*Weather!G25)/1.44</f>
        <v>12.693220574557381</v>
      </c>
      <c r="I70" s="71">
        <f>($B$70*A_houseSI*Weather!H25)/1.44</f>
        <v>10.57768381213115</v>
      </c>
      <c r="J70" s="71">
        <f>($B$70*A_houseSI*Weather!I25)/1.44</f>
        <v>11.423898517101645</v>
      </c>
      <c r="K70" s="71">
        <f>($B$70*A_houseSI*Weather!J25)/1.44</f>
        <v>11.635452193344266</v>
      </c>
      <c r="L70" s="71">
        <f>($B$70*A_houseSI*Weather!K25)/1.44</f>
        <v>12.693220574557381</v>
      </c>
      <c r="M70" s="71">
        <f>($B$70*A_houseSI*Weather!L25)/1.44</f>
        <v>11.847005869586891</v>
      </c>
      <c r="N70" s="71">
        <f>($B$70*A_houseSI*Weather!M25)/1.44</f>
        <v>12.904774250800005</v>
      </c>
      <c r="O70" s="71">
        <f>($B$70*A_houseSI*Weather!N25)/1.44</f>
        <v>13.327881603285251</v>
      </c>
      <c r="P70" s="71">
        <f>($B$70*A_houseSI*Weather!O25)/1.44</f>
        <v>14.808757336983611</v>
      </c>
      <c r="Q70" s="71">
        <f>($B$70*A_houseSI*Weather!P25)/1.44</f>
        <v>14.808757336983611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4.336850362973772</v>
      </c>
      <c r="D71" s="71">
        <f>($B$71*A_houseSI*Weather!C25)/1.44</f>
        <v>4.4426272010950836</v>
      </c>
      <c r="E71" s="71">
        <f>($B$71*A_houseSI*Weather!D25)/1.44</f>
        <v>4.5484040392163951</v>
      </c>
      <c r="F71" s="71">
        <f>($B$71*A_houseSI*Weather!E25)/1.44</f>
        <v>4.8657345535803298</v>
      </c>
      <c r="G71" s="71">
        <f>($B$71*A_houseSI*Weather!F25)/1.44</f>
        <v>5.077288229822952</v>
      </c>
      <c r="H71" s="71">
        <f>($B$71*A_houseSI*Weather!G25)/1.44</f>
        <v>6.3466102872786907</v>
      </c>
      <c r="I71" s="71">
        <f>($B$71*A_houseSI*Weather!H25)/1.44</f>
        <v>5.2888419060655751</v>
      </c>
      <c r="J71" s="71">
        <f>($B$71*A_houseSI*Weather!I25)/1.44</f>
        <v>5.7119492585508223</v>
      </c>
      <c r="K71" s="71">
        <f>($B$71*A_houseSI*Weather!J25)/1.44</f>
        <v>5.8177260966721329</v>
      </c>
      <c r="L71" s="71">
        <f>($B$71*A_houseSI*Weather!K25)/1.44</f>
        <v>6.3466102872786907</v>
      </c>
      <c r="M71" s="71">
        <f>($B$71*A_houseSI*Weather!L25)/1.44</f>
        <v>5.9235029347934454</v>
      </c>
      <c r="N71" s="71">
        <f>($B$71*A_houseSI*Weather!M25)/1.44</f>
        <v>6.4523871254000023</v>
      </c>
      <c r="O71" s="71">
        <f>($B$71*A_houseSI*Weather!N25)/1.44</f>
        <v>6.6639408016426254</v>
      </c>
      <c r="P71" s="71">
        <f>($B$71*A_houseSI*Weather!O25)/1.44</f>
        <v>7.4043786684918054</v>
      </c>
      <c r="Q71" s="71">
        <f>($B$71*A_houseSI*Weather!P25)/1.44</f>
        <v>7.4043786684918054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1.7347401451895081</v>
      </c>
      <c r="D72" s="71">
        <f>($B$72*A_houseSI*Weather!C25)/1.44</f>
        <v>1.7770508804380327</v>
      </c>
      <c r="E72" s="71">
        <f>($B$72*A_houseSI*Weather!D25)/1.44</f>
        <v>1.8193616156865575</v>
      </c>
      <c r="F72" s="71">
        <f>($B$72*A_houseSI*Weather!E25)/1.44</f>
        <v>1.9462938214321313</v>
      </c>
      <c r="G72" s="71">
        <f>($B$72*A_houseSI*Weather!F25)/1.44</f>
        <v>2.0309152919291802</v>
      </c>
      <c r="H72" s="71">
        <f>($B$72*A_houseSI*Weather!G25)/1.44</f>
        <v>2.5386441149114751</v>
      </c>
      <c r="I72" s="71">
        <f>($B$72*A_houseSI*Weather!H25)/1.44</f>
        <v>2.1155367624262298</v>
      </c>
      <c r="J72" s="71">
        <f>($B$72*A_houseSI*Weather!I25)/1.44</f>
        <v>2.2847797034203281</v>
      </c>
      <c r="K72" s="71">
        <f>($B$72*A_houseSI*Weather!J25)/1.44</f>
        <v>2.3270904386688529</v>
      </c>
      <c r="L72" s="71">
        <f>($B$72*A_houseSI*Weather!K25)/1.44</f>
        <v>2.5386441149114751</v>
      </c>
      <c r="M72" s="71">
        <f>($B$72*A_houseSI*Weather!L25)/1.44</f>
        <v>2.3694011739173777</v>
      </c>
      <c r="N72" s="71">
        <f>($B$72*A_houseSI*Weather!M25)/1.44</f>
        <v>2.5809548501599999</v>
      </c>
      <c r="O72" s="71">
        <f>($B$72*A_houseSI*Weather!N25)/1.44</f>
        <v>2.6655763206570491</v>
      </c>
      <c r="P72" s="71">
        <f>($B$72*A_houseSI*Weather!O25)/1.44</f>
        <v>2.9617514673967209</v>
      </c>
      <c r="Q72" s="71">
        <f>($B$72*A_houseSI*Weather!P25)/1.44</f>
        <v>2.9617514673967209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15.087664246841534</v>
      </c>
      <c r="D78" s="345">
        <f>IF(Age="existing",IF(Fans!$L$2-Fans!D67&lt;=0,0,Fans!$L$2-Fans!D67),IF(D67&lt;(2/3)*Fans!$L$2,Fans!$L$2-Fans!D67,(1/3)*Fans!$L$2))</f>
        <v>14.666666666666666</v>
      </c>
      <c r="E78" s="345">
        <f>IF(Age="existing",IF(Fans!$L$2-Fans!E67&lt;=0,0,Fans!$L$2-Fans!E67),IF(E67&lt;(2/3)*Fans!$L$2,Fans!$L$2-Fans!E67,(1/3)*Fans!$L$2))</f>
        <v>14.666666666666666</v>
      </c>
      <c r="F78" s="345">
        <f>IF(Age="existing",IF(Fans!$L$2-Fans!F67&lt;=0,0,Fans!$L$2-Fans!F67),IF(F67&lt;(2/3)*Fans!$L$2,Fans!$L$2-Fans!F67,(1/3)*Fans!$L$2))</f>
        <v>14.666666666666666</v>
      </c>
      <c r="G78" s="345">
        <f>IF(Age="existing",IF(Fans!$L$2-Fans!G67&lt;=0,0,Fans!$L$2-Fans!G67),IF(G67&lt;(2/3)*Fans!$L$2,Fans!$L$2-Fans!G67,(1/3)*Fans!$L$2))</f>
        <v>14.666666666666666</v>
      </c>
      <c r="H78" s="345">
        <f>IF(Age="existing",IF(Fans!$L$2-Fans!H67&lt;=0,0,Fans!$L$2-Fans!H67),IF(H67&lt;(2/3)*Fans!$L$2,Fans!$L$2-Fans!H67,(1/3)*Fans!$L$2))</f>
        <v>14.666666666666666</v>
      </c>
      <c r="I78" s="345">
        <f>IF(Age="existing",IF(Fans!$L$2-Fans!I67&lt;=0,0,Fans!$L$2-Fans!I67),IF(I67&lt;(2/3)*Fans!$L$2,Fans!$L$2-Fans!I67,(1/3)*Fans!$L$2))</f>
        <v>14.666666666666666</v>
      </c>
      <c r="J78" s="345">
        <f>IF(Age="existing",IF(Fans!$L$2-Fans!J67&lt;=0,0,Fans!$L$2-Fans!J67),IF(J67&lt;(2/3)*Fans!$L$2,Fans!$L$2-Fans!J67,(1/3)*Fans!$L$2))</f>
        <v>14.666666666666666</v>
      </c>
      <c r="K78" s="345">
        <f>IF(Age="existing",IF(Fans!$L$2-Fans!K67&lt;=0,0,Fans!$L$2-Fans!K67),IF(K67&lt;(2/3)*Fans!$L$2,Fans!$L$2-Fans!K67,(1/3)*Fans!$L$2))</f>
        <v>14.666666666666666</v>
      </c>
      <c r="L78" s="345">
        <f>IF(Age="existing",IF(Fans!$L$2-Fans!L67&lt;=0,0,Fans!$L$2-Fans!L67),IF(L67&lt;(2/3)*Fans!$L$2,Fans!$L$2-Fans!L67,(1/3)*Fans!$L$2))</f>
        <v>14.666666666666666</v>
      </c>
      <c r="M78" s="345">
        <f>IF(Age="existing",IF(Fans!$L$2-Fans!M67&lt;=0,0,Fans!$L$2-Fans!M67),IF(M67&lt;(2/3)*Fans!$L$2,Fans!$L$2-Fans!M67,(1/3)*Fans!$L$2))</f>
        <v>14.666666666666666</v>
      </c>
      <c r="N78" s="345">
        <f>IF(Age="existing",IF(Fans!$L$2-Fans!N67&lt;=0,0,Fans!$L$2-Fans!N67),IF(N67&lt;(2/3)*Fans!$L$2,Fans!$L$2-Fans!N67,(1/3)*Fans!$L$2))</f>
        <v>14.666666666666666</v>
      </c>
      <c r="O78" s="345">
        <f>IF(Age="existing",IF(Fans!$L$2-Fans!O67&lt;=0,0,Fans!$L$2-Fans!O67),IF(O67&lt;(2/3)*Fans!$L$2,Fans!$L$2-Fans!O67,(1/3)*Fans!$L$2))</f>
        <v>14.666666666666666</v>
      </c>
      <c r="P78" s="345">
        <f>IF(Age="existing",IF(Fans!$L$2-Fans!P67&lt;=0,0,Fans!$L$2-Fans!P67),IF(P67&lt;(2/3)*Fans!$L$2,Fans!$L$2-Fans!P67,(1/3)*Fans!$L$2))</f>
        <v>14.666666666666666</v>
      </c>
      <c r="Q78" s="345">
        <f>IF(Age="existing",IF(Fans!$L$2-Fans!Q67&lt;=0,0,Fans!$L$2-Fans!Q67),IF(Q67&lt;(2/3)*Fans!$L$2,Fans!$L$2-Fans!Q67,(1/3)*Fans!$L$2))</f>
        <v>14.666666666666666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23.761364972789071</v>
      </c>
      <c r="D79" s="345">
        <f>IF(Age="existing",IF(Fans!$L$2-Fans!D68&lt;=0,0,Fans!$L$2-Fans!D68),IF(D68&lt;(2/3)*Fans!$L$2,Fans!$L$2-Fans!D68,(1/3)*Fans!$L$2))</f>
        <v>23.267739728222953</v>
      </c>
      <c r="E79" s="345">
        <f>IF(Age="existing",IF(Fans!$L$2-Fans!E68&lt;=0,0,Fans!$L$2-Fans!E68),IF(E68&lt;(2/3)*Fans!$L$2,Fans!$L$2-Fans!E68,(1/3)*Fans!$L$2))</f>
        <v>22.774114483656831</v>
      </c>
      <c r="F79" s="345">
        <f>IF(Age="existing",IF(Fans!$L$2-Fans!F68&lt;=0,0,Fans!$L$2-Fans!F68),IF(F68&lt;(2/3)*Fans!$L$2,Fans!$L$2-Fans!F68,(1/3)*Fans!$L$2))</f>
        <v>21.293238749958469</v>
      </c>
      <c r="G79" s="345">
        <f>IF(Age="existing",IF(Fans!$L$2-Fans!G68&lt;=0,0,Fans!$L$2-Fans!G68),IF(G68&lt;(2/3)*Fans!$L$2,Fans!$L$2-Fans!G68,(1/3)*Fans!$L$2))</f>
        <v>20.305988260826233</v>
      </c>
      <c r="H79" s="345">
        <f>IF(Age="existing",IF(Fans!$L$2-Fans!H68&lt;=0,0,Fans!$L$2-Fans!H68),IF(H68&lt;(2/3)*Fans!$L$2,Fans!$L$2-Fans!H68,(1/3)*Fans!$L$2))</f>
        <v>14.666666666666666</v>
      </c>
      <c r="I79" s="345">
        <f>IF(Age="existing",IF(Fans!$L$2-Fans!I68&lt;=0,0,Fans!$L$2-Fans!I68),IF(I68&lt;(2/3)*Fans!$L$2,Fans!$L$2-Fans!I68,(1/3)*Fans!$L$2))</f>
        <v>19.318737771693989</v>
      </c>
      <c r="J79" s="345">
        <f>IF(Age="existing",IF(Fans!$L$2-Fans!J68&lt;=0,0,Fans!$L$2-Fans!J68),IF(J68&lt;(2/3)*Fans!$L$2,Fans!$L$2-Fans!J68,(1/3)*Fans!$L$2))</f>
        <v>17.344236793429506</v>
      </c>
      <c r="K79" s="345">
        <f>IF(Age="existing",IF(Fans!$L$2-Fans!K68&lt;=0,0,Fans!$L$2-Fans!K68),IF(K68&lt;(2/3)*Fans!$L$2,Fans!$L$2-Fans!K68,(1/3)*Fans!$L$2))</f>
        <v>16.850611548863387</v>
      </c>
      <c r="L79" s="345">
        <f>IF(Age="existing",IF(Fans!$L$2-Fans!L68&lt;=0,0,Fans!$L$2-Fans!L68),IF(L68&lt;(2/3)*Fans!$L$2,Fans!$L$2-Fans!L68,(1/3)*Fans!$L$2))</f>
        <v>14.666666666666666</v>
      </c>
      <c r="M79" s="345">
        <f>IF(Age="existing",IF(Fans!$L$2-Fans!M68&lt;=0,0,Fans!$L$2-Fans!M68),IF(M68&lt;(2/3)*Fans!$L$2,Fans!$L$2-Fans!M68,(1/3)*Fans!$L$2))</f>
        <v>16.356986304297262</v>
      </c>
      <c r="N79" s="345">
        <f>IF(Age="existing",IF(Fans!$L$2-Fans!N68&lt;=0,0,Fans!$L$2-Fans!N68),IF(N68&lt;(2/3)*Fans!$L$2,Fans!$L$2-Fans!N68,(1/3)*Fans!$L$2))</f>
        <v>14.666666666666666</v>
      </c>
      <c r="O79" s="345">
        <f>IF(Age="existing",IF(Fans!$L$2-Fans!O68&lt;=0,0,Fans!$L$2-Fans!O68),IF(O68&lt;(2/3)*Fans!$L$2,Fans!$L$2-Fans!O68,(1/3)*Fans!$L$2))</f>
        <v>14.666666666666666</v>
      </c>
      <c r="P79" s="345">
        <f>IF(Age="existing",IF(Fans!$L$2-Fans!P68&lt;=0,0,Fans!$L$2-Fans!P68),IF(P68&lt;(2/3)*Fans!$L$2,Fans!$L$2-Fans!P68,(1/3)*Fans!$L$2))</f>
        <v>14.666666666666666</v>
      </c>
      <c r="Q79" s="345">
        <f>IF(Age="existing",IF(Fans!$L$2-Fans!Q68&lt;=0,0,Fans!$L$2-Fans!Q68),IF(Q68&lt;(2/3)*Fans!$L$2,Fans!$L$2-Fans!Q68,(1/3)*Fans!$L$2))</f>
        <v>14.666666666666666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29.543832123420767</v>
      </c>
      <c r="D80" s="345">
        <f>IF(Age="existing",IF(Fans!$L$2-Fans!D69&lt;=0,0,Fans!$L$2-Fans!D69),IF(D69&lt;(2/3)*Fans!$L$2,Fans!$L$2-Fans!D69,(1/3)*Fans!$L$2))</f>
        <v>29.191242663016393</v>
      </c>
      <c r="E80" s="345">
        <f>IF(Age="existing",IF(Fans!$L$2-Fans!E69&lt;=0,0,Fans!$L$2-Fans!E69),IF(E69&lt;(2/3)*Fans!$L$2,Fans!$L$2-Fans!E69,(1/3)*Fans!$L$2))</f>
        <v>28.838653202612022</v>
      </c>
      <c r="F80" s="345">
        <f>IF(Age="existing",IF(Fans!$L$2-Fans!F69&lt;=0,0,Fans!$L$2-Fans!F69),IF(F69&lt;(2/3)*Fans!$L$2,Fans!$L$2-Fans!F69,(1/3)*Fans!$L$2))</f>
        <v>27.780884821398907</v>
      </c>
      <c r="G80" s="345">
        <f>IF(Age="existing",IF(Fans!$L$2-Fans!G69&lt;=0,0,Fans!$L$2-Fans!G69),IF(G69&lt;(2/3)*Fans!$L$2,Fans!$L$2-Fans!G69,(1/3)*Fans!$L$2))</f>
        <v>27.075705900590165</v>
      </c>
      <c r="H80" s="345">
        <f>IF(Age="existing",IF(Fans!$L$2-Fans!H69&lt;=0,0,Fans!$L$2-Fans!H69),IF(H69&lt;(2/3)*Fans!$L$2,Fans!$L$2-Fans!H69,(1/3)*Fans!$L$2))</f>
        <v>22.844632375737707</v>
      </c>
      <c r="I80" s="345">
        <f>IF(Age="existing",IF(Fans!$L$2-Fans!I69&lt;=0,0,Fans!$L$2-Fans!I69),IF(I69&lt;(2/3)*Fans!$L$2,Fans!$L$2-Fans!I69,(1/3)*Fans!$L$2))</f>
        <v>26.37052697978142</v>
      </c>
      <c r="J80" s="345">
        <f>IF(Age="existing",IF(Fans!$L$2-Fans!J69&lt;=0,0,Fans!$L$2-Fans!J69),IF(J69&lt;(2/3)*Fans!$L$2,Fans!$L$2-Fans!J69,(1/3)*Fans!$L$2))</f>
        <v>24.960169138163934</v>
      </c>
      <c r="K80" s="345">
        <f>IF(Age="existing",IF(Fans!$L$2-Fans!K69&lt;=0,0,Fans!$L$2-Fans!K69),IF(K69&lt;(2/3)*Fans!$L$2,Fans!$L$2-Fans!K69,(1/3)*Fans!$L$2))</f>
        <v>24.607579677759563</v>
      </c>
      <c r="L80" s="345">
        <f>IF(Age="existing",IF(Fans!$L$2-Fans!L69&lt;=0,0,Fans!$L$2-Fans!L69),IF(L69&lt;(2/3)*Fans!$L$2,Fans!$L$2-Fans!L69,(1/3)*Fans!$L$2))</f>
        <v>22.844632375737707</v>
      </c>
      <c r="M80" s="345">
        <f>IF(Age="existing",IF(Fans!$L$2-Fans!M69&lt;=0,0,Fans!$L$2-Fans!M69),IF(M69&lt;(2/3)*Fans!$L$2,Fans!$L$2-Fans!M69,(1/3)*Fans!$L$2))</f>
        <v>24.254990217355193</v>
      </c>
      <c r="N80" s="345">
        <f>IF(Age="existing",IF(Fans!$L$2-Fans!N69&lt;=0,0,Fans!$L$2-Fans!N69),IF(N69&lt;(2/3)*Fans!$L$2,Fans!$L$2-Fans!N69,(1/3)*Fans!$L$2))</f>
        <v>22.492042915333336</v>
      </c>
      <c r="O80" s="345">
        <f>IF(Age="existing",IF(Fans!$L$2-Fans!O69&lt;=0,0,Fans!$L$2-Fans!O69),IF(O69&lt;(2/3)*Fans!$L$2,Fans!$L$2-Fans!O69,(1/3)*Fans!$L$2))</f>
        <v>21.786863994524591</v>
      </c>
      <c r="P80" s="345">
        <f>IF(Age="existing",IF(Fans!$L$2-Fans!P69&lt;=0,0,Fans!$L$2-Fans!P69),IF(P69&lt;(2/3)*Fans!$L$2,Fans!$L$2-Fans!P69,(1/3)*Fans!$L$2))</f>
        <v>19.318737771693993</v>
      </c>
      <c r="Q80" s="345">
        <f>IF(Age="existing",IF(Fans!$L$2-Fans!Q69&lt;=0,0,Fans!$L$2-Fans!Q69),IF(Q69&lt;(2/3)*Fans!$L$2,Fans!$L$2-Fans!Q69,(1/3)*Fans!$L$2))</f>
        <v>19.318737771693993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35.32629927405246</v>
      </c>
      <c r="D81" s="345">
        <f>IF(Age="existing",IF(Fans!$L$2-Fans!D70&lt;=0,0,Fans!$L$2-Fans!D70),IF(D70&lt;(2/3)*Fans!$L$2,Fans!$L$2-Fans!D70,(1/3)*Fans!$L$2))</f>
        <v>35.114745597809829</v>
      </c>
      <c r="E81" s="345">
        <f>IF(Age="existing",IF(Fans!$L$2-Fans!E70&lt;=0,0,Fans!$L$2-Fans!E70),IF(E70&lt;(2/3)*Fans!$L$2,Fans!$L$2-Fans!E70,(1/3)*Fans!$L$2))</f>
        <v>34.903191921567213</v>
      </c>
      <c r="F81" s="345">
        <f>IF(Age="existing",IF(Fans!$L$2-Fans!F70&lt;=0,0,Fans!$L$2-Fans!F70),IF(F70&lt;(2/3)*Fans!$L$2,Fans!$L$2-Fans!F70,(1/3)*Fans!$L$2))</f>
        <v>34.268530892839337</v>
      </c>
      <c r="G81" s="345">
        <f>IF(Age="existing",IF(Fans!$L$2-Fans!G70&lt;=0,0,Fans!$L$2-Fans!G70),IF(G70&lt;(2/3)*Fans!$L$2,Fans!$L$2-Fans!G70,(1/3)*Fans!$L$2))</f>
        <v>33.845423540354098</v>
      </c>
      <c r="H81" s="345">
        <f>IF(Age="existing",IF(Fans!$L$2-Fans!H70&lt;=0,0,Fans!$L$2-Fans!H70),IF(H70&lt;(2/3)*Fans!$L$2,Fans!$L$2-Fans!H70,(1/3)*Fans!$L$2))</f>
        <v>31.30677942544262</v>
      </c>
      <c r="I81" s="345">
        <f>IF(Age="existing",IF(Fans!$L$2-Fans!I70&lt;=0,0,Fans!$L$2-Fans!I70),IF(I70&lt;(2/3)*Fans!$L$2,Fans!$L$2-Fans!I70,(1/3)*Fans!$L$2))</f>
        <v>33.422316187868852</v>
      </c>
      <c r="J81" s="345">
        <f>IF(Age="existing",IF(Fans!$L$2-Fans!J70&lt;=0,0,Fans!$L$2-Fans!J70),IF(J70&lt;(2/3)*Fans!$L$2,Fans!$L$2-Fans!J70,(1/3)*Fans!$L$2))</f>
        <v>32.576101482898352</v>
      </c>
      <c r="K81" s="345">
        <f>IF(Age="existing",IF(Fans!$L$2-Fans!K70&lt;=0,0,Fans!$L$2-Fans!K70),IF(K70&lt;(2/3)*Fans!$L$2,Fans!$L$2-Fans!K70,(1/3)*Fans!$L$2))</f>
        <v>32.364547806655736</v>
      </c>
      <c r="L81" s="345">
        <f>IF(Age="existing",IF(Fans!$L$2-Fans!L70&lt;=0,0,Fans!$L$2-Fans!L70),IF(L70&lt;(2/3)*Fans!$L$2,Fans!$L$2-Fans!L70,(1/3)*Fans!$L$2))</f>
        <v>31.30677942544262</v>
      </c>
      <c r="M81" s="345">
        <f>IF(Age="existing",IF(Fans!$L$2-Fans!M70&lt;=0,0,Fans!$L$2-Fans!M70),IF(M70&lt;(2/3)*Fans!$L$2,Fans!$L$2-Fans!M70,(1/3)*Fans!$L$2))</f>
        <v>32.152994130413106</v>
      </c>
      <c r="N81" s="345">
        <f>IF(Age="existing",IF(Fans!$L$2-Fans!N70&lt;=0,0,Fans!$L$2-Fans!N70),IF(N70&lt;(2/3)*Fans!$L$2,Fans!$L$2-Fans!N70,(1/3)*Fans!$L$2))</f>
        <v>31.095225749199997</v>
      </c>
      <c r="O81" s="345">
        <f>IF(Age="existing",IF(Fans!$L$2-Fans!O70&lt;=0,0,Fans!$L$2-Fans!O70),IF(O70&lt;(2/3)*Fans!$L$2,Fans!$L$2-Fans!O70,(1/3)*Fans!$L$2))</f>
        <v>30.672118396714751</v>
      </c>
      <c r="P81" s="345">
        <f>IF(Age="existing",IF(Fans!$L$2-Fans!P70&lt;=0,0,Fans!$L$2-Fans!P70),IF(P70&lt;(2/3)*Fans!$L$2,Fans!$L$2-Fans!P70,(1/3)*Fans!$L$2))</f>
        <v>29.191242663016389</v>
      </c>
      <c r="Q81" s="345">
        <f>IF(Age="existing",IF(Fans!$L$2-Fans!Q70&lt;=0,0,Fans!$L$2-Fans!Q70),IF(Q70&lt;(2/3)*Fans!$L$2,Fans!$L$2-Fans!Q70,(1/3)*Fans!$L$2))</f>
        <v>29.191242663016389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39.66314963702623</v>
      </c>
      <c r="D82" s="345">
        <f>IF(Age="existing",IF(Fans!$L$2-Fans!D71&lt;=0,0,Fans!$L$2-Fans!D71),IF(D71&lt;(2/3)*Fans!$L$2,Fans!$L$2-Fans!D71,(1/3)*Fans!$L$2))</f>
        <v>39.557372798904915</v>
      </c>
      <c r="E82" s="345">
        <f>IF(Age="existing",IF(Fans!$L$2-Fans!E71&lt;=0,0,Fans!$L$2-Fans!E71),IF(E71&lt;(2/3)*Fans!$L$2,Fans!$L$2-Fans!E71,(1/3)*Fans!$L$2))</f>
        <v>39.451595960783607</v>
      </c>
      <c r="F82" s="345">
        <f>IF(Age="existing",IF(Fans!$L$2-Fans!F71&lt;=0,0,Fans!$L$2-Fans!F71),IF(F71&lt;(2/3)*Fans!$L$2,Fans!$L$2-Fans!F71,(1/3)*Fans!$L$2))</f>
        <v>39.134265446419668</v>
      </c>
      <c r="G82" s="345">
        <f>IF(Age="existing",IF(Fans!$L$2-Fans!G71&lt;=0,0,Fans!$L$2-Fans!G71),IF(G71&lt;(2/3)*Fans!$L$2,Fans!$L$2-Fans!G71,(1/3)*Fans!$L$2))</f>
        <v>38.922711770177045</v>
      </c>
      <c r="H82" s="345">
        <f>IF(Age="existing",IF(Fans!$L$2-Fans!H71&lt;=0,0,Fans!$L$2-Fans!H71),IF(H71&lt;(2/3)*Fans!$L$2,Fans!$L$2-Fans!H71,(1/3)*Fans!$L$2))</f>
        <v>37.653389712721307</v>
      </c>
      <c r="I82" s="345">
        <f>IF(Age="existing",IF(Fans!$L$2-Fans!I71&lt;=0,0,Fans!$L$2-Fans!I71),IF(I71&lt;(2/3)*Fans!$L$2,Fans!$L$2-Fans!I71,(1/3)*Fans!$L$2))</f>
        <v>38.711158093934422</v>
      </c>
      <c r="J82" s="345">
        <f>IF(Age="existing",IF(Fans!$L$2-Fans!J71&lt;=0,0,Fans!$L$2-Fans!J71),IF(J71&lt;(2/3)*Fans!$L$2,Fans!$L$2-Fans!J71,(1/3)*Fans!$L$2))</f>
        <v>38.288050741449176</v>
      </c>
      <c r="K82" s="345">
        <f>IF(Age="existing",IF(Fans!$L$2-Fans!K71&lt;=0,0,Fans!$L$2-Fans!K71),IF(K71&lt;(2/3)*Fans!$L$2,Fans!$L$2-Fans!K71,(1/3)*Fans!$L$2))</f>
        <v>38.182273903327868</v>
      </c>
      <c r="L82" s="345">
        <f>IF(Age="existing",IF(Fans!$L$2-Fans!L71&lt;=0,0,Fans!$L$2-Fans!L71),IF(L71&lt;(2/3)*Fans!$L$2,Fans!$L$2-Fans!L71,(1/3)*Fans!$L$2))</f>
        <v>37.653389712721307</v>
      </c>
      <c r="M82" s="345">
        <f>IF(Age="existing",IF(Fans!$L$2-Fans!M71&lt;=0,0,Fans!$L$2-Fans!M71),IF(M71&lt;(2/3)*Fans!$L$2,Fans!$L$2-Fans!M71,(1/3)*Fans!$L$2))</f>
        <v>38.076497065206553</v>
      </c>
      <c r="N82" s="345">
        <f>IF(Age="existing",IF(Fans!$L$2-Fans!N71&lt;=0,0,Fans!$L$2-Fans!N71),IF(N71&lt;(2/3)*Fans!$L$2,Fans!$L$2-Fans!N71,(1/3)*Fans!$L$2))</f>
        <v>37.547612874599999</v>
      </c>
      <c r="O82" s="345">
        <f>IF(Age="existing",IF(Fans!$L$2-Fans!O71&lt;=0,0,Fans!$L$2-Fans!O71),IF(O71&lt;(2/3)*Fans!$L$2,Fans!$L$2-Fans!O71,(1/3)*Fans!$L$2))</f>
        <v>37.336059198357376</v>
      </c>
      <c r="P82" s="345">
        <f>IF(Age="existing",IF(Fans!$L$2-Fans!P71&lt;=0,0,Fans!$L$2-Fans!P71),IF(P71&lt;(2/3)*Fans!$L$2,Fans!$L$2-Fans!P71,(1/3)*Fans!$L$2))</f>
        <v>36.595621331508198</v>
      </c>
      <c r="Q82" s="345">
        <f>IF(Age="existing",IF(Fans!$L$2-Fans!Q71&lt;=0,0,Fans!$L$2-Fans!Q71),IF(Q71&lt;(2/3)*Fans!$L$2,Fans!$L$2-Fans!Q71,(1/3)*Fans!$L$2))</f>
        <v>36.595621331508198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42.265259854810495</v>
      </c>
      <c r="D83" s="345">
        <f>IF(Age="existing",IF(Fans!$L$2-Fans!D72&lt;=0,0,Fans!$L$2-Fans!D72),IF(D72&lt;(2/3)*Fans!$L$2,Fans!$L$2-Fans!D72,(1/3)*Fans!$L$2))</f>
        <v>42.222949119561967</v>
      </c>
      <c r="E83" s="345">
        <f>IF(Age="existing",IF(Fans!$L$2-Fans!E72&lt;=0,0,Fans!$L$2-Fans!E72),IF(E72&lt;(2/3)*Fans!$L$2,Fans!$L$2-Fans!E72,(1/3)*Fans!$L$2))</f>
        <v>42.18063838431344</v>
      </c>
      <c r="F83" s="345">
        <f>IF(Age="existing",IF(Fans!$L$2-Fans!F72&lt;=0,0,Fans!$L$2-Fans!F72),IF(F72&lt;(2/3)*Fans!$L$2,Fans!$L$2-Fans!F72,(1/3)*Fans!$L$2))</f>
        <v>42.053706178567872</v>
      </c>
      <c r="G83" s="345">
        <f>IF(Age="existing",IF(Fans!$L$2-Fans!G72&lt;=0,0,Fans!$L$2-Fans!G72),IF(G72&lt;(2/3)*Fans!$L$2,Fans!$L$2-Fans!G72,(1/3)*Fans!$L$2))</f>
        <v>41.969084708070817</v>
      </c>
      <c r="H83" s="345">
        <f>IF(Age="existing",IF(Fans!$L$2-Fans!H72&lt;=0,0,Fans!$L$2-Fans!H72),IF(H72&lt;(2/3)*Fans!$L$2,Fans!$L$2-Fans!H72,(1/3)*Fans!$L$2))</f>
        <v>41.461355885088523</v>
      </c>
      <c r="I83" s="345">
        <f>IF(Age="existing",IF(Fans!$L$2-Fans!I72&lt;=0,0,Fans!$L$2-Fans!I72),IF(I72&lt;(2/3)*Fans!$L$2,Fans!$L$2-Fans!I72,(1/3)*Fans!$L$2))</f>
        <v>41.884463237573769</v>
      </c>
      <c r="J83" s="345">
        <f>IF(Age="existing",IF(Fans!$L$2-Fans!J72&lt;=0,0,Fans!$L$2-Fans!J72),IF(J72&lt;(2/3)*Fans!$L$2,Fans!$L$2-Fans!J72,(1/3)*Fans!$L$2))</f>
        <v>41.715220296579673</v>
      </c>
      <c r="K83" s="345">
        <f>IF(Age="existing",IF(Fans!$L$2-Fans!K72&lt;=0,0,Fans!$L$2-Fans!K72),IF(K72&lt;(2/3)*Fans!$L$2,Fans!$L$2-Fans!K72,(1/3)*Fans!$L$2))</f>
        <v>41.672909561331146</v>
      </c>
      <c r="L83" s="345">
        <f>IF(Age="existing",IF(Fans!$L$2-Fans!L72&lt;=0,0,Fans!$L$2-Fans!L72),IF(L72&lt;(2/3)*Fans!$L$2,Fans!$L$2-Fans!L72,(1/3)*Fans!$L$2))</f>
        <v>41.461355885088523</v>
      </c>
      <c r="M83" s="345">
        <f>IF(Age="existing",IF(Fans!$L$2-Fans!M72&lt;=0,0,Fans!$L$2-Fans!M72),IF(M72&lt;(2/3)*Fans!$L$2,Fans!$L$2-Fans!M72,(1/3)*Fans!$L$2))</f>
        <v>41.630598826082625</v>
      </c>
      <c r="N83" s="345">
        <f>IF(Age="existing",IF(Fans!$L$2-Fans!N72&lt;=0,0,Fans!$L$2-Fans!N72),IF(N72&lt;(2/3)*Fans!$L$2,Fans!$L$2-Fans!N72,(1/3)*Fans!$L$2))</f>
        <v>41.419045149840002</v>
      </c>
      <c r="O83" s="345">
        <f>IF(Age="existing",IF(Fans!$L$2-Fans!O72&lt;=0,0,Fans!$L$2-Fans!O72),IF(O72&lt;(2/3)*Fans!$L$2,Fans!$L$2-Fans!O72,(1/3)*Fans!$L$2))</f>
        <v>41.334423679342947</v>
      </c>
      <c r="P83" s="345">
        <f>IF(Age="existing",IF(Fans!$L$2-Fans!P72&lt;=0,0,Fans!$L$2-Fans!P72),IF(P72&lt;(2/3)*Fans!$L$2,Fans!$L$2-Fans!P72,(1/3)*Fans!$L$2))</f>
        <v>41.038248532603276</v>
      </c>
      <c r="Q83" s="345">
        <f>IF(Age="existing",IF(Fans!$L$2-Fans!Q72&lt;=0,0,Fans!$L$2-Fans!Q72),IF(Q72&lt;(2/3)*Fans!$L$2,Fans!$L$2-Fans!Q72,(1/3)*Fans!$L$2))</f>
        <v>41.038248532603276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44</v>
      </c>
      <c r="D84" s="346">
        <f t="shared" ref="D84:Q84" si="15">$L$2</f>
        <v>44</v>
      </c>
      <c r="E84" s="346">
        <f t="shared" si="15"/>
        <v>44</v>
      </c>
      <c r="F84" s="346">
        <f t="shared" si="15"/>
        <v>44</v>
      </c>
      <c r="G84" s="346">
        <f t="shared" si="15"/>
        <v>44</v>
      </c>
      <c r="H84" s="346">
        <f t="shared" si="15"/>
        <v>44</v>
      </c>
      <c r="I84" s="346">
        <f t="shared" si="15"/>
        <v>44</v>
      </c>
      <c r="J84" s="346">
        <f t="shared" si="15"/>
        <v>44</v>
      </c>
      <c r="K84" s="346">
        <f t="shared" si="15"/>
        <v>44</v>
      </c>
      <c r="L84" s="346">
        <f t="shared" si="15"/>
        <v>44</v>
      </c>
      <c r="M84" s="346">
        <f t="shared" si="15"/>
        <v>44</v>
      </c>
      <c r="N84" s="346">
        <f t="shared" si="15"/>
        <v>44</v>
      </c>
      <c r="O84" s="346">
        <f t="shared" si="15"/>
        <v>44</v>
      </c>
      <c r="P84" s="346">
        <f t="shared" si="15"/>
        <v>44</v>
      </c>
      <c r="Q84" s="346">
        <f t="shared" si="15"/>
        <v>44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16.596430671525688</v>
      </c>
      <c r="D89" s="219">
        <f t="shared" ref="D89:Q89" si="16">1.1*D78</f>
        <v>16.133333333333333</v>
      </c>
      <c r="E89" s="219">
        <f t="shared" si="16"/>
        <v>16.133333333333333</v>
      </c>
      <c r="F89" s="219">
        <f t="shared" si="16"/>
        <v>16.133333333333333</v>
      </c>
      <c r="G89" s="219">
        <f t="shared" si="16"/>
        <v>16.133333333333333</v>
      </c>
      <c r="H89" s="219">
        <f t="shared" si="16"/>
        <v>16.133333333333333</v>
      </c>
      <c r="I89" s="219">
        <f t="shared" si="16"/>
        <v>16.133333333333333</v>
      </c>
      <c r="J89" s="219">
        <f t="shared" si="16"/>
        <v>16.133333333333333</v>
      </c>
      <c r="K89" s="219">
        <f t="shared" si="16"/>
        <v>16.133333333333333</v>
      </c>
      <c r="L89" s="219">
        <f t="shared" si="16"/>
        <v>16.133333333333333</v>
      </c>
      <c r="M89" s="219">
        <f t="shared" si="16"/>
        <v>16.133333333333333</v>
      </c>
      <c r="N89" s="219">
        <f t="shared" si="16"/>
        <v>16.133333333333333</v>
      </c>
      <c r="O89" s="219">
        <f t="shared" si="16"/>
        <v>16.133333333333333</v>
      </c>
      <c r="P89" s="219">
        <f t="shared" si="16"/>
        <v>16.133333333333333</v>
      </c>
      <c r="Q89" s="219">
        <f t="shared" si="16"/>
        <v>16.133333333333333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26.137501470067981</v>
      </c>
      <c r="D90" s="219">
        <f t="shared" si="17"/>
        <v>25.594513701045251</v>
      </c>
      <c r="E90" s="219">
        <f t="shared" si="17"/>
        <v>25.051525932022518</v>
      </c>
      <c r="F90" s="219">
        <f t="shared" si="17"/>
        <v>23.422562624954317</v>
      </c>
      <c r="G90" s="219">
        <f t="shared" si="17"/>
        <v>22.336587086908857</v>
      </c>
      <c r="H90" s="219">
        <f t="shared" si="17"/>
        <v>16.133333333333333</v>
      </c>
      <c r="I90" s="219">
        <f t="shared" si="17"/>
        <v>21.25061154886339</v>
      </c>
      <c r="J90" s="219">
        <f t="shared" si="17"/>
        <v>19.078660472772459</v>
      </c>
      <c r="K90" s="219">
        <f t="shared" si="17"/>
        <v>18.535672703749729</v>
      </c>
      <c r="L90" s="219">
        <f t="shared" si="17"/>
        <v>16.133333333333333</v>
      </c>
      <c r="M90" s="219">
        <f t="shared" si="17"/>
        <v>17.992684934726991</v>
      </c>
      <c r="N90" s="219">
        <f t="shared" si="17"/>
        <v>16.133333333333333</v>
      </c>
      <c r="O90" s="219">
        <f t="shared" si="17"/>
        <v>16.133333333333333</v>
      </c>
      <c r="P90" s="219">
        <f t="shared" si="17"/>
        <v>16.133333333333333</v>
      </c>
      <c r="Q90" s="219">
        <f t="shared" si="17"/>
        <v>16.133333333333333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32.498215335762843</v>
      </c>
      <c r="D91" s="219">
        <f t="shared" si="18"/>
        <v>32.110366929318033</v>
      </c>
      <c r="E91" s="219">
        <f t="shared" si="18"/>
        <v>31.722518522873226</v>
      </c>
      <c r="F91" s="219">
        <f t="shared" si="18"/>
        <v>30.558973303538799</v>
      </c>
      <c r="G91" s="219">
        <f t="shared" si="18"/>
        <v>29.783276490649182</v>
      </c>
      <c r="H91" s="219">
        <f t="shared" si="18"/>
        <v>25.129095613311478</v>
      </c>
      <c r="I91" s="219">
        <f t="shared" si="18"/>
        <v>29.007579677759566</v>
      </c>
      <c r="J91" s="219">
        <f t="shared" si="18"/>
        <v>27.456186051980328</v>
      </c>
      <c r="K91" s="219">
        <f t="shared" si="18"/>
        <v>27.068337645535522</v>
      </c>
      <c r="L91" s="219">
        <f t="shared" si="18"/>
        <v>25.129095613311478</v>
      </c>
      <c r="M91" s="219">
        <f t="shared" si="18"/>
        <v>26.680489239090715</v>
      </c>
      <c r="N91" s="219">
        <f t="shared" si="18"/>
        <v>24.741247206866671</v>
      </c>
      <c r="O91" s="219">
        <f t="shared" si="18"/>
        <v>23.96555039397705</v>
      </c>
      <c r="P91" s="219">
        <f t="shared" si="18"/>
        <v>21.250611548863393</v>
      </c>
      <c r="Q91" s="219">
        <f t="shared" si="18"/>
        <v>21.250611548863393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38.858929201457705</v>
      </c>
      <c r="D92" s="219">
        <f t="shared" si="19"/>
        <v>38.626220157590815</v>
      </c>
      <c r="E92" s="219">
        <f t="shared" si="19"/>
        <v>38.393511113723939</v>
      </c>
      <c r="F92" s="219">
        <f t="shared" si="19"/>
        <v>37.695383982123275</v>
      </c>
      <c r="G92" s="219">
        <f t="shared" si="19"/>
        <v>37.229965894389508</v>
      </c>
      <c r="H92" s="219">
        <f t="shared" si="19"/>
        <v>34.437457367986887</v>
      </c>
      <c r="I92" s="219">
        <f t="shared" si="19"/>
        <v>36.764547806655742</v>
      </c>
      <c r="J92" s="219">
        <f t="shared" si="19"/>
        <v>35.833711631188187</v>
      </c>
      <c r="K92" s="219">
        <f t="shared" si="19"/>
        <v>35.601002587321311</v>
      </c>
      <c r="L92" s="219">
        <f t="shared" si="19"/>
        <v>34.437457367986887</v>
      </c>
      <c r="M92" s="219">
        <f t="shared" si="19"/>
        <v>35.368293543454421</v>
      </c>
      <c r="N92" s="219">
        <f t="shared" si="19"/>
        <v>34.204748324119997</v>
      </c>
      <c r="O92" s="219">
        <f t="shared" si="19"/>
        <v>33.73933023638623</v>
      </c>
      <c r="P92" s="219">
        <f t="shared" si="19"/>
        <v>32.110366929318033</v>
      </c>
      <c r="Q92" s="219">
        <f t="shared" si="19"/>
        <v>32.110366929318033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43.629464600728859</v>
      </c>
      <c r="D93" s="219">
        <f t="shared" si="20"/>
        <v>43.513110078795407</v>
      </c>
      <c r="E93" s="219">
        <f t="shared" si="20"/>
        <v>43.396755556861969</v>
      </c>
      <c r="F93" s="219">
        <f t="shared" si="20"/>
        <v>43.04769199106164</v>
      </c>
      <c r="G93" s="219">
        <f t="shared" si="20"/>
        <v>42.81498294719475</v>
      </c>
      <c r="H93" s="219">
        <f t="shared" si="20"/>
        <v>41.418728683993443</v>
      </c>
      <c r="I93" s="219">
        <f t="shared" si="20"/>
        <v>42.582273903327867</v>
      </c>
      <c r="J93" s="219">
        <f t="shared" si="20"/>
        <v>42.1168558155941</v>
      </c>
      <c r="K93" s="219">
        <f t="shared" si="20"/>
        <v>42.000501293660655</v>
      </c>
      <c r="L93" s="219">
        <f t="shared" si="20"/>
        <v>41.418728683993443</v>
      </c>
      <c r="M93" s="219">
        <f t="shared" si="20"/>
        <v>41.88414677172721</v>
      </c>
      <c r="N93" s="219">
        <f t="shared" si="20"/>
        <v>41.302374162060005</v>
      </c>
      <c r="O93" s="219">
        <f t="shared" si="20"/>
        <v>41.069665118193114</v>
      </c>
      <c r="P93" s="219">
        <f t="shared" si="20"/>
        <v>40.255183464659019</v>
      </c>
      <c r="Q93" s="219">
        <f t="shared" si="20"/>
        <v>40.255183464659019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46.491785840291548</v>
      </c>
      <c r="D94" s="219">
        <f t="shared" si="21"/>
        <v>46.445244031518165</v>
      </c>
      <c r="E94" s="219">
        <f t="shared" si="21"/>
        <v>46.398702222744788</v>
      </c>
      <c r="F94" s="219">
        <f t="shared" si="21"/>
        <v>46.259076796424665</v>
      </c>
      <c r="G94" s="219">
        <f t="shared" si="21"/>
        <v>46.165993178877905</v>
      </c>
      <c r="H94" s="219">
        <f t="shared" si="21"/>
        <v>45.607491473597378</v>
      </c>
      <c r="I94" s="219">
        <f t="shared" si="21"/>
        <v>46.072909561331151</v>
      </c>
      <c r="J94" s="219">
        <f t="shared" si="21"/>
        <v>45.886742326237645</v>
      </c>
      <c r="K94" s="219">
        <f t="shared" si="21"/>
        <v>45.840200517464261</v>
      </c>
      <c r="L94" s="219">
        <f t="shared" si="21"/>
        <v>45.607491473597378</v>
      </c>
      <c r="M94" s="219">
        <f t="shared" si="21"/>
        <v>45.793658708690892</v>
      </c>
      <c r="N94" s="219">
        <f t="shared" si="21"/>
        <v>45.560949664824008</v>
      </c>
      <c r="O94" s="219">
        <f t="shared" si="21"/>
        <v>45.467866047277248</v>
      </c>
      <c r="P94" s="219">
        <f t="shared" si="21"/>
        <v>45.142073385863611</v>
      </c>
      <c r="Q94" s="219">
        <f t="shared" si="21"/>
        <v>45.142073385863611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6.5797303780475929</v>
      </c>
      <c r="D99" s="347">
        <f t="shared" ref="D99:Q99" si="22">D78*0.4361</f>
        <v>6.3961333333333332</v>
      </c>
      <c r="E99" s="347">
        <f t="shared" si="22"/>
        <v>6.3961333333333332</v>
      </c>
      <c r="F99" s="347">
        <f t="shared" si="22"/>
        <v>6.3961333333333332</v>
      </c>
      <c r="G99" s="347">
        <f t="shared" si="22"/>
        <v>6.3961333333333332</v>
      </c>
      <c r="H99" s="347">
        <f t="shared" si="22"/>
        <v>6.3961333333333332</v>
      </c>
      <c r="I99" s="347">
        <f t="shared" si="22"/>
        <v>6.3961333333333332</v>
      </c>
      <c r="J99" s="347">
        <f t="shared" si="22"/>
        <v>6.3961333333333332</v>
      </c>
      <c r="K99" s="347">
        <f t="shared" si="22"/>
        <v>6.3961333333333332</v>
      </c>
      <c r="L99" s="347">
        <f t="shared" si="22"/>
        <v>6.3961333333333332</v>
      </c>
      <c r="M99" s="347">
        <f t="shared" si="22"/>
        <v>6.3961333333333332</v>
      </c>
      <c r="N99" s="347">
        <f t="shared" si="22"/>
        <v>6.3961333333333332</v>
      </c>
      <c r="O99" s="347">
        <f t="shared" si="22"/>
        <v>6.3961333333333332</v>
      </c>
      <c r="P99" s="347">
        <f t="shared" si="22"/>
        <v>6.3961333333333332</v>
      </c>
      <c r="Q99" s="347">
        <f t="shared" si="22"/>
        <v>6.3961333333333332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10.362331264633314</v>
      </c>
      <c r="D100" s="347">
        <f t="shared" si="23"/>
        <v>10.147061295478029</v>
      </c>
      <c r="E100" s="347">
        <f t="shared" si="23"/>
        <v>9.9317913263227435</v>
      </c>
      <c r="F100" s="347">
        <f t="shared" si="23"/>
        <v>9.2859814188568883</v>
      </c>
      <c r="G100" s="347">
        <f t="shared" si="23"/>
        <v>8.85544148054632</v>
      </c>
      <c r="H100" s="347">
        <f t="shared" si="23"/>
        <v>6.3961333333333332</v>
      </c>
      <c r="I100" s="347">
        <f t="shared" si="23"/>
        <v>8.4249015422357481</v>
      </c>
      <c r="J100" s="347">
        <f t="shared" si="23"/>
        <v>7.5638216656146069</v>
      </c>
      <c r="K100" s="347">
        <f t="shared" si="23"/>
        <v>7.3485516964593227</v>
      </c>
      <c r="L100" s="347">
        <f t="shared" si="23"/>
        <v>6.3961333333333332</v>
      </c>
      <c r="M100" s="347">
        <f t="shared" si="23"/>
        <v>7.1332817273040359</v>
      </c>
      <c r="N100" s="347">
        <f t="shared" si="23"/>
        <v>6.3961333333333332</v>
      </c>
      <c r="O100" s="347">
        <f t="shared" si="23"/>
        <v>6.3961333333333332</v>
      </c>
      <c r="P100" s="347">
        <f t="shared" si="23"/>
        <v>6.3961333333333332</v>
      </c>
      <c r="Q100" s="347">
        <f t="shared" si="23"/>
        <v>6.3961333333333332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12.884065189023795</v>
      </c>
      <c r="D101" s="347">
        <f t="shared" si="24"/>
        <v>12.730300925341449</v>
      </c>
      <c r="E101" s="347">
        <f t="shared" si="24"/>
        <v>12.576536661659102</v>
      </c>
      <c r="F101" s="347">
        <f t="shared" si="24"/>
        <v>12.115243870612062</v>
      </c>
      <c r="G101" s="347">
        <f t="shared" si="24"/>
        <v>11.80771534324737</v>
      </c>
      <c r="H101" s="347">
        <f t="shared" si="24"/>
        <v>9.9625441790592131</v>
      </c>
      <c r="I101" s="347">
        <f t="shared" si="24"/>
        <v>11.500186815882676</v>
      </c>
      <c r="J101" s="347">
        <f t="shared" si="24"/>
        <v>10.885129761153291</v>
      </c>
      <c r="K101" s="347">
        <f t="shared" si="24"/>
        <v>10.731365497470945</v>
      </c>
      <c r="L101" s="347">
        <f t="shared" si="24"/>
        <v>9.9625441790592131</v>
      </c>
      <c r="M101" s="347">
        <f t="shared" si="24"/>
        <v>10.577601233788599</v>
      </c>
      <c r="N101" s="347">
        <f t="shared" si="24"/>
        <v>9.8087799153768671</v>
      </c>
      <c r="O101" s="347">
        <f t="shared" si="24"/>
        <v>9.5012513880121734</v>
      </c>
      <c r="P101" s="347">
        <f t="shared" si="24"/>
        <v>8.4249015422357498</v>
      </c>
      <c r="Q101" s="347">
        <f t="shared" si="24"/>
        <v>8.4249015422357498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15.405799113414277</v>
      </c>
      <c r="D102" s="347">
        <f t="shared" si="25"/>
        <v>15.313540555204867</v>
      </c>
      <c r="E102" s="347">
        <f t="shared" si="25"/>
        <v>15.221281996995462</v>
      </c>
      <c r="F102" s="347">
        <f t="shared" si="25"/>
        <v>14.944506322367234</v>
      </c>
      <c r="G102" s="347">
        <f t="shared" si="25"/>
        <v>14.759989205948422</v>
      </c>
      <c r="H102" s="347">
        <f t="shared" si="25"/>
        <v>13.652886507435527</v>
      </c>
      <c r="I102" s="347">
        <f t="shared" si="25"/>
        <v>14.575472089529606</v>
      </c>
      <c r="J102" s="347">
        <f t="shared" si="25"/>
        <v>14.20643785669197</v>
      </c>
      <c r="K102" s="347">
        <f t="shared" si="25"/>
        <v>14.114179298482567</v>
      </c>
      <c r="L102" s="347">
        <f t="shared" si="25"/>
        <v>13.652886507435527</v>
      </c>
      <c r="M102" s="347">
        <f t="shared" si="25"/>
        <v>14.021920740273154</v>
      </c>
      <c r="N102" s="347">
        <f t="shared" si="25"/>
        <v>13.560627949226118</v>
      </c>
      <c r="O102" s="347">
        <f t="shared" si="25"/>
        <v>13.376110832807303</v>
      </c>
      <c r="P102" s="347">
        <f t="shared" si="25"/>
        <v>12.730300925341448</v>
      </c>
      <c r="Q102" s="347">
        <f t="shared" si="25"/>
        <v>12.730300925341448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17.297099556707138</v>
      </c>
      <c r="D103" s="347">
        <f t="shared" si="26"/>
        <v>17.250970277602434</v>
      </c>
      <c r="E103" s="347">
        <f t="shared" si="26"/>
        <v>17.20484099849773</v>
      </c>
      <c r="F103" s="347">
        <f t="shared" si="26"/>
        <v>17.066453161183617</v>
      </c>
      <c r="G103" s="347">
        <f t="shared" si="26"/>
        <v>16.974194602974208</v>
      </c>
      <c r="H103" s="347">
        <f t="shared" si="26"/>
        <v>16.42064325371776</v>
      </c>
      <c r="I103" s="347">
        <f t="shared" si="26"/>
        <v>16.881936044764799</v>
      </c>
      <c r="J103" s="347">
        <f t="shared" si="26"/>
        <v>16.697418928345986</v>
      </c>
      <c r="K103" s="347">
        <f t="shared" si="26"/>
        <v>16.651289649241281</v>
      </c>
      <c r="L103" s="347">
        <f t="shared" si="26"/>
        <v>16.42064325371776</v>
      </c>
      <c r="M103" s="347">
        <f t="shared" si="26"/>
        <v>16.605160370136577</v>
      </c>
      <c r="N103" s="347">
        <f t="shared" si="26"/>
        <v>16.374513974613059</v>
      </c>
      <c r="O103" s="347">
        <f t="shared" si="26"/>
        <v>16.28225541640365</v>
      </c>
      <c r="P103" s="347">
        <f t="shared" si="26"/>
        <v>15.959350462670725</v>
      </c>
      <c r="Q103" s="347">
        <f t="shared" si="26"/>
        <v>15.959350462670725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18.431879822682856</v>
      </c>
      <c r="D104" s="347">
        <f t="shared" si="27"/>
        <v>18.413428111040972</v>
      </c>
      <c r="E104" s="347">
        <f t="shared" si="27"/>
        <v>18.394976399399091</v>
      </c>
      <c r="F104" s="347">
        <f t="shared" si="27"/>
        <v>18.339621264473447</v>
      </c>
      <c r="G104" s="347">
        <f t="shared" si="27"/>
        <v>18.302717841189683</v>
      </c>
      <c r="H104" s="347">
        <f t="shared" si="27"/>
        <v>18.081297301487105</v>
      </c>
      <c r="I104" s="347">
        <f t="shared" si="27"/>
        <v>18.265814417905919</v>
      </c>
      <c r="J104" s="347">
        <f t="shared" si="27"/>
        <v>18.192007571338394</v>
      </c>
      <c r="K104" s="347">
        <f t="shared" si="27"/>
        <v>18.173555859696513</v>
      </c>
      <c r="L104" s="347">
        <f t="shared" si="27"/>
        <v>18.081297301487105</v>
      </c>
      <c r="M104" s="347">
        <f t="shared" si="27"/>
        <v>18.155104148054633</v>
      </c>
      <c r="N104" s="347">
        <f t="shared" si="27"/>
        <v>18.062845589845224</v>
      </c>
      <c r="O104" s="347">
        <f t="shared" si="27"/>
        <v>18.02594216656146</v>
      </c>
      <c r="P104" s="347">
        <f t="shared" si="27"/>
        <v>17.896780185068287</v>
      </c>
      <c r="Q104" s="347">
        <f t="shared" si="27"/>
        <v>17.896780185068287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19.188399999999998</v>
      </c>
      <c r="D105" s="347">
        <f t="shared" si="28"/>
        <v>19.188399999999998</v>
      </c>
      <c r="E105" s="347">
        <f t="shared" si="28"/>
        <v>19.188399999999998</v>
      </c>
      <c r="F105" s="347">
        <f t="shared" si="28"/>
        <v>19.188399999999998</v>
      </c>
      <c r="G105" s="347">
        <f t="shared" si="28"/>
        <v>19.188399999999998</v>
      </c>
      <c r="H105" s="347">
        <f t="shared" si="28"/>
        <v>19.188399999999998</v>
      </c>
      <c r="I105" s="347">
        <f t="shared" si="28"/>
        <v>19.188399999999998</v>
      </c>
      <c r="J105" s="347">
        <f t="shared" si="28"/>
        <v>19.188399999999998</v>
      </c>
      <c r="K105" s="347">
        <f t="shared" si="28"/>
        <v>19.188399999999998</v>
      </c>
      <c r="L105" s="347">
        <f t="shared" si="28"/>
        <v>19.188399999999998</v>
      </c>
      <c r="M105" s="347">
        <f t="shared" si="28"/>
        <v>19.188399999999998</v>
      </c>
      <c r="N105" s="347">
        <f t="shared" si="28"/>
        <v>19.188399999999998</v>
      </c>
      <c r="O105" s="347">
        <f t="shared" si="28"/>
        <v>19.188399999999998</v>
      </c>
      <c r="P105" s="347">
        <f t="shared" si="28"/>
        <v>19.188399999999998</v>
      </c>
      <c r="Q105" s="347">
        <f t="shared" si="28"/>
        <v>19.188399999999998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7.2377034158523523</v>
      </c>
      <c r="D111" s="219">
        <f t="shared" ref="D111:Q111" si="29">D99*1.1</f>
        <v>7.0357466666666673</v>
      </c>
      <c r="E111" s="219">
        <f t="shared" si="29"/>
        <v>7.0357466666666673</v>
      </c>
      <c r="F111" s="219">
        <f t="shared" si="29"/>
        <v>7.0357466666666673</v>
      </c>
      <c r="G111" s="219">
        <f t="shared" si="29"/>
        <v>7.0357466666666673</v>
      </c>
      <c r="H111" s="219">
        <f t="shared" si="29"/>
        <v>7.0357466666666673</v>
      </c>
      <c r="I111" s="219">
        <f t="shared" si="29"/>
        <v>7.0357466666666673</v>
      </c>
      <c r="J111" s="219">
        <f t="shared" si="29"/>
        <v>7.0357466666666673</v>
      </c>
      <c r="K111" s="219">
        <f t="shared" si="29"/>
        <v>7.0357466666666673</v>
      </c>
      <c r="L111" s="219">
        <f t="shared" si="29"/>
        <v>7.0357466666666673</v>
      </c>
      <c r="M111" s="219">
        <f t="shared" si="29"/>
        <v>7.0357466666666673</v>
      </c>
      <c r="N111" s="219">
        <f t="shared" si="29"/>
        <v>7.0357466666666673</v>
      </c>
      <c r="O111" s="219">
        <f t="shared" si="29"/>
        <v>7.0357466666666673</v>
      </c>
      <c r="P111" s="219">
        <f t="shared" si="29"/>
        <v>7.0357466666666673</v>
      </c>
      <c r="Q111" s="219">
        <f t="shared" si="29"/>
        <v>7.0357466666666673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11.398564391096645</v>
      </c>
      <c r="D112" s="219">
        <f t="shared" si="30"/>
        <v>11.161767425025833</v>
      </c>
      <c r="E112" s="219">
        <f t="shared" si="30"/>
        <v>10.924970458955018</v>
      </c>
      <c r="F112" s="219">
        <f t="shared" si="30"/>
        <v>10.214579560742578</v>
      </c>
      <c r="G112" s="219">
        <f t="shared" si="30"/>
        <v>9.7409856286009529</v>
      </c>
      <c r="H112" s="219">
        <f t="shared" si="30"/>
        <v>7.0357466666666673</v>
      </c>
      <c r="I112" s="219">
        <f t="shared" si="30"/>
        <v>9.2673916964593239</v>
      </c>
      <c r="J112" s="219">
        <f t="shared" si="30"/>
        <v>8.3202038321760678</v>
      </c>
      <c r="K112" s="219">
        <f t="shared" si="30"/>
        <v>8.0834068661052552</v>
      </c>
      <c r="L112" s="219">
        <f t="shared" si="30"/>
        <v>7.0357466666666673</v>
      </c>
      <c r="M112" s="219">
        <f t="shared" si="30"/>
        <v>7.8466099000344398</v>
      </c>
      <c r="N112" s="219">
        <f t="shared" si="30"/>
        <v>7.0357466666666673</v>
      </c>
      <c r="O112" s="219">
        <f t="shared" si="30"/>
        <v>7.0357466666666673</v>
      </c>
      <c r="P112" s="219">
        <f t="shared" si="30"/>
        <v>7.0357466666666673</v>
      </c>
      <c r="Q112" s="219">
        <f t="shared" si="30"/>
        <v>7.0357466666666673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14.172471707926176</v>
      </c>
      <c r="D113" s="219">
        <f t="shared" si="31"/>
        <v>14.003331017875595</v>
      </c>
      <c r="E113" s="219">
        <f t="shared" si="31"/>
        <v>13.834190327825013</v>
      </c>
      <c r="F113" s="219">
        <f t="shared" si="31"/>
        <v>13.326768257673269</v>
      </c>
      <c r="G113" s="219">
        <f t="shared" si="31"/>
        <v>12.988486877572107</v>
      </c>
      <c r="H113" s="219">
        <f t="shared" si="31"/>
        <v>10.958798596965135</v>
      </c>
      <c r="I113" s="219">
        <f t="shared" si="31"/>
        <v>12.650205497470944</v>
      </c>
      <c r="J113" s="219">
        <f t="shared" si="31"/>
        <v>11.973642737268621</v>
      </c>
      <c r="K113" s="219">
        <f t="shared" si="31"/>
        <v>11.80450204721804</v>
      </c>
      <c r="L113" s="219">
        <f t="shared" si="31"/>
        <v>10.958798596965135</v>
      </c>
      <c r="M113" s="219">
        <f t="shared" si="31"/>
        <v>11.63536135716746</v>
      </c>
      <c r="N113" s="219">
        <f t="shared" si="31"/>
        <v>10.789657906914554</v>
      </c>
      <c r="O113" s="219">
        <f t="shared" si="31"/>
        <v>10.451376526813391</v>
      </c>
      <c r="P113" s="219">
        <f t="shared" si="31"/>
        <v>9.2673916964593257</v>
      </c>
      <c r="Q113" s="219">
        <f t="shared" si="31"/>
        <v>9.2673916964593257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16.946379024755707</v>
      </c>
      <c r="D114" s="219">
        <f t="shared" si="32"/>
        <v>16.844894610725355</v>
      </c>
      <c r="E114" s="219">
        <f t="shared" si="32"/>
        <v>16.74341019669501</v>
      </c>
      <c r="F114" s="219">
        <f t="shared" si="32"/>
        <v>16.43895695460396</v>
      </c>
      <c r="G114" s="219">
        <f t="shared" si="32"/>
        <v>16.235988126543266</v>
      </c>
      <c r="H114" s="219">
        <f t="shared" si="32"/>
        <v>15.018175158179082</v>
      </c>
      <c r="I114" s="219">
        <f t="shared" si="32"/>
        <v>16.033019298482568</v>
      </c>
      <c r="J114" s="219">
        <f t="shared" si="32"/>
        <v>15.627081642361169</v>
      </c>
      <c r="K114" s="219">
        <f t="shared" si="32"/>
        <v>15.525597228330824</v>
      </c>
      <c r="L114" s="219">
        <f t="shared" si="32"/>
        <v>15.018175158179082</v>
      </c>
      <c r="M114" s="219">
        <f t="shared" si="32"/>
        <v>15.424112814300472</v>
      </c>
      <c r="N114" s="219">
        <f t="shared" si="32"/>
        <v>14.916690744148731</v>
      </c>
      <c r="O114" s="219">
        <f t="shared" si="32"/>
        <v>14.713721916088033</v>
      </c>
      <c r="P114" s="219">
        <f t="shared" si="32"/>
        <v>14.003331017875594</v>
      </c>
      <c r="Q114" s="219">
        <f t="shared" si="32"/>
        <v>14.003331017875594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19.026809512377852</v>
      </c>
      <c r="D115" s="219">
        <f t="shared" si="33"/>
        <v>18.97606730536268</v>
      </c>
      <c r="E115" s="219">
        <f t="shared" si="33"/>
        <v>18.925325098347503</v>
      </c>
      <c r="F115" s="219">
        <f t="shared" si="33"/>
        <v>18.773098477301978</v>
      </c>
      <c r="G115" s="219">
        <f t="shared" si="33"/>
        <v>18.67161406327163</v>
      </c>
      <c r="H115" s="219">
        <f t="shared" si="33"/>
        <v>18.062707579089537</v>
      </c>
      <c r="I115" s="219">
        <f t="shared" si="33"/>
        <v>18.570129649241281</v>
      </c>
      <c r="J115" s="219">
        <f t="shared" si="33"/>
        <v>18.367160821180587</v>
      </c>
      <c r="K115" s="219">
        <f t="shared" si="33"/>
        <v>18.316418614165411</v>
      </c>
      <c r="L115" s="219">
        <f t="shared" si="33"/>
        <v>18.062707579089537</v>
      </c>
      <c r="M115" s="219">
        <f t="shared" si="33"/>
        <v>18.265676407150238</v>
      </c>
      <c r="N115" s="219">
        <f t="shared" si="33"/>
        <v>18.011965372074368</v>
      </c>
      <c r="O115" s="219">
        <f t="shared" si="33"/>
        <v>17.910480958044015</v>
      </c>
      <c r="P115" s="219">
        <f t="shared" si="33"/>
        <v>17.5552855089378</v>
      </c>
      <c r="Q115" s="219">
        <f t="shared" si="33"/>
        <v>17.5552855089378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20.275067804951142</v>
      </c>
      <c r="D116" s="219">
        <f t="shared" si="34"/>
        <v>20.25477092214507</v>
      </c>
      <c r="E116" s="219">
        <f t="shared" si="34"/>
        <v>20.234474039339002</v>
      </c>
      <c r="F116" s="219">
        <f t="shared" si="34"/>
        <v>20.173583390920793</v>
      </c>
      <c r="G116" s="219">
        <f t="shared" si="34"/>
        <v>20.132989625308653</v>
      </c>
      <c r="H116" s="219">
        <f t="shared" si="34"/>
        <v>19.889427031635815</v>
      </c>
      <c r="I116" s="219">
        <f t="shared" si="34"/>
        <v>20.092395859696513</v>
      </c>
      <c r="J116" s="219">
        <f t="shared" si="34"/>
        <v>20.011208328472236</v>
      </c>
      <c r="K116" s="219">
        <f t="shared" si="34"/>
        <v>19.990911445666168</v>
      </c>
      <c r="L116" s="219">
        <f t="shared" si="34"/>
        <v>19.889427031635815</v>
      </c>
      <c r="M116" s="219">
        <f t="shared" si="34"/>
        <v>19.970614562860099</v>
      </c>
      <c r="N116" s="219">
        <f t="shared" si="34"/>
        <v>19.869130148829747</v>
      </c>
      <c r="O116" s="219">
        <f t="shared" si="34"/>
        <v>19.828536383217607</v>
      </c>
      <c r="P116" s="219">
        <f t="shared" si="34"/>
        <v>19.686458203575118</v>
      </c>
      <c r="Q116" s="219">
        <f t="shared" si="34"/>
        <v>19.686458203575118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7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8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64220.574811625404</v>
      </c>
      <c r="C5" s="5" t="s">
        <v>339</v>
      </c>
      <c r="D5" s="523">
        <f>B5/24/3412</f>
        <v>0.78424891084927462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784.24891084927458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7" t="s">
        <v>605</v>
      </c>
      <c r="P9" s="559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8"/>
      <c r="P10" s="560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2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664</v>
      </c>
      <c r="C19" s="17">
        <f>B19/1000</f>
        <v>0.66400000000000003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112</v>
      </c>
      <c r="C20" s="17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0.66666666666666663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0.6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8">
        <f>D10-(D11*2/3)</f>
        <v>0.26666666666666666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69">
        <v>0.65</v>
      </c>
      <c r="F14" s="290"/>
    </row>
    <row r="15" spans="1:7" ht="15" customHeight="1">
      <c r="A15" s="484" t="s">
        <v>352</v>
      </c>
      <c r="B15" s="485"/>
      <c r="C15" s="485"/>
      <c r="D15" s="486">
        <f>D11*D13/(SQRT(1.2/2)*4^(D14-0.5))</f>
        <v>0.37750080048057194</v>
      </c>
      <c r="E15" s="485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7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7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7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7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7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5</v>
      </c>
    </row>
    <row r="28" spans="1:11" ht="15" customHeight="1">
      <c r="A28" s="100" t="s">
        <v>458</v>
      </c>
      <c r="C28" s="18">
        <f>L_houseSI</f>
        <v>20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581.27018299246504</v>
      </c>
      <c r="C9" s="5" t="s">
        <v>557</v>
      </c>
      <c r="D9" s="17">
        <f>B9*0.3048^2</f>
        <v>54.001767061356304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107.64262648008612</v>
      </c>
      <c r="C10" s="139" t="s">
        <v>557</v>
      </c>
      <c r="D10" s="17">
        <f>B10*0.3048^2</f>
        <v>10.000327233584501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89" t="s">
        <v>375</v>
      </c>
      <c r="B12" s="490">
        <f>D12/(0.3048/12)</f>
        <v>9.8425196850393686</v>
      </c>
      <c r="C12" s="491" t="s">
        <v>217</v>
      </c>
      <c r="D12" s="495">
        <v>0.25</v>
      </c>
      <c r="E12" s="491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89" t="s">
        <v>377</v>
      </c>
      <c r="B13" s="490">
        <f>D13/(0.3048/12)</f>
        <v>17.716535433070867</v>
      </c>
      <c r="C13" s="491" t="s">
        <v>217</v>
      </c>
      <c r="D13" s="495">
        <v>0.45</v>
      </c>
      <c r="E13" s="491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2" t="s">
        <v>378</v>
      </c>
      <c r="B14" s="493">
        <f>D14/(0.3048/12)</f>
        <v>30.921187535332606</v>
      </c>
      <c r="C14" s="494" t="s">
        <v>217</v>
      </c>
      <c r="D14" s="493">
        <f>PI()*D12</f>
        <v>0.78539816339744828</v>
      </c>
      <c r="E14" s="494" t="s">
        <v>134</v>
      </c>
      <c r="F14"/>
      <c r="G14" s="58" t="s">
        <v>366</v>
      </c>
      <c r="H14" s="86" t="s">
        <v>134</v>
      </c>
      <c r="I14" s="486">
        <f>VLOOKUP(I13,$G$6:$J$9,4,FALSE)</f>
        <v>0.05</v>
      </c>
      <c r="J14" s="486">
        <f t="shared" ref="J14:X14" si="1">VLOOKUP(J13,$G$6:$J$9,4,FALSE)</f>
        <v>0.05</v>
      </c>
      <c r="K14" s="486">
        <f t="shared" si="1"/>
        <v>0.05</v>
      </c>
      <c r="L14" s="486">
        <f t="shared" si="1"/>
        <v>0.05</v>
      </c>
      <c r="M14" s="486">
        <f t="shared" si="1"/>
        <v>0.05</v>
      </c>
      <c r="N14" s="486">
        <f t="shared" si="1"/>
        <v>0.05</v>
      </c>
      <c r="O14" s="486">
        <f t="shared" si="1"/>
        <v>0.05</v>
      </c>
      <c r="P14" s="486">
        <f t="shared" si="1"/>
        <v>0.05</v>
      </c>
      <c r="Q14" s="486">
        <f t="shared" si="1"/>
        <v>0.05</v>
      </c>
      <c r="R14" s="486">
        <f t="shared" si="1"/>
        <v>0.05</v>
      </c>
      <c r="S14" s="486">
        <f t="shared" si="1"/>
        <v>0.05</v>
      </c>
      <c r="T14" s="486">
        <f t="shared" si="1"/>
        <v>0.05</v>
      </c>
      <c r="U14" s="486">
        <f t="shared" si="1"/>
        <v>0.05</v>
      </c>
      <c r="V14" s="486">
        <f t="shared" si="1"/>
        <v>0.05</v>
      </c>
      <c r="W14" s="486">
        <f t="shared" si="1"/>
        <v>0.05</v>
      </c>
      <c r="X14" s="486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2" t="s">
        <v>379</v>
      </c>
      <c r="B15" s="493">
        <f>D15/(0.3048/12)</f>
        <v>55.658137563598693</v>
      </c>
      <c r="C15" s="494" t="s">
        <v>217</v>
      </c>
      <c r="D15" s="493">
        <f>PI()*D13</f>
        <v>1.4137166941154069</v>
      </c>
      <c r="E15" s="494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89" t="s">
        <v>381</v>
      </c>
      <c r="B16" s="490">
        <f>D16/0.3048</f>
        <v>225.58131662761028</v>
      </c>
      <c r="C16" s="491" t="s">
        <v>133</v>
      </c>
      <c r="D16" s="496">
        <f>D9/D14</f>
        <v>68.757185308095615</v>
      </c>
      <c r="E16" s="491" t="s">
        <v>134</v>
      </c>
      <c r="G16" s="58" t="s">
        <v>382</v>
      </c>
      <c r="H16" s="86" t="s">
        <v>587</v>
      </c>
      <c r="I16" s="486">
        <f t="shared" ref="I16:X16" si="3">(I13+I15)/5.678</f>
        <v>1.5322296583303978</v>
      </c>
      <c r="J16" s="486">
        <f t="shared" si="3"/>
        <v>1.5322296583303978</v>
      </c>
      <c r="K16" s="486">
        <f t="shared" si="3"/>
        <v>1.5322296583303978</v>
      </c>
      <c r="L16" s="486">
        <f t="shared" si="3"/>
        <v>1.5322296583303978</v>
      </c>
      <c r="M16" s="486">
        <f t="shared" si="3"/>
        <v>1.5322296583303978</v>
      </c>
      <c r="N16" s="486">
        <f t="shared" si="3"/>
        <v>1.5322296583303978</v>
      </c>
      <c r="O16" s="486">
        <f t="shared" si="3"/>
        <v>1.5322296583303978</v>
      </c>
      <c r="P16" s="486">
        <f t="shared" si="3"/>
        <v>1.5322296583303978</v>
      </c>
      <c r="Q16" s="486">
        <f t="shared" si="3"/>
        <v>1.5322296583303978</v>
      </c>
      <c r="R16" s="486">
        <f t="shared" si="3"/>
        <v>1.5322296583303978</v>
      </c>
      <c r="S16" s="486">
        <f t="shared" si="3"/>
        <v>1.5322296583303978</v>
      </c>
      <c r="T16" s="486">
        <f t="shared" si="3"/>
        <v>1.5322296583303978</v>
      </c>
      <c r="U16" s="486">
        <f t="shared" si="3"/>
        <v>1.5322296583303978</v>
      </c>
      <c r="V16" s="486">
        <f t="shared" si="3"/>
        <v>1.5322296583303978</v>
      </c>
      <c r="W16" s="486">
        <f t="shared" si="3"/>
        <v>1.5322296583303978</v>
      </c>
      <c r="X16" s="486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89" t="s">
        <v>383</v>
      </c>
      <c r="B17" s="490">
        <f>D17/0.3048</f>
        <v>23.207954385556611</v>
      </c>
      <c r="C17" s="491" t="s">
        <v>133</v>
      </c>
      <c r="D17" s="496">
        <f>D10/D15</f>
        <v>7.0737844967176553</v>
      </c>
      <c r="E17" s="491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3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1">
        <v>0.8</v>
      </c>
      <c r="D14" s="501">
        <v>0.8</v>
      </c>
      <c r="E14" s="501">
        <v>0.8</v>
      </c>
      <c r="F14" s="501">
        <v>0.9</v>
      </c>
      <c r="G14" s="501">
        <v>0.9</v>
      </c>
      <c r="H14" s="501">
        <v>0.9</v>
      </c>
      <c r="I14" s="501">
        <v>0.9</v>
      </c>
      <c r="J14" s="501">
        <v>0.9</v>
      </c>
      <c r="K14" s="501">
        <v>0.94</v>
      </c>
      <c r="L14" s="501">
        <v>0.94</v>
      </c>
      <c r="M14" s="501">
        <v>0.94</v>
      </c>
      <c r="N14" s="501">
        <v>0.94</v>
      </c>
      <c r="O14" s="501">
        <v>0.94</v>
      </c>
      <c r="P14" s="501">
        <v>0.94</v>
      </c>
      <c r="Q14" s="501">
        <v>0.94</v>
      </c>
      <c r="R14" s="502">
        <f>D14</f>
        <v>0.8</v>
      </c>
      <c r="S14" s="502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0.89129759129759123</v>
      </c>
      <c r="D17" s="312">
        <f>VLOOKUP(CONCATENATE(HVAC!D16,HomeSize),HVAC!$D$57:$K$75,8,FALSE)</f>
        <v>0.80458430458430452</v>
      </c>
      <c r="E17" s="312" t="e">
        <f>VLOOKUP(CONCATENATE(HVAC!E16,HomeSize),HVAC!$D$57:$K$75,8,FALSE)</f>
        <v>#N/A</v>
      </c>
      <c r="F17" s="312">
        <f>VLOOKUP(CONCATENATE(HVAC!F16,HomeSize),HVAC!$D$57:$K$75,8,FALSE)</f>
        <v>0.8581973581973581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0.77746697746697757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0.78395493395493399</v>
      </c>
      <c r="S17" s="312">
        <f>VLOOKUP(CONCATENATE(HVAC!S16,HomeSize),HVAC!$D$57:$K$75,8,FALSE)</f>
        <v>0.84825174825174832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3.5962703962703961</v>
      </c>
      <c r="D18" s="312">
        <f>VLOOKUP(CONCATENATE(HVAC!D16,HomeSize),HVAC!$D$57:$K$75,7,FALSE)</f>
        <v>8.3743589743589748</v>
      </c>
      <c r="E18" s="312" t="e">
        <f>VLOOKUP(CONCATENATE(HVAC!E16,HomeSize),HVAC!$D$57:$K$75,7,FALSE)</f>
        <v>#N/A</v>
      </c>
      <c r="F18" s="312">
        <f>VLOOKUP(CONCATENATE(HVAC!F16,HomeSize),HVAC!$D$57:$K$75,7,FALSE)</f>
        <v>10.340326340326341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12.111888111888113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6.1216783216783215</v>
      </c>
      <c r="S18" s="312">
        <f>VLOOKUP(CONCATENATE(HVAC!S16,HomeSize),HVAC!$D$57:$K$75,7,FALSE)</f>
        <v>8.4279720279720269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1.9188322740529413</v>
      </c>
      <c r="D19" s="137">
        <f t="shared" ref="D19:Q19" si="0">D17*A_houseFT/1000</f>
        <v>1.7321513554021626</v>
      </c>
      <c r="E19" s="137" t="e">
        <f t="shared" si="0"/>
        <v>#N/A</v>
      </c>
      <c r="F19" s="137">
        <f t="shared" si="0"/>
        <v>1.8475723534926978</v>
      </c>
      <c r="G19" s="137" t="e">
        <f t="shared" si="0"/>
        <v>#N/A</v>
      </c>
      <c r="H19" s="137" t="e">
        <f t="shared" si="0"/>
        <v>#N/A</v>
      </c>
      <c r="I19" s="137">
        <f t="shared" si="0"/>
        <v>1.6737717491215878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1.6877393626586308</v>
      </c>
      <c r="S19" s="312">
        <f>S17*A_houseFT/1000</f>
        <v>1.8261609219628596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7.74223981974251</v>
      </c>
      <c r="D20" s="319">
        <f t="shared" si="1"/>
        <v>18.028759901741601</v>
      </c>
      <c r="E20" s="319" t="e">
        <f t="shared" si="1"/>
        <v>#N/A</v>
      </c>
      <c r="F20" s="319">
        <f t="shared" si="1"/>
        <v>22.261197718678883</v>
      </c>
      <c r="G20" s="319" t="e">
        <f t="shared" si="1"/>
        <v>#N/A</v>
      </c>
      <c r="H20" s="319" t="e">
        <f t="shared" si="1"/>
        <v>#N/A</v>
      </c>
      <c r="I20" s="319">
        <f t="shared" si="1"/>
        <v>26.075108959931352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13.179070660233199</v>
      </c>
      <c r="S20" s="319">
        <f t="shared" si="1"/>
        <v>18.144180899832136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2">
        <f>VLOOKUP(CONCATENATE(C16,HomeSize),HVAC!$D$57:$K$75,5,FALSE)*C19</f>
        <v>681.56922374360477</v>
      </c>
      <c r="D21" s="522">
        <f>VLOOKUP(CONCATENATE(D16,HomeSize),HVAC!$D$57:$K$75,5,FALSE)*D19</f>
        <v>615.26016143884817</v>
      </c>
      <c r="E21" s="522" t="e">
        <f>VLOOKUP(CONCATENATE(E16,HomeSize),HVAC!$D$57:$K$75,5,FALSE)*E19</f>
        <v>#N/A</v>
      </c>
      <c r="F21" s="522">
        <f>VLOOKUP(CONCATENATE(F16,HomeSize),HVAC!$D$57:$K$75,5,FALSE)*F19</f>
        <v>713.3476856835307</v>
      </c>
      <c r="G21" s="522" t="e">
        <f>VLOOKUP(CONCATENATE(G16,HomeSize),HVAC!$D$57:$K$75,5,FALSE)*G19</f>
        <v>#N/A</v>
      </c>
      <c r="H21" s="522" t="e">
        <f>VLOOKUP(CONCATENATE(H16,HomeSize),HVAC!$D$57:$K$75,5,FALSE)*H19</f>
        <v>#N/A</v>
      </c>
      <c r="I21" s="522">
        <f>VLOOKUP(CONCATENATE(I16,HomeSize),HVAC!$D$57:$K$75,5,FALSE)*I19</f>
        <v>646.24327233584506</v>
      </c>
      <c r="J21" s="522" t="e">
        <f>VLOOKUP(CONCATENATE(J16,HomeSize),HVAC!$D$57:$K$75,5,FALSE)*J19</f>
        <v>#N/A</v>
      </c>
      <c r="K21" s="522" t="e">
        <f>VLOOKUP(CONCATENATE(K16,HomeSize),HVAC!$D$57:$K$75,5,FALSE)*K19</f>
        <v>#N/A</v>
      </c>
      <c r="L21" s="522" t="e">
        <f>VLOOKUP(CONCATENATE(L16,HomeSize),HVAC!$D$57:$K$75,5,FALSE)*L19</f>
        <v>#N/A</v>
      </c>
      <c r="M21" s="522" t="e">
        <f>VLOOKUP(CONCATENATE(M16,HomeSize),HVAC!$D$57:$K$75,5,FALSE)*M19</f>
        <v>#N/A</v>
      </c>
      <c r="N21" s="522" t="e">
        <f>VLOOKUP(CONCATENATE(N16,HomeSize),HVAC!$D$57:$K$75,5,FALSE)*N19</f>
        <v>#N/A</v>
      </c>
      <c r="O21" s="522" t="e">
        <f>VLOOKUP(CONCATENATE(O16,HomeSize),HVAC!$D$57:$K$75,5,FALSE)*O19</f>
        <v>#N/A</v>
      </c>
      <c r="P21" s="522" t="e">
        <f>VLOOKUP(CONCATENATE(P16,HomeSize),HVAC!$D$57:$K$75,5,FALSE)*P19</f>
        <v>#N/A</v>
      </c>
      <c r="Q21" s="522" t="e">
        <f>VLOOKUP(CONCATENATE(Q16,HomeSize),HVAC!$D$57:$K$75,5,FALSE)*Q19</f>
        <v>#N/A</v>
      </c>
      <c r="R21" s="522">
        <f>VLOOKUP(CONCATENATE(R16,HomeSize),HVAC!$D$57:$K$75,5,FALSE)*R19</f>
        <v>599.48502161634565</v>
      </c>
      <c r="S21" s="522">
        <f>VLOOKUP(CONCATENATE(S16,HomeSize),HVAC!$D$57:$K$75,5,FALSE)*S19</f>
        <v>705.08073196986015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2">
        <f>16.8*C20</f>
        <v>130.06962897167418</v>
      </c>
      <c r="D22" s="522">
        <f t="shared" ref="D22:S22" si="2">16.8*D20</f>
        <v>302.88316634925894</v>
      </c>
      <c r="E22" s="522" t="e">
        <f t="shared" si="2"/>
        <v>#N/A</v>
      </c>
      <c r="F22" s="522">
        <f t="shared" si="2"/>
        <v>373.98812167380527</v>
      </c>
      <c r="G22" s="522" t="e">
        <f t="shared" si="2"/>
        <v>#N/A</v>
      </c>
      <c r="H22" s="522" t="e">
        <f t="shared" si="2"/>
        <v>#N/A</v>
      </c>
      <c r="I22" s="522">
        <f t="shared" si="2"/>
        <v>438.06183052684673</v>
      </c>
      <c r="J22" s="522" t="e">
        <f t="shared" si="2"/>
        <v>#N/A</v>
      </c>
      <c r="K22" s="522" t="e">
        <f t="shared" si="2"/>
        <v>#N/A</v>
      </c>
      <c r="L22" s="522" t="e">
        <f t="shared" si="2"/>
        <v>#N/A</v>
      </c>
      <c r="M22" s="522" t="e">
        <f t="shared" si="2"/>
        <v>#N/A</v>
      </c>
      <c r="N22" s="522" t="e">
        <f t="shared" si="2"/>
        <v>#N/A</v>
      </c>
      <c r="O22" s="522" t="e">
        <f t="shared" si="2"/>
        <v>#N/A</v>
      </c>
      <c r="P22" s="522" t="e">
        <f t="shared" si="2"/>
        <v>#N/A</v>
      </c>
      <c r="Q22" s="522" t="e">
        <f t="shared" si="2"/>
        <v>#N/A</v>
      </c>
      <c r="R22" s="522">
        <f t="shared" si="2"/>
        <v>221.40838709191775</v>
      </c>
      <c r="S22" s="522">
        <f t="shared" si="2"/>
        <v>304.82223911717989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2">
        <f>IF(C22&gt;C21*0.8,C20,(C21*0.8/C22)*C20)</f>
        <v>32.455677321124035</v>
      </c>
      <c r="D23" s="522">
        <f t="shared" ref="D23:S23" si="3">IF(D22&gt;D21*0.8,D20,(D21*0.8/D22)*D20)</f>
        <v>29.298102925659435</v>
      </c>
      <c r="E23" s="522" t="e">
        <f t="shared" si="3"/>
        <v>#N/A</v>
      </c>
      <c r="F23" s="522">
        <f t="shared" si="3"/>
        <v>33.968937413501457</v>
      </c>
      <c r="G23" s="522" t="e">
        <f t="shared" si="3"/>
        <v>#N/A</v>
      </c>
      <c r="H23" s="522" t="e">
        <f t="shared" si="3"/>
        <v>#N/A</v>
      </c>
      <c r="I23" s="522">
        <f t="shared" si="3"/>
        <v>30.773489158849767</v>
      </c>
      <c r="J23" s="522" t="e">
        <f t="shared" si="3"/>
        <v>#N/A</v>
      </c>
      <c r="K23" s="522" t="e">
        <f t="shared" si="3"/>
        <v>#N/A</v>
      </c>
      <c r="L23" s="522" t="e">
        <f t="shared" si="3"/>
        <v>#N/A</v>
      </c>
      <c r="M23" s="522" t="e">
        <f t="shared" si="3"/>
        <v>#N/A</v>
      </c>
      <c r="N23" s="522" t="e">
        <f t="shared" si="3"/>
        <v>#N/A</v>
      </c>
      <c r="O23" s="522" t="e">
        <f t="shared" si="3"/>
        <v>#N/A</v>
      </c>
      <c r="P23" s="522" t="e">
        <f t="shared" si="3"/>
        <v>#N/A</v>
      </c>
      <c r="Q23" s="522" t="e">
        <f t="shared" si="3"/>
        <v>#N/A</v>
      </c>
      <c r="R23" s="522">
        <f t="shared" si="3"/>
        <v>28.546905791254552</v>
      </c>
      <c r="S23" s="522">
        <f t="shared" si="3"/>
        <v>33.575272950945724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7">
        <f>ROUNDUP(C19*2,0)/2</f>
        <v>2</v>
      </c>
      <c r="D24" s="497">
        <f t="shared" ref="D24:S24" si="4">ROUNDUP(D19*2,0)/2</f>
        <v>2</v>
      </c>
      <c r="E24" s="497" t="e">
        <f t="shared" si="4"/>
        <v>#N/A</v>
      </c>
      <c r="F24" s="497">
        <f t="shared" si="4"/>
        <v>2</v>
      </c>
      <c r="G24" s="497" t="e">
        <f>ROUNDUP(G19*2,0)/2</f>
        <v>#N/A</v>
      </c>
      <c r="H24" s="497" t="e">
        <f t="shared" si="4"/>
        <v>#N/A</v>
      </c>
      <c r="I24" s="497">
        <f t="shared" si="4"/>
        <v>2</v>
      </c>
      <c r="J24" s="497" t="e">
        <f t="shared" si="4"/>
        <v>#N/A</v>
      </c>
      <c r="K24" s="497" t="e">
        <f t="shared" si="4"/>
        <v>#N/A</v>
      </c>
      <c r="L24" s="497" t="e">
        <f t="shared" si="4"/>
        <v>#N/A</v>
      </c>
      <c r="M24" s="497" t="e">
        <f t="shared" si="4"/>
        <v>#N/A</v>
      </c>
      <c r="N24" s="497" t="e">
        <f t="shared" si="4"/>
        <v>#N/A</v>
      </c>
      <c r="O24" s="497" t="e">
        <f t="shared" si="4"/>
        <v>#N/A</v>
      </c>
      <c r="P24" s="497" t="e">
        <f t="shared" si="4"/>
        <v>#N/A</v>
      </c>
      <c r="Q24" s="497" t="e">
        <f t="shared" si="4"/>
        <v>#N/A</v>
      </c>
      <c r="R24" s="497">
        <f t="shared" si="4"/>
        <v>2</v>
      </c>
      <c r="S24" s="497">
        <f t="shared" si="4"/>
        <v>2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7">
        <f>C24*12</f>
        <v>24</v>
      </c>
      <c r="D25" s="497">
        <f t="shared" ref="D25:S25" si="5">D24*12</f>
        <v>24</v>
      </c>
      <c r="E25" s="497" t="e">
        <f t="shared" si="5"/>
        <v>#N/A</v>
      </c>
      <c r="F25" s="497">
        <f t="shared" si="5"/>
        <v>24</v>
      </c>
      <c r="G25" s="497" t="e">
        <f t="shared" si="5"/>
        <v>#N/A</v>
      </c>
      <c r="H25" s="497" t="e">
        <f t="shared" si="5"/>
        <v>#N/A</v>
      </c>
      <c r="I25" s="497">
        <f t="shared" si="5"/>
        <v>24</v>
      </c>
      <c r="J25" s="497" t="e">
        <f t="shared" si="5"/>
        <v>#N/A</v>
      </c>
      <c r="K25" s="497" t="e">
        <f t="shared" si="5"/>
        <v>#N/A</v>
      </c>
      <c r="L25" s="497" t="e">
        <f t="shared" si="5"/>
        <v>#N/A</v>
      </c>
      <c r="M25" s="497" t="e">
        <f t="shared" si="5"/>
        <v>#N/A</v>
      </c>
      <c r="N25" s="497" t="e">
        <f t="shared" si="5"/>
        <v>#N/A</v>
      </c>
      <c r="O25" s="497" t="e">
        <f t="shared" si="5"/>
        <v>#N/A</v>
      </c>
      <c r="P25" s="497" t="e">
        <f t="shared" si="5"/>
        <v>#N/A</v>
      </c>
      <c r="Q25" s="497" t="e">
        <f t="shared" si="5"/>
        <v>#N/A</v>
      </c>
      <c r="R25" s="497">
        <f t="shared" si="5"/>
        <v>24</v>
      </c>
      <c r="S25" s="497">
        <f t="shared" si="5"/>
        <v>24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8">
        <f>ROUNDUP(C23/10,0)*10</f>
        <v>40</v>
      </c>
      <c r="D26" s="498">
        <f>ROUNDUP(D23/10,0)*10</f>
        <v>30</v>
      </c>
      <c r="E26" s="498" t="e">
        <f>ROUNDUP(E23/10,0)*10</f>
        <v>#N/A</v>
      </c>
      <c r="F26" s="498">
        <f>ROUNDUP(F23/10,0)*10</f>
        <v>40</v>
      </c>
      <c r="G26" s="498" t="e">
        <f t="shared" ref="G26:S26" si="6">ROUNDUP(G23/10,0)*10</f>
        <v>#N/A</v>
      </c>
      <c r="H26" s="498" t="e">
        <f t="shared" si="6"/>
        <v>#N/A</v>
      </c>
      <c r="I26" s="498">
        <f t="shared" si="6"/>
        <v>40</v>
      </c>
      <c r="J26" s="498" t="e">
        <f t="shared" si="6"/>
        <v>#N/A</v>
      </c>
      <c r="K26" s="498" t="e">
        <f t="shared" si="6"/>
        <v>#N/A</v>
      </c>
      <c r="L26" s="498" t="e">
        <f t="shared" si="6"/>
        <v>#N/A</v>
      </c>
      <c r="M26" s="498" t="e">
        <f t="shared" si="6"/>
        <v>#N/A</v>
      </c>
      <c r="N26" s="498" t="e">
        <f t="shared" si="6"/>
        <v>#N/A</v>
      </c>
      <c r="O26" s="498" t="e">
        <f t="shared" si="6"/>
        <v>#N/A</v>
      </c>
      <c r="P26" s="498" t="e">
        <f t="shared" si="6"/>
        <v>#N/A</v>
      </c>
      <c r="Q26" s="498" t="e">
        <f t="shared" si="6"/>
        <v>#N/A</v>
      </c>
      <c r="R26" s="498">
        <f t="shared" si="6"/>
        <v>30</v>
      </c>
      <c r="S26" s="498">
        <f t="shared" si="6"/>
        <v>40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6">
        <f>VLOOKUP(CONCATENATE(C16,HomeSize),HVAC!$D$57:$K$75,5,FALSE)*C24*0.3048^3/60</f>
        <v>0.33527146364928007</v>
      </c>
      <c r="D27" s="486">
        <f>VLOOKUP(CONCATENATE(D16,HomeSize),HVAC!$D$57:$K$75,5,FALSE)*D24*0.3048^3/60</f>
        <v>0.33527146364928007</v>
      </c>
      <c r="E27" s="486" t="e">
        <f>VLOOKUP(CONCATENATE(E16,HomeSize),HVAC!$D$57:$K$75,5,FALSE)*E24*0.3048^3/60</f>
        <v>#N/A</v>
      </c>
      <c r="F27" s="486">
        <f>VLOOKUP(CONCATENATE(F16,HomeSize),HVAC!$D$57:$K$75,5,FALSE)*F24*0.3048^3/60</f>
        <v>0.3644378156390401</v>
      </c>
      <c r="G27" s="486" t="e">
        <f>VLOOKUP(CONCATENATE(G16,HomeSize),HVAC!$D$57:$K$75,5,FALSE)*G24*0.3048^3/60</f>
        <v>#N/A</v>
      </c>
      <c r="H27" s="486" t="e">
        <f>VLOOKUP(CONCATENATE(H16,HomeSize),HVAC!$D$57:$K$75,5,FALSE)*H24*0.3048^3/60</f>
        <v>#N/A</v>
      </c>
      <c r="I27" s="486">
        <f>VLOOKUP(CONCATENATE(I16,HomeSize),HVAC!$D$57:$K$75,5,FALSE)*I24*0.3048^3/60</f>
        <v>0.3644378156390401</v>
      </c>
      <c r="J27" s="486" t="e">
        <f>VLOOKUP(CONCATENATE(J16,HomeSize),HVAC!$D$57:$K$75,5,FALSE)*J24*0.3048^3/60</f>
        <v>#N/A</v>
      </c>
      <c r="K27" s="486" t="e">
        <f>VLOOKUP(CONCATENATE(K16,HomeSize),HVAC!$D$57:$K$75,5,FALSE)*K24*0.3048^3/60</f>
        <v>#N/A</v>
      </c>
      <c r="L27" s="486" t="e">
        <f>VLOOKUP(CONCATENATE(L16,HomeSize),HVAC!$D$57:$K$75,5,FALSE)*L24*0.3048^3/60</f>
        <v>#N/A</v>
      </c>
      <c r="M27" s="486" t="e">
        <f>VLOOKUP(CONCATENATE(M16,HomeSize),HVAC!$D$57:$K$75,5,FALSE)*M24*0.3048^3/60</f>
        <v>#N/A</v>
      </c>
      <c r="N27" s="486" t="e">
        <f>VLOOKUP(CONCATENATE(N16,HomeSize),HVAC!$D$57:$K$75,5,FALSE)*N24*0.3048^3/60</f>
        <v>#N/A</v>
      </c>
      <c r="O27" s="486" t="e">
        <f>VLOOKUP(CONCATENATE(O16,HomeSize),HVAC!$D$57:$K$75,5,FALSE)*O24*0.3048^3/60</f>
        <v>#N/A</v>
      </c>
      <c r="P27" s="486" t="e">
        <f>VLOOKUP(CONCATENATE(P16,HomeSize),HVAC!$D$57:$K$75,5,FALSE)*P24*0.3048^3/60</f>
        <v>#N/A</v>
      </c>
      <c r="Q27" s="486" t="e">
        <f>VLOOKUP(CONCATENATE(Q16,HomeSize),HVAC!$D$57:$K$75,5,FALSE)*Q24*0.3048^3/60</f>
        <v>#N/A</v>
      </c>
      <c r="R27" s="486">
        <f>VLOOKUP(CONCATENATE(R16,HomeSize),HVAC!$D$57:$K$75,5,FALSE)*R24*0.3048^3/60</f>
        <v>0.33527146364928007</v>
      </c>
      <c r="S27" s="486">
        <f>VLOOKUP(CONCATENATE(S16,HomeSize),HVAC!$D$57:$K$75,5,FALSE)*S24*0.3048^3/60</f>
        <v>0.3644378156390401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6">
        <f>16.8*C26*(1/2119)</f>
        <v>0.31713072203869752</v>
      </c>
      <c r="D28" s="486">
        <f t="shared" ref="D28:S28" si="7">16.8*D26*(1/2119)</f>
        <v>0.23784804152902314</v>
      </c>
      <c r="E28" s="486" t="e">
        <f t="shared" si="7"/>
        <v>#N/A</v>
      </c>
      <c r="F28" s="486">
        <f t="shared" si="7"/>
        <v>0.31713072203869752</v>
      </c>
      <c r="G28" s="486" t="e">
        <f t="shared" si="7"/>
        <v>#N/A</v>
      </c>
      <c r="H28" s="486" t="e">
        <f t="shared" si="7"/>
        <v>#N/A</v>
      </c>
      <c r="I28" s="486">
        <f t="shared" si="7"/>
        <v>0.31713072203869752</v>
      </c>
      <c r="J28" s="486" t="e">
        <f t="shared" si="7"/>
        <v>#N/A</v>
      </c>
      <c r="K28" s="486" t="e">
        <f t="shared" si="7"/>
        <v>#N/A</v>
      </c>
      <c r="L28" s="486" t="e">
        <f t="shared" si="7"/>
        <v>#N/A</v>
      </c>
      <c r="M28" s="486" t="e">
        <f t="shared" si="7"/>
        <v>#N/A</v>
      </c>
      <c r="N28" s="486" t="e">
        <f t="shared" si="7"/>
        <v>#N/A</v>
      </c>
      <c r="O28" s="486" t="e">
        <f t="shared" si="7"/>
        <v>#N/A</v>
      </c>
      <c r="P28" s="486" t="e">
        <f t="shared" si="7"/>
        <v>#N/A</v>
      </c>
      <c r="Q28" s="486" t="e">
        <f t="shared" si="7"/>
        <v>#N/A</v>
      </c>
      <c r="R28" s="486">
        <f t="shared" si="7"/>
        <v>0.23784804152902314</v>
      </c>
      <c r="S28" s="486">
        <f t="shared" si="7"/>
        <v>0.31713072203869752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499">
        <f>C27*2119*0.167</f>
        <v>118.6435186559617</v>
      </c>
      <c r="D29" s="499">
        <f t="shared" ref="D29:S29" si="8">D27*2119*0.167</f>
        <v>118.6435186559617</v>
      </c>
      <c r="E29" s="499" t="e">
        <f t="shared" si="8"/>
        <v>#N/A</v>
      </c>
      <c r="F29" s="499">
        <f t="shared" si="8"/>
        <v>128.96470313363403</v>
      </c>
      <c r="G29" s="499" t="e">
        <f t="shared" si="8"/>
        <v>#N/A</v>
      </c>
      <c r="H29" s="499" t="e">
        <f t="shared" si="8"/>
        <v>#N/A</v>
      </c>
      <c r="I29" s="499">
        <f t="shared" si="8"/>
        <v>128.96470313363403</v>
      </c>
      <c r="J29" s="499" t="e">
        <f t="shared" si="8"/>
        <v>#N/A</v>
      </c>
      <c r="K29" s="499" t="e">
        <f t="shared" si="8"/>
        <v>#N/A</v>
      </c>
      <c r="L29" s="499" t="e">
        <f t="shared" si="8"/>
        <v>#N/A</v>
      </c>
      <c r="M29" s="499" t="e">
        <f t="shared" si="8"/>
        <v>#N/A</v>
      </c>
      <c r="N29" s="499" t="e">
        <f t="shared" si="8"/>
        <v>#N/A</v>
      </c>
      <c r="O29" s="499" t="e">
        <f t="shared" si="8"/>
        <v>#N/A</v>
      </c>
      <c r="P29" s="499" t="e">
        <f t="shared" si="8"/>
        <v>#N/A</v>
      </c>
      <c r="Q29" s="499" t="e">
        <f t="shared" si="8"/>
        <v>#N/A</v>
      </c>
      <c r="R29" s="499">
        <f t="shared" si="8"/>
        <v>118.6435186559617</v>
      </c>
      <c r="S29" s="499">
        <f t="shared" si="8"/>
        <v>128.96470313363403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499">
        <f>C28*2119*0.167</f>
        <v>112.224</v>
      </c>
      <c r="D30" s="499">
        <f t="shared" ref="D30:S30" si="9">D28*2119*0.167</f>
        <v>84.168000000000021</v>
      </c>
      <c r="E30" s="499" t="e">
        <f t="shared" si="9"/>
        <v>#N/A</v>
      </c>
      <c r="F30" s="499">
        <f t="shared" si="9"/>
        <v>112.224</v>
      </c>
      <c r="G30" s="499" t="e">
        <f t="shared" si="9"/>
        <v>#N/A</v>
      </c>
      <c r="H30" s="499" t="e">
        <f t="shared" si="9"/>
        <v>#N/A</v>
      </c>
      <c r="I30" s="499">
        <f t="shared" si="9"/>
        <v>112.224</v>
      </c>
      <c r="J30" s="499" t="e">
        <f t="shared" si="9"/>
        <v>#N/A</v>
      </c>
      <c r="K30" s="499" t="e">
        <f t="shared" si="9"/>
        <v>#N/A</v>
      </c>
      <c r="L30" s="499" t="e">
        <f t="shared" si="9"/>
        <v>#N/A</v>
      </c>
      <c r="M30" s="499" t="e">
        <f t="shared" si="9"/>
        <v>#N/A</v>
      </c>
      <c r="N30" s="499" t="e">
        <f t="shared" si="9"/>
        <v>#N/A</v>
      </c>
      <c r="O30" s="499" t="e">
        <f t="shared" si="9"/>
        <v>#N/A</v>
      </c>
      <c r="P30" s="499" t="e">
        <f t="shared" si="9"/>
        <v>#N/A</v>
      </c>
      <c r="Q30" s="499" t="e">
        <f t="shared" si="9"/>
        <v>#N/A</v>
      </c>
      <c r="R30" s="499">
        <f t="shared" si="9"/>
        <v>84.168000000000021</v>
      </c>
      <c r="S30" s="499">
        <f t="shared" si="9"/>
        <v>112.224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0">
        <f>C27*Ducts!$D$18/(25^Ducts!$D$20)</f>
        <v>0</v>
      </c>
      <c r="D31" s="500">
        <f>D27*Ducts!$D$18/(25^Ducts!$D$20)</f>
        <v>0</v>
      </c>
      <c r="E31" s="500" t="e">
        <f>E27*Ducts!$D$18/(25^Ducts!$D$20)</f>
        <v>#N/A</v>
      </c>
      <c r="F31" s="500">
        <f>F27*Ducts!$D$18/(25^Ducts!$D$20)</f>
        <v>0</v>
      </c>
      <c r="G31" s="500" t="e">
        <f>G27*Ducts!$D$18/(25^Ducts!$D$20)</f>
        <v>#N/A</v>
      </c>
      <c r="H31" s="500" t="e">
        <f>H27*Ducts!$D$18/(25^Ducts!$D$20)</f>
        <v>#N/A</v>
      </c>
      <c r="I31" s="500">
        <f>I27*Ducts!$D$18/(25^Ducts!$D$20)</f>
        <v>0</v>
      </c>
      <c r="J31" s="500" t="e">
        <f>J27*Ducts!$D$18/(25^Ducts!$D$20)</f>
        <v>#N/A</v>
      </c>
      <c r="K31" s="500" t="e">
        <f>K27*Ducts!$D$18/(25^Ducts!$D$20)</f>
        <v>#N/A</v>
      </c>
      <c r="L31" s="500" t="e">
        <f>L27*Ducts!$D$18/(25^Ducts!$D$20)</f>
        <v>#N/A</v>
      </c>
      <c r="M31" s="500" t="e">
        <f>M27*Ducts!$D$18/(25^Ducts!$D$20)</f>
        <v>#N/A</v>
      </c>
      <c r="N31" s="500" t="e">
        <f>N27*Ducts!$D$18/(25^Ducts!$D$20)</f>
        <v>#N/A</v>
      </c>
      <c r="O31" s="500" t="e">
        <f>O27*Ducts!$D$18/(25^Ducts!$D$20)</f>
        <v>#N/A</v>
      </c>
      <c r="P31" s="500" t="e">
        <f>P27*Ducts!$D$18/(25^Ducts!$D$20)</f>
        <v>#N/A</v>
      </c>
      <c r="Q31" s="500" t="e">
        <f>Q27*Ducts!$D$18/(25^Ducts!$D$20)</f>
        <v>#N/A</v>
      </c>
      <c r="R31" s="500">
        <f>R27*Ducts!$D$18/(25^Ducts!$D$20)</f>
        <v>0</v>
      </c>
      <c r="S31" s="500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0">
        <f>C27*Ducts!$D$19/(25^Ducts!$D$21)</f>
        <v>0</v>
      </c>
      <c r="D32" s="500">
        <f>D27*Ducts!$D$19/(25^Ducts!$D$21)</f>
        <v>0</v>
      </c>
      <c r="E32" s="500" t="e">
        <f>E27*Ducts!$D$19/(25^Ducts!$D$21)</f>
        <v>#N/A</v>
      </c>
      <c r="F32" s="500">
        <f>F27*Ducts!$D$19/(25^Ducts!$D$21)</f>
        <v>0</v>
      </c>
      <c r="G32" s="500" t="e">
        <f>G27*Ducts!$D$19/(25^Ducts!$D$21)</f>
        <v>#N/A</v>
      </c>
      <c r="H32" s="500" t="e">
        <f>H27*Ducts!$D$19/(25^Ducts!$D$21)</f>
        <v>#N/A</v>
      </c>
      <c r="I32" s="500">
        <f>I27*Ducts!$D$19/(25^Ducts!$D$21)</f>
        <v>0</v>
      </c>
      <c r="J32" s="500" t="e">
        <f>J27*Ducts!$D$19/(25^Ducts!$D$21)</f>
        <v>#N/A</v>
      </c>
      <c r="K32" s="500" t="e">
        <f>K27*Ducts!$D$19/(25^Ducts!$D$21)</f>
        <v>#N/A</v>
      </c>
      <c r="L32" s="500" t="e">
        <f>L27*Ducts!$D$19/(25^Ducts!$D$21)</f>
        <v>#N/A</v>
      </c>
      <c r="M32" s="500" t="e">
        <f>M27*Ducts!$D$19/(25^Ducts!$D$21)</f>
        <v>#N/A</v>
      </c>
      <c r="N32" s="500" t="e">
        <f>N27*Ducts!$D$19/(25^Ducts!$D$21)</f>
        <v>#N/A</v>
      </c>
      <c r="O32" s="500" t="e">
        <f>O27*Ducts!$D$19/(25^Ducts!$D$21)</f>
        <v>#N/A</v>
      </c>
      <c r="P32" s="500" t="e">
        <f>P27*Ducts!$D$19/(25^Ducts!$D$21)</f>
        <v>#N/A</v>
      </c>
      <c r="Q32" s="500" t="e">
        <f>Q27*Ducts!$D$19/(25^Ducts!$D$21)</f>
        <v>#N/A</v>
      </c>
      <c r="R32" s="500">
        <f>R27*Ducts!$D$19/(25^Ducts!$D$21)</f>
        <v>0</v>
      </c>
      <c r="S32" s="500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10.257487449999999</v>
      </c>
      <c r="J40" s="317">
        <f>D40/(A_houseFT/1000)</f>
        <v>32.515000000000001</v>
      </c>
      <c r="K40" s="315">
        <f>J40/12</f>
        <v>2.7095833333333332</v>
      </c>
      <c r="L40" s="196">
        <v>7.5</v>
      </c>
      <c r="M40" s="196">
        <v>23.8</v>
      </c>
      <c r="O40" s="320">
        <f>C$27/0.00047194745</f>
        <v>710.39998976428433</v>
      </c>
      <c r="P40" s="283">
        <f>O40/C29</f>
        <v>5.9876847704110769</v>
      </c>
      <c r="Q40" s="293">
        <f>O40/6</f>
        <v>118.39999829404739</v>
      </c>
      <c r="R40" s="319">
        <f>C28</f>
        <v>0.31713072203869752</v>
      </c>
      <c r="S40" s="293">
        <f>R40/0.00047194745</f>
        <v>671.96193567461273</v>
      </c>
      <c r="T40" s="293">
        <f>C30</f>
        <v>112.224</v>
      </c>
      <c r="U40" s="312">
        <f>S40/T40</f>
        <v>5.9876847704110769</v>
      </c>
      <c r="V40" s="293">
        <f t="shared" ref="V40:V48" si="10">S40/6</f>
        <v>111.99365594576879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710.39998976428433</v>
      </c>
      <c r="P41" s="283">
        <f>O41/D29</f>
        <v>5.9876847704110769</v>
      </c>
      <c r="Q41" s="293">
        <f t="shared" ref="Q41:Q54" si="11">O41/6</f>
        <v>118.39999829404739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772.19998887384622</v>
      </c>
      <c r="P43" s="283">
        <f>O43/F29</f>
        <v>5.9876847704110769</v>
      </c>
      <c r="Q43" s="293">
        <f t="shared" si="11"/>
        <v>128.69999814564105</v>
      </c>
      <c r="R43" s="319">
        <f>F28</f>
        <v>0.31713072203869752</v>
      </c>
      <c r="S43" s="293">
        <f t="shared" si="12"/>
        <v>671.96193567461273</v>
      </c>
      <c r="T43" s="293">
        <f>F30</f>
        <v>112.224</v>
      </c>
      <c r="U43" s="312">
        <f t="shared" si="13"/>
        <v>5.9876847704110769</v>
      </c>
      <c r="V43" s="293">
        <f t="shared" si="10"/>
        <v>111.99365594576879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772.19998887384622</v>
      </c>
      <c r="P46" s="283">
        <f>O46/I29</f>
        <v>5.9876847704110769</v>
      </c>
      <c r="Q46" s="293">
        <f t="shared" si="11"/>
        <v>128.69999814564105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18.316941874999998</v>
      </c>
      <c r="M54" s="309">
        <f>G54/(A_houseFT/1000)</f>
        <v>58.0625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6" t="s">
        <v>802</v>
      </c>
      <c r="D85" s="517" t="s">
        <v>794</v>
      </c>
      <c r="E85" s="516" t="s">
        <v>405</v>
      </c>
      <c r="F85" s="516" t="s">
        <v>800</v>
      </c>
      <c r="G85" s="516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8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8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19" t="s">
        <v>809</v>
      </c>
      <c r="D92" s="520" t="s">
        <v>803</v>
      </c>
      <c r="E92" s="519" t="s">
        <v>804</v>
      </c>
      <c r="F92" s="519" t="s">
        <v>805</v>
      </c>
      <c r="G92" s="519" t="s">
        <v>806</v>
      </c>
      <c r="H92" s="519" t="s">
        <v>800</v>
      </c>
      <c r="I92" s="519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-1.10201928333333E-2</v>
      </c>
      <c r="C6" s="402">
        <f t="shared" si="1"/>
        <v>-1.12628599814815E-2</v>
      </c>
      <c r="D6" s="402" t="e">
        <f t="shared" si="1"/>
        <v>#N/A</v>
      </c>
      <c r="E6" s="402">
        <f t="shared" si="1"/>
        <v>-1.0537344388888901E-2</v>
      </c>
      <c r="F6" s="402" t="e">
        <f t="shared" si="1"/>
        <v>#N/A</v>
      </c>
      <c r="G6" s="402" t="e">
        <f t="shared" si="1"/>
        <v>#N/A</v>
      </c>
      <c r="H6" s="402">
        <f t="shared" si="1"/>
        <v>-1.0683551703703701E-2</v>
      </c>
      <c r="I6" s="402" t="e">
        <f t="shared" si="1"/>
        <v>#N/A</v>
      </c>
      <c r="J6" s="402" t="e">
        <f t="shared" si="1"/>
        <v>#N/A</v>
      </c>
      <c r="K6" s="402" t="e">
        <f t="shared" si="1"/>
        <v>#N/A</v>
      </c>
      <c r="L6" s="402" t="e">
        <f t="shared" si="1"/>
        <v>#N/A</v>
      </c>
      <c r="M6" s="402" t="e">
        <f t="shared" si="1"/>
        <v>#N/A</v>
      </c>
      <c r="N6" s="402" t="e">
        <f t="shared" si="1"/>
        <v>#N/A</v>
      </c>
      <c r="O6" s="402" t="e">
        <f t="shared" si="1"/>
        <v>#N/A</v>
      </c>
      <c r="P6" s="402" t="e">
        <f t="shared" si="1"/>
        <v>#N/A</v>
      </c>
      <c r="Q6" s="402">
        <f t="shared" si="1"/>
        <v>-1.20633005E-2</v>
      </c>
      <c r="R6" s="402">
        <f t="shared" si="1"/>
        <v>-1.22137443518518E-2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5.8525008333333304E-3</v>
      </c>
      <c r="C7" s="327">
        <f t="shared" si="2"/>
        <v>6.7025327777777803E-3</v>
      </c>
      <c r="D7" s="327" t="e">
        <f t="shared" si="2"/>
        <v>#N/A</v>
      </c>
      <c r="E7" s="327">
        <f t="shared" si="2"/>
        <v>6.6991296296296304E-3</v>
      </c>
      <c r="F7" s="327" t="e">
        <f t="shared" si="2"/>
        <v>#N/A</v>
      </c>
      <c r="G7" s="327" t="e">
        <f t="shared" si="2"/>
        <v>#N/A</v>
      </c>
      <c r="H7" s="327">
        <f t="shared" si="2"/>
        <v>5.3373196851851899E-3</v>
      </c>
      <c r="I7" s="327" t="e">
        <f t="shared" si="2"/>
        <v>#N/A</v>
      </c>
      <c r="J7" s="327" t="e">
        <f t="shared" si="2"/>
        <v>#N/A</v>
      </c>
      <c r="K7" s="327" t="e">
        <f t="shared" si="2"/>
        <v>#N/A</v>
      </c>
      <c r="L7" s="327" t="e">
        <f t="shared" si="2"/>
        <v>#N/A</v>
      </c>
      <c r="M7" s="327" t="e">
        <f t="shared" si="2"/>
        <v>#N/A</v>
      </c>
      <c r="N7" s="327" t="e">
        <f t="shared" si="2"/>
        <v>#N/A</v>
      </c>
      <c r="O7" s="327" t="e">
        <f t="shared" si="2"/>
        <v>#N/A</v>
      </c>
      <c r="P7" s="327" t="e">
        <f t="shared" si="2"/>
        <v>#N/A</v>
      </c>
      <c r="Q7" s="327">
        <f t="shared" si="2"/>
        <v>6.2541690740740702E-3</v>
      </c>
      <c r="R7" s="327">
        <f t="shared" si="2"/>
        <v>7.192955E-3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3"/>
      <c r="E49" s="504">
        <v>1.239E-2</v>
      </c>
      <c r="F49" s="503"/>
      <c r="G49" s="503"/>
      <c r="H49" s="504">
        <v>1.059E-2</v>
      </c>
      <c r="I49" s="504"/>
      <c r="J49" s="503"/>
      <c r="K49" s="503"/>
      <c r="L49" s="503"/>
      <c r="M49" s="503"/>
      <c r="N49" s="503"/>
      <c r="O49" s="503"/>
      <c r="P49" s="503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3"/>
      <c r="E66" s="504">
        <v>1.6420000000000001E-2</v>
      </c>
      <c r="F66" s="503"/>
      <c r="G66" s="503"/>
      <c r="H66" s="504">
        <v>1.5730000000000001E-2</v>
      </c>
      <c r="I66" s="503"/>
      <c r="J66" s="503"/>
      <c r="K66" s="503"/>
      <c r="L66" s="503"/>
      <c r="M66" s="503"/>
      <c r="N66" s="503"/>
      <c r="O66" s="503"/>
      <c r="P66" s="503"/>
      <c r="Q66" s="504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4"/>
      <c r="E67" s="504">
        <v>1.6830000000000001E-2</v>
      </c>
      <c r="F67" s="504"/>
      <c r="G67" s="504"/>
      <c r="H67" s="504">
        <v>1.473E-2</v>
      </c>
      <c r="I67" s="504"/>
      <c r="J67" s="504"/>
      <c r="K67" s="504"/>
      <c r="L67" s="504"/>
      <c r="M67" s="504"/>
      <c r="N67" s="504"/>
      <c r="O67" s="504"/>
      <c r="P67" s="504"/>
      <c r="Q67" s="504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4"/>
      <c r="E68" s="504">
        <v>9.6229999999999996E-3</v>
      </c>
      <c r="F68" s="504"/>
      <c r="G68" s="504"/>
      <c r="H68" s="504">
        <v>7.8040000000000002E-3</v>
      </c>
      <c r="I68" s="504"/>
      <c r="J68" s="504"/>
      <c r="K68" s="504"/>
      <c r="L68" s="504"/>
      <c r="M68" s="504"/>
      <c r="N68" s="504"/>
      <c r="O68" s="504"/>
      <c r="P68" s="504"/>
      <c r="Q68" s="504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5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6">
        <v>1.85</v>
      </c>
      <c r="C9" s="290"/>
    </row>
    <row r="10" spans="1:3">
      <c r="A10" s="290" t="s">
        <v>1185</v>
      </c>
      <c r="B10" s="506">
        <v>55</v>
      </c>
      <c r="C10" s="290"/>
    </row>
    <row r="11" spans="1:3">
      <c r="A11" s="290" t="s">
        <v>1186</v>
      </c>
      <c r="B11" s="506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6" t="s">
        <v>1304</v>
      </c>
      <c r="B1" s="526"/>
      <c r="C1" s="526"/>
      <c r="D1" s="526"/>
      <c r="E1" s="526"/>
      <c r="F1" s="526"/>
      <c r="G1" s="526"/>
      <c r="H1" s="526"/>
    </row>
    <row r="2" spans="1:8" ht="15">
      <c r="A2" s="527" t="s">
        <v>1296</v>
      </c>
      <c r="B2" s="561" t="s">
        <v>1305</v>
      </c>
      <c r="C2" s="561"/>
      <c r="D2" s="561"/>
      <c r="E2" s="528"/>
      <c r="F2" s="528"/>
      <c r="G2" s="528"/>
      <c r="H2" s="526"/>
    </row>
    <row r="3" spans="1:8">
      <c r="A3" s="529">
        <v>1</v>
      </c>
      <c r="B3" s="530">
        <v>0.48</v>
      </c>
      <c r="C3" s="526"/>
      <c r="D3" s="526"/>
      <c r="E3" s="526"/>
      <c r="F3" s="526"/>
      <c r="G3" s="526"/>
      <c r="H3" s="526"/>
    </row>
    <row r="4" spans="1:8">
      <c r="A4" s="529">
        <v>2</v>
      </c>
      <c r="B4" s="530">
        <v>0.59</v>
      </c>
      <c r="C4" s="526"/>
      <c r="D4" s="526"/>
      <c r="E4" s="526"/>
      <c r="F4" s="526"/>
      <c r="G4" s="526"/>
      <c r="H4" s="526"/>
    </row>
    <row r="5" spans="1:8">
      <c r="A5" s="529">
        <v>3</v>
      </c>
      <c r="B5" s="530">
        <v>0.67</v>
      </c>
      <c r="C5" s="526"/>
      <c r="D5" s="526"/>
      <c r="E5" s="526"/>
      <c r="F5" s="526"/>
      <c r="G5" s="526"/>
      <c r="H5" s="526"/>
    </row>
    <row r="6" spans="1:8">
      <c r="A6" s="526"/>
      <c r="B6" s="526"/>
      <c r="C6" s="526"/>
      <c r="D6" s="526"/>
      <c r="E6" s="526"/>
      <c r="F6" s="526"/>
      <c r="G6" s="526"/>
      <c r="H6" s="526"/>
    </row>
    <row r="7" spans="1:8">
      <c r="A7" s="526"/>
      <c r="B7" s="526"/>
      <c r="C7" s="526"/>
      <c r="D7" s="526"/>
      <c r="E7" s="526"/>
      <c r="F7" s="526"/>
      <c r="G7" s="526"/>
      <c r="H7" s="526"/>
    </row>
    <row r="8" spans="1:8" ht="14" customHeight="1">
      <c r="A8" s="531"/>
      <c r="B8" s="531"/>
      <c r="D8" s="537"/>
      <c r="E8" s="528"/>
      <c r="F8" s="528"/>
      <c r="G8" s="528"/>
      <c r="H8" s="526"/>
    </row>
    <row r="9" spans="1:8" ht="22">
      <c r="A9" s="532" t="s">
        <v>1297</v>
      </c>
      <c r="B9" t="s">
        <v>1306</v>
      </c>
      <c r="C9" s="533" t="s">
        <v>1298</v>
      </c>
      <c r="D9" s="538"/>
      <c r="E9" s="528"/>
      <c r="F9" s="528"/>
      <c r="G9" s="528"/>
      <c r="H9" s="526"/>
    </row>
    <row r="10" spans="1:8">
      <c r="A10" s="527" t="s">
        <v>1316</v>
      </c>
      <c r="B10" t="s">
        <v>1277</v>
      </c>
      <c r="C10" s="530">
        <v>0.5</v>
      </c>
      <c r="D10" s="539"/>
      <c r="E10" s="528"/>
      <c r="F10" s="528"/>
      <c r="G10" s="528"/>
      <c r="H10" s="526"/>
    </row>
    <row r="11" spans="1:8">
      <c r="A11" s="529">
        <v>1</v>
      </c>
      <c r="B11" t="s">
        <v>1182</v>
      </c>
      <c r="C11" s="530">
        <v>0.7</v>
      </c>
      <c r="D11" s="539"/>
      <c r="E11" s="528"/>
      <c r="F11" s="528"/>
      <c r="G11" s="528"/>
      <c r="H11" s="526"/>
    </row>
    <row r="12" spans="1:8">
      <c r="A12" s="529">
        <v>2</v>
      </c>
      <c r="B12" t="s">
        <v>1182</v>
      </c>
      <c r="C12" s="530">
        <v>0.64</v>
      </c>
      <c r="D12" s="539"/>
      <c r="E12" s="526"/>
      <c r="F12" s="526"/>
      <c r="G12" s="526"/>
      <c r="H12" s="526"/>
    </row>
    <row r="13" spans="1:8">
      <c r="A13" s="529">
        <v>3</v>
      </c>
      <c r="B13" t="s">
        <v>1182</v>
      </c>
      <c r="C13" s="530">
        <v>0.61</v>
      </c>
      <c r="D13" s="539"/>
      <c r="E13" s="526"/>
      <c r="F13" s="526"/>
      <c r="G13" s="526"/>
      <c r="H13" s="526"/>
    </row>
    <row r="14" spans="1:8" s="290" customFormat="1">
      <c r="A14" s="527"/>
      <c r="B14" s="530"/>
      <c r="C14" s="526"/>
      <c r="D14" s="526"/>
      <c r="E14" s="526"/>
      <c r="F14" s="526"/>
      <c r="G14" s="526"/>
      <c r="H14" s="526"/>
    </row>
    <row r="15" spans="1:8" ht="14" customHeight="1">
      <c r="A15" s="526"/>
      <c r="B15" s="526"/>
      <c r="C15" s="526"/>
      <c r="D15" s="526"/>
      <c r="E15" s="526"/>
      <c r="F15" s="526"/>
      <c r="G15" s="526"/>
      <c r="H15" s="526"/>
    </row>
    <row r="16" spans="1:8">
      <c r="A16" s="534" t="s">
        <v>1308</v>
      </c>
      <c r="B16" s="526"/>
      <c r="C16" s="526"/>
      <c r="D16" s="526"/>
      <c r="E16" s="526"/>
      <c r="F16" s="526"/>
      <c r="G16" s="526"/>
      <c r="H16" s="526"/>
    </row>
    <row r="17" spans="1:8" ht="22">
      <c r="A17" s="527" t="s">
        <v>1296</v>
      </c>
      <c r="B17" s="525" t="s">
        <v>1300</v>
      </c>
      <c r="C17" s="530" t="s">
        <v>1302</v>
      </c>
      <c r="D17" s="530" t="s">
        <v>1303</v>
      </c>
      <c r="E17" s="526"/>
      <c r="F17" s="526"/>
      <c r="G17" s="526"/>
      <c r="H17" s="526"/>
    </row>
    <row r="18" spans="1:8">
      <c r="A18" s="535">
        <v>1</v>
      </c>
      <c r="B18" s="525" t="s">
        <v>1299</v>
      </c>
      <c r="C18" s="530">
        <v>0.156</v>
      </c>
      <c r="D18" s="530">
        <v>0.128</v>
      </c>
      <c r="E18" s="526"/>
      <c r="F18" s="526"/>
      <c r="G18" s="526"/>
      <c r="H18" s="526"/>
    </row>
    <row r="19" spans="1:8">
      <c r="A19" s="535">
        <v>2</v>
      </c>
      <c r="B19" s="525" t="s">
        <v>1299</v>
      </c>
      <c r="C19" s="530">
        <v>0.17</v>
      </c>
      <c r="D19" s="530">
        <v>0.14199999999999999</v>
      </c>
      <c r="E19" s="526"/>
      <c r="F19" s="526"/>
      <c r="G19" s="526"/>
      <c r="H19" s="526"/>
    </row>
    <row r="20" spans="1:8">
      <c r="A20" s="535">
        <v>3</v>
      </c>
      <c r="B20" s="525" t="s">
        <v>1299</v>
      </c>
      <c r="C20" s="530">
        <v>0.17</v>
      </c>
      <c r="D20" s="530">
        <v>0.151</v>
      </c>
      <c r="E20" s="526"/>
      <c r="F20" s="526"/>
      <c r="G20" s="526"/>
      <c r="H20" s="526"/>
    </row>
    <row r="21" spans="1:8">
      <c r="A21" s="535">
        <v>1</v>
      </c>
      <c r="B21" s="525" t="s">
        <v>1301</v>
      </c>
      <c r="C21" s="530">
        <v>0.14199999999999999</v>
      </c>
      <c r="D21" s="530">
        <v>0.128</v>
      </c>
      <c r="E21" s="526"/>
      <c r="F21" s="526"/>
      <c r="G21" s="526"/>
      <c r="H21" s="526"/>
    </row>
    <row r="22" spans="1:8">
      <c r="A22" s="535">
        <v>2</v>
      </c>
      <c r="B22" s="525" t="s">
        <v>1301</v>
      </c>
      <c r="C22" s="530">
        <v>0.156</v>
      </c>
      <c r="D22" s="530">
        <v>0.14199999999999999</v>
      </c>
      <c r="E22" s="526"/>
      <c r="F22" s="526"/>
      <c r="G22" s="526"/>
      <c r="H22" s="526"/>
    </row>
    <row r="23" spans="1:8">
      <c r="A23" s="535">
        <v>3</v>
      </c>
      <c r="B23" s="525" t="s">
        <v>1301</v>
      </c>
      <c r="C23" s="530">
        <v>0.16700000000000001</v>
      </c>
      <c r="D23" s="530">
        <v>0.154</v>
      </c>
      <c r="E23" s="526"/>
      <c r="F23" s="526"/>
      <c r="G23" s="526"/>
      <c r="H23" s="526"/>
    </row>
    <row r="24" spans="1:8" s="290" customFormat="1">
      <c r="A24" s="535"/>
      <c r="B24" s="525"/>
      <c r="C24" s="530"/>
      <c r="D24" s="530"/>
      <c r="E24" s="526"/>
      <c r="F24" s="526"/>
      <c r="G24" s="526"/>
      <c r="H24" s="526"/>
    </row>
    <row r="25" spans="1:8" s="290" customFormat="1">
      <c r="A25" s="535"/>
      <c r="B25" s="525"/>
      <c r="C25" s="530"/>
      <c r="D25" s="530"/>
      <c r="E25" s="526"/>
      <c r="F25" s="526"/>
      <c r="G25" s="526"/>
      <c r="H25" s="526"/>
    </row>
    <row r="26" spans="1:8" ht="22">
      <c r="A26" s="532" t="s">
        <v>1309</v>
      </c>
      <c r="B26" s="526"/>
      <c r="C26" s="526"/>
      <c r="D26" s="526"/>
      <c r="E26" s="526"/>
      <c r="F26" s="526"/>
      <c r="G26" s="526"/>
      <c r="H26" s="526"/>
    </row>
    <row r="27" spans="1:8">
      <c r="A27" s="529" t="s">
        <v>1296</v>
      </c>
      <c r="B27" s="525" t="s">
        <v>1306</v>
      </c>
      <c r="C27" s="536" t="s">
        <v>1307</v>
      </c>
      <c r="D27" s="526"/>
      <c r="E27" s="526"/>
      <c r="F27" s="526"/>
      <c r="G27" s="526"/>
      <c r="H27" s="526"/>
    </row>
    <row r="28" spans="1:8">
      <c r="A28" s="529">
        <v>1</v>
      </c>
      <c r="B28" s="525" t="s">
        <v>1277</v>
      </c>
      <c r="C28" s="530">
        <v>5.3999999999999999E-2</v>
      </c>
      <c r="D28" s="526"/>
      <c r="E28" s="526"/>
      <c r="F28" s="526"/>
      <c r="G28" s="526"/>
      <c r="H28" s="526"/>
    </row>
    <row r="29" spans="1:8">
      <c r="A29" s="529">
        <v>2</v>
      </c>
      <c r="B29" s="525" t="s">
        <v>1277</v>
      </c>
      <c r="C29" s="530">
        <v>7.8E-2</v>
      </c>
      <c r="D29" s="526"/>
      <c r="E29" s="526"/>
      <c r="F29" s="526"/>
      <c r="G29" s="526"/>
      <c r="H29" s="526"/>
    </row>
    <row r="30" spans="1:8">
      <c r="A30" s="529">
        <v>3</v>
      </c>
      <c r="B30" s="525" t="s">
        <v>1277</v>
      </c>
      <c r="C30" s="530">
        <v>9.8000000000000004E-2</v>
      </c>
      <c r="D30" s="528"/>
      <c r="E30" s="528"/>
      <c r="F30" s="528"/>
      <c r="G30" s="528"/>
      <c r="H30" s="526"/>
    </row>
    <row r="31" spans="1:8">
      <c r="A31" s="529">
        <v>1</v>
      </c>
      <c r="B31" s="525" t="s">
        <v>1182</v>
      </c>
      <c r="C31" s="530">
        <v>6.9000000000000006E-2</v>
      </c>
      <c r="D31" s="528"/>
      <c r="E31" s="528"/>
      <c r="F31" s="528"/>
      <c r="G31" s="528"/>
      <c r="H31" s="526"/>
    </row>
    <row r="32" spans="1:8">
      <c r="A32" s="529">
        <v>2</v>
      </c>
      <c r="B32" s="525" t="s">
        <v>1182</v>
      </c>
      <c r="C32" s="530">
        <v>8.8999999999999996E-2</v>
      </c>
      <c r="D32" s="526"/>
      <c r="E32" s="526"/>
      <c r="F32" s="526"/>
      <c r="G32" s="528"/>
      <c r="H32" s="526"/>
    </row>
    <row r="33" spans="1:8">
      <c r="A33" s="529">
        <v>3</v>
      </c>
      <c r="B33" s="525" t="s">
        <v>1182</v>
      </c>
      <c r="C33" s="530">
        <v>0.107</v>
      </c>
      <c r="D33" s="526"/>
      <c r="E33" s="526"/>
      <c r="F33" s="526"/>
      <c r="G33" s="528"/>
      <c r="H33" s="526"/>
    </row>
    <row r="34" spans="1:8">
      <c r="A34" s="526"/>
      <c r="B34" s="526"/>
      <c r="C34" s="526"/>
      <c r="D34" s="526"/>
      <c r="E34" s="526"/>
      <c r="F34" s="526"/>
      <c r="G34" s="528"/>
      <c r="H34" s="526"/>
    </row>
    <row r="35" spans="1:8">
      <c r="A35" s="526"/>
      <c r="B35" s="526"/>
      <c r="C35" s="526"/>
      <c r="D35" s="526"/>
      <c r="E35" s="526"/>
      <c r="F35" s="526"/>
      <c r="G35" s="528"/>
      <c r="H35" s="526"/>
    </row>
    <row r="36" spans="1:8">
      <c r="A36" s="528"/>
      <c r="B36" s="528"/>
      <c r="C36" s="528"/>
      <c r="D36" s="528"/>
      <c r="E36" s="528"/>
      <c r="F36" s="528"/>
      <c r="G36" s="528"/>
      <c r="H36" s="526"/>
    </row>
    <row r="37" spans="1:8">
      <c r="A37" s="526"/>
      <c r="B37" s="526"/>
      <c r="C37" s="526"/>
      <c r="D37" s="526"/>
      <c r="E37" s="526"/>
      <c r="F37" s="526"/>
      <c r="G37" s="526"/>
      <c r="H37" s="526"/>
    </row>
    <row r="38" spans="1:8">
      <c r="A38" s="526"/>
      <c r="B38" s="532"/>
      <c r="C38" s="532"/>
      <c r="D38" s="532"/>
      <c r="E38" s="532"/>
      <c r="F38" s="532"/>
      <c r="G38" s="526"/>
      <c r="H38" s="526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2017-01-13T03:36:01Z</dcterms:modified>
</cp:coreProperties>
</file>