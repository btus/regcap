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firstSheet="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" l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D10" i="1"/>
  <c r="D11" i="1"/>
  <c r="D12" i="1"/>
  <c r="D9" i="1"/>
  <c r="C10" i="1"/>
  <c r="C11" i="1"/>
  <c r="C12" i="1"/>
  <c r="C9" i="1"/>
  <c r="C12" i="15"/>
  <c r="C11" i="15"/>
  <c r="C10" i="15"/>
  <c r="C9" i="15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H31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9" i="2"/>
  <c r="C2" i="15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49" i="15"/>
  <c r="C150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6" i="15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2" i="15"/>
  <c r="B7" i="13"/>
  <c r="C153" i="15"/>
  <c r="B5" i="13"/>
  <c r="C151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B22" i="7"/>
  <c r="B23" i="7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L2" i="6"/>
  <c r="D15" i="2"/>
  <c r="H34" i="3"/>
  <c r="B9" i="6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79" i="15"/>
  <c r="B10" i="13"/>
  <c r="C180" i="15"/>
  <c r="B11" i="13"/>
  <c r="C181" i="15"/>
  <c r="B8" i="13"/>
  <c r="C178" i="15"/>
  <c r="C138" i="15"/>
  <c r="D24" i="2"/>
  <c r="D27" i="2"/>
  <c r="C99" i="15"/>
  <c r="D26" i="2"/>
  <c r="D29" i="2"/>
  <c r="C21" i="15"/>
  <c r="B5" i="7"/>
  <c r="D5" i="7"/>
  <c r="D6" i="7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AC15" i="3"/>
  <c r="AD15" i="3"/>
  <c r="D9" i="3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1" i="1"/>
  <c r="D5" i="13"/>
  <c r="E151" i="1"/>
  <c r="E5" i="13"/>
  <c r="F151" i="1"/>
  <c r="F5" i="13"/>
  <c r="G151" i="1"/>
  <c r="G5" i="13"/>
  <c r="H151" i="1"/>
  <c r="H5" i="13"/>
  <c r="I151" i="1"/>
  <c r="I5" i="13"/>
  <c r="J151" i="1"/>
  <c r="J5" i="13"/>
  <c r="K151" i="1"/>
  <c r="K5" i="13"/>
  <c r="L151" i="1"/>
  <c r="L5" i="13"/>
  <c r="M151" i="1"/>
  <c r="M5" i="13"/>
  <c r="N151" i="1"/>
  <c r="N5" i="13"/>
  <c r="O151" i="1"/>
  <c r="O5" i="13"/>
  <c r="P151" i="1"/>
  <c r="P5" i="13"/>
  <c r="Q151" i="1"/>
  <c r="Q5" i="13"/>
  <c r="R151" i="1"/>
  <c r="R5" i="13"/>
  <c r="S151" i="1"/>
  <c r="C6" i="13"/>
  <c r="D152" i="1"/>
  <c r="D6" i="13"/>
  <c r="E152" i="1"/>
  <c r="E6" i="13"/>
  <c r="F152" i="1"/>
  <c r="F6" i="13"/>
  <c r="G152" i="1"/>
  <c r="G6" i="13"/>
  <c r="H152" i="1"/>
  <c r="H6" i="13"/>
  <c r="I152" i="1"/>
  <c r="I6" i="13"/>
  <c r="J152" i="1"/>
  <c r="J6" i="13"/>
  <c r="K152" i="1"/>
  <c r="K6" i="13"/>
  <c r="L152" i="1"/>
  <c r="L6" i="13"/>
  <c r="M152" i="1"/>
  <c r="M6" i="13"/>
  <c r="N152" i="1"/>
  <c r="N6" i="13"/>
  <c r="O152" i="1"/>
  <c r="O6" i="13"/>
  <c r="P152" i="1"/>
  <c r="P6" i="13"/>
  <c r="Q152" i="1"/>
  <c r="Q6" i="13"/>
  <c r="R152" i="1"/>
  <c r="R6" i="13"/>
  <c r="S152" i="1"/>
  <c r="C7" i="13"/>
  <c r="D153" i="1"/>
  <c r="D7" i="13"/>
  <c r="E153" i="1"/>
  <c r="E7" i="13"/>
  <c r="F153" i="1"/>
  <c r="F7" i="13"/>
  <c r="G153" i="1"/>
  <c r="G7" i="13"/>
  <c r="H153" i="1"/>
  <c r="H7" i="13"/>
  <c r="I153" i="1"/>
  <c r="I7" i="13"/>
  <c r="J153" i="1"/>
  <c r="J7" i="13"/>
  <c r="K153" i="1"/>
  <c r="K7" i="13"/>
  <c r="L153" i="1"/>
  <c r="L7" i="13"/>
  <c r="M153" i="1"/>
  <c r="M7" i="13"/>
  <c r="N153" i="1"/>
  <c r="N7" i="13"/>
  <c r="O153" i="1"/>
  <c r="O7" i="13"/>
  <c r="P153" i="1"/>
  <c r="P7" i="13"/>
  <c r="Q153" i="1"/>
  <c r="Q7" i="13"/>
  <c r="R153" i="1"/>
  <c r="R7" i="13"/>
  <c r="S153" i="1"/>
  <c r="C8" i="13"/>
  <c r="D178" i="1"/>
  <c r="D8" i="13"/>
  <c r="E178" i="1"/>
  <c r="E8" i="13"/>
  <c r="F178" i="1"/>
  <c r="F8" i="13"/>
  <c r="G178" i="1"/>
  <c r="G8" i="13"/>
  <c r="H178" i="1"/>
  <c r="H8" i="13"/>
  <c r="I178" i="1"/>
  <c r="I8" i="13"/>
  <c r="J178" i="1"/>
  <c r="J8" i="13"/>
  <c r="K178" i="1"/>
  <c r="K8" i="13"/>
  <c r="L178" i="1"/>
  <c r="L8" i="13"/>
  <c r="M178" i="1"/>
  <c r="M8" i="13"/>
  <c r="N178" i="1"/>
  <c r="N8" i="13"/>
  <c r="O178" i="1"/>
  <c r="O8" i="13"/>
  <c r="P178" i="1"/>
  <c r="P8" i="13"/>
  <c r="Q178" i="1"/>
  <c r="Q8" i="13"/>
  <c r="R178" i="1"/>
  <c r="R8" i="13"/>
  <c r="S178" i="1"/>
  <c r="C9" i="13"/>
  <c r="D179" i="1"/>
  <c r="D9" i="13"/>
  <c r="E179" i="1"/>
  <c r="E9" i="13"/>
  <c r="F179" i="1"/>
  <c r="F9" i="13"/>
  <c r="G179" i="1"/>
  <c r="G9" i="13"/>
  <c r="H179" i="1"/>
  <c r="H9" i="13"/>
  <c r="I179" i="1"/>
  <c r="I9" i="13"/>
  <c r="J179" i="1"/>
  <c r="J9" i="13"/>
  <c r="K179" i="1"/>
  <c r="K9" i="13"/>
  <c r="L179" i="1"/>
  <c r="L9" i="13"/>
  <c r="M179" i="1"/>
  <c r="M9" i="13"/>
  <c r="N179" i="1"/>
  <c r="N9" i="13"/>
  <c r="O179" i="1"/>
  <c r="O9" i="13"/>
  <c r="P179" i="1"/>
  <c r="P9" i="13"/>
  <c r="Q179" i="1"/>
  <c r="Q9" i="13"/>
  <c r="R179" i="1"/>
  <c r="R9" i="13"/>
  <c r="S179" i="1"/>
  <c r="C10" i="13"/>
  <c r="D180" i="1"/>
  <c r="D10" i="13"/>
  <c r="E180" i="1"/>
  <c r="D75" i="13"/>
  <c r="E10" i="13"/>
  <c r="F180" i="1"/>
  <c r="F10" i="13"/>
  <c r="G180" i="1"/>
  <c r="G10" i="13"/>
  <c r="H180" i="1"/>
  <c r="D76" i="13"/>
  <c r="H10" i="13"/>
  <c r="I180" i="1"/>
  <c r="I10" i="13"/>
  <c r="J180" i="1"/>
  <c r="J10" i="13"/>
  <c r="K180" i="1"/>
  <c r="K10" i="13"/>
  <c r="L180" i="1"/>
  <c r="L10" i="13"/>
  <c r="M180" i="1"/>
  <c r="M10" i="13"/>
  <c r="N180" i="1"/>
  <c r="N10" i="13"/>
  <c r="O180" i="1"/>
  <c r="O10" i="13"/>
  <c r="P180" i="1"/>
  <c r="P10" i="13"/>
  <c r="Q180" i="1"/>
  <c r="Q10" i="13"/>
  <c r="R180" i="1"/>
  <c r="R10" i="13"/>
  <c r="S180" i="1"/>
  <c r="C11" i="13"/>
  <c r="D181" i="1"/>
  <c r="D11" i="13"/>
  <c r="E181" i="1"/>
  <c r="E11" i="13"/>
  <c r="F181" i="1"/>
  <c r="F11" i="13"/>
  <c r="G181" i="1"/>
  <c r="G11" i="13"/>
  <c r="H181" i="1"/>
  <c r="H11" i="13"/>
  <c r="I181" i="1"/>
  <c r="I11" i="13"/>
  <c r="J181" i="1"/>
  <c r="J11" i="13"/>
  <c r="K181" i="1"/>
  <c r="K11" i="13"/>
  <c r="L181" i="1"/>
  <c r="L11" i="13"/>
  <c r="M181" i="1"/>
  <c r="M11" i="13"/>
  <c r="N181" i="1"/>
  <c r="N11" i="13"/>
  <c r="O181" i="1"/>
  <c r="O11" i="13"/>
  <c r="P181" i="1"/>
  <c r="P11" i="13"/>
  <c r="Q181" i="1"/>
  <c r="Q11" i="13"/>
  <c r="R181" i="1"/>
  <c r="R11" i="13"/>
  <c r="S181" i="1"/>
  <c r="C179" i="1"/>
  <c r="C180" i="1"/>
  <c r="C181" i="1"/>
  <c r="C178" i="1"/>
  <c r="C152" i="1"/>
  <c r="C153" i="1"/>
  <c r="C151" i="1"/>
  <c r="I31" i="3"/>
  <c r="I34" i="3"/>
  <c r="C9" i="6"/>
  <c r="C10" i="6"/>
  <c r="C13" i="6"/>
  <c r="C12" i="6"/>
  <c r="D49" i="1"/>
  <c r="J31" i="3"/>
  <c r="J34" i="3"/>
  <c r="D9" i="6"/>
  <c r="D10" i="6"/>
  <c r="D13" i="6"/>
  <c r="D12" i="6"/>
  <c r="E49" i="1"/>
  <c r="K31" i="3"/>
  <c r="K34" i="3"/>
  <c r="E9" i="6"/>
  <c r="E10" i="6"/>
  <c r="E13" i="6"/>
  <c r="E12" i="6"/>
  <c r="F49" i="1"/>
  <c r="L31" i="3"/>
  <c r="L34" i="3"/>
  <c r="F9" i="6"/>
  <c r="F10" i="6"/>
  <c r="F13" i="6"/>
  <c r="F12" i="6"/>
  <c r="G49" i="1"/>
  <c r="M31" i="3"/>
  <c r="M34" i="3"/>
  <c r="G9" i="6"/>
  <c r="G10" i="6"/>
  <c r="G13" i="6"/>
  <c r="G12" i="6"/>
  <c r="H49" i="1"/>
  <c r="N31" i="3"/>
  <c r="N34" i="3"/>
  <c r="H9" i="6"/>
  <c r="H10" i="6"/>
  <c r="H13" i="6"/>
  <c r="H12" i="6"/>
  <c r="I49" i="1"/>
  <c r="O31" i="3"/>
  <c r="O34" i="3"/>
  <c r="I9" i="6"/>
  <c r="I10" i="6"/>
  <c r="I13" i="6"/>
  <c r="I12" i="6"/>
  <c r="J49" i="1"/>
  <c r="P31" i="3"/>
  <c r="P34" i="3"/>
  <c r="J9" i="6"/>
  <c r="J10" i="6"/>
  <c r="J13" i="6"/>
  <c r="J12" i="6"/>
  <c r="K49" i="1"/>
  <c r="Q31" i="3"/>
  <c r="Q34" i="3"/>
  <c r="K9" i="6"/>
  <c r="K10" i="6"/>
  <c r="K13" i="6"/>
  <c r="K12" i="6"/>
  <c r="L49" i="1"/>
  <c r="R31" i="3"/>
  <c r="R34" i="3"/>
  <c r="L9" i="6"/>
  <c r="L10" i="6"/>
  <c r="L13" i="6"/>
  <c r="L12" i="6"/>
  <c r="M49" i="1"/>
  <c r="S31" i="3"/>
  <c r="S34" i="3"/>
  <c r="M9" i="6"/>
  <c r="M10" i="6"/>
  <c r="M13" i="6"/>
  <c r="M12" i="6"/>
  <c r="N49" i="1"/>
  <c r="T31" i="3"/>
  <c r="T34" i="3"/>
  <c r="N9" i="6"/>
  <c r="N10" i="6"/>
  <c r="N13" i="6"/>
  <c r="N12" i="6"/>
  <c r="O49" i="1"/>
  <c r="U31" i="3"/>
  <c r="U34" i="3"/>
  <c r="O9" i="6"/>
  <c r="O10" i="6"/>
  <c r="O13" i="6"/>
  <c r="O12" i="6"/>
  <c r="P49" i="1"/>
  <c r="V31" i="3"/>
  <c r="V34" i="3"/>
  <c r="P9" i="6"/>
  <c r="P10" i="6"/>
  <c r="P13" i="6"/>
  <c r="P12" i="6"/>
  <c r="Q49" i="1"/>
  <c r="W31" i="3"/>
  <c r="W34" i="3"/>
  <c r="Q9" i="6"/>
  <c r="Q10" i="6"/>
  <c r="Q13" i="6"/>
  <c r="Q12" i="6"/>
  <c r="R49" i="1"/>
  <c r="X31" i="3"/>
  <c r="X34" i="3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L3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C167" i="1"/>
  <c r="C168" i="1"/>
  <c r="C169" i="1"/>
  <c r="C170" i="1"/>
  <c r="C171" i="1"/>
  <c r="C172" i="1"/>
  <c r="C173" i="1"/>
  <c r="C174" i="1"/>
  <c r="C175" i="1"/>
  <c r="C176" i="1"/>
  <c r="C177" i="1"/>
  <c r="C166" i="1"/>
  <c r="C165" i="1"/>
  <c r="C155" i="1"/>
  <c r="C156" i="1"/>
  <c r="C157" i="1"/>
  <c r="C158" i="1"/>
  <c r="C159" i="1"/>
  <c r="C160" i="1"/>
  <c r="C161" i="1"/>
  <c r="C162" i="1"/>
  <c r="C163" i="1"/>
  <c r="C164" i="1"/>
  <c r="C154" i="1"/>
  <c r="R30" i="13"/>
  <c r="Q30" i="13"/>
  <c r="H30" i="13"/>
  <c r="E30" i="13"/>
  <c r="C30" i="13"/>
  <c r="R36" i="13"/>
  <c r="Q36" i="13"/>
  <c r="H36" i="13"/>
  <c r="E36" i="13"/>
  <c r="C36" i="13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<sst xmlns="http://schemas.openxmlformats.org/spreadsheetml/2006/main" count="2943" uniqueCount="1368">
  <si>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</si>
  <si>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</si>
  <si>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</si>
  <si>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</si>
  <si>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</si>
  <si>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</si>
  <si>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</si>
  <si>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</si>
  <si>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</si>
  <si>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</si>
  <si>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</si>
  <si>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</si>
  <si>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</si>
  <si>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</si>
  <si>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</si>
  <si>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</si>
  <si>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</si>
  <si>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</si>
  <si>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</si>
  <si>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</si>
  <si>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</si>
  <si>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</si>
  <si>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</si>
  <si>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</si>
  <si>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</si>
  <si>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</si>
  <si>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</si>
  <si>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</si>
  <si>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</si>
  <si>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</si>
  <si>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</si>
  <si>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</si>
  <si>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</si>
  <si>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</si>
  <si>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</si>
  <si>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</si>
  <si>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</si>
  <si>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</si>
  <si>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</si>
  <si>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</si>
  <si>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</si>
  <si>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</si>
  <si>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</si>
  <si>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</si>
  <si>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</si>
  <si>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</si>
  <si>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</si>
  <si>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</si>
  <si>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</si>
  <si>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</si>
  <si>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</si>
  <si>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</si>
  <si>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</si>
  <si>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</si>
  <si>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</si>
  <si>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</si>
  <si>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</si>
  <si>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</si>
  <si>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</si>
  <si>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</si>
  <si>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</si>
  <si>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</si>
  <si>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</si>
  <si>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</si>
  <si>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</si>
  <si>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</si>
  <si>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</si>
  <si>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</si>
  <si>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</si>
  <si>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</si>
  <si>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</si>
  <si>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</si>
  <si>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</si>
  <si>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</si>
  <si>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</si>
  <si>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</si>
  <si>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</si>
  <si>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</si>
  <si>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</si>
  <si>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</si>
  <si>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</si>
  <si>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</si>
  <si>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</si>
  <si>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</si>
  <si>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</si>
  <si>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</si>
  <si>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</si>
  <si>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</si>
  <si>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</si>
  <si>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</si>
  <si>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</si>
  <si>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</si>
  <si>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</si>
  <si>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</si>
  <si>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</si>
  <si>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</si>
  <si>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</si>
  <si>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</si>
  <si>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</si>
  <si>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</si>
  <si>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</si>
  <si>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</si>
  <si>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</si>
  <si>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</si>
  <si>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</si>
  <si>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</si>
  <si>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</si>
  <si>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</si>
  <si>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</si>
  <si>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</si>
  <si>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</si>
  <si>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</si>
  <si>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</si>
  <si>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</si>
  <si>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</si>
  <si>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</si>
  <si>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</si>
  <si>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</si>
  <si>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</si>
  <si>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</si>
  <si>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</si>
  <si>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</si>
  <si>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</si>
  <si>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</si>
  <si>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</si>
  <si>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</si>
  <si>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</si>
  <si>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</si>
  <si>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</si>
  <si>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</si>
  <si>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</si>
  <si>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</si>
  <si>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</si>
  <si>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</si>
  <si>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</si>
  <si>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</si>
  <si>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</si>
  <si>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</si>
  <si>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</si>
  <si>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</si>
  <si>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</si>
  <si>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</si>
  <si>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</si>
  <si>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</si>
  <si>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</si>
  <si>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</si>
  <si>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</si>
  <si>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</si>
  <si>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</si>
  <si>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</si>
  <si>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</si>
  <si>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</si>
  <si>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</si>
  <si>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</si>
  <si>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</si>
  <si>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</si>
  <si>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</si>
  <si>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</si>
  <si>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</si>
  <si>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</si>
  <si>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</si>
  <si>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</si>
  <si>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</si>
  <si>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</si>
  <si>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</si>
  <si>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</si>
  <si>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</si>
  <si>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</si>
  <si>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</si>
  <si>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</si>
  <si>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</si>
  <si>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</si>
  <si>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</si>
  <si>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</si>
  <si>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</si>
  <si>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</si>
  <si>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</si>
  <si>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</si>
  <si>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</si>
  <si>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</si>
  <si>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</si>
  <si>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</si>
  <si>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</si>
  <si>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</si>
  <si>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</si>
  <si>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</si>
  <si>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</si>
  <si>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</si>
  <si>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</si>
  <si>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</si>
  <si>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</si>
  <si>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</si>
  <si>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</si>
  <si>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</si>
  <si>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</si>
  <si>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</si>
  <si>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</si>
  <si>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</si>
  <si>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</si>
  <si>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</si>
  <si>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</si>
  <si>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</si>
  <si>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</si>
  <si>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</si>
  <si>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</si>
  <si>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</si>
  <si>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</si>
  <si>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</si>
  <si>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</si>
  <si>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</si>
  <si>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</si>
  <si>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</si>
  <si>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</si>
  <si>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</si>
  <si>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</si>
  <si>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</si>
  <si>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</si>
  <si>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</si>
  <si>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</si>
  <si>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</si>
  <si>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</si>
  <si>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</si>
  <si>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</si>
  <si>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</si>
  <si>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</si>
  <si>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</si>
  <si>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</si>
  <si>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</si>
  <si>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</si>
  <si>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</si>
  <si>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</si>
  <si>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</si>
  <si>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</si>
  <si>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</si>
  <si>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</si>
  <si>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</si>
  <si>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</si>
  <si>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</si>
  <si>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</si>
  <si>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</si>
  <si>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</si>
  <si>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</si>
  <si>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</si>
  <si>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</si>
  <si>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</si>
  <si>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</si>
  <si>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</si>
  <si>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</si>
  <si>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</si>
  <si>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</si>
  <si>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</si>
  <si>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</si>
  <si>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</si>
  <si>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</si>
  <si>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</si>
  <si>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</si>
  <si>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</si>
  <si>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</si>
  <si>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</si>
  <si>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</si>
  <si>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</si>
  <si>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</si>
  <si>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</si>
  <si>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</si>
  <si>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</si>
  <si>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</si>
  <si>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</si>
  <si>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</si>
  <si>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</si>
  <si>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</si>
  <si>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</si>
  <si>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</si>
  <si>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</si>
  <si>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</si>
  <si>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</si>
  <si>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</si>
  <si>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</si>
  <si>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</si>
  <si>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</si>
  <si>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</si>
  <si>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</si>
  <si>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</si>
  <si>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</si>
  <si>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</si>
  <si>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</si>
  <si>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</si>
  <si>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</si>
  <si>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</si>
  <si>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</si>
  <si>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</si>
  <si>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</si>
  <si>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</si>
  <si>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</si>
  <si>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</si>
  <si>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</si>
  <si>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</si>
  <si>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</si>
  <si>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</si>
  <si>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</si>
  <si>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</si>
  <si>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</si>
  <si>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</si>
  <si>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</si>
  <si>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</si>
  <si>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</si>
  <si>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</si>
  <si>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</si>
  <si>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</si>
  <si>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</si>
  <si>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</si>
  <si>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</si>
  <si>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</si>
  <si>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</si>
  <si>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</si>
  <si>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</si>
  <si>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</si>
  <si>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</si>
  <si>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</si>
  <si>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</si>
  <si>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</si>
  <si>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</si>
  <si>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</si>
  <si>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</si>
  <si>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</si>
  <si>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</si>
  <si>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</si>
  <si>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</si>
  <si>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</si>
  <si>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</si>
  <si>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</si>
  <si>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</si>
  <si>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</si>
  <si>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</si>
  <si>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</si>
  <si>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</si>
  <si>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</si>
  <si>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</si>
  <si>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</si>
  <si>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</si>
  <si>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</si>
  <si>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</si>
  <si>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</si>
  <si>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</si>
  <si>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</si>
  <si>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</si>
  <si>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</si>
  <si>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</si>
  <si>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</si>
  <si>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</si>
  <si>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</si>
  <si>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</si>
  <si>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</si>
  <si>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</si>
  <si>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</si>
  <si>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</si>
  <si>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</si>
  <si>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</si>
  <si>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</si>
  <si>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</si>
  <si>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</si>
  <si>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</si>
  <si>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</si>
  <si>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</si>
  <si>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</si>
  <si>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</si>
  <si>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</si>
  <si>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</si>
  <si>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</si>
  <si>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</si>
  <si>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</si>
  <si>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</si>
  <si>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</si>
  <si>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</si>
  <si>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</si>
  <si>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</si>
  <si>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</si>
  <si>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</si>
  <si>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</si>
  <si>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</si>
  <si>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</si>
  <si>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</si>
  <si>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</si>
  <si>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</si>
  <si>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</si>
  <si>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</si>
  <si>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</si>
  <si>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</si>
  <si>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</si>
  <si>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</si>
  <si>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</si>
  <si>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</si>
  <si>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</si>
  <si>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</si>
  <si>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</si>
  <si>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</si>
  <si>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</si>
  <si>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</si>
  <si>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</si>
  <si>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</si>
  <si>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</si>
  <si>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</si>
  <si>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</si>
  <si>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</si>
  <si>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</si>
  <si>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</si>
  <si>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</si>
  <si>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</si>
  <si>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</si>
  <si>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</si>
  <si>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</si>
  <si>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</si>
  <si>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</si>
  <si>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</si>
  <si>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</si>
  <si>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</si>
  <si>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</si>
  <si>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</si>
  <si>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</si>
  <si>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</si>
  <si>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</si>
  <si>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</si>
  <si>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</si>
  <si>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</si>
  <si>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</si>
  <si>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</si>
  <si>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</si>
  <si>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</si>
  <si>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</si>
  <si>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</si>
  <si>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</si>
  <si>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</si>
  <si>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</si>
  <si>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</si>
  <si>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</si>
  <si>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</si>
  <si>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</si>
  <si>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</si>
  <si>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</si>
  <si>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</si>
  <si>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</si>
  <si>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</si>
  <si>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</si>
  <si>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</si>
  <si>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</si>
  <si>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</si>
  <si>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</si>
  <si>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</si>
  <si>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</si>
  <si>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</si>
  <si>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</si>
  <si>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</si>
  <si>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</si>
  <si>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</si>
  <si>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</si>
  <si>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</si>
  <si>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</si>
  <si>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</si>
  <si>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</si>
  <si>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</si>
  <si>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</si>
  <si>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</si>
  <si>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</si>
  <si>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</si>
  <si>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</si>
  <si>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</si>
  <si>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</si>
  <si>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</si>
  <si>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</si>
  <si>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</si>
  <si>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</si>
  <si>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</si>
  <si>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</si>
  <si>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</si>
  <si>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</si>
  <si>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</si>
  <si>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</si>
  <si>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</si>
  <si>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</si>
  <si>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</si>
  <si>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</si>
  <si>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</si>
  <si>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</si>
  <si>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</si>
  <si>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</si>
  <si>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</si>
  <si>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</si>
  <si>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</si>
  <si>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</si>
  <si>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</si>
  <si>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</si>
  <si>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</si>
  <si>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</si>
  <si>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</si>
  <si>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</si>
  <si>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</si>
  <si>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</si>
  <si>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</si>
  <si>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</si>
  <si>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</si>
  <si>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</si>
  <si>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</si>
  <si>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</si>
  <si>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</si>
  <si>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</si>
  <si>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</si>
  <si>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</si>
  <si>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</si>
  <si>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</si>
  <si>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</si>
  <si>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</si>
  <si>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</si>
  <si>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</si>
  <si>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</si>
  <si>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</si>
  <si>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</si>
  <si>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</si>
  <si>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</si>
  <si>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</si>
  <si>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</si>
  <si>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</si>
  <si>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</si>
  <si>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</si>
  <si>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</si>
  <si>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</si>
  <si>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</si>
  <si>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</si>
  <si>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</si>
  <si>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</si>
  <si>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</si>
  <si>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</si>
  <si>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</si>
  <si>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</si>
  <si>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</si>
  <si>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</si>
  <si>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</si>
  <si>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</si>
  <si>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</si>
  <si>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</si>
  <si>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</si>
  <si>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</si>
  <si>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</si>
  <si>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</si>
  <si>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</si>
  <si>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</si>
  <si>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</si>
  <si>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</si>
  <si>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</si>
  <si>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</si>
  <si>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</si>
  <si>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</si>
  <si>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</si>
  <si>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</si>
  <si>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</si>
  <si>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</si>
  <si>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</si>
  <si>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</si>
  <si>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</si>
  <si>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</si>
  <si>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</si>
  <si>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</si>
  <si>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</si>
  <si>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</si>
  <si>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</si>
  <si>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</si>
  <si>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</si>
  <si>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</si>
  <si>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</si>
  <si>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</si>
  <si>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</si>
  <si>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</si>
  <si>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</si>
  <si>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</si>
  <si>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</si>
  <si>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</si>
  <si>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</si>
  <si>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</si>
  <si>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</si>
  <si>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</si>
  <si>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</si>
  <si>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</si>
  <si>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</si>
  <si>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</si>
  <si>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</si>
  <si>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</si>
  <si>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</si>
  <si>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</si>
  <si>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</si>
  <si>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</si>
  <si>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</si>
  <si>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</si>
  <si>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</si>
  <si>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</si>
  <si>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</si>
  <si>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</si>
  <si>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</si>
  <si>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</si>
  <si>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</si>
  <si>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</si>
  <si>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</si>
  <si>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</si>
  <si>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</si>
  <si>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</si>
  <si>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</si>
  <si>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</si>
  <si>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</si>
  <si>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</si>
  <si>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</si>
  <si>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</si>
  <si>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</si>
  <si>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</si>
  <si>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</si>
  <si>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</si>
  <si>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</si>
  <si>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</si>
  <si>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</si>
  <si>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</si>
  <si>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</si>
  <si>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</si>
  <si>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</si>
  <si>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</si>
  <si>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</si>
  <si>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</si>
  <si>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</si>
  <si>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</si>
  <si>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</si>
  <si>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</si>
  <si>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</si>
  <si>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</si>
  <si>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</si>
  <si>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</si>
  <si>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</si>
  <si>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</si>
  <si>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</si>
  <si>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</si>
  <si>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</si>
  <si>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</si>
  <si>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</si>
  <si>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</si>
  <si>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</si>
  <si>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</si>
  <si>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</si>
  <si>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</si>
  <si>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</si>
  <si>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</si>
  <si>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</si>
  <si>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</si>
  <si>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</si>
  <si>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</si>
  <si>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</si>
  <si>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</si>
  <si>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</si>
  <si>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</si>
  <si>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</si>
  <si>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</si>
  <si>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</si>
  <si>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</si>
  <si>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</si>
  <si>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</si>
  <si>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</si>
  <si>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</si>
  <si>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</si>
  <si>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</si>
  <si>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</si>
  <si>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</si>
  <si>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</si>
  <si>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</si>
  <si>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</si>
  <si>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</si>
  <si>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</si>
  <si>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</si>
  <si>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</si>
  <si>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</si>
  <si>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</si>
  <si>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</si>
  <si>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</si>
  <si>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</si>
  <si>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</si>
  <si>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</si>
  <si>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</si>
  <si>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</si>
  <si>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</si>
  <si>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</si>
  <si>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</si>
  <si>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</si>
  <si>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</si>
  <si>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</si>
  <si>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</si>
  <si>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</si>
  <si>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</si>
  <si>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</si>
  <si>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</si>
  <si>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</si>
  <si>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</si>
  <si>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</si>
  <si>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</si>
  <si>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</si>
  <si>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</si>
  <si>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</si>
  <si>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</si>
  <si>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</si>
  <si>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</si>
  <si>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</si>
  <si>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</si>
  <si>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</si>
  <si>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</si>
  <si>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</si>
  <si>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</si>
  <si>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</si>
  <si>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</si>
  <si>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</si>
  <si>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</si>
  <si>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</si>
  <si>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</si>
  <si>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</si>
  <si>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</si>
  <si>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</si>
  <si>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</si>
  <si>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</si>
  <si>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</si>
  <si>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</si>
  <si>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</si>
  <si>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</si>
  <si>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</si>
  <si>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</si>
  <si>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</si>
  <si>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</si>
  <si>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</si>
  <si>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</si>
  <si>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</si>
  <si>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</si>
  <si>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</si>
  <si>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</si>
  <si>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</si>
  <si>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</si>
  <si>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</si>
  <si>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</si>
  <si>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</si>
  <si>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</si>
  <si>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</si>
  <si>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</si>
  <si>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</si>
  <si>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</si>
  <si>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</si>
  <si>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</si>
  <si>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</si>
  <si>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</si>
  <si>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</si>
  <si>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</si>
  <si>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</si>
  <si>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</si>
  <si>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</si>
  <si>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</si>
  <si>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</si>
  <si>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</si>
  <si>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</si>
  <si>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</si>
  <si>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</si>
  <si>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</si>
  <si>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</si>
  <si>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</si>
  <si>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</si>
  <si>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</si>
  <si>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</si>
  <si>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</si>
  <si>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</si>
  <si>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</si>
  <si>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</si>
  <si>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</si>
  <si>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</si>
  <si>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</si>
  <si>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</si>
  <si>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</si>
  <si>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</si>
  <si>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</si>
  <si>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</si>
  <si>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</si>
  <si>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</si>
  <si>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</si>
  <si>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</si>
  <si>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</si>
  <si>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</si>
  <si>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</si>
  <si>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</si>
  <si>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</si>
  <si>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</si>
  <si>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</si>
  <si>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</si>
  <si>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</si>
  <si>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</si>
  <si>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</si>
  <si>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</si>
  <si>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</si>
  <si>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</si>
  <si>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</si>
  <si>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</si>
  <si>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</si>
  <si>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</si>
  <si>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</si>
  <si>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</si>
  <si>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</si>
  <si>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</si>
  <si>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</si>
  <si>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</si>
  <si>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</si>
  <si>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</si>
  <si>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</si>
  <si>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</si>
  <si>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</si>
  <si>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</si>
  <si>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</si>
  <si>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</si>
  <si>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</si>
  <si>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</si>
  <si>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</si>
  <si>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</si>
  <si>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</si>
  <si>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</si>
  <si>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</si>
  <si>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</si>
  <si>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</si>
  <si>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</si>
  <si>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</si>
  <si>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</si>
  <si>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</si>
  <si>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</si>
  <si>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</si>
  <si>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</si>
  <si>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</si>
  <si>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</si>
  <si>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</si>
  <si>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</si>
  <si>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</si>
  <si>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</si>
  <si>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</si>
  <si>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</si>
  <si>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</si>
  <si>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</si>
  <si>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</si>
  <si>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</si>
  <si>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</si>
  <si>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</si>
  <si>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</si>
  <si>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</si>
  <si>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</si>
  <si>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</si>
  <si>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</si>
  <si>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</si>
  <si>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</si>
  <si>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</si>
  <si>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</si>
  <si>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</si>
  <si>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</si>
  <si>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</si>
  <si>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</si>
  <si>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</si>
  <si>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</si>
  <si>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</si>
  <si>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</si>
  <si>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</si>
  <si>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</si>
  <si>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</si>
  <si>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</si>
  <si>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</si>
  <si>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</si>
  <si>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</si>
  <si>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</si>
  <si>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</si>
  <si>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</si>
  <si>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</si>
  <si>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</si>
  <si>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</si>
  <si>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</si>
  <si>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</si>
  <si>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</si>
  <si>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</si>
  <si>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</si>
  <si>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</si>
  <si>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</si>
  <si>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</si>
  <si>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</si>
  <si>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</si>
  <si>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</si>
  <si>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</si>
  <si>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</si>
  <si>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</si>
  <si>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</si>
  <si>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</si>
  <si>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</si>
  <si>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</si>
  <si>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</si>
  <si>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</si>
  <si>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</si>
  <si>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</si>
  <si>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</si>
  <si>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</si>
  <si>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</si>
  <si>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</si>
  <si>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</si>
  <si>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</si>
  <si>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</si>
  <si>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</si>
  <si>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</si>
  <si>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</si>
  <si>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</si>
  <si>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</si>
  <si>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</si>
  <si>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</si>
  <si>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</si>
  <si>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</si>
  <si>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</si>
  <si>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</si>
  <si>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</si>
  <si>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</si>
  <si>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</si>
  <si>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</si>
  <si>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</si>
  <si>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</si>
  <si>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</si>
  <si>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</si>
  <si>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</si>
  <si>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</si>
  <si>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</si>
  <si>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</si>
  <si>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</si>
  <si>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</si>
  <si>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</si>
  <si>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</si>
  <si>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</si>
  <si>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</si>
  <si>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</si>
  <si>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</si>
  <si>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</si>
  <si>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</si>
  <si>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</si>
  <si>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</si>
  <si>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</si>
  <si>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</si>
  <si>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</si>
  <si>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</si>
  <si>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</si>
  <si>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</si>
  <si>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</si>
  <si>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</si>
  <si>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</si>
  <si>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</si>
  <si>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</si>
  <si>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</si>
  <si>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</si>
  <si>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</si>
  <si>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</si>
  <si>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</si>
  <si>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</si>
  <si>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</si>
  <si>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</si>
  <si>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</si>
  <si>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</si>
  <si>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</si>
  <si>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</si>
  <si>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</si>
  <si>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</si>
  <si>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</si>
  <si>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</si>
  <si>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</si>
  <si>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</si>
  <si>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</si>
  <si>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</si>
  <si>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</si>
  <si>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</si>
  <si>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</si>
  <si>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</si>
  <si>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</si>
  <si>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</si>
  <si>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</si>
  <si>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</si>
  <si>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</si>
  <si>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</si>
  <si>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</si>
  <si>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</si>
  <si>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</si>
  <si>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</si>
  <si>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</si>
  <si>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</si>
  <si>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</si>
  <si>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</si>
  <si>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</si>
  <si>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</si>
  <si>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</si>
  <si>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</si>
  <si>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</si>
  <si>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</si>
  <si>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</si>
  <si>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</si>
  <si>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</si>
  <si>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</si>
  <si>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</si>
  <si>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</si>
  <si>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</si>
  <si>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</si>
  <si>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</si>
  <si>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</si>
  <si>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</si>
  <si>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</si>
  <si>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</si>
  <si>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</si>
  <si>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</si>
  <si>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</si>
  <si>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</si>
  <si>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</si>
  <si>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</si>
  <si>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</si>
  <si>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</si>
  <si>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</si>
  <si>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</si>
  <si>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</si>
  <si>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</si>
  <si>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</si>
  <si>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</si>
  <si>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</si>
  <si>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</si>
  <si>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</si>
  <si>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</si>
  <si>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</si>
  <si>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</si>
  <si>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</si>
  <si>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</si>
  <si>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AeqCalcs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</si>
  <si>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</si>
  <si>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</si>
  <si>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</si>
  <si>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</si>
  <si>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</si>
  <si>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</si>
  <si>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</si>
  <si>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</si>
  <si>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</si>
  <si>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</si>
  <si>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</si>
  <si>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</si>
  <si>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</si>
  <si>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</si>
  <si>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</si>
  <si>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</si>
  <si>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</si>
  <si>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</si>
  <si>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</si>
  <si>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</si>
  <si>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</si>
  <si>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</si>
  <si>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</si>
  <si>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</si>
  <si>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Type of AEQ calcs to perform (determines calculation of Aeq and Turnover)</t>
  </si>
  <si>
    <t>1 - Aeq = 62.2-2013 ventilation rate with no infiltration credit (Qtot); Turnover = ventSum and infiltration credit from 62.2 (Qinf)
2 - Aeq = 62.2-2010 ventilation rate + infiltration credit from weather factors (w x NL); Turnover = ventSum and infiltration credit from 62.2 (Qinf)
3 - Aeq = 62.2-2010 ventilation rate + 62.2 default infiltration credit (62.2, 4.1.3 p.4); Turnover = ventSum and default infiltration credit
4 - Aeq = 62.2-2013 ventilation rate with no infiltration credit (Qtot) + Existing home deficit of 65 l/s; Turnover = ventSum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</si>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</sst>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</cellXfs>
  <cellStyles count="247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5"/>
  <sheetViews>
    <sheetView tabSelected="1" topLeftCell="A5" workbookViewId="0">
      <selection activeCell="D21" sqref="D21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1258</v>
      </c>
    </row>
    <row r="3" spans="1:2">
      <c r="A3" s="350" t="s">
        <v>1259</v>
      </c>
      <c r="B3" s="184" t="s">
        <v>1343</v>
      </c>
    </row>
    <row r="4" spans="1:2">
      <c r="A4" s="350" t="s">
        <v>1261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1329</v>
      </c>
      <c r="B7" s="452" t="s">
        <v>1330</v>
      </c>
    </row>
    <row r="8" spans="1:2" s="290" customFormat="1">
      <c r="A8" s="450" t="s">
        <v>1098</v>
      </c>
      <c r="B8" s="452" t="s">
        <v>1274</v>
      </c>
    </row>
    <row r="9" spans="1:2">
      <c r="A9" s="450" t="s">
        <v>1262</v>
      </c>
      <c r="B9" s="452" t="s">
        <v>1275</v>
      </c>
    </row>
    <row r="10" spans="1:2">
      <c r="A10" s="450" t="s">
        <v>1263</v>
      </c>
      <c r="B10" s="452" t="s">
        <v>1276</v>
      </c>
    </row>
    <row r="11" spans="1:2">
      <c r="A11" s="450" t="s">
        <v>14</v>
      </c>
      <c r="B11" s="452" t="s">
        <v>1277</v>
      </c>
    </row>
    <row r="12" spans="1:2">
      <c r="A12" s="450" t="s">
        <v>7</v>
      </c>
      <c r="B12" s="452" t="s">
        <v>1278</v>
      </c>
    </row>
    <row r="13" spans="1:2">
      <c r="A13" s="450" t="s">
        <v>22</v>
      </c>
      <c r="B13" s="452" t="s">
        <v>1279</v>
      </c>
    </row>
    <row r="14" spans="1:2">
      <c r="A14" s="450" t="s">
        <v>45</v>
      </c>
      <c r="B14" s="452" t="s">
        <v>1280</v>
      </c>
    </row>
    <row r="15" spans="1:2">
      <c r="A15" s="450" t="s">
        <v>50</v>
      </c>
      <c r="B15" s="452" t="s">
        <v>1281</v>
      </c>
    </row>
    <row r="16" spans="1:2">
      <c r="A16" s="450" t="s">
        <v>336</v>
      </c>
      <c r="B16" s="452" t="s">
        <v>1282</v>
      </c>
    </row>
    <row r="17" spans="1:4">
      <c r="A17" s="450" t="s">
        <v>74</v>
      </c>
      <c r="B17" s="452" t="s">
        <v>1283</v>
      </c>
    </row>
    <row r="18" spans="1:4">
      <c r="A18" s="450" t="s">
        <v>102</v>
      </c>
      <c r="B18" s="452" t="s">
        <v>1284</v>
      </c>
    </row>
    <row r="19" spans="1:4">
      <c r="A19" s="450" t="s">
        <v>1285</v>
      </c>
      <c r="B19" s="452" t="s">
        <v>1286</v>
      </c>
    </row>
    <row r="20" spans="1:4">
      <c r="A20" s="450" t="s">
        <v>1227</v>
      </c>
      <c r="B20" s="452" t="s">
        <v>1287</v>
      </c>
    </row>
    <row r="21" spans="1:4">
      <c r="A21" s="450" t="s">
        <v>1315</v>
      </c>
      <c r="B21" s="452" t="s">
        <v>1288</v>
      </c>
    </row>
    <row r="22" spans="1:4" ht="15" thickBot="1">
      <c r="A22" s="453" t="s">
        <v>1252</v>
      </c>
      <c r="B22" s="456" t="s">
        <v>1289</v>
      </c>
    </row>
    <row r="24" spans="1:4" ht="18">
      <c r="A24" s="374" t="s">
        <v>1264</v>
      </c>
    </row>
    <row r="25" spans="1:4">
      <c r="A25">
        <v>1</v>
      </c>
      <c r="B25" t="s">
        <v>1305</v>
      </c>
    </row>
    <row r="26" spans="1:4">
      <c r="A26">
        <v>2</v>
      </c>
      <c r="B26" t="s">
        <v>1306</v>
      </c>
    </row>
    <row r="27" spans="1:4">
      <c r="A27">
        <v>3</v>
      </c>
      <c r="B27" t="s">
        <v>1307</v>
      </c>
    </row>
    <row r="28" spans="1:4">
      <c r="A28">
        <v>4</v>
      </c>
      <c r="B28" t="s">
        <v>1308</v>
      </c>
    </row>
    <row r="29" spans="1:4" ht="18">
      <c r="A29" s="374" t="s">
        <v>1265</v>
      </c>
    </row>
    <row r="30" spans="1:4">
      <c r="A30" s="474" t="s">
        <v>1259</v>
      </c>
      <c r="B30" s="474" t="s">
        <v>0</v>
      </c>
      <c r="C30" s="474" t="s">
        <v>1261</v>
      </c>
      <c r="D30" s="474" t="s">
        <v>1266</v>
      </c>
    </row>
    <row r="31" spans="1:4">
      <c r="A31" t="s">
        <v>1260</v>
      </c>
      <c r="B31" t="s">
        <v>1309</v>
      </c>
      <c r="C31" s="471">
        <v>42465</v>
      </c>
      <c r="D31" t="s">
        <v>1267</v>
      </c>
    </row>
    <row r="32" spans="1:4">
      <c r="A32" t="s">
        <v>1328</v>
      </c>
      <c r="B32" s="443" t="s">
        <v>1337</v>
      </c>
      <c r="C32" s="529">
        <v>42585</v>
      </c>
      <c r="D32" t="s">
        <v>1331</v>
      </c>
    </row>
    <row r="33" spans="1:4">
      <c r="A33" s="290" t="s">
        <v>1343</v>
      </c>
      <c r="B33" s="443" t="s">
        <v>1344</v>
      </c>
      <c r="C33" s="529">
        <v>42605</v>
      </c>
      <c r="D33" t="s">
        <v>1267</v>
      </c>
    </row>
    <row r="34" spans="1:4">
      <c r="B34" t="s">
        <v>1345</v>
      </c>
      <c r="C34" s="529">
        <v>42710</v>
      </c>
      <c r="D34" t="s">
        <v>1331</v>
      </c>
    </row>
    <row r="35" spans="1:4">
      <c r="B35" t="s">
        <v>1367</v>
      </c>
      <c r="C35" s="529">
        <v>42710</v>
      </c>
      <c r="D35" t="s">
        <v>1331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H31" sqref="H31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1098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1097</v>
      </c>
      <c r="J2" s="290"/>
      <c r="K2" s="380" t="s">
        <v>1254</v>
      </c>
      <c r="M2" s="290"/>
    </row>
    <row r="3" spans="1:17" ht="15" thickBot="1">
      <c r="A3" s="365" t="s">
        <v>893</v>
      </c>
      <c r="B3" s="378" t="s">
        <v>1099</v>
      </c>
      <c r="C3" s="366" t="str">
        <f>IF(B3&lt;&gt;"",A3,"")</f>
        <v>Small</v>
      </c>
      <c r="E3" s="365">
        <v>0</v>
      </c>
      <c r="F3" s="378" t="s">
        <v>1099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1099</v>
      </c>
      <c r="C4" s="366" t="str">
        <f>IF(B4&lt;&gt;"",A4,"")</f>
        <v>Med</v>
      </c>
      <c r="E4" s="365">
        <v>1</v>
      </c>
      <c r="F4" s="378" t="s">
        <v>1099</v>
      </c>
      <c r="G4" s="366">
        <f t="shared" si="0"/>
        <v>1</v>
      </c>
      <c r="I4" s="382" t="s">
        <v>1100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1099</v>
      </c>
      <c r="C5" s="368" t="str">
        <f>IF(B5&lt;&gt;"",A5,"")</f>
        <v>Large</v>
      </c>
      <c r="E5" s="365">
        <v>2</v>
      </c>
      <c r="F5" s="378" t="s">
        <v>1099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1099</v>
      </c>
      <c r="G6" s="366">
        <f t="shared" si="0"/>
        <v>3</v>
      </c>
      <c r="I6" s="462" t="s">
        <v>1101</v>
      </c>
      <c r="J6" s="463"/>
      <c r="K6" s="463"/>
      <c r="L6" s="464" t="s">
        <v>1096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1099</v>
      </c>
      <c r="G7" s="366">
        <f t="shared" si="0"/>
        <v>4</v>
      </c>
      <c r="I7" s="383">
        <f>InputFiles!C1</f>
        <v>1</v>
      </c>
      <c r="J7" s="378" t="s">
        <v>1099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1099</v>
      </c>
      <c r="C8" s="366" t="str">
        <f>IF(B8&lt;&gt;"",A8,"")</f>
        <v>Low</v>
      </c>
      <c r="E8" s="369">
        <v>5</v>
      </c>
      <c r="F8" s="378" t="s">
        <v>1099</v>
      </c>
      <c r="G8" s="366">
        <f t="shared" si="0"/>
        <v>5</v>
      </c>
      <c r="I8" s="383">
        <f>InputFiles!D1</f>
        <v>2</v>
      </c>
      <c r="J8" s="378" t="s">
        <v>1099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1099</v>
      </c>
      <c r="C9" s="366" t="str">
        <f>IF(B9&lt;&gt;"",A9,"")</f>
        <v>Med</v>
      </c>
      <c r="E9" s="369">
        <v>6</v>
      </c>
      <c r="F9" s="378" t="s">
        <v>1099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1099</v>
      </c>
      <c r="C10" s="368" t="str">
        <f>IF(B10&lt;&gt;"",A10,"")</f>
        <v>High</v>
      </c>
      <c r="E10" s="369">
        <v>7</v>
      </c>
      <c r="F10" s="378" t="s">
        <v>1099</v>
      </c>
      <c r="G10" s="366">
        <f t="shared" si="0"/>
        <v>7</v>
      </c>
      <c r="I10" s="383">
        <f>InputFiles!F1</f>
        <v>4</v>
      </c>
      <c r="J10" s="378" t="s">
        <v>1099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1099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1099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1099</v>
      </c>
      <c r="C13" s="366">
        <f>IF(B13&lt;&gt;"",A13,"")</f>
        <v>1</v>
      </c>
      <c r="E13" s="369">
        <v>10</v>
      </c>
      <c r="F13" s="378" t="s">
        <v>1099</v>
      </c>
      <c r="G13" s="366">
        <f t="shared" si="0"/>
        <v>10</v>
      </c>
      <c r="I13" s="383">
        <f>InputFiles!I1</f>
        <v>7</v>
      </c>
      <c r="J13" s="378" t="s">
        <v>1099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1099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1099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1099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1099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1099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1099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1099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1065</v>
      </c>
      <c r="B22" s="371"/>
      <c r="C22" s="372" t="s">
        <v>1253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1099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1099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1099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1228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1102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1099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1099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1252</v>
      </c>
      <c r="B40" s="371"/>
      <c r="C40" s="372" t="s">
        <v>1327</v>
      </c>
    </row>
    <row r="41" spans="1:16">
      <c r="A41" s="365" t="s">
        <v>1231</v>
      </c>
      <c r="B41" s="378" t="s">
        <v>1099</v>
      </c>
      <c r="C41" s="366" t="str">
        <f>IF(B41&lt;&gt;"",A41,"")</f>
        <v>Yes</v>
      </c>
    </row>
    <row r="42" spans="1:16">
      <c r="A42" s="365" t="s">
        <v>1327</v>
      </c>
      <c r="B42" s="378" t="s">
        <v>1099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0"/>
  <sheetViews>
    <sheetView workbookViewId="0">
      <pane ySplit="1" topLeftCell="A2" activePane="bottomLeft" state="frozen"/>
      <selection pane="bottomLeft" activeCell="C13" sqref="C13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1107</v>
      </c>
      <c r="B1" s="290" t="s">
        <v>1119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1108</v>
      </c>
      <c r="C2" s="413" t="str">
        <f>Weather!B26</f>
        <v>722020TYA.CSV</v>
      </c>
      <c r="D2" t="s">
        <v>1007</v>
      </c>
      <c r="G2" t="s">
        <v>1227</v>
      </c>
      <c r="I2" s="350" t="s">
        <v>1269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1270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1293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1271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1360</v>
      </c>
      <c r="C7" s="414">
        <f>Leakage!H32</f>
        <v>1.5620281250000001E-2</v>
      </c>
      <c r="D7" t="s">
        <v>1126</v>
      </c>
      <c r="E7" t="s">
        <v>5</v>
      </c>
      <c r="F7" t="s">
        <v>6</v>
      </c>
      <c r="G7" t="s">
        <v>7</v>
      </c>
      <c r="W7" s="5"/>
    </row>
    <row r="8" spans="1:23">
      <c r="B8" t="s">
        <v>1095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1355</v>
      </c>
      <c r="C9" s="415">
        <f>VLOOKUP(Stories, InfiltrationModelCoefficients!A3:B5, 2, FALSE)</f>
        <v>0.48</v>
      </c>
      <c r="D9" s="290" t="s">
        <v>1362</v>
      </c>
      <c r="W9" s="305"/>
    </row>
    <row r="10" spans="1:23" s="290" customFormat="1">
      <c r="B10" s="263" t="s">
        <v>1348</v>
      </c>
      <c r="C10" s="415">
        <f>IF(Nflue=0,InfiltrationModelCoefficients!C10,VLOOKUP(Stories,InfiltrationModelCoefficients!A11:C13,3,FALSE))</f>
        <v>0.5</v>
      </c>
      <c r="D10" s="263" t="s">
        <v>1363</v>
      </c>
      <c r="W10" s="305"/>
    </row>
    <row r="11" spans="1:23" s="290" customFormat="1">
      <c r="B11" s="263" t="s">
        <v>1357</v>
      </c>
      <c r="C11" s="415">
        <f>IF(Nflue=0,  VLOOKUP(Stories, InfiltrationModelCoefficients!A18:D20,4, FALSE), VLOOKUP(Stories, InfiltrationModelCoefficients!A21:D23, 4, FALSE))</f>
        <v>0.128</v>
      </c>
      <c r="D11" s="263" t="s">
        <v>1364</v>
      </c>
      <c r="W11" s="305"/>
    </row>
    <row r="12" spans="1:23" s="290" customFormat="1">
      <c r="B12" s="263" t="s">
        <v>1361</v>
      </c>
      <c r="C12" s="415">
        <f>IF(Nflue=0,VLOOKUP(Stories, InfiltrationModelCoefficients!A28:C30,3,FALSE),VLOOKUP(Stories,InfiltrationModelCoefficients!A31:C33,3,FALSE))</f>
        <v>5.3999999999999999E-2</v>
      </c>
      <c r="D12" s="263" t="s">
        <v>1365</v>
      </c>
      <c r="W12" s="305"/>
    </row>
    <row r="13" spans="1:23">
      <c r="B13" t="s">
        <v>1094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1109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1294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1121</v>
      </c>
      <c r="C18" s="417">
        <f>H_flueSI</f>
        <v>4.128333333333333</v>
      </c>
      <c r="D18" t="s">
        <v>23</v>
      </c>
      <c r="G18" t="s">
        <v>24</v>
      </c>
      <c r="W18" s="5"/>
    </row>
    <row r="19" spans="1:25">
      <c r="B19" t="s">
        <v>1122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1295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1124</v>
      </c>
      <c r="C21" s="417">
        <f>H_flueSI</f>
        <v>4.128333333333333</v>
      </c>
      <c r="D21" t="s">
        <v>23</v>
      </c>
      <c r="G21" t="s">
        <v>24</v>
      </c>
      <c r="W21" s="5"/>
    </row>
    <row r="22" spans="1:25">
      <c r="A22" s="408"/>
      <c r="B22" s="408" t="s">
        <v>1125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1110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1111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1112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1113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1114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1115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1116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1117</v>
      </c>
      <c r="C30" s="418">
        <f>C26</f>
        <v>0.16666666666666666</v>
      </c>
      <c r="D30" s="408" t="s">
        <v>1132</v>
      </c>
      <c r="E30" s="408"/>
      <c r="F30" s="408"/>
      <c r="G30" s="408" t="s">
        <v>7</v>
      </c>
    </row>
    <row r="31" spans="1:25">
      <c r="B31" t="s">
        <v>1118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1127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1221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1128</v>
      </c>
      <c r="C34" s="404" t="s">
        <v>884</v>
      </c>
      <c r="D34" t="s">
        <v>1268</v>
      </c>
      <c r="G34" t="s">
        <v>11</v>
      </c>
    </row>
    <row r="35" spans="1:7">
      <c r="B35" t="s">
        <v>1129</v>
      </c>
      <c r="C35" s="419">
        <f>V_houseSI</f>
        <v>249.92450000000002</v>
      </c>
      <c r="D35" t="s">
        <v>41</v>
      </c>
      <c r="G35" t="s">
        <v>14</v>
      </c>
    </row>
    <row r="36" spans="1:7">
      <c r="B36" t="s">
        <v>1130</v>
      </c>
      <c r="C36" s="419">
        <f>A_houseSI</f>
        <v>99.969800000000006</v>
      </c>
      <c r="D36" t="s">
        <v>42</v>
      </c>
      <c r="E36" t="s">
        <v>1133</v>
      </c>
      <c r="F36" t="s">
        <v>43</v>
      </c>
      <c r="G36" t="s">
        <v>14</v>
      </c>
    </row>
    <row r="37" spans="1:7">
      <c r="B37" t="s">
        <v>1131</v>
      </c>
      <c r="C37" s="419">
        <f>planareaSI</f>
        <v>99.969800000000006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1134</v>
      </c>
      <c r="C39" s="420">
        <f>UA!F11</f>
        <v>44.902018008074606</v>
      </c>
      <c r="D39" t="s">
        <v>1062</v>
      </c>
      <c r="E39" t="s">
        <v>1139</v>
      </c>
      <c r="F39" t="s">
        <v>44</v>
      </c>
      <c r="G39" t="s">
        <v>45</v>
      </c>
    </row>
    <row r="40" spans="1:7">
      <c r="B40" t="s">
        <v>1135</v>
      </c>
      <c r="C40" s="420">
        <f>UA!F13</f>
        <v>43.663732646153854</v>
      </c>
      <c r="D40" t="s">
        <v>1063</v>
      </c>
      <c r="E40" t="s">
        <v>1140</v>
      </c>
      <c r="F40" t="s">
        <v>44</v>
      </c>
      <c r="G40" t="s">
        <v>45</v>
      </c>
    </row>
    <row r="41" spans="1:7">
      <c r="A41" s="408"/>
      <c r="B41" s="408" t="s">
        <v>1136</v>
      </c>
      <c r="C41" s="421">
        <f>UA!F12</f>
        <v>45.410281951999998</v>
      </c>
      <c r="D41" s="408" t="s">
        <v>1064</v>
      </c>
      <c r="E41" s="408" t="s">
        <v>1141</v>
      </c>
      <c r="F41" s="408"/>
      <c r="G41" s="408" t="s">
        <v>45</v>
      </c>
    </row>
    <row r="42" spans="1:7">
      <c r="A42" s="290" t="s">
        <v>46</v>
      </c>
      <c r="B42" t="s">
        <v>1137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1138</v>
      </c>
      <c r="C48" s="409">
        <v>6</v>
      </c>
      <c r="D48" t="s">
        <v>49</v>
      </c>
      <c r="G48" t="s">
        <v>11</v>
      </c>
    </row>
    <row r="49" spans="2:7">
      <c r="B49" t="s">
        <v>1144</v>
      </c>
      <c r="C49" s="422">
        <f>Fans!B12</f>
        <v>0</v>
      </c>
      <c r="D49" t="s">
        <v>694</v>
      </c>
      <c r="G49" t="s">
        <v>50</v>
      </c>
    </row>
    <row r="50" spans="2:7">
      <c r="B50" t="s">
        <v>1142</v>
      </c>
      <c r="C50" s="427">
        <f>Fans!B13</f>
        <v>-7.3979788097507534E-2</v>
      </c>
      <c r="D50" t="s">
        <v>51</v>
      </c>
      <c r="G50" t="s">
        <v>50</v>
      </c>
    </row>
    <row r="51" spans="2:7">
      <c r="B51" s="408" t="s">
        <v>1143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1145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1146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1147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1148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1149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1150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1151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1152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1153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1154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1155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1156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1157</v>
      </c>
      <c r="C64" s="415">
        <f>IF(Fans!B6&gt;2,Fans!I17,0)</f>
        <v>0</v>
      </c>
      <c r="D64" t="s">
        <v>703</v>
      </c>
      <c r="G64" s="290" t="s">
        <v>50</v>
      </c>
    </row>
    <row r="65" spans="1:7">
      <c r="B65" s="290" t="s">
        <v>1158</v>
      </c>
      <c r="C65" s="423">
        <f>IF(Fans!B6&gt;2,Fans!C17,0)</f>
        <v>0</v>
      </c>
      <c r="D65" t="s">
        <v>566</v>
      </c>
      <c r="G65" s="290" t="s">
        <v>50</v>
      </c>
    </row>
    <row r="66" spans="1:7">
      <c r="B66" s="408" t="s">
        <v>1159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1160</v>
      </c>
      <c r="C67" s="411">
        <v>0</v>
      </c>
      <c r="D67" t="s">
        <v>1226</v>
      </c>
      <c r="G67" s="290"/>
    </row>
    <row r="68" spans="1:7">
      <c r="B68" s="290" t="s">
        <v>1161</v>
      </c>
      <c r="C68" s="405">
        <v>0</v>
      </c>
      <c r="D68" t="s">
        <v>566</v>
      </c>
      <c r="G68" s="290"/>
    </row>
    <row r="69" spans="1:7">
      <c r="B69" s="408" t="s">
        <v>1162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1163</v>
      </c>
      <c r="C70" s="411">
        <v>0</v>
      </c>
      <c r="D70" t="s">
        <v>1225</v>
      </c>
      <c r="G70" s="290"/>
    </row>
    <row r="71" spans="1:7">
      <c r="B71" s="290" t="s">
        <v>1164</v>
      </c>
      <c r="C71" s="405">
        <v>0</v>
      </c>
      <c r="D71" t="s">
        <v>566</v>
      </c>
      <c r="G71" s="290"/>
    </row>
    <row r="72" spans="1:7">
      <c r="A72" s="408"/>
      <c r="B72" s="408" t="s">
        <v>1165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9.9969800000000006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4.9984900000000003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4.9984900000000003</v>
      </c>
      <c r="D75" t="s">
        <v>542</v>
      </c>
      <c r="E75" t="s">
        <v>62</v>
      </c>
      <c r="G75" t="s">
        <v>14</v>
      </c>
    </row>
    <row r="76" spans="1:7">
      <c r="B76" t="s">
        <v>1166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1167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1168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1169</v>
      </c>
      <c r="C79" s="425">
        <f>'Internal gains'!D12</f>
        <v>7.5231481481481474E-5</v>
      </c>
      <c r="D79" t="s">
        <v>67</v>
      </c>
      <c r="G79" t="s">
        <v>68</v>
      </c>
    </row>
    <row r="80" spans="1:7">
      <c r="A80" s="408"/>
      <c r="B80" s="408" t="s">
        <v>1170</v>
      </c>
      <c r="C80" s="426">
        <f>'Internal gains'!D6</f>
        <v>590.30007406477318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1171</v>
      </c>
      <c r="C81" s="419">
        <f>Geometry!D25</f>
        <v>58.898873833333326</v>
      </c>
      <c r="D81" t="s">
        <v>543</v>
      </c>
      <c r="G81" s="290" t="s">
        <v>14</v>
      </c>
    </row>
    <row r="82" spans="1:7">
      <c r="B82" t="s">
        <v>1172</v>
      </c>
      <c r="C82" s="417">
        <f>Attic!D15</f>
        <v>0.18869339761941342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1173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1174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1175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1176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1177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1178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1179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1180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1181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1182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1183</v>
      </c>
      <c r="C93" s="409">
        <v>2</v>
      </c>
      <c r="D93" t="s">
        <v>88</v>
      </c>
      <c r="G93" t="s">
        <v>11</v>
      </c>
    </row>
    <row r="94" spans="1:7">
      <c r="B94" t="s">
        <v>1297</v>
      </c>
      <c r="C94" s="404">
        <v>1</v>
      </c>
      <c r="D94" t="s">
        <v>89</v>
      </c>
      <c r="G94" t="s">
        <v>74</v>
      </c>
    </row>
    <row r="95" spans="1:7">
      <c r="B95" t="s">
        <v>1298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t="s">
        <v>1299</v>
      </c>
      <c r="C96" s="417">
        <f>Attic!D12*Attic!D19*2</f>
        <v>9.3305146666666658E-2</v>
      </c>
      <c r="D96" t="s">
        <v>91</v>
      </c>
      <c r="G96" t="s">
        <v>74</v>
      </c>
    </row>
    <row r="97" spans="1:7">
      <c r="B97" s="408" t="s">
        <v>1300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1301</v>
      </c>
      <c r="C98" s="409">
        <v>3</v>
      </c>
      <c r="D98" t="s">
        <v>89</v>
      </c>
      <c r="G98" t="s">
        <v>11</v>
      </c>
    </row>
    <row r="99" spans="1:7">
      <c r="B99" s="290" t="s">
        <v>1302</v>
      </c>
      <c r="C99" s="417">
        <f>H_attic.ventSI</f>
        <v>3.5391666666666666</v>
      </c>
      <c r="D99" t="s">
        <v>90</v>
      </c>
      <c r="G99" s="290" t="s">
        <v>14</v>
      </c>
    </row>
    <row r="100" spans="1:7">
      <c r="B100" s="290" t="s">
        <v>1303</v>
      </c>
      <c r="C100" s="417">
        <f>Attic!D12*Attic!D21*2</f>
        <v>2.6658613333333331E-2</v>
      </c>
      <c r="D100" t="s">
        <v>91</v>
      </c>
      <c r="G100" t="s">
        <v>74</v>
      </c>
    </row>
    <row r="101" spans="1:7">
      <c r="A101" s="408"/>
      <c r="B101" s="408" t="s">
        <v>1304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1184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1185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1186</v>
      </c>
      <c r="C104" s="419">
        <f>H_peak</f>
        <v>4.128333333333333</v>
      </c>
      <c r="D104" s="305" t="s">
        <v>448</v>
      </c>
      <c r="E104" s="305"/>
      <c r="F104" s="305"/>
      <c r="G104" s="3" t="s">
        <v>14</v>
      </c>
    </row>
    <row r="105" spans="1:7">
      <c r="B105" t="s">
        <v>1187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1188</v>
      </c>
    </row>
    <row r="107" spans="1:7">
      <c r="B107" t="s">
        <v>1189</v>
      </c>
    </row>
    <row r="108" spans="1:7">
      <c r="B108" t="s">
        <v>1190</v>
      </c>
    </row>
    <row r="109" spans="1:7">
      <c r="B109" t="s">
        <v>1191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1192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1193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1194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1195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1332</v>
      </c>
      <c r="C116" s="424">
        <f>Ducts!D18</f>
        <v>0</v>
      </c>
      <c r="D116" s="313" t="s">
        <v>1334</v>
      </c>
      <c r="E116" s="305"/>
      <c r="F116" s="305"/>
      <c r="G116" s="3" t="s">
        <v>102</v>
      </c>
    </row>
    <row r="117" spans="1:7">
      <c r="B117" t="s">
        <v>1333</v>
      </c>
      <c r="C117" s="424">
        <f>Ducts!D19</f>
        <v>0</v>
      </c>
      <c r="D117" s="313" t="s">
        <v>1335</v>
      </c>
      <c r="E117" s="305"/>
      <c r="F117" s="305"/>
      <c r="G117" s="3" t="s">
        <v>102</v>
      </c>
    </row>
    <row r="118" spans="1:7">
      <c r="B118" t="s">
        <v>1196</v>
      </c>
      <c r="C118" s="419">
        <f>Ducts!D16</f>
        <v>34.368210319066286</v>
      </c>
      <c r="D118" s="305" t="s">
        <v>108</v>
      </c>
      <c r="E118" s="305"/>
      <c r="F118" s="305"/>
      <c r="G118" s="3" t="s">
        <v>102</v>
      </c>
    </row>
    <row r="119" spans="1:7">
      <c r="B119" t="s">
        <v>1197</v>
      </c>
      <c r="C119" s="419">
        <f>Ducts!D17</f>
        <v>3.5358241068998235</v>
      </c>
      <c r="D119" s="305" t="s">
        <v>109</v>
      </c>
      <c r="E119" s="305"/>
      <c r="F119" s="305"/>
      <c r="G119" s="3" t="s">
        <v>102</v>
      </c>
    </row>
    <row r="120" spans="1:7">
      <c r="B120" t="s">
        <v>1198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1199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1200</v>
      </c>
      <c r="C122" s="427">
        <f>HVAC!C27</f>
        <v>0.25145359773696002</v>
      </c>
      <c r="D122" s="305" t="s">
        <v>732</v>
      </c>
      <c r="E122" s="305" t="str">
        <f>"q=" &amp;TEXT(Inputs!C122/0.3048^3*60,"0")&amp; " CFM"</f>
        <v>q=533 CFM</v>
      </c>
      <c r="F122" s="305"/>
      <c r="G122" s="3" t="s">
        <v>111</v>
      </c>
    </row>
    <row r="123" spans="1:7">
      <c r="B123" t="s">
        <v>1201</v>
      </c>
      <c r="C123" s="427">
        <f>HVAC!C28</f>
        <v>0.23784804152902314</v>
      </c>
      <c r="D123" s="305" t="s">
        <v>112</v>
      </c>
      <c r="E123" s="305" t="str">
        <f>"q=" &amp;TEXT(Inputs!C123/0.3048^3*60,"0")&amp; " CFM"</f>
        <v>q=504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1.5</v>
      </c>
      <c r="D128" s="305" t="s">
        <v>121</v>
      </c>
      <c r="E128" s="305" t="str">
        <f>"= "&amp;TEXT(Inputs!C128*12*1055/1000,"0.0")&amp;"kJ"</f>
        <v>= 19.0kJ</v>
      </c>
      <c r="F128" s="305"/>
      <c r="G128" s="3" t="s">
        <v>111</v>
      </c>
    </row>
    <row r="129" spans="1:7">
      <c r="B129" t="s">
        <v>444</v>
      </c>
      <c r="C129" s="431">
        <f>HVAC!C25</f>
        <v>18</v>
      </c>
      <c r="D129" s="305" t="s">
        <v>122</v>
      </c>
      <c r="E129" s="305" t="str">
        <f>"= "&amp;TEXT(Inputs!C129*1055*1000/(3600)/1000,"0.0")&amp;"kW"</f>
        <v>= 5.3kW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1202</v>
      </c>
      <c r="C131" s="428">
        <f>HVAC!C26</f>
        <v>30</v>
      </c>
      <c r="D131" s="305" t="s">
        <v>125</v>
      </c>
      <c r="E131" s="305" t="str">
        <f>"= "&amp;TEXT(Inputs!C131*1055*1000/(3600)/1000,"0.0")&amp;"kW"</f>
        <v>= 8.8kW</v>
      </c>
      <c r="F131" s="305"/>
      <c r="G131" s="3" t="s">
        <v>111</v>
      </c>
    </row>
    <row r="132" spans="1:7">
      <c r="B132" t="s">
        <v>1203</v>
      </c>
      <c r="C132" s="428">
        <f>HVAC!C30</f>
        <v>84.168000000000021</v>
      </c>
      <c r="D132" s="305" t="s">
        <v>494</v>
      </c>
      <c r="E132" s="305"/>
      <c r="F132" s="305"/>
      <c r="G132" s="3" t="s">
        <v>111</v>
      </c>
    </row>
    <row r="133" spans="1:7">
      <c r="B133" t="s">
        <v>1204</v>
      </c>
      <c r="C133" s="428">
        <f>HVAC!C29</f>
        <v>88.982638991971257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1222</v>
      </c>
      <c r="B136" t="s">
        <v>1205</v>
      </c>
      <c r="C136" s="434">
        <f>Nbedrooms</f>
        <v>3</v>
      </c>
      <c r="D136" t="s">
        <v>672</v>
      </c>
      <c r="G136" s="407" t="s">
        <v>336</v>
      </c>
    </row>
    <row r="137" spans="1:7">
      <c r="B137" t="s">
        <v>1206</v>
      </c>
      <c r="C137" s="435">
        <f>Stories</f>
        <v>1</v>
      </c>
      <c r="D137" t="s">
        <v>739</v>
      </c>
      <c r="G137" s="407" t="s">
        <v>1209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1227</v>
      </c>
    </row>
    <row r="139" spans="1:7">
      <c r="B139" t="s">
        <v>1024</v>
      </c>
      <c r="C139" s="404">
        <v>2</v>
      </c>
      <c r="D139" t="s">
        <v>1034</v>
      </c>
      <c r="E139" t="s">
        <v>1043</v>
      </c>
    </row>
    <row r="140" spans="1:7">
      <c r="B140" t="s">
        <v>1025</v>
      </c>
      <c r="C140" s="404">
        <v>1</v>
      </c>
      <c r="D140" t="s">
        <v>1050</v>
      </c>
      <c r="E140" t="s">
        <v>1051</v>
      </c>
    </row>
    <row r="141" spans="1:7">
      <c r="A141" s="408"/>
      <c r="B141" s="408" t="s">
        <v>1026</v>
      </c>
      <c r="C141" s="404">
        <v>1</v>
      </c>
      <c r="D141" s="408" t="s">
        <v>1035</v>
      </c>
      <c r="E141" s="408" t="s">
        <v>1044</v>
      </c>
      <c r="F141" s="408"/>
      <c r="G141" s="408"/>
    </row>
    <row r="142" spans="1:7">
      <c r="A142" s="290" t="s">
        <v>1223</v>
      </c>
      <c r="B142" t="s">
        <v>1027</v>
      </c>
      <c r="C142" s="409">
        <v>0.82</v>
      </c>
      <c r="D142" t="s">
        <v>1036</v>
      </c>
    </row>
    <row r="143" spans="1:7">
      <c r="B143" t="s">
        <v>1028</v>
      </c>
      <c r="C143" s="404">
        <v>0.63</v>
      </c>
      <c r="D143" t="s">
        <v>1037</v>
      </c>
      <c r="E143" t="s">
        <v>1045</v>
      </c>
    </row>
    <row r="144" spans="1:7">
      <c r="B144" t="s">
        <v>1029</v>
      </c>
      <c r="C144" s="404">
        <v>0.51</v>
      </c>
      <c r="D144" t="s">
        <v>1038</v>
      </c>
      <c r="E144" t="s">
        <v>1045</v>
      </c>
    </row>
    <row r="145" spans="1:7">
      <c r="B145" t="s">
        <v>1030</v>
      </c>
      <c r="C145" s="404">
        <v>0</v>
      </c>
      <c r="D145" t="s">
        <v>1039</v>
      </c>
      <c r="E145" t="s">
        <v>1046</v>
      </c>
    </row>
    <row r="146" spans="1:7">
      <c r="B146" t="s">
        <v>1031</v>
      </c>
      <c r="C146" s="404">
        <v>8</v>
      </c>
      <c r="D146" t="s">
        <v>1040</v>
      </c>
      <c r="E146" t="s">
        <v>1047</v>
      </c>
    </row>
    <row r="147" spans="1:7">
      <c r="B147" t="s">
        <v>1032</v>
      </c>
      <c r="C147" s="404">
        <v>0</v>
      </c>
      <c r="D147" t="s">
        <v>1041</v>
      </c>
      <c r="E147" t="s">
        <v>1048</v>
      </c>
    </row>
    <row r="148" spans="1:7">
      <c r="A148" s="408"/>
      <c r="B148" s="408" t="s">
        <v>1033</v>
      </c>
      <c r="C148" s="404">
        <v>1</v>
      </c>
      <c r="D148" s="408" t="s">
        <v>1042</v>
      </c>
      <c r="E148" s="408" t="s">
        <v>1049</v>
      </c>
      <c r="F148" s="408"/>
      <c r="G148" s="408"/>
    </row>
    <row r="149" spans="1:7">
      <c r="A149" s="290" t="s">
        <v>879</v>
      </c>
      <c r="B149" t="s">
        <v>928</v>
      </c>
      <c r="C149" s="436">
        <f>IF(HumControl=0,0,1)</f>
        <v>0</v>
      </c>
      <c r="D149" t="s">
        <v>931</v>
      </c>
      <c r="E149" t="s">
        <v>882</v>
      </c>
    </row>
    <row r="150" spans="1:7">
      <c r="B150" t="s">
        <v>929</v>
      </c>
      <c r="C150" s="436">
        <f>HumControl</f>
        <v>0</v>
      </c>
      <c r="D150" t="s">
        <v>932</v>
      </c>
      <c r="G150" t="s">
        <v>1220</v>
      </c>
    </row>
    <row r="151" spans="1:7">
      <c r="B151" t="s">
        <v>930</v>
      </c>
      <c r="C151" s="441">
        <f>Humidity!B5</f>
        <v>1.8143650428724283E-2</v>
      </c>
      <c r="D151" t="s">
        <v>933</v>
      </c>
      <c r="E151">
        <v>13</v>
      </c>
      <c r="G151" t="s">
        <v>1315</v>
      </c>
    </row>
    <row r="152" spans="1:7">
      <c r="B152" t="s">
        <v>934</v>
      </c>
      <c r="C152" s="441">
        <f>Humidity!B6</f>
        <v>0</v>
      </c>
      <c r="D152" t="s">
        <v>944</v>
      </c>
      <c r="E152" t="s">
        <v>1093</v>
      </c>
      <c r="G152" t="s">
        <v>1315</v>
      </c>
    </row>
    <row r="153" spans="1:7">
      <c r="B153" s="408" t="s">
        <v>935</v>
      </c>
      <c r="C153" s="442">
        <f>Humidity!B7</f>
        <v>0</v>
      </c>
      <c r="D153" s="408" t="s">
        <v>945</v>
      </c>
      <c r="E153" s="408" t="s">
        <v>1093</v>
      </c>
      <c r="F153" s="408"/>
      <c r="G153" s="408" t="s">
        <v>1315</v>
      </c>
    </row>
    <row r="154" spans="1:7">
      <c r="B154" s="305" t="s">
        <v>962</v>
      </c>
      <c r="C154" s="437">
        <f>Humidity!B42</f>
        <v>7.6169999999999996E-3</v>
      </c>
      <c r="D154" s="305" t="s">
        <v>986</v>
      </c>
      <c r="E154" s="305">
        <v>14</v>
      </c>
      <c r="G154" t="s">
        <v>1315</v>
      </c>
    </row>
    <row r="155" spans="1:7">
      <c r="B155" s="305" t="s">
        <v>963</v>
      </c>
      <c r="C155" s="437">
        <f>Humidity!B43</f>
        <v>7.8799999999999999E-3</v>
      </c>
      <c r="D155" s="305" t="s">
        <v>986</v>
      </c>
      <c r="E155" s="305">
        <v>14</v>
      </c>
      <c r="G155" t="s">
        <v>1315</v>
      </c>
    </row>
    <row r="156" spans="1:7">
      <c r="B156" s="305" t="s">
        <v>964</v>
      </c>
      <c r="C156" s="437">
        <f>Humidity!B44</f>
        <v>8.541E-3</v>
      </c>
      <c r="D156" s="305" t="s">
        <v>986</v>
      </c>
      <c r="E156" s="305">
        <v>14</v>
      </c>
      <c r="G156" t="s">
        <v>1315</v>
      </c>
    </row>
    <row r="157" spans="1:7">
      <c r="B157" s="305" t="s">
        <v>965</v>
      </c>
      <c r="C157" s="437">
        <f>Humidity!B45</f>
        <v>1.1350000000000001E-2</v>
      </c>
      <c r="D157" s="305" t="s">
        <v>986</v>
      </c>
      <c r="E157" s="305">
        <v>14</v>
      </c>
      <c r="G157" t="s">
        <v>1315</v>
      </c>
    </row>
    <row r="158" spans="1:7">
      <c r="B158" s="305" t="s">
        <v>966</v>
      </c>
      <c r="C158" s="437">
        <f>Humidity!B46</f>
        <v>1.4200000000000001E-2</v>
      </c>
      <c r="D158" s="305" t="s">
        <v>986</v>
      </c>
      <c r="E158" s="305">
        <v>14</v>
      </c>
      <c r="G158" t="s">
        <v>1315</v>
      </c>
    </row>
    <row r="159" spans="1:7">
      <c r="B159" s="305" t="s">
        <v>967</v>
      </c>
      <c r="C159" s="437">
        <f>Humidity!B47</f>
        <v>1.6289999999999999E-2</v>
      </c>
      <c r="D159" s="305" t="s">
        <v>986</v>
      </c>
      <c r="E159" s="305">
        <v>14</v>
      </c>
      <c r="G159" t="s">
        <v>1315</v>
      </c>
    </row>
    <row r="160" spans="1:7">
      <c r="B160" s="305" t="s">
        <v>968</v>
      </c>
      <c r="C160" s="437">
        <f>Humidity!B48</f>
        <v>1.6670000000000001E-2</v>
      </c>
      <c r="D160" s="305" t="s">
        <v>986</v>
      </c>
      <c r="E160" s="305">
        <v>14</v>
      </c>
      <c r="G160" t="s">
        <v>1315</v>
      </c>
    </row>
    <row r="161" spans="2:7">
      <c r="B161" s="305" t="s">
        <v>969</v>
      </c>
      <c r="C161" s="437">
        <f>Humidity!B49</f>
        <v>1.686E-2</v>
      </c>
      <c r="D161" s="305" t="s">
        <v>986</v>
      </c>
      <c r="E161" s="305">
        <v>14</v>
      </c>
      <c r="G161" t="s">
        <v>1315</v>
      </c>
    </row>
    <row r="162" spans="2:7">
      <c r="B162" s="305" t="s">
        <v>970</v>
      </c>
      <c r="C162" s="437">
        <f>Humidity!B50</f>
        <v>1.6320000000000001E-2</v>
      </c>
      <c r="D162" s="305" t="s">
        <v>986</v>
      </c>
      <c r="E162" s="305">
        <v>14</v>
      </c>
      <c r="G162" t="s">
        <v>1315</v>
      </c>
    </row>
    <row r="163" spans="2:7">
      <c r="B163" s="305" t="s">
        <v>971</v>
      </c>
      <c r="C163" s="437">
        <f>Humidity!B51</f>
        <v>1.4590000000000001E-2</v>
      </c>
      <c r="D163" s="305" t="s">
        <v>986</v>
      </c>
      <c r="E163" s="305">
        <v>14</v>
      </c>
      <c r="G163" t="s">
        <v>1315</v>
      </c>
    </row>
    <row r="164" spans="2:7">
      <c r="B164" s="305" t="s">
        <v>972</v>
      </c>
      <c r="C164" s="437">
        <f>Humidity!B52</f>
        <v>1.225E-2</v>
      </c>
      <c r="D164" s="305" t="s">
        <v>986</v>
      </c>
      <c r="E164" s="305">
        <v>14</v>
      </c>
      <c r="G164" t="s">
        <v>1315</v>
      </c>
    </row>
    <row r="165" spans="2:7">
      <c r="B165" s="104" t="s">
        <v>973</v>
      </c>
      <c r="C165" s="438">
        <f>Humidity!B53</f>
        <v>8.7150000000000005E-3</v>
      </c>
      <c r="D165" s="104" t="s">
        <v>986</v>
      </c>
      <c r="E165" s="104">
        <v>14</v>
      </c>
      <c r="F165" s="408"/>
      <c r="G165" s="408" t="s">
        <v>1315</v>
      </c>
    </row>
    <row r="166" spans="2:7">
      <c r="B166" s="305" t="s">
        <v>974</v>
      </c>
      <c r="C166" s="439">
        <f>Humidity!B59</f>
        <v>1.3089999999999999E-2</v>
      </c>
      <c r="D166" s="305" t="s">
        <v>987</v>
      </c>
      <c r="E166" s="305">
        <v>14</v>
      </c>
      <c r="G166" t="s">
        <v>1315</v>
      </c>
    </row>
    <row r="167" spans="2:7">
      <c r="B167" s="305" t="s">
        <v>975</v>
      </c>
      <c r="C167" s="439">
        <f>Humidity!B60</f>
        <v>1.312E-2</v>
      </c>
      <c r="D167" s="305" t="s">
        <v>987</v>
      </c>
      <c r="E167" s="305">
        <v>14</v>
      </c>
      <c r="G167" t="s">
        <v>1315</v>
      </c>
    </row>
    <row r="168" spans="2:7">
      <c r="B168" s="305" t="s">
        <v>976</v>
      </c>
      <c r="C168" s="439">
        <f>Humidity!B61</f>
        <v>1.418E-2</v>
      </c>
      <c r="D168" s="305" t="s">
        <v>987</v>
      </c>
      <c r="E168" s="305">
        <v>14</v>
      </c>
      <c r="G168" t="s">
        <v>1315</v>
      </c>
    </row>
    <row r="169" spans="2:7">
      <c r="B169" s="305" t="s">
        <v>977</v>
      </c>
      <c r="C169" s="439">
        <f>Humidity!B62</f>
        <v>1.405E-2</v>
      </c>
      <c r="D169" s="305" t="s">
        <v>987</v>
      </c>
      <c r="E169" s="305">
        <v>14</v>
      </c>
      <c r="G169" t="s">
        <v>1315</v>
      </c>
    </row>
    <row r="170" spans="2:7">
      <c r="B170" s="305" t="s">
        <v>978</v>
      </c>
      <c r="C170" s="439">
        <f>Humidity!B63</f>
        <v>1.6299999999999999E-2</v>
      </c>
      <c r="D170" s="305" t="s">
        <v>987</v>
      </c>
      <c r="E170" s="305">
        <v>14</v>
      </c>
      <c r="G170" t="s">
        <v>1315</v>
      </c>
    </row>
    <row r="171" spans="2:7">
      <c r="B171" s="305" t="s">
        <v>979</v>
      </c>
      <c r="C171" s="439">
        <f>Humidity!B64</f>
        <v>1.805E-2</v>
      </c>
      <c r="D171" s="305" t="s">
        <v>987</v>
      </c>
      <c r="E171" s="305">
        <v>14</v>
      </c>
      <c r="G171" t="s">
        <v>1315</v>
      </c>
    </row>
    <row r="172" spans="2:7">
      <c r="B172" s="305" t="s">
        <v>980</v>
      </c>
      <c r="C172" s="439">
        <f>Humidity!B65</f>
        <v>1.8460000000000001E-2</v>
      </c>
      <c r="D172" s="305" t="s">
        <v>987</v>
      </c>
      <c r="E172" s="305">
        <v>14</v>
      </c>
      <c r="G172" t="s">
        <v>1315</v>
      </c>
    </row>
    <row r="173" spans="2:7">
      <c r="B173" s="305" t="s">
        <v>981</v>
      </c>
      <c r="C173" s="439">
        <f>Humidity!B66</f>
        <v>1.8519999999999998E-2</v>
      </c>
      <c r="D173" s="305" t="s">
        <v>987</v>
      </c>
      <c r="E173" s="305">
        <v>14</v>
      </c>
      <c r="G173" t="s">
        <v>1315</v>
      </c>
    </row>
    <row r="174" spans="2:7">
      <c r="B174" s="305" t="s">
        <v>982</v>
      </c>
      <c r="C174" s="439">
        <f>Humidity!B67</f>
        <v>1.8010000000000002E-2</v>
      </c>
      <c r="D174" s="305" t="s">
        <v>987</v>
      </c>
      <c r="E174" s="305">
        <v>14</v>
      </c>
      <c r="G174" t="s">
        <v>1315</v>
      </c>
    </row>
    <row r="175" spans="2:7">
      <c r="B175" s="305" t="s">
        <v>983</v>
      </c>
      <c r="C175" s="439">
        <f>Humidity!B68</f>
        <v>1.7479999999999999E-2</v>
      </c>
      <c r="D175" s="305" t="s">
        <v>987</v>
      </c>
      <c r="E175" s="305">
        <v>14</v>
      </c>
      <c r="G175" t="s">
        <v>1315</v>
      </c>
    </row>
    <row r="176" spans="2:7">
      <c r="B176" s="305" t="s">
        <v>984</v>
      </c>
      <c r="C176" s="439">
        <f>Humidity!B69</f>
        <v>1.6619999999999999E-2</v>
      </c>
      <c r="D176" s="305" t="s">
        <v>987</v>
      </c>
      <c r="E176" s="305">
        <v>14</v>
      </c>
      <c r="G176" t="s">
        <v>1315</v>
      </c>
    </row>
    <row r="177" spans="1:7">
      <c r="B177" s="104" t="s">
        <v>985</v>
      </c>
      <c r="C177" s="440">
        <f>Humidity!B70</f>
        <v>1.452E-2</v>
      </c>
      <c r="D177" s="104" t="s">
        <v>987</v>
      </c>
      <c r="E177" s="104">
        <v>14</v>
      </c>
      <c r="F177" s="408"/>
      <c r="G177" s="408" t="s">
        <v>1315</v>
      </c>
    </row>
    <row r="178" spans="1:7">
      <c r="B178" s="305" t="s">
        <v>1066</v>
      </c>
      <c r="C178" s="413">
        <f>Humidity!B8</f>
        <v>0</v>
      </c>
      <c r="D178" s="305" t="s">
        <v>1076</v>
      </c>
      <c r="E178" s="305" t="s">
        <v>1075</v>
      </c>
      <c r="G178" t="s">
        <v>1315</v>
      </c>
    </row>
    <row r="179" spans="1:7">
      <c r="B179" s="305" t="s">
        <v>1067</v>
      </c>
      <c r="C179" s="413">
        <f>Humidity!B9</f>
        <v>0</v>
      </c>
      <c r="D179" s="305" t="s">
        <v>1077</v>
      </c>
      <c r="E179" s="305" t="s">
        <v>1075</v>
      </c>
      <c r="G179" t="s">
        <v>1315</v>
      </c>
    </row>
    <row r="180" spans="1:7">
      <c r="B180" s="305" t="s">
        <v>1068</v>
      </c>
      <c r="C180" s="413">
        <f>Humidity!B10</f>
        <v>0</v>
      </c>
      <c r="D180" s="305" t="s">
        <v>1078</v>
      </c>
      <c r="E180" s="305" t="s">
        <v>1085</v>
      </c>
      <c r="G180" t="s">
        <v>1315</v>
      </c>
    </row>
    <row r="181" spans="1:7">
      <c r="B181" s="305" t="s">
        <v>1069</v>
      </c>
      <c r="C181" s="413">
        <f>Humidity!B11</f>
        <v>0</v>
      </c>
      <c r="D181" s="305" t="s">
        <v>1079</v>
      </c>
      <c r="E181" s="305" t="s">
        <v>1070</v>
      </c>
      <c r="G181" t="s">
        <v>1315</v>
      </c>
    </row>
    <row r="182" spans="1:7">
      <c r="B182" s="305" t="s">
        <v>1071</v>
      </c>
      <c r="C182" s="404" t="s">
        <v>1257</v>
      </c>
      <c r="D182" s="305" t="s">
        <v>1080</v>
      </c>
      <c r="E182" s="305">
        <v>11</v>
      </c>
      <c r="G182" t="s">
        <v>1315</v>
      </c>
    </row>
    <row r="183" spans="1:7">
      <c r="B183" s="305" t="s">
        <v>1072</v>
      </c>
      <c r="C183" s="404" t="s">
        <v>1257</v>
      </c>
      <c r="D183" s="305" t="s">
        <v>1081</v>
      </c>
      <c r="E183" s="305">
        <v>11</v>
      </c>
      <c r="G183" t="s">
        <v>1315</v>
      </c>
    </row>
    <row r="184" spans="1:7">
      <c r="B184" s="305" t="s">
        <v>1074</v>
      </c>
      <c r="C184" s="404">
        <v>0</v>
      </c>
      <c r="D184" s="305" t="s">
        <v>1082</v>
      </c>
      <c r="E184" s="305">
        <v>11</v>
      </c>
      <c r="G184" t="s">
        <v>1315</v>
      </c>
    </row>
    <row r="185" spans="1:7">
      <c r="A185" s="408"/>
      <c r="B185" s="104" t="s">
        <v>1073</v>
      </c>
      <c r="C185" s="404">
        <v>0</v>
      </c>
      <c r="D185" s="104" t="s">
        <v>1083</v>
      </c>
      <c r="E185" s="104">
        <v>11</v>
      </c>
      <c r="F185" s="408"/>
      <c r="G185" s="408" t="s">
        <v>1315</v>
      </c>
    </row>
    <row r="186" spans="1:7">
      <c r="A186" s="290" t="s">
        <v>1224</v>
      </c>
      <c r="B186" t="s">
        <v>1210</v>
      </c>
      <c r="C186" s="461">
        <f>Dehumidifier!B8</f>
        <v>0</v>
      </c>
      <c r="D186" t="s">
        <v>1216</v>
      </c>
      <c r="E186" t="s">
        <v>1211</v>
      </c>
      <c r="G186" t="s">
        <v>1252</v>
      </c>
    </row>
    <row r="187" spans="1:7">
      <c r="B187" t="s">
        <v>1212</v>
      </c>
      <c r="C187" s="459">
        <f>Dehumidifier!B9</f>
        <v>1.85</v>
      </c>
      <c r="D187" t="s">
        <v>1217</v>
      </c>
      <c r="G187" t="s">
        <v>1252</v>
      </c>
    </row>
    <row r="188" spans="1:7">
      <c r="B188" t="s">
        <v>1213</v>
      </c>
      <c r="C188" s="458">
        <f>Dehumidifier!B10</f>
        <v>55</v>
      </c>
      <c r="D188" t="s">
        <v>1218</v>
      </c>
      <c r="G188" s="290" t="s">
        <v>1252</v>
      </c>
    </row>
    <row r="189" spans="1:7">
      <c r="B189" t="s">
        <v>1214</v>
      </c>
      <c r="C189" s="460">
        <f>Dehumidifier!B11</f>
        <v>2.5</v>
      </c>
      <c r="D189" t="s">
        <v>1219</v>
      </c>
      <c r="E189" t="s">
        <v>1215</v>
      </c>
      <c r="G189" s="290" t="s">
        <v>1252</v>
      </c>
    </row>
    <row r="190" spans="1:7">
      <c r="A190" s="305" t="s">
        <v>1255</v>
      </c>
      <c r="B190" t="s">
        <v>1273</v>
      </c>
      <c r="C190" s="404" t="s">
        <v>1256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2"/>
  <sheetViews>
    <sheetView zoomScale="85" zoomScaleNormal="85" zoomScalePageLayoutView="85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F10" sqref="F10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1108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1360</v>
      </c>
      <c r="C7" s="6">
        <f>Leakage!H32</f>
        <v>1.5620281250000001E-2</v>
      </c>
      <c r="D7" s="6">
        <f>Leakage!I32</f>
        <v>1.5620281250000001E-2</v>
      </c>
      <c r="E7" s="6">
        <f>Leakage!J32</f>
        <v>1.5620281250000001E-2</v>
      </c>
      <c r="F7" s="6">
        <f>Leakage!K32</f>
        <v>1.3016901041666668E-2</v>
      </c>
      <c r="G7" s="6">
        <f>Leakage!L32</f>
        <v>1.3016901041666668E-2</v>
      </c>
      <c r="H7" s="6">
        <f>Leakage!M32</f>
        <v>1.3016901041666668E-2</v>
      </c>
      <c r="I7" s="6">
        <f>Leakage!N32</f>
        <v>1.3016901041666668E-2</v>
      </c>
      <c r="J7" s="6">
        <f>Leakage!O32</f>
        <v>1.3016901041666668E-2</v>
      </c>
      <c r="K7" s="6">
        <f>Leakage!P32</f>
        <v>1.3016901041666668E-2</v>
      </c>
      <c r="L7" s="6">
        <f>Leakage!Q32</f>
        <v>1.0413520833333334E-2</v>
      </c>
      <c r="M7" s="6">
        <f>Leakage!R32</f>
        <v>1.0413520833333334E-2</v>
      </c>
      <c r="N7" s="6">
        <f>Leakage!S32</f>
        <v>1.0413520833333334E-2</v>
      </c>
      <c r="O7" s="6">
        <f>Leakage!T32</f>
        <v>1.0413520833333334E-2</v>
      </c>
      <c r="P7" s="6">
        <f>Leakage!U32</f>
        <v>1.0413520833333334E-2</v>
      </c>
      <c r="Q7" s="6">
        <f>Leakage!V32</f>
        <v>7.8101406250000007E-3</v>
      </c>
      <c r="R7" s="6">
        <f>Leakage!W32</f>
        <v>1.5620281250000001E-2</v>
      </c>
      <c r="S7" s="6">
        <f>Leakage!X32</f>
        <v>1.3016901041666668E-2</v>
      </c>
      <c r="T7" s="67"/>
    </row>
    <row r="8" spans="1:26" ht="15" customHeight="1">
      <c r="B8" s="305" t="s">
        <v>1095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1357</v>
      </c>
      <c r="C11" s="169">
        <f>Inputs!C11</f>
        <v>0.128</v>
      </c>
      <c r="D11" s="169">
        <f t="shared" si="1"/>
        <v>0.128</v>
      </c>
      <c r="E11" s="169">
        <f t="shared" si="1"/>
        <v>0.128</v>
      </c>
      <c r="F11" s="169">
        <f t="shared" si="1"/>
        <v>0.128</v>
      </c>
      <c r="G11" s="169">
        <f t="shared" si="1"/>
        <v>0.128</v>
      </c>
      <c r="H11" s="169">
        <f t="shared" si="1"/>
        <v>0.128</v>
      </c>
      <c r="I11" s="169">
        <f t="shared" si="1"/>
        <v>0.128</v>
      </c>
      <c r="J11" s="169">
        <f t="shared" si="1"/>
        <v>0.128</v>
      </c>
      <c r="K11" s="169">
        <f t="shared" si="1"/>
        <v>0.128</v>
      </c>
      <c r="L11" s="169">
        <f t="shared" si="1"/>
        <v>0.128</v>
      </c>
      <c r="M11" s="169">
        <f t="shared" si="1"/>
        <v>0.128</v>
      </c>
      <c r="N11" s="169">
        <f t="shared" si="1"/>
        <v>0.128</v>
      </c>
      <c r="O11" s="169">
        <f t="shared" si="1"/>
        <v>0.128</v>
      </c>
      <c r="P11" s="169">
        <f t="shared" si="1"/>
        <v>0.128</v>
      </c>
      <c r="Q11" s="169">
        <f t="shared" si="1"/>
        <v>0.128</v>
      </c>
      <c r="R11" s="169">
        <f t="shared" si="1"/>
        <v>0.128</v>
      </c>
      <c r="S11" s="169">
        <f t="shared" si="1"/>
        <v>0.128</v>
      </c>
      <c r="T11" s="67"/>
    </row>
    <row r="12" spans="1:26" s="305" customFormat="1" ht="15" customHeight="1">
      <c r="B12" s="305" t="s">
        <v>1361</v>
      </c>
      <c r="C12" s="169">
        <f>Inputs!C12</f>
        <v>5.3999999999999999E-2</v>
      </c>
      <c r="D12" s="169">
        <f t="shared" si="1"/>
        <v>5.3999999999999999E-2</v>
      </c>
      <c r="E12" s="169">
        <f t="shared" si="1"/>
        <v>5.3999999999999999E-2</v>
      </c>
      <c r="F12" s="169">
        <f t="shared" si="1"/>
        <v>5.3999999999999999E-2</v>
      </c>
      <c r="G12" s="169">
        <f t="shared" si="1"/>
        <v>5.3999999999999999E-2</v>
      </c>
      <c r="H12" s="169">
        <f t="shared" si="1"/>
        <v>5.3999999999999999E-2</v>
      </c>
      <c r="I12" s="169">
        <f t="shared" si="1"/>
        <v>5.3999999999999999E-2</v>
      </c>
      <c r="J12" s="169">
        <f t="shared" si="1"/>
        <v>5.3999999999999999E-2</v>
      </c>
      <c r="K12" s="169">
        <f t="shared" si="1"/>
        <v>5.3999999999999999E-2</v>
      </c>
      <c r="L12" s="169">
        <f t="shared" si="1"/>
        <v>5.3999999999999999E-2</v>
      </c>
      <c r="M12" s="169">
        <f t="shared" si="1"/>
        <v>5.3999999999999999E-2</v>
      </c>
      <c r="N12" s="169">
        <f t="shared" si="1"/>
        <v>5.3999999999999999E-2</v>
      </c>
      <c r="O12" s="169">
        <f t="shared" si="1"/>
        <v>5.3999999999999999E-2</v>
      </c>
      <c r="P12" s="169">
        <f t="shared" si="1"/>
        <v>5.3999999999999999E-2</v>
      </c>
      <c r="Q12" s="169">
        <f t="shared" si="1"/>
        <v>5.3999999999999999E-2</v>
      </c>
      <c r="R12" s="169">
        <f t="shared" si="1"/>
        <v>5.3999999999999999E-2</v>
      </c>
      <c r="S12" s="169">
        <f t="shared" si="1"/>
        <v>5.3999999999999999E-2</v>
      </c>
      <c r="T12" s="67"/>
    </row>
    <row r="13" spans="1:26" ht="15" customHeight="1">
      <c r="B13" s="305" t="s">
        <v>1094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1109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1120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1121</v>
      </c>
      <c r="C18" s="169">
        <f>Inputs!C18</f>
        <v>4.128333333333333</v>
      </c>
      <c r="D18" s="169">
        <f t="shared" si="2"/>
        <v>4.128333333333333</v>
      </c>
      <c r="E18" s="169">
        <f t="shared" si="2"/>
        <v>4.128333333333333</v>
      </c>
      <c r="F18" s="169">
        <f t="shared" si="2"/>
        <v>4.128333333333333</v>
      </c>
      <c r="G18" s="169">
        <f t="shared" si="2"/>
        <v>4.128333333333333</v>
      </c>
      <c r="H18" s="169">
        <f t="shared" si="2"/>
        <v>4.128333333333333</v>
      </c>
      <c r="I18" s="169">
        <f t="shared" si="2"/>
        <v>4.128333333333333</v>
      </c>
      <c r="J18" s="169">
        <f t="shared" si="2"/>
        <v>4.128333333333333</v>
      </c>
      <c r="K18" s="169">
        <f t="shared" si="2"/>
        <v>4.128333333333333</v>
      </c>
      <c r="L18" s="169">
        <f t="shared" si="2"/>
        <v>4.128333333333333</v>
      </c>
      <c r="M18" s="169">
        <f t="shared" si="2"/>
        <v>4.128333333333333</v>
      </c>
      <c r="N18" s="169">
        <f t="shared" si="2"/>
        <v>4.128333333333333</v>
      </c>
      <c r="O18" s="169">
        <f t="shared" si="2"/>
        <v>4.128333333333333</v>
      </c>
      <c r="P18" s="169">
        <f t="shared" si="2"/>
        <v>4.128333333333333</v>
      </c>
      <c r="Q18" s="169">
        <f t="shared" si="2"/>
        <v>4.128333333333333</v>
      </c>
      <c r="R18" s="169">
        <f t="shared" si="2"/>
        <v>4.128333333333333</v>
      </c>
      <c r="S18" s="169">
        <f t="shared" si="2"/>
        <v>4.128333333333333</v>
      </c>
      <c r="T18" s="67"/>
      <c r="U18" s="305"/>
    </row>
    <row r="19" spans="1:21" ht="15" customHeight="1">
      <c r="B19" s="305" t="s">
        <v>1122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1123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1124</v>
      </c>
      <c r="C21" s="169">
        <f>Inputs!C21</f>
        <v>4.128333333333333</v>
      </c>
      <c r="D21" s="169">
        <f t="shared" si="2"/>
        <v>4.128333333333333</v>
      </c>
      <c r="E21" s="169">
        <f t="shared" si="2"/>
        <v>4.128333333333333</v>
      </c>
      <c r="F21" s="169">
        <f t="shared" si="2"/>
        <v>4.128333333333333</v>
      </c>
      <c r="G21" s="169">
        <f t="shared" si="2"/>
        <v>4.128333333333333</v>
      </c>
      <c r="H21" s="169">
        <f t="shared" si="2"/>
        <v>4.128333333333333</v>
      </c>
      <c r="I21" s="169">
        <f t="shared" si="2"/>
        <v>4.128333333333333</v>
      </c>
      <c r="J21" s="169">
        <f t="shared" si="2"/>
        <v>4.128333333333333</v>
      </c>
      <c r="K21" s="169">
        <f t="shared" si="2"/>
        <v>4.128333333333333</v>
      </c>
      <c r="L21" s="169">
        <f t="shared" si="2"/>
        <v>4.128333333333333</v>
      </c>
      <c r="M21" s="169">
        <f t="shared" si="2"/>
        <v>4.128333333333333</v>
      </c>
      <c r="N21" s="169">
        <f t="shared" si="2"/>
        <v>4.128333333333333</v>
      </c>
      <c r="O21" s="169">
        <f t="shared" si="2"/>
        <v>4.128333333333333</v>
      </c>
      <c r="P21" s="169">
        <f t="shared" si="2"/>
        <v>4.128333333333333</v>
      </c>
      <c r="Q21" s="169">
        <f t="shared" si="2"/>
        <v>4.128333333333333</v>
      </c>
      <c r="R21" s="169">
        <f t="shared" si="2"/>
        <v>4.128333333333333</v>
      </c>
      <c r="S21" s="169">
        <f t="shared" si="2"/>
        <v>4.128333333333333</v>
      </c>
    </row>
    <row r="22" spans="1:21" ht="15" customHeight="1">
      <c r="B22" s="305" t="s">
        <v>1125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1110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1111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1112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1113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1114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1115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1116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1117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1118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1127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1221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1128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1129</v>
      </c>
      <c r="C35" s="8">
        <f>Inputs!C35</f>
        <v>249.92450000000002</v>
      </c>
      <c r="D35" s="8">
        <f t="shared" si="3"/>
        <v>249.92450000000002</v>
      </c>
      <c r="E35" s="8">
        <f t="shared" si="3"/>
        <v>249.92450000000002</v>
      </c>
      <c r="F35" s="8">
        <f t="shared" si="3"/>
        <v>249.92450000000002</v>
      </c>
      <c r="G35" s="8">
        <f t="shared" si="3"/>
        <v>249.92450000000002</v>
      </c>
      <c r="H35" s="8">
        <f t="shared" si="3"/>
        <v>249.92450000000002</v>
      </c>
      <c r="I35" s="8">
        <f t="shared" si="3"/>
        <v>249.92450000000002</v>
      </c>
      <c r="J35" s="8">
        <f t="shared" si="3"/>
        <v>249.92450000000002</v>
      </c>
      <c r="K35" s="8">
        <f t="shared" si="3"/>
        <v>249.92450000000002</v>
      </c>
      <c r="L35" s="8">
        <f t="shared" si="3"/>
        <v>249.92450000000002</v>
      </c>
      <c r="M35" s="8">
        <f t="shared" si="3"/>
        <v>249.92450000000002</v>
      </c>
      <c r="N35" s="8">
        <f t="shared" si="3"/>
        <v>249.92450000000002</v>
      </c>
      <c r="O35" s="8">
        <f t="shared" si="3"/>
        <v>249.92450000000002</v>
      </c>
      <c r="P35" s="8">
        <f t="shared" si="3"/>
        <v>249.92450000000002</v>
      </c>
      <c r="Q35" s="8">
        <f t="shared" si="3"/>
        <v>249.92450000000002</v>
      </c>
      <c r="R35" s="8">
        <f t="shared" si="3"/>
        <v>249.92450000000002</v>
      </c>
      <c r="S35" s="276">
        <f t="shared" si="3"/>
        <v>249.92450000000002</v>
      </c>
      <c r="T35" s="343"/>
    </row>
    <row r="36" spans="1:22" ht="15" customHeight="1">
      <c r="B36" s="305" t="s">
        <v>1130</v>
      </c>
      <c r="C36" s="8">
        <f>Inputs!C36</f>
        <v>99.969800000000006</v>
      </c>
      <c r="D36" s="8">
        <f>C36</f>
        <v>99.969800000000006</v>
      </c>
      <c r="E36" s="8">
        <f t="shared" si="3"/>
        <v>99.969800000000006</v>
      </c>
      <c r="F36" s="8">
        <f t="shared" si="3"/>
        <v>99.969800000000006</v>
      </c>
      <c r="G36" s="8">
        <f t="shared" si="3"/>
        <v>99.969800000000006</v>
      </c>
      <c r="H36" s="8">
        <f t="shared" si="3"/>
        <v>99.969800000000006</v>
      </c>
      <c r="I36" s="8">
        <f t="shared" si="3"/>
        <v>99.969800000000006</v>
      </c>
      <c r="J36" s="8">
        <f t="shared" si="3"/>
        <v>99.969800000000006</v>
      </c>
      <c r="K36" s="8">
        <f t="shared" si="3"/>
        <v>99.969800000000006</v>
      </c>
      <c r="L36" s="8">
        <f t="shared" si="3"/>
        <v>99.969800000000006</v>
      </c>
      <c r="M36" s="8">
        <f t="shared" si="3"/>
        <v>99.969800000000006</v>
      </c>
      <c r="N36" s="8">
        <f t="shared" si="3"/>
        <v>99.969800000000006</v>
      </c>
      <c r="O36" s="8">
        <f t="shared" si="3"/>
        <v>99.969800000000006</v>
      </c>
      <c r="P36" s="8">
        <f t="shared" si="3"/>
        <v>99.969800000000006</v>
      </c>
      <c r="Q36" s="8">
        <f t="shared" si="3"/>
        <v>99.969800000000006</v>
      </c>
      <c r="R36" s="8">
        <f t="shared" si="3"/>
        <v>99.969800000000006</v>
      </c>
      <c r="S36" s="276">
        <f t="shared" si="3"/>
        <v>99.969800000000006</v>
      </c>
      <c r="T36" s="343"/>
    </row>
    <row r="37" spans="1:22" ht="15" customHeight="1">
      <c r="B37" s="305" t="s">
        <v>1131</v>
      </c>
      <c r="C37" s="8">
        <f>Inputs!C37</f>
        <v>99.969800000000006</v>
      </c>
      <c r="D37" s="8">
        <f>C37</f>
        <v>99.969800000000006</v>
      </c>
      <c r="E37" s="8">
        <f t="shared" si="3"/>
        <v>99.969800000000006</v>
      </c>
      <c r="F37" s="8">
        <f t="shared" si="3"/>
        <v>99.969800000000006</v>
      </c>
      <c r="G37" s="8">
        <f t="shared" si="3"/>
        <v>99.969800000000006</v>
      </c>
      <c r="H37" s="8">
        <f t="shared" si="3"/>
        <v>99.969800000000006</v>
      </c>
      <c r="I37" s="8">
        <f t="shared" si="3"/>
        <v>99.969800000000006</v>
      </c>
      <c r="J37" s="8">
        <f t="shared" si="3"/>
        <v>99.969800000000006</v>
      </c>
      <c r="K37" s="8">
        <f t="shared" si="3"/>
        <v>99.969800000000006</v>
      </c>
      <c r="L37" s="8">
        <f t="shared" si="3"/>
        <v>99.969800000000006</v>
      </c>
      <c r="M37" s="8">
        <f t="shared" si="3"/>
        <v>99.969800000000006</v>
      </c>
      <c r="N37" s="8">
        <f t="shared" si="3"/>
        <v>99.969800000000006</v>
      </c>
      <c r="O37" s="8">
        <f t="shared" si="3"/>
        <v>99.969800000000006</v>
      </c>
      <c r="P37" s="8">
        <f t="shared" si="3"/>
        <v>99.969800000000006</v>
      </c>
      <c r="Q37" s="8">
        <f t="shared" si="3"/>
        <v>99.969800000000006</v>
      </c>
      <c r="R37" s="8">
        <f t="shared" si="3"/>
        <v>99.969800000000006</v>
      </c>
      <c r="S37" s="276">
        <f t="shared" si="3"/>
        <v>99.969800000000006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1134</v>
      </c>
      <c r="C39" s="9">
        <f>UA!F11</f>
        <v>44.902018008074606</v>
      </c>
      <c r="D39" s="9">
        <f>UA!G11</f>
        <v>44.902018008074606</v>
      </c>
      <c r="E39" s="9">
        <f>UA!H11</f>
        <v>44.902018008074606</v>
      </c>
      <c r="F39" s="9">
        <f>UA!I11</f>
        <v>30.663321555368498</v>
      </c>
      <c r="G39" s="9">
        <f>UA!J11</f>
        <v>30.663321555368498</v>
      </c>
      <c r="H39" s="9">
        <f>UA!K11</f>
        <v>30.663321555368498</v>
      </c>
      <c r="I39" s="9">
        <f>UA!L11</f>
        <v>30.663321555368498</v>
      </c>
      <c r="J39" s="9">
        <f>UA!M11</f>
        <v>30.663321555368498</v>
      </c>
      <c r="K39" s="9">
        <f>UA!N11</f>
        <v>30.663321555368498</v>
      </c>
      <c r="L39" s="9">
        <f>UA!O11</f>
        <v>30.663321555368498</v>
      </c>
      <c r="M39" s="9">
        <f>UA!P11</f>
        <v>30.663321555368498</v>
      </c>
      <c r="N39" s="9">
        <f>UA!Q11</f>
        <v>25.374662872934799</v>
      </c>
      <c r="O39" s="9">
        <f>UA!R11</f>
        <v>25.374662872934799</v>
      </c>
      <c r="P39" s="9">
        <f>UA!S11</f>
        <v>25.374662872934799</v>
      </c>
      <c r="Q39" s="9">
        <f>UA!T11</f>
        <v>25.374662872934799</v>
      </c>
      <c r="R39" s="9">
        <f>UA!U11</f>
        <v>44.902018008074606</v>
      </c>
      <c r="S39" s="9">
        <f>UA!V11</f>
        <v>30.663321555368498</v>
      </c>
      <c r="T39" s="343"/>
      <c r="V39" s="305"/>
    </row>
    <row r="40" spans="1:22" ht="15" customHeight="1">
      <c r="B40" s="305" t="s">
        <v>1135</v>
      </c>
      <c r="C40" s="9">
        <f>UA!F13</f>
        <v>43.663732646153854</v>
      </c>
      <c r="D40" s="9">
        <f>UA!G13</f>
        <v>43.663732646153854</v>
      </c>
      <c r="E40" s="9">
        <f>UA!H13</f>
        <v>43.663732646153854</v>
      </c>
      <c r="F40" s="9">
        <f>UA!I13</f>
        <v>29.87518549473684</v>
      </c>
      <c r="G40" s="9">
        <f>UA!J13</f>
        <v>29.87518549473684</v>
      </c>
      <c r="H40" s="9">
        <f>UA!K13</f>
        <v>29.87518549473684</v>
      </c>
      <c r="I40" s="9">
        <f>UA!L13</f>
        <v>29.87518549473684</v>
      </c>
      <c r="J40" s="9">
        <f>UA!M13</f>
        <v>29.87518549473684</v>
      </c>
      <c r="K40" s="9">
        <f>UA!N13</f>
        <v>18.920950813333334</v>
      </c>
      <c r="L40" s="9">
        <f>UA!O13</f>
        <v>18.920950813333334</v>
      </c>
      <c r="M40" s="9">
        <f>UA!P13</f>
        <v>18.920950813333334</v>
      </c>
      <c r="N40" s="9">
        <f>UA!Q13</f>
        <v>18.920950813333334</v>
      </c>
      <c r="O40" s="9">
        <f>UA!R13</f>
        <v>18.920950813333334</v>
      </c>
      <c r="P40" s="9">
        <f>UA!S13</f>
        <v>14.93759274736842</v>
      </c>
      <c r="Q40" s="9">
        <f>UA!T13</f>
        <v>14.93759274736842</v>
      </c>
      <c r="R40" s="9">
        <f>UA!U13</f>
        <v>43.663732646153854</v>
      </c>
      <c r="S40" s="9">
        <f>UA!V13</f>
        <v>29.87518549473684</v>
      </c>
      <c r="T40" s="343"/>
    </row>
    <row r="41" spans="1:22" s="305" customFormat="1" ht="15" customHeight="1">
      <c r="B41" s="305" t="s">
        <v>1136</v>
      </c>
      <c r="C41" s="9">
        <f>UA!F12</f>
        <v>45.410281951999998</v>
      </c>
      <c r="D41" s="9">
        <f>UA!G12</f>
        <v>45.410281951999998</v>
      </c>
      <c r="E41" s="9">
        <f>UA!H12</f>
        <v>45.410281951999998</v>
      </c>
      <c r="F41" s="9">
        <f>UA!I12</f>
        <v>34.057711464</v>
      </c>
      <c r="G41" s="9">
        <f>UA!J12</f>
        <v>34.057711464</v>
      </c>
      <c r="H41" s="9">
        <f>UA!K12</f>
        <v>34.057711464</v>
      </c>
      <c r="I41" s="9">
        <f>UA!L12</f>
        <v>34.057711464</v>
      </c>
      <c r="J41" s="9">
        <f>UA!M12</f>
        <v>34.057711464</v>
      </c>
      <c r="K41" s="9">
        <f>UA!N12</f>
        <v>30.651940317600005</v>
      </c>
      <c r="L41" s="9">
        <f>UA!O12</f>
        <v>30.651940317600005</v>
      </c>
      <c r="M41" s="9">
        <f>UA!P12</f>
        <v>30.651940317600005</v>
      </c>
      <c r="N41" s="9">
        <f>UA!Q12</f>
        <v>30.651940317600005</v>
      </c>
      <c r="O41" s="9">
        <f>UA!R12</f>
        <v>30.651940317600005</v>
      </c>
      <c r="P41" s="9">
        <f>UA!S12</f>
        <v>30.651940317600005</v>
      </c>
      <c r="Q41" s="9">
        <f>UA!T12</f>
        <v>30.651940317600005</v>
      </c>
      <c r="R41" s="9">
        <f>UA!U12</f>
        <v>45.410281951999998</v>
      </c>
      <c r="S41" s="9">
        <f>UA!V12</f>
        <v>34.057711464</v>
      </c>
      <c r="T41" s="343"/>
    </row>
    <row r="42" spans="1:22" ht="15" customHeight="1">
      <c r="A42" s="305" t="s">
        <v>46</v>
      </c>
      <c r="B42" s="305" t="s">
        <v>1137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1138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1144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1142</v>
      </c>
      <c r="C50" s="214">
        <f>Fans!B13</f>
        <v>-7.3979788097507534E-2</v>
      </c>
      <c r="D50" s="214">
        <f>Fans!C13</f>
        <v>-7.3662553416958945E-2</v>
      </c>
      <c r="E50" s="214">
        <f>Fans!D13</f>
        <v>-7.3345318736410342E-2</v>
      </c>
      <c r="F50" s="214">
        <f>Fans!E13</f>
        <v>-7.4825747245637134E-2</v>
      </c>
      <c r="G50" s="214">
        <f>Fans!F13</f>
        <v>-7.4297022778056152E-2</v>
      </c>
      <c r="H50" s="214">
        <f>Fans!G13</f>
        <v>-7.1124675972570175E-2</v>
      </c>
      <c r="I50" s="214">
        <f>Fans!H13</f>
        <v>-7.3768298310475142E-2</v>
      </c>
      <c r="J50" s="214">
        <f>Fans!I13</f>
        <v>-7.2710849375313164E-2</v>
      </c>
      <c r="K50" s="214">
        <f>Fans!J13</f>
        <v>-7.2446487141522672E-2</v>
      </c>
      <c r="L50" s="214">
        <f>Fans!K13</f>
        <v>-7.4297022778056152E-2</v>
      </c>
      <c r="M50" s="214">
        <f>Fans!L13</f>
        <v>-7.5142981926185723E-2</v>
      </c>
      <c r="N50" s="214">
        <f>Fans!M13</f>
        <v>-7.4085532991023745E-2</v>
      </c>
      <c r="O50" s="214">
        <f>Fans!N13</f>
        <v>-7.3662553416958945E-2</v>
      </c>
      <c r="P50" s="214">
        <f>Fans!O13</f>
        <v>-7.2182124907732167E-2</v>
      </c>
      <c r="Q50" s="214">
        <f>Fans!P13</f>
        <v>-7.5883196180799112E-2</v>
      </c>
      <c r="R50" s="214">
        <f>Fans!Q13</f>
        <v>-7.493149213915333E-2</v>
      </c>
      <c r="S50" s="214">
        <f>Fans!R13</f>
        <v>-7.5618833947008621E-2</v>
      </c>
      <c r="T50" s="343"/>
    </row>
    <row r="51" spans="2:20" ht="15" customHeight="1">
      <c r="B51" s="305" t="s">
        <v>1143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1145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1146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1147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1148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1149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1150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1151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1152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1153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1154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1155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1156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1157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1158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1159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1160</v>
      </c>
      <c r="C67" s="246">
        <f>IF(C132&lt;C133,C132,C133)</f>
        <v>84.168000000000021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84.168000000000021</v>
      </c>
      <c r="G67" s="246" t="e">
        <f t="shared" si="34"/>
        <v>#N/A</v>
      </c>
      <c r="H67" s="246" t="e">
        <f t="shared" si="34"/>
        <v>#N/A</v>
      </c>
      <c r="I67" s="246">
        <f t="shared" si="34"/>
        <v>84.168000000000021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84.168000000000021</v>
      </c>
      <c r="T67" s="69"/>
    </row>
    <row r="68" spans="1:20" s="139" customFormat="1" ht="15" customHeight="1">
      <c r="A68" s="305"/>
      <c r="B68" s="305" t="s">
        <v>1161</v>
      </c>
      <c r="C68" s="321">
        <f>IF(C122&lt;C123,C122,C123)</f>
        <v>0.23784804152902314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0.23784804152902314</v>
      </c>
      <c r="G68" s="321" t="e">
        <f t="shared" si="35"/>
        <v>#N/A</v>
      </c>
      <c r="H68" s="321" t="e">
        <f t="shared" si="35"/>
        <v>#N/A</v>
      </c>
      <c r="I68" s="321">
        <f t="shared" si="35"/>
        <v>0.23784804152902314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0.23784804152902314</v>
      </c>
      <c r="T68" s="69"/>
    </row>
    <row r="69" spans="1:20" s="139" customFormat="1" ht="15" customHeight="1">
      <c r="A69" s="305"/>
      <c r="B69" s="305" t="s">
        <v>1162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1163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1164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1165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9.9969800000000006</v>
      </c>
      <c r="D73" s="169">
        <f t="shared" ref="D73:S73" si="38">C73</f>
        <v>9.9969800000000006</v>
      </c>
      <c r="E73" s="169">
        <f t="shared" si="38"/>
        <v>9.9969800000000006</v>
      </c>
      <c r="F73" s="169">
        <f t="shared" si="38"/>
        <v>9.9969800000000006</v>
      </c>
      <c r="G73" s="169">
        <f t="shared" si="38"/>
        <v>9.9969800000000006</v>
      </c>
      <c r="H73" s="169">
        <f t="shared" si="38"/>
        <v>9.9969800000000006</v>
      </c>
      <c r="I73" s="169">
        <f t="shared" si="38"/>
        <v>9.9969800000000006</v>
      </c>
      <c r="J73" s="169">
        <f t="shared" si="38"/>
        <v>9.9969800000000006</v>
      </c>
      <c r="K73" s="169">
        <f t="shared" si="38"/>
        <v>9.9969800000000006</v>
      </c>
      <c r="L73" s="169">
        <f t="shared" si="38"/>
        <v>9.9969800000000006</v>
      </c>
      <c r="M73" s="169">
        <f t="shared" si="38"/>
        <v>9.9969800000000006</v>
      </c>
      <c r="N73" s="169">
        <f t="shared" si="38"/>
        <v>9.9969800000000006</v>
      </c>
      <c r="O73" s="169">
        <f t="shared" si="38"/>
        <v>9.9969800000000006</v>
      </c>
      <c r="P73" s="169">
        <f t="shared" si="38"/>
        <v>9.9969800000000006</v>
      </c>
      <c r="Q73" s="169">
        <f t="shared" si="38"/>
        <v>9.9969800000000006</v>
      </c>
      <c r="R73" s="169">
        <f t="shared" si="38"/>
        <v>9.9969800000000006</v>
      </c>
      <c r="S73" s="169">
        <f t="shared" si="38"/>
        <v>9.9969800000000006</v>
      </c>
    </row>
    <row r="74" spans="1:20" ht="15" customHeight="1">
      <c r="B74" s="305" t="s">
        <v>440</v>
      </c>
      <c r="C74" s="169">
        <f>Inputs!C74</f>
        <v>4.9984900000000003</v>
      </c>
      <c r="D74" s="169">
        <f t="shared" ref="D74:S74" si="39">C74</f>
        <v>4.9984900000000003</v>
      </c>
      <c r="E74" s="169">
        <f t="shared" si="39"/>
        <v>4.9984900000000003</v>
      </c>
      <c r="F74" s="169">
        <f t="shared" si="39"/>
        <v>4.9984900000000003</v>
      </c>
      <c r="G74" s="169">
        <f t="shared" si="39"/>
        <v>4.9984900000000003</v>
      </c>
      <c r="H74" s="169">
        <f t="shared" si="39"/>
        <v>4.9984900000000003</v>
      </c>
      <c r="I74" s="169">
        <f t="shared" si="39"/>
        <v>4.9984900000000003</v>
      </c>
      <c r="J74" s="169">
        <f t="shared" si="39"/>
        <v>4.9984900000000003</v>
      </c>
      <c r="K74" s="169">
        <f t="shared" si="39"/>
        <v>4.9984900000000003</v>
      </c>
      <c r="L74" s="169">
        <f t="shared" si="39"/>
        <v>4.9984900000000003</v>
      </c>
      <c r="M74" s="169">
        <f t="shared" si="39"/>
        <v>4.9984900000000003</v>
      </c>
      <c r="N74" s="169">
        <f t="shared" si="39"/>
        <v>4.9984900000000003</v>
      </c>
      <c r="O74" s="169">
        <f t="shared" si="39"/>
        <v>4.9984900000000003</v>
      </c>
      <c r="P74" s="169">
        <f t="shared" si="39"/>
        <v>4.9984900000000003</v>
      </c>
      <c r="Q74" s="169">
        <f t="shared" si="39"/>
        <v>4.9984900000000003</v>
      </c>
      <c r="R74" s="169">
        <f t="shared" si="39"/>
        <v>4.9984900000000003</v>
      </c>
      <c r="S74" s="169">
        <f t="shared" si="39"/>
        <v>4.9984900000000003</v>
      </c>
    </row>
    <row r="75" spans="1:20" ht="15" customHeight="1">
      <c r="B75" s="305" t="s">
        <v>441</v>
      </c>
      <c r="C75" s="169">
        <f>Inputs!C75</f>
        <v>4.9984900000000003</v>
      </c>
      <c r="D75" s="169">
        <f t="shared" ref="D75:S91" si="40">C75</f>
        <v>4.9984900000000003</v>
      </c>
      <c r="E75" s="169">
        <f t="shared" si="40"/>
        <v>4.9984900000000003</v>
      </c>
      <c r="F75" s="169">
        <f t="shared" si="40"/>
        <v>4.9984900000000003</v>
      </c>
      <c r="G75" s="169">
        <f t="shared" si="40"/>
        <v>4.9984900000000003</v>
      </c>
      <c r="H75" s="169">
        <f t="shared" si="40"/>
        <v>4.9984900000000003</v>
      </c>
      <c r="I75" s="169">
        <f t="shared" si="40"/>
        <v>4.9984900000000003</v>
      </c>
      <c r="J75" s="169">
        <f t="shared" si="40"/>
        <v>4.9984900000000003</v>
      </c>
      <c r="K75" s="169">
        <f t="shared" si="40"/>
        <v>4.9984900000000003</v>
      </c>
      <c r="L75" s="169">
        <f t="shared" si="40"/>
        <v>4.9984900000000003</v>
      </c>
      <c r="M75" s="169">
        <f t="shared" si="40"/>
        <v>4.9984900000000003</v>
      </c>
      <c r="N75" s="169">
        <f t="shared" si="40"/>
        <v>4.9984900000000003</v>
      </c>
      <c r="O75" s="169">
        <f t="shared" si="40"/>
        <v>4.9984900000000003</v>
      </c>
      <c r="P75" s="169">
        <f t="shared" si="40"/>
        <v>4.9984900000000003</v>
      </c>
      <c r="Q75" s="169">
        <f t="shared" si="40"/>
        <v>4.9984900000000003</v>
      </c>
      <c r="R75" s="169">
        <f t="shared" si="40"/>
        <v>4.9984900000000003</v>
      </c>
      <c r="S75" s="169">
        <f t="shared" si="40"/>
        <v>4.9984900000000003</v>
      </c>
    </row>
    <row r="76" spans="1:20" ht="15" customHeight="1">
      <c r="B76" s="305" t="s">
        <v>1166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1167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1168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1169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1170</v>
      </c>
      <c r="C80" s="8">
        <f>Inputs!C80</f>
        <v>590.30007406477318</v>
      </c>
      <c r="D80" s="8">
        <f t="shared" si="41"/>
        <v>590.30007406477318</v>
      </c>
      <c r="E80" s="8">
        <f t="shared" si="40"/>
        <v>590.30007406477318</v>
      </c>
      <c r="F80" s="8">
        <f t="shared" si="40"/>
        <v>590.30007406477318</v>
      </c>
      <c r="G80" s="8">
        <f t="shared" si="40"/>
        <v>590.30007406477318</v>
      </c>
      <c r="H80" s="8">
        <f t="shared" si="40"/>
        <v>590.30007406477318</v>
      </c>
      <c r="I80" s="8">
        <f t="shared" si="40"/>
        <v>590.30007406477318</v>
      </c>
      <c r="J80" s="8">
        <f t="shared" si="40"/>
        <v>590.30007406477318</v>
      </c>
      <c r="K80" s="8">
        <f t="shared" si="40"/>
        <v>590.30007406477318</v>
      </c>
      <c r="L80" s="8">
        <f t="shared" si="40"/>
        <v>590.30007406477318</v>
      </c>
      <c r="M80" s="8">
        <f t="shared" si="40"/>
        <v>590.30007406477318</v>
      </c>
      <c r="N80" s="8">
        <f t="shared" si="40"/>
        <v>590.30007406477318</v>
      </c>
      <c r="O80" s="8">
        <f t="shared" si="40"/>
        <v>590.30007406477318</v>
      </c>
      <c r="P80" s="8">
        <f t="shared" si="40"/>
        <v>590.30007406477318</v>
      </c>
      <c r="Q80" s="8">
        <f t="shared" si="40"/>
        <v>590.30007406477318</v>
      </c>
      <c r="R80" s="8">
        <f t="shared" si="40"/>
        <v>590.30007406477318</v>
      </c>
      <c r="S80" s="276">
        <f t="shared" si="40"/>
        <v>590.30007406477318</v>
      </c>
    </row>
    <row r="81" spans="1:19" ht="15" customHeight="1">
      <c r="A81" s="305" t="s">
        <v>70</v>
      </c>
      <c r="B81" s="305" t="s">
        <v>1171</v>
      </c>
      <c r="C81" s="8">
        <f>Inputs!C81</f>
        <v>58.898873833333326</v>
      </c>
      <c r="D81" s="8">
        <f t="shared" si="41"/>
        <v>58.898873833333326</v>
      </c>
      <c r="E81" s="8">
        <f t="shared" si="40"/>
        <v>58.898873833333326</v>
      </c>
      <c r="F81" s="8">
        <f t="shared" si="40"/>
        <v>58.898873833333326</v>
      </c>
      <c r="G81" s="8">
        <f t="shared" si="40"/>
        <v>58.898873833333326</v>
      </c>
      <c r="H81" s="8">
        <f t="shared" si="40"/>
        <v>58.898873833333326</v>
      </c>
      <c r="I81" s="8">
        <f t="shared" si="40"/>
        <v>58.898873833333326</v>
      </c>
      <c r="J81" s="8">
        <f t="shared" si="40"/>
        <v>58.898873833333326</v>
      </c>
      <c r="K81" s="8">
        <f t="shared" si="40"/>
        <v>58.898873833333326</v>
      </c>
      <c r="L81" s="8">
        <f t="shared" si="40"/>
        <v>58.898873833333326</v>
      </c>
      <c r="M81" s="8">
        <f t="shared" si="40"/>
        <v>58.898873833333326</v>
      </c>
      <c r="N81" s="8">
        <f t="shared" si="40"/>
        <v>58.898873833333326</v>
      </c>
      <c r="O81" s="8">
        <f t="shared" si="40"/>
        <v>58.898873833333326</v>
      </c>
      <c r="P81" s="8">
        <f t="shared" si="40"/>
        <v>58.898873833333326</v>
      </c>
      <c r="Q81" s="8">
        <f t="shared" si="40"/>
        <v>58.898873833333326</v>
      </c>
      <c r="R81" s="8">
        <f t="shared" si="40"/>
        <v>58.898873833333326</v>
      </c>
      <c r="S81" s="276">
        <f t="shared" si="40"/>
        <v>58.898873833333326</v>
      </c>
    </row>
    <row r="82" spans="1:19" ht="15" customHeight="1">
      <c r="B82" s="305" t="s">
        <v>1172</v>
      </c>
      <c r="C82" s="169">
        <f>Inputs!C82</f>
        <v>0.18869339761941342</v>
      </c>
      <c r="D82" s="169">
        <f t="shared" si="41"/>
        <v>0.18869339761941342</v>
      </c>
      <c r="E82" s="169">
        <f t="shared" si="40"/>
        <v>0.18869339761941342</v>
      </c>
      <c r="F82" s="169">
        <f t="shared" si="40"/>
        <v>0.18869339761941342</v>
      </c>
      <c r="G82" s="169">
        <f t="shared" si="40"/>
        <v>0.18869339761941342</v>
      </c>
      <c r="H82" s="169">
        <f t="shared" si="40"/>
        <v>0.18869339761941342</v>
      </c>
      <c r="I82" s="169">
        <f t="shared" si="40"/>
        <v>0.18869339761941342</v>
      </c>
      <c r="J82" s="169">
        <f t="shared" si="40"/>
        <v>0.18869339761941342</v>
      </c>
      <c r="K82" s="169">
        <f t="shared" si="40"/>
        <v>0.18869339761941342</v>
      </c>
      <c r="L82" s="169">
        <f t="shared" si="40"/>
        <v>0.18869339761941342</v>
      </c>
      <c r="M82" s="169">
        <f t="shared" si="40"/>
        <v>0.18869339761941342</v>
      </c>
      <c r="N82" s="169">
        <f t="shared" si="40"/>
        <v>0.18869339761941342</v>
      </c>
      <c r="O82" s="169">
        <f t="shared" si="40"/>
        <v>0.18869339761941342</v>
      </c>
      <c r="P82" s="169">
        <f t="shared" si="40"/>
        <v>0.18869339761941342</v>
      </c>
      <c r="Q82" s="169">
        <f t="shared" si="40"/>
        <v>0.18869339761941342</v>
      </c>
      <c r="R82" s="169">
        <f t="shared" si="40"/>
        <v>0.18869339761941342</v>
      </c>
      <c r="S82" s="169">
        <f t="shared" si="40"/>
        <v>0.18869339761941342</v>
      </c>
    </row>
    <row r="83" spans="1:19" ht="15" customHeight="1">
      <c r="B83" s="305" t="s">
        <v>1173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1174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1175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1176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1177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1178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1179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1180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1181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1182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1183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1298</v>
      </c>
      <c r="C95" s="6">
        <f>Inputs!C95</f>
        <v>3.5391666666666666</v>
      </c>
      <c r="D95" s="6">
        <f t="shared" si="41"/>
        <v>3.5391666666666666</v>
      </c>
      <c r="E95" s="6">
        <f t="shared" ref="E95:S95" si="45">D95</f>
        <v>3.5391666666666666</v>
      </c>
      <c r="F95" s="6">
        <f t="shared" si="45"/>
        <v>3.5391666666666666</v>
      </c>
      <c r="G95" s="6">
        <f t="shared" si="45"/>
        <v>3.5391666666666666</v>
      </c>
      <c r="H95" s="6">
        <f t="shared" si="45"/>
        <v>3.5391666666666666</v>
      </c>
      <c r="I95" s="6">
        <f t="shared" si="45"/>
        <v>3.5391666666666666</v>
      </c>
      <c r="J95" s="6">
        <f t="shared" si="45"/>
        <v>3.5391666666666666</v>
      </c>
      <c r="K95" s="6">
        <f t="shared" si="45"/>
        <v>3.5391666666666666</v>
      </c>
      <c r="L95" s="6">
        <f t="shared" si="45"/>
        <v>3.5391666666666666</v>
      </c>
      <c r="M95" s="6">
        <f t="shared" si="45"/>
        <v>3.5391666666666666</v>
      </c>
      <c r="N95" s="6">
        <f t="shared" si="45"/>
        <v>3.5391666666666666</v>
      </c>
      <c r="O95" s="6">
        <f t="shared" si="45"/>
        <v>3.5391666666666666</v>
      </c>
      <c r="P95" s="6">
        <f t="shared" si="45"/>
        <v>3.5391666666666666</v>
      </c>
      <c r="Q95" s="6">
        <f t="shared" si="45"/>
        <v>3.5391666666666666</v>
      </c>
      <c r="R95" s="6">
        <f t="shared" si="45"/>
        <v>3.5391666666666666</v>
      </c>
      <c r="S95" s="6">
        <f t="shared" si="45"/>
        <v>3.5391666666666666</v>
      </c>
    </row>
    <row r="96" spans="1:19" ht="15" customHeight="1">
      <c r="B96" s="305" t="s">
        <v>1299</v>
      </c>
      <c r="C96" s="6">
        <f>Inputs!C96</f>
        <v>9.3305146666666658E-2</v>
      </c>
      <c r="D96" s="6">
        <f t="shared" ref="D96:S111" si="46">C96</f>
        <v>9.3305146666666658E-2</v>
      </c>
      <c r="E96" s="6">
        <f t="shared" si="46"/>
        <v>9.3305146666666658E-2</v>
      </c>
      <c r="F96" s="6">
        <f t="shared" si="46"/>
        <v>9.3305146666666658E-2</v>
      </c>
      <c r="G96" s="6">
        <f t="shared" si="46"/>
        <v>9.3305146666666658E-2</v>
      </c>
      <c r="H96" s="6">
        <f t="shared" si="46"/>
        <v>9.3305146666666658E-2</v>
      </c>
      <c r="I96" s="6">
        <f t="shared" si="46"/>
        <v>9.3305146666666658E-2</v>
      </c>
      <c r="J96" s="6">
        <f t="shared" si="46"/>
        <v>9.3305146666666658E-2</v>
      </c>
      <c r="K96" s="6">
        <f t="shared" si="46"/>
        <v>9.3305146666666658E-2</v>
      </c>
      <c r="L96" s="6">
        <f t="shared" si="46"/>
        <v>9.3305146666666658E-2</v>
      </c>
      <c r="M96" s="6">
        <f t="shared" si="46"/>
        <v>9.3305146666666658E-2</v>
      </c>
      <c r="N96" s="6">
        <f t="shared" si="46"/>
        <v>9.3305146666666658E-2</v>
      </c>
      <c r="O96" s="6">
        <f t="shared" si="46"/>
        <v>9.3305146666666658E-2</v>
      </c>
      <c r="P96" s="6">
        <f t="shared" si="46"/>
        <v>9.3305146666666658E-2</v>
      </c>
      <c r="Q96" s="6">
        <f t="shared" si="46"/>
        <v>9.3305146666666658E-2</v>
      </c>
      <c r="R96" s="6">
        <f t="shared" si="46"/>
        <v>9.3305146666666658E-2</v>
      </c>
      <c r="S96" s="6">
        <f t="shared" si="46"/>
        <v>9.3305146666666658E-2</v>
      </c>
    </row>
    <row r="97" spans="1:19" ht="15" customHeight="1">
      <c r="B97" s="305" t="s">
        <v>1300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1301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1302</v>
      </c>
      <c r="C99" s="169">
        <f>Inputs!C99</f>
        <v>3.5391666666666666</v>
      </c>
      <c r="D99" s="169">
        <f t="shared" si="46"/>
        <v>3.5391666666666666</v>
      </c>
      <c r="E99" s="169">
        <f t="shared" si="46"/>
        <v>3.5391666666666666</v>
      </c>
      <c r="F99" s="169">
        <f t="shared" si="46"/>
        <v>3.5391666666666666</v>
      </c>
      <c r="G99" s="169">
        <f t="shared" si="46"/>
        <v>3.5391666666666666</v>
      </c>
      <c r="H99" s="169">
        <f t="shared" si="46"/>
        <v>3.5391666666666666</v>
      </c>
      <c r="I99" s="169">
        <f t="shared" si="46"/>
        <v>3.5391666666666666</v>
      </c>
      <c r="J99" s="169">
        <f t="shared" si="46"/>
        <v>3.5391666666666666</v>
      </c>
      <c r="K99" s="169">
        <f t="shared" si="46"/>
        <v>3.5391666666666666</v>
      </c>
      <c r="L99" s="169">
        <f t="shared" si="46"/>
        <v>3.5391666666666666</v>
      </c>
      <c r="M99" s="169">
        <f t="shared" si="46"/>
        <v>3.5391666666666666</v>
      </c>
      <c r="N99" s="169">
        <f t="shared" si="46"/>
        <v>3.5391666666666666</v>
      </c>
      <c r="O99" s="169">
        <f t="shared" si="46"/>
        <v>3.5391666666666666</v>
      </c>
      <c r="P99" s="169">
        <f t="shared" si="46"/>
        <v>3.5391666666666666</v>
      </c>
      <c r="Q99" s="169">
        <f t="shared" si="46"/>
        <v>3.5391666666666666</v>
      </c>
      <c r="R99" s="169">
        <f t="shared" si="46"/>
        <v>3.5391666666666666</v>
      </c>
      <c r="S99" s="169">
        <f t="shared" si="46"/>
        <v>3.5391666666666666</v>
      </c>
    </row>
    <row r="100" spans="1:19" ht="15" customHeight="1">
      <c r="B100" s="305" t="s">
        <v>1303</v>
      </c>
      <c r="C100" s="169">
        <f>Inputs!C100</f>
        <v>2.6658613333333331E-2</v>
      </c>
      <c r="D100" s="169">
        <f t="shared" si="46"/>
        <v>2.6658613333333331E-2</v>
      </c>
      <c r="E100" s="169">
        <f t="shared" si="46"/>
        <v>2.6658613333333331E-2</v>
      </c>
      <c r="F100" s="169">
        <f t="shared" si="46"/>
        <v>2.6658613333333331E-2</v>
      </c>
      <c r="G100" s="169">
        <f t="shared" si="46"/>
        <v>2.6658613333333331E-2</v>
      </c>
      <c r="H100" s="169">
        <f t="shared" si="46"/>
        <v>2.6658613333333331E-2</v>
      </c>
      <c r="I100" s="169">
        <f t="shared" si="46"/>
        <v>2.6658613333333331E-2</v>
      </c>
      <c r="J100" s="169">
        <f t="shared" si="46"/>
        <v>2.6658613333333331E-2</v>
      </c>
      <c r="K100" s="169">
        <f t="shared" si="46"/>
        <v>2.6658613333333331E-2</v>
      </c>
      <c r="L100" s="169">
        <f t="shared" si="46"/>
        <v>2.6658613333333331E-2</v>
      </c>
      <c r="M100" s="169">
        <f t="shared" si="46"/>
        <v>2.6658613333333331E-2</v>
      </c>
      <c r="N100" s="169">
        <f t="shared" si="46"/>
        <v>2.6658613333333331E-2</v>
      </c>
      <c r="O100" s="169">
        <f t="shared" si="46"/>
        <v>2.6658613333333331E-2</v>
      </c>
      <c r="P100" s="169">
        <f t="shared" si="46"/>
        <v>2.6658613333333331E-2</v>
      </c>
      <c r="Q100" s="169">
        <f t="shared" si="46"/>
        <v>2.6658613333333331E-2</v>
      </c>
      <c r="R100" s="169">
        <f t="shared" si="46"/>
        <v>2.6658613333333331E-2</v>
      </c>
      <c r="S100" s="169">
        <f t="shared" si="46"/>
        <v>2.6658613333333331E-2</v>
      </c>
    </row>
    <row r="101" spans="1:19" ht="15" customHeight="1">
      <c r="B101" s="305" t="s">
        <v>1304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1184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1185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1186</v>
      </c>
      <c r="C104" s="8">
        <f>Inputs!C104</f>
        <v>4.128333333333333</v>
      </c>
      <c r="D104" s="8">
        <f>C104</f>
        <v>4.128333333333333</v>
      </c>
      <c r="E104" s="8">
        <f t="shared" si="46"/>
        <v>4.128333333333333</v>
      </c>
      <c r="F104" s="8">
        <f t="shared" si="46"/>
        <v>4.128333333333333</v>
      </c>
      <c r="G104" s="8">
        <f t="shared" si="46"/>
        <v>4.128333333333333</v>
      </c>
      <c r="H104" s="8">
        <f t="shared" si="46"/>
        <v>4.128333333333333</v>
      </c>
      <c r="I104" s="8">
        <f t="shared" si="46"/>
        <v>4.128333333333333</v>
      </c>
      <c r="J104" s="8">
        <f t="shared" si="46"/>
        <v>4.128333333333333</v>
      </c>
      <c r="K104" s="8">
        <f t="shared" si="46"/>
        <v>4.128333333333333</v>
      </c>
      <c r="L104" s="8">
        <f t="shared" si="46"/>
        <v>4.128333333333333</v>
      </c>
      <c r="M104" s="8">
        <f t="shared" si="46"/>
        <v>4.128333333333333</v>
      </c>
      <c r="N104" s="8">
        <f t="shared" si="46"/>
        <v>4.128333333333333</v>
      </c>
      <c r="O104" s="8">
        <f t="shared" si="46"/>
        <v>4.128333333333333</v>
      </c>
      <c r="P104" s="8">
        <f t="shared" si="46"/>
        <v>4.128333333333333</v>
      </c>
      <c r="Q104" s="8">
        <f t="shared" si="46"/>
        <v>4.128333333333333</v>
      </c>
      <c r="R104" s="8">
        <f t="shared" si="46"/>
        <v>4.128333333333333</v>
      </c>
      <c r="S104" s="276">
        <f t="shared" si="46"/>
        <v>4.128333333333333</v>
      </c>
    </row>
    <row r="105" spans="1:19" ht="15" customHeight="1">
      <c r="B105" s="305" t="s">
        <v>1187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1188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1189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1190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1191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1192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1193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1194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1195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1332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1196</v>
      </c>
      <c r="C118" s="8">
        <f>Inputs!C118</f>
        <v>34.368210319066286</v>
      </c>
      <c r="D118" s="8">
        <f t="shared" si="47"/>
        <v>34.368210319066286</v>
      </c>
      <c r="E118" s="8">
        <f t="shared" si="47"/>
        <v>34.368210319066286</v>
      </c>
      <c r="F118" s="8">
        <f t="shared" si="47"/>
        <v>34.368210319066286</v>
      </c>
      <c r="G118" s="8">
        <f t="shared" si="47"/>
        <v>34.368210319066286</v>
      </c>
      <c r="H118" s="8">
        <f t="shared" si="47"/>
        <v>34.368210319066286</v>
      </c>
      <c r="I118" s="8">
        <f t="shared" si="47"/>
        <v>34.368210319066286</v>
      </c>
      <c r="J118" s="8">
        <f t="shared" si="47"/>
        <v>34.368210319066286</v>
      </c>
      <c r="K118" s="8">
        <f t="shared" si="47"/>
        <v>34.368210319066286</v>
      </c>
      <c r="L118" s="8">
        <f t="shared" si="47"/>
        <v>34.368210319066286</v>
      </c>
      <c r="M118" s="8">
        <f t="shared" si="47"/>
        <v>34.368210319066286</v>
      </c>
      <c r="N118" s="8">
        <f t="shared" si="47"/>
        <v>34.368210319066286</v>
      </c>
      <c r="O118" s="8">
        <f t="shared" si="47"/>
        <v>34.368210319066286</v>
      </c>
      <c r="P118" s="8">
        <f t="shared" si="47"/>
        <v>34.368210319066286</v>
      </c>
      <c r="Q118" s="8">
        <f t="shared" si="47"/>
        <v>34.368210319066286</v>
      </c>
      <c r="R118" s="8">
        <f t="shared" si="47"/>
        <v>34.368210319066286</v>
      </c>
      <c r="S118" s="276">
        <f t="shared" si="47"/>
        <v>34.368210319066286</v>
      </c>
    </row>
    <row r="119" spans="1:19" ht="15" customHeight="1">
      <c r="B119" s="305" t="s">
        <v>1197</v>
      </c>
      <c r="C119" s="8">
        <f>Inputs!C119</f>
        <v>3.5358241068998235</v>
      </c>
      <c r="D119" s="8">
        <f t="shared" si="47"/>
        <v>3.5358241068998235</v>
      </c>
      <c r="E119" s="8">
        <f t="shared" si="47"/>
        <v>3.5358241068998235</v>
      </c>
      <c r="F119" s="8">
        <f t="shared" si="47"/>
        <v>3.5358241068998235</v>
      </c>
      <c r="G119" s="8">
        <f t="shared" si="47"/>
        <v>3.5358241068998235</v>
      </c>
      <c r="H119" s="8">
        <f t="shared" si="47"/>
        <v>3.5358241068998235</v>
      </c>
      <c r="I119" s="8">
        <f t="shared" si="47"/>
        <v>3.5358241068998235</v>
      </c>
      <c r="J119" s="8">
        <f t="shared" si="47"/>
        <v>3.5358241068998235</v>
      </c>
      <c r="K119" s="8">
        <f t="shared" si="47"/>
        <v>3.5358241068998235</v>
      </c>
      <c r="L119" s="8">
        <f t="shared" si="47"/>
        <v>3.5358241068998235</v>
      </c>
      <c r="M119" s="8">
        <f t="shared" si="47"/>
        <v>3.5358241068998235</v>
      </c>
      <c r="N119" s="8">
        <f t="shared" si="47"/>
        <v>3.5358241068998235</v>
      </c>
      <c r="O119" s="8">
        <f t="shared" si="47"/>
        <v>3.5358241068998235</v>
      </c>
      <c r="P119" s="8">
        <f t="shared" si="47"/>
        <v>3.5358241068998235</v>
      </c>
      <c r="Q119" s="8">
        <f t="shared" si="47"/>
        <v>3.5358241068998235</v>
      </c>
      <c r="R119" s="8">
        <f t="shared" si="47"/>
        <v>3.5358241068998235</v>
      </c>
      <c r="S119" s="276">
        <f t="shared" si="47"/>
        <v>3.5358241068998235</v>
      </c>
    </row>
    <row r="120" spans="1:19" ht="15" customHeight="1">
      <c r="B120" s="305" t="s">
        <v>1198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1199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1200</v>
      </c>
      <c r="C122" s="324">
        <f>HVAC!C27</f>
        <v>0.25145359773696002</v>
      </c>
      <c r="D122" s="324">
        <f>HVAC!D27</f>
        <v>0.25145359773696002</v>
      </c>
      <c r="E122" s="324" t="e">
        <f>HVAC!E27</f>
        <v>#N/A</v>
      </c>
      <c r="F122" s="324">
        <f>HVAC!F27</f>
        <v>0.27332836172928004</v>
      </c>
      <c r="G122" s="324" t="e">
        <f>HVAC!G27</f>
        <v>#N/A</v>
      </c>
      <c r="H122" s="324" t="e">
        <f>HVAC!H27</f>
        <v>#N/A</v>
      </c>
      <c r="I122" s="324">
        <f>HVAC!I27</f>
        <v>0.27332836172928004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0.25145359773696002</v>
      </c>
      <c r="S122" s="324">
        <f>HVAC!S27</f>
        <v>0.27332836172928004</v>
      </c>
    </row>
    <row r="123" spans="1:19" ht="15" customHeight="1">
      <c r="B123" s="305" t="s">
        <v>1201</v>
      </c>
      <c r="C123" s="325">
        <f>HVAC!C28</f>
        <v>0.23784804152902314</v>
      </c>
      <c r="D123" s="325">
        <f>HVAC!D28</f>
        <v>0.23784804152902314</v>
      </c>
      <c r="E123" s="325" t="e">
        <f>HVAC!E28</f>
        <v>#N/A</v>
      </c>
      <c r="F123" s="325">
        <f>HVAC!F28</f>
        <v>0.23784804152902314</v>
      </c>
      <c r="G123" s="325" t="e">
        <f>HVAC!G28</f>
        <v>#N/A</v>
      </c>
      <c r="H123" s="325" t="e">
        <f>HVAC!H28</f>
        <v>#N/A</v>
      </c>
      <c r="I123" s="325">
        <f>HVAC!I28</f>
        <v>0.23784804152902314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0.23784804152902314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1.5</v>
      </c>
      <c r="D128" s="10">
        <f>HVAC!D24</f>
        <v>1.5</v>
      </c>
      <c r="E128" s="10" t="e">
        <f>HVAC!E24</f>
        <v>#N/A</v>
      </c>
      <c r="F128" s="10">
        <f>HVAC!F24</f>
        <v>1.5</v>
      </c>
      <c r="G128" s="10" t="e">
        <f>HVAC!G24</f>
        <v>#N/A</v>
      </c>
      <c r="H128" s="10" t="e">
        <f>HVAC!H24</f>
        <v>#N/A</v>
      </c>
      <c r="I128" s="10">
        <f>HVAC!I24</f>
        <v>1.5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1.5</v>
      </c>
      <c r="S128" s="10">
        <f>HVAC!S24</f>
        <v>1.5</v>
      </c>
    </row>
    <row r="129" spans="1:20" ht="15" customHeight="1">
      <c r="B129" s="305" t="s">
        <v>444</v>
      </c>
      <c r="C129" s="9">
        <f>HVAC!C25</f>
        <v>18</v>
      </c>
      <c r="D129" s="9">
        <f>HVAC!D25</f>
        <v>18</v>
      </c>
      <c r="E129" s="9" t="e">
        <f>HVAC!E25</f>
        <v>#N/A</v>
      </c>
      <c r="F129" s="9">
        <f>HVAC!F25</f>
        <v>18</v>
      </c>
      <c r="G129" s="9" t="e">
        <f>HVAC!G25</f>
        <v>#N/A</v>
      </c>
      <c r="H129" s="9" t="e">
        <f>HVAC!H25</f>
        <v>#N/A</v>
      </c>
      <c r="I129" s="9">
        <f>HVAC!I25</f>
        <v>18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18</v>
      </c>
      <c r="S129" s="9">
        <f>HVAC!S25</f>
        <v>18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1202</v>
      </c>
      <c r="C131" s="10">
        <f>HVAC!C26</f>
        <v>30</v>
      </c>
      <c r="D131" s="10">
        <f>HVAC!D26</f>
        <v>30</v>
      </c>
      <c r="E131" s="10" t="e">
        <f>HVAC!E26</f>
        <v>#N/A</v>
      </c>
      <c r="F131" s="10">
        <f>HVAC!F26</f>
        <v>30</v>
      </c>
      <c r="G131" s="10" t="e">
        <f>HVAC!G26</f>
        <v>#N/A</v>
      </c>
      <c r="H131" s="10" t="e">
        <f>HVAC!H26</f>
        <v>#N/A</v>
      </c>
      <c r="I131" s="10">
        <f>HVAC!I26</f>
        <v>30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30</v>
      </c>
    </row>
    <row r="132" spans="1:20" ht="15" customHeight="1">
      <c r="B132" s="305" t="s">
        <v>1203</v>
      </c>
      <c r="C132" s="322">
        <f>HVAC!C30</f>
        <v>84.168000000000021</v>
      </c>
      <c r="D132" s="322">
        <f>HVAC!D30</f>
        <v>84.168000000000021</v>
      </c>
      <c r="E132" s="322" t="e">
        <f>HVAC!E30</f>
        <v>#N/A</v>
      </c>
      <c r="F132" s="322">
        <f>HVAC!F30</f>
        <v>84.168000000000021</v>
      </c>
      <c r="G132" s="322" t="e">
        <f>HVAC!G30</f>
        <v>#N/A</v>
      </c>
      <c r="H132" s="322" t="e">
        <f>HVAC!H30</f>
        <v>#N/A</v>
      </c>
      <c r="I132" s="322">
        <f>HVAC!I30</f>
        <v>84.168000000000021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84.168000000000021</v>
      </c>
    </row>
    <row r="133" spans="1:20" ht="15" customHeight="1">
      <c r="B133" s="305" t="s">
        <v>1204</v>
      </c>
      <c r="C133" s="323">
        <f>HVAC!C29</f>
        <v>88.982638991971257</v>
      </c>
      <c r="D133" s="323">
        <f>HVAC!D29</f>
        <v>88.982638991971257</v>
      </c>
      <c r="E133" s="323" t="e">
        <f>HVAC!E29</f>
        <v>#N/A</v>
      </c>
      <c r="F133" s="323">
        <f>HVAC!F29</f>
        <v>96.723527350225524</v>
      </c>
      <c r="G133" s="323" t="e">
        <f>HVAC!G29</f>
        <v>#N/A</v>
      </c>
      <c r="H133" s="323" t="e">
        <f>HVAC!H29</f>
        <v>#N/A</v>
      </c>
      <c r="I133" s="323">
        <f>HVAC!I29</f>
        <v>96.723527350225524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88.982638991971257</v>
      </c>
      <c r="S133" s="323">
        <f>HVAC!S29</f>
        <v>96.723527350225524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1222</v>
      </c>
      <c r="B136" s="305" t="s">
        <v>1205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1206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39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1025</v>
      </c>
      <c r="C140" s="144">
        <f>Inputs!C140</f>
        <v>1</v>
      </c>
      <c r="D140" s="144">
        <f>C140</f>
        <v>1</v>
      </c>
      <c r="E140" s="144">
        <f t="shared" ref="E140:S140" si="52">D140</f>
        <v>1</v>
      </c>
      <c r="F140" s="144">
        <f t="shared" si="52"/>
        <v>1</v>
      </c>
      <c r="G140" s="144">
        <f t="shared" si="52"/>
        <v>1</v>
      </c>
      <c r="H140" s="144">
        <f t="shared" si="52"/>
        <v>1</v>
      </c>
      <c r="I140" s="144">
        <f t="shared" si="52"/>
        <v>1</v>
      </c>
      <c r="J140" s="144">
        <f t="shared" si="52"/>
        <v>1</v>
      </c>
      <c r="K140" s="144">
        <f t="shared" si="52"/>
        <v>1</v>
      </c>
      <c r="L140" s="144">
        <f t="shared" si="52"/>
        <v>1</v>
      </c>
      <c r="M140" s="144">
        <f t="shared" si="52"/>
        <v>1</v>
      </c>
      <c r="N140" s="144">
        <f t="shared" si="52"/>
        <v>1</v>
      </c>
      <c r="O140" s="144">
        <f t="shared" si="52"/>
        <v>1</v>
      </c>
      <c r="P140" s="144">
        <f t="shared" si="52"/>
        <v>1</v>
      </c>
      <c r="Q140" s="144">
        <f t="shared" si="52"/>
        <v>1</v>
      </c>
      <c r="R140" s="144">
        <f t="shared" si="52"/>
        <v>1</v>
      </c>
      <c r="S140" s="144">
        <f t="shared" si="52"/>
        <v>1</v>
      </c>
      <c r="T140" s="69"/>
    </row>
    <row r="141" spans="1:20" s="305" customFormat="1" ht="15" customHeight="1">
      <c r="B141" s="305" t="s">
        <v>1026</v>
      </c>
      <c r="C141" s="144">
        <f>Inputs!C141</f>
        <v>1</v>
      </c>
      <c r="D141" s="144">
        <f t="shared" ref="D141:S148" si="53">C141</f>
        <v>1</v>
      </c>
      <c r="E141" s="144">
        <f t="shared" si="53"/>
        <v>1</v>
      </c>
      <c r="F141" s="144">
        <f t="shared" si="53"/>
        <v>1</v>
      </c>
      <c r="G141" s="144">
        <f t="shared" si="53"/>
        <v>1</v>
      </c>
      <c r="H141" s="144">
        <f t="shared" si="53"/>
        <v>1</v>
      </c>
      <c r="I141" s="144">
        <f t="shared" si="53"/>
        <v>1</v>
      </c>
      <c r="J141" s="144">
        <f t="shared" si="53"/>
        <v>1</v>
      </c>
      <c r="K141" s="144">
        <f t="shared" si="53"/>
        <v>1</v>
      </c>
      <c r="L141" s="144">
        <f t="shared" si="53"/>
        <v>1</v>
      </c>
      <c r="M141" s="144">
        <f t="shared" si="53"/>
        <v>1</v>
      </c>
      <c r="N141" s="144">
        <f t="shared" si="53"/>
        <v>1</v>
      </c>
      <c r="O141" s="144">
        <f t="shared" si="53"/>
        <v>1</v>
      </c>
      <c r="P141" s="144">
        <f t="shared" si="53"/>
        <v>1</v>
      </c>
      <c r="Q141" s="144">
        <f t="shared" si="53"/>
        <v>1</v>
      </c>
      <c r="R141" s="144">
        <f t="shared" si="53"/>
        <v>1</v>
      </c>
      <c r="S141" s="144">
        <f t="shared" si="53"/>
        <v>1</v>
      </c>
      <c r="T141" s="69"/>
    </row>
    <row r="142" spans="1:20" s="305" customFormat="1" ht="15" customHeight="1">
      <c r="A142" s="305" t="s">
        <v>1223</v>
      </c>
      <c r="B142" s="305" t="s">
        <v>1027</v>
      </c>
      <c r="C142" s="169">
        <f>Inputs!C142</f>
        <v>0.82</v>
      </c>
      <c r="D142" s="169">
        <f t="shared" si="53"/>
        <v>0.82</v>
      </c>
      <c r="E142" s="169">
        <f t="shared" si="53"/>
        <v>0.82</v>
      </c>
      <c r="F142" s="169">
        <f t="shared" si="53"/>
        <v>0.82</v>
      </c>
      <c r="G142" s="169">
        <f t="shared" si="53"/>
        <v>0.82</v>
      </c>
      <c r="H142" s="169">
        <f t="shared" si="53"/>
        <v>0.82</v>
      </c>
      <c r="I142" s="169">
        <f t="shared" si="53"/>
        <v>0.82</v>
      </c>
      <c r="J142" s="169">
        <f t="shared" si="53"/>
        <v>0.82</v>
      </c>
      <c r="K142" s="169">
        <f t="shared" si="53"/>
        <v>0.82</v>
      </c>
      <c r="L142" s="169">
        <f t="shared" si="53"/>
        <v>0.82</v>
      </c>
      <c r="M142" s="169">
        <f t="shared" si="53"/>
        <v>0.82</v>
      </c>
      <c r="N142" s="169">
        <f t="shared" si="53"/>
        <v>0.82</v>
      </c>
      <c r="O142" s="169">
        <f t="shared" si="53"/>
        <v>0.82</v>
      </c>
      <c r="P142" s="169">
        <f t="shared" si="53"/>
        <v>0.82</v>
      </c>
      <c r="Q142" s="169">
        <f t="shared" si="53"/>
        <v>0.82</v>
      </c>
      <c r="R142" s="169">
        <f t="shared" si="53"/>
        <v>0.82</v>
      </c>
      <c r="S142" s="169">
        <f t="shared" si="53"/>
        <v>0.82</v>
      </c>
      <c r="T142" s="69"/>
    </row>
    <row r="143" spans="1:20" s="305" customFormat="1" ht="15" customHeight="1">
      <c r="B143" s="305" t="s">
        <v>1028</v>
      </c>
      <c r="C143" s="169">
        <f>Inputs!C143</f>
        <v>0.63</v>
      </c>
      <c r="D143" s="169">
        <f t="shared" si="53"/>
        <v>0.63</v>
      </c>
      <c r="E143" s="169">
        <f t="shared" si="53"/>
        <v>0.63</v>
      </c>
      <c r="F143" s="169">
        <f t="shared" si="53"/>
        <v>0.63</v>
      </c>
      <c r="G143" s="169">
        <f t="shared" si="53"/>
        <v>0.63</v>
      </c>
      <c r="H143" s="169">
        <f t="shared" si="53"/>
        <v>0.63</v>
      </c>
      <c r="I143" s="169">
        <f t="shared" si="53"/>
        <v>0.63</v>
      </c>
      <c r="J143" s="169">
        <f t="shared" si="53"/>
        <v>0.63</v>
      </c>
      <c r="K143" s="169">
        <f t="shared" si="53"/>
        <v>0.63</v>
      </c>
      <c r="L143" s="169">
        <f t="shared" si="53"/>
        <v>0.63</v>
      </c>
      <c r="M143" s="169">
        <f t="shared" si="53"/>
        <v>0.63</v>
      </c>
      <c r="N143" s="169">
        <f t="shared" si="53"/>
        <v>0.63</v>
      </c>
      <c r="O143" s="169">
        <f t="shared" si="53"/>
        <v>0.63</v>
      </c>
      <c r="P143" s="169">
        <f t="shared" si="53"/>
        <v>0.63</v>
      </c>
      <c r="Q143" s="169">
        <f t="shared" si="53"/>
        <v>0.63</v>
      </c>
      <c r="R143" s="169">
        <f t="shared" si="53"/>
        <v>0.63</v>
      </c>
      <c r="S143" s="169">
        <f t="shared" si="53"/>
        <v>0.63</v>
      </c>
      <c r="T143" s="69"/>
    </row>
    <row r="144" spans="1:20" s="305" customFormat="1" ht="15" customHeight="1">
      <c r="B144" s="305" t="s">
        <v>1029</v>
      </c>
      <c r="C144" s="169">
        <f>Inputs!C144</f>
        <v>0.51</v>
      </c>
      <c r="D144" s="169">
        <f t="shared" si="53"/>
        <v>0.51</v>
      </c>
      <c r="E144" s="169">
        <f t="shared" si="53"/>
        <v>0.51</v>
      </c>
      <c r="F144" s="169">
        <f t="shared" si="53"/>
        <v>0.51</v>
      </c>
      <c r="G144" s="169">
        <f t="shared" si="53"/>
        <v>0.51</v>
      </c>
      <c r="H144" s="169">
        <f t="shared" si="53"/>
        <v>0.51</v>
      </c>
      <c r="I144" s="169">
        <f t="shared" si="53"/>
        <v>0.51</v>
      </c>
      <c r="J144" s="169">
        <f t="shared" si="53"/>
        <v>0.51</v>
      </c>
      <c r="K144" s="169">
        <f t="shared" si="53"/>
        <v>0.51</v>
      </c>
      <c r="L144" s="169">
        <f t="shared" si="53"/>
        <v>0.51</v>
      </c>
      <c r="M144" s="169">
        <f t="shared" si="53"/>
        <v>0.51</v>
      </c>
      <c r="N144" s="169">
        <f t="shared" si="53"/>
        <v>0.51</v>
      </c>
      <c r="O144" s="169">
        <f t="shared" si="53"/>
        <v>0.51</v>
      </c>
      <c r="P144" s="169">
        <f t="shared" si="53"/>
        <v>0.51</v>
      </c>
      <c r="Q144" s="169">
        <f t="shared" si="53"/>
        <v>0.51</v>
      </c>
      <c r="R144" s="169">
        <f t="shared" si="53"/>
        <v>0.51</v>
      </c>
      <c r="S144" s="169">
        <f t="shared" si="53"/>
        <v>0.51</v>
      </c>
      <c r="T144" s="69"/>
    </row>
    <row r="145" spans="1:20" s="305" customFormat="1" ht="15" customHeight="1">
      <c r="B145" s="305" t="s">
        <v>1030</v>
      </c>
      <c r="C145" s="144">
        <f>Inputs!C145</f>
        <v>0</v>
      </c>
      <c r="D145" s="144">
        <f t="shared" si="53"/>
        <v>0</v>
      </c>
      <c r="E145" s="144">
        <f t="shared" si="53"/>
        <v>0</v>
      </c>
      <c r="F145" s="144">
        <f t="shared" si="53"/>
        <v>0</v>
      </c>
      <c r="G145" s="144">
        <f t="shared" si="53"/>
        <v>0</v>
      </c>
      <c r="H145" s="144">
        <f t="shared" si="53"/>
        <v>0</v>
      </c>
      <c r="I145" s="144">
        <f t="shared" si="53"/>
        <v>0</v>
      </c>
      <c r="J145" s="144">
        <f t="shared" si="53"/>
        <v>0</v>
      </c>
      <c r="K145" s="144">
        <f t="shared" si="53"/>
        <v>0</v>
      </c>
      <c r="L145" s="144">
        <f t="shared" si="53"/>
        <v>0</v>
      </c>
      <c r="M145" s="144">
        <f t="shared" si="53"/>
        <v>0</v>
      </c>
      <c r="N145" s="144">
        <f t="shared" si="53"/>
        <v>0</v>
      </c>
      <c r="O145" s="144">
        <f t="shared" si="53"/>
        <v>0</v>
      </c>
      <c r="P145" s="144">
        <f t="shared" si="53"/>
        <v>0</v>
      </c>
      <c r="Q145" s="144">
        <f t="shared" si="53"/>
        <v>0</v>
      </c>
      <c r="R145" s="144">
        <f t="shared" si="53"/>
        <v>0</v>
      </c>
      <c r="S145" s="144">
        <f t="shared" si="53"/>
        <v>0</v>
      </c>
      <c r="T145" s="69"/>
    </row>
    <row r="146" spans="1:20" ht="15" customHeight="1">
      <c r="B146" s="305" t="s">
        <v>1031</v>
      </c>
      <c r="C146" s="144">
        <f>Inputs!C146</f>
        <v>8</v>
      </c>
      <c r="D146" s="144">
        <f t="shared" si="53"/>
        <v>8</v>
      </c>
      <c r="E146" s="144">
        <f t="shared" si="53"/>
        <v>8</v>
      </c>
      <c r="F146" s="144">
        <f t="shared" si="53"/>
        <v>8</v>
      </c>
      <c r="G146" s="144">
        <f t="shared" si="53"/>
        <v>8</v>
      </c>
      <c r="H146" s="144">
        <f t="shared" si="53"/>
        <v>8</v>
      </c>
      <c r="I146" s="144">
        <f t="shared" si="53"/>
        <v>8</v>
      </c>
      <c r="J146" s="144">
        <f t="shared" si="53"/>
        <v>8</v>
      </c>
      <c r="K146" s="144">
        <f t="shared" si="53"/>
        <v>8</v>
      </c>
      <c r="L146" s="144">
        <f t="shared" si="53"/>
        <v>8</v>
      </c>
      <c r="M146" s="144">
        <f t="shared" si="53"/>
        <v>8</v>
      </c>
      <c r="N146" s="144">
        <f t="shared" si="53"/>
        <v>8</v>
      </c>
      <c r="O146" s="144">
        <f t="shared" si="53"/>
        <v>8</v>
      </c>
      <c r="P146" s="144">
        <f t="shared" si="53"/>
        <v>8</v>
      </c>
      <c r="Q146" s="144">
        <f t="shared" si="53"/>
        <v>8</v>
      </c>
      <c r="R146" s="144">
        <f t="shared" si="53"/>
        <v>8</v>
      </c>
      <c r="S146" s="144">
        <f t="shared" si="53"/>
        <v>8</v>
      </c>
    </row>
    <row r="147" spans="1:20" ht="15" customHeight="1">
      <c r="B147" s="305" t="s">
        <v>1032</v>
      </c>
      <c r="C147" s="144">
        <f>Inputs!C147</f>
        <v>0</v>
      </c>
      <c r="D147" s="144">
        <f t="shared" si="53"/>
        <v>0</v>
      </c>
      <c r="E147" s="144">
        <f t="shared" si="53"/>
        <v>0</v>
      </c>
      <c r="F147" s="144">
        <f t="shared" si="53"/>
        <v>0</v>
      </c>
      <c r="G147" s="144">
        <f t="shared" si="53"/>
        <v>0</v>
      </c>
      <c r="H147" s="144">
        <f t="shared" si="53"/>
        <v>0</v>
      </c>
      <c r="I147" s="144">
        <f t="shared" si="53"/>
        <v>0</v>
      </c>
      <c r="J147" s="144">
        <f t="shared" si="53"/>
        <v>0</v>
      </c>
      <c r="K147" s="144">
        <f t="shared" si="53"/>
        <v>0</v>
      </c>
      <c r="L147" s="144">
        <f t="shared" si="53"/>
        <v>0</v>
      </c>
      <c r="M147" s="144">
        <f t="shared" si="53"/>
        <v>0</v>
      </c>
      <c r="N147" s="144">
        <f t="shared" si="53"/>
        <v>0</v>
      </c>
      <c r="O147" s="144">
        <f t="shared" si="53"/>
        <v>0</v>
      </c>
      <c r="P147" s="144">
        <f t="shared" si="53"/>
        <v>0</v>
      </c>
      <c r="Q147" s="144">
        <f t="shared" si="53"/>
        <v>0</v>
      </c>
      <c r="R147" s="144">
        <f t="shared" si="53"/>
        <v>0</v>
      </c>
      <c r="S147" s="144">
        <f t="shared" si="53"/>
        <v>0</v>
      </c>
    </row>
    <row r="148" spans="1:20" ht="15" customHeight="1">
      <c r="B148" s="305" t="s">
        <v>1033</v>
      </c>
      <c r="C148" s="144">
        <f>Inputs!C148</f>
        <v>1</v>
      </c>
      <c r="D148" s="144">
        <f t="shared" si="53"/>
        <v>1</v>
      </c>
      <c r="E148" s="144">
        <f t="shared" si="53"/>
        <v>1</v>
      </c>
      <c r="F148" s="144">
        <f t="shared" si="53"/>
        <v>1</v>
      </c>
      <c r="G148" s="144">
        <f t="shared" si="53"/>
        <v>1</v>
      </c>
      <c r="H148" s="144">
        <f t="shared" si="53"/>
        <v>1</v>
      </c>
      <c r="I148" s="144">
        <f t="shared" si="53"/>
        <v>1</v>
      </c>
      <c r="J148" s="144">
        <f t="shared" si="53"/>
        <v>1</v>
      </c>
      <c r="K148" s="144">
        <f t="shared" si="53"/>
        <v>1</v>
      </c>
      <c r="L148" s="144">
        <f t="shared" si="53"/>
        <v>1</v>
      </c>
      <c r="M148" s="144">
        <f t="shared" si="53"/>
        <v>1</v>
      </c>
      <c r="N148" s="144">
        <f t="shared" si="53"/>
        <v>1</v>
      </c>
      <c r="O148" s="144">
        <f t="shared" si="53"/>
        <v>1</v>
      </c>
      <c r="P148" s="144">
        <f t="shared" si="53"/>
        <v>1</v>
      </c>
      <c r="Q148" s="144">
        <f t="shared" si="53"/>
        <v>1</v>
      </c>
      <c r="R148" s="144">
        <f t="shared" si="53"/>
        <v>1</v>
      </c>
      <c r="S148" s="144">
        <f t="shared" si="53"/>
        <v>1</v>
      </c>
    </row>
    <row r="149" spans="1:20" s="305" customFormat="1" ht="15" customHeight="1">
      <c r="A149" s="305" t="s">
        <v>879</v>
      </c>
      <c r="B149" s="305" t="s">
        <v>928</v>
      </c>
      <c r="C149" s="275">
        <f>Inputs!C149</f>
        <v>0</v>
      </c>
      <c r="D149" s="275">
        <f>C149</f>
        <v>0</v>
      </c>
      <c r="E149" s="275">
        <f t="shared" ref="E149:S149" si="54">D149</f>
        <v>0</v>
      </c>
      <c r="F149" s="275">
        <f t="shared" si="54"/>
        <v>0</v>
      </c>
      <c r="G149" s="275">
        <f t="shared" si="54"/>
        <v>0</v>
      </c>
      <c r="H149" s="275">
        <f t="shared" si="54"/>
        <v>0</v>
      </c>
      <c r="I149" s="275">
        <f t="shared" si="54"/>
        <v>0</v>
      </c>
      <c r="J149" s="275">
        <f t="shared" si="54"/>
        <v>0</v>
      </c>
      <c r="K149" s="275">
        <f t="shared" si="54"/>
        <v>0</v>
      </c>
      <c r="L149" s="275">
        <f t="shared" si="54"/>
        <v>0</v>
      </c>
      <c r="M149" s="275">
        <f t="shared" si="54"/>
        <v>0</v>
      </c>
      <c r="N149" s="275">
        <f t="shared" si="54"/>
        <v>0</v>
      </c>
      <c r="O149" s="275">
        <f t="shared" si="54"/>
        <v>0</v>
      </c>
      <c r="P149" s="275">
        <f t="shared" si="54"/>
        <v>0</v>
      </c>
      <c r="Q149" s="275">
        <f t="shared" si="54"/>
        <v>0</v>
      </c>
      <c r="R149" s="275">
        <f t="shared" si="54"/>
        <v>0</v>
      </c>
      <c r="S149" s="275">
        <f t="shared" si="54"/>
        <v>0</v>
      </c>
      <c r="T149" s="69"/>
    </row>
    <row r="150" spans="1:20" ht="15" customHeight="1">
      <c r="B150" s="305" t="s">
        <v>929</v>
      </c>
      <c r="C150" s="275">
        <f>Inputs!C150</f>
        <v>0</v>
      </c>
      <c r="D150" s="275">
        <f>C150</f>
        <v>0</v>
      </c>
      <c r="E150" s="275">
        <f t="shared" ref="E150:S150" si="55">D150</f>
        <v>0</v>
      </c>
      <c r="F150" s="275">
        <f t="shared" si="55"/>
        <v>0</v>
      </c>
      <c r="G150" s="275">
        <f t="shared" si="55"/>
        <v>0</v>
      </c>
      <c r="H150" s="275">
        <f t="shared" si="55"/>
        <v>0</v>
      </c>
      <c r="I150" s="275">
        <f t="shared" si="55"/>
        <v>0</v>
      </c>
      <c r="J150" s="275">
        <f t="shared" si="55"/>
        <v>0</v>
      </c>
      <c r="K150" s="275">
        <f t="shared" si="55"/>
        <v>0</v>
      </c>
      <c r="L150" s="275">
        <f t="shared" si="55"/>
        <v>0</v>
      </c>
      <c r="M150" s="275">
        <f t="shared" si="55"/>
        <v>0</v>
      </c>
      <c r="N150" s="275">
        <f t="shared" si="55"/>
        <v>0</v>
      </c>
      <c r="O150" s="275">
        <f t="shared" si="55"/>
        <v>0</v>
      </c>
      <c r="P150" s="275">
        <f t="shared" si="55"/>
        <v>0</v>
      </c>
      <c r="Q150" s="275">
        <f t="shared" si="55"/>
        <v>0</v>
      </c>
      <c r="R150" s="275">
        <f t="shared" si="55"/>
        <v>0</v>
      </c>
      <c r="S150" s="275">
        <f t="shared" si="55"/>
        <v>0</v>
      </c>
    </row>
    <row r="151" spans="1:20" s="305" customFormat="1" ht="15" customHeight="1">
      <c r="B151" s="305" t="s">
        <v>930</v>
      </c>
      <c r="C151" s="401">
        <f>Humidity!B5</f>
        <v>1.8143650428724283E-2</v>
      </c>
      <c r="D151" s="401">
        <f>Humidity!C5</f>
        <v>1.8093565104086943E-2</v>
      </c>
      <c r="E151" s="401" t="str">
        <f>Humidity!D5</f>
        <v>NA</v>
      </c>
      <c r="F151" s="401">
        <f>Humidity!E5</f>
        <v>1.6457918085888881E-2</v>
      </c>
      <c r="G151" s="401" t="str">
        <f>Humidity!F5</f>
        <v>NA</v>
      </c>
      <c r="H151" s="401" t="str">
        <f>Humidity!G5</f>
        <v>NA</v>
      </c>
      <c r="I151" s="401">
        <f>Humidity!H5</f>
        <v>1.4623221193902717E-2</v>
      </c>
      <c r="J151" s="401" t="str">
        <f>Humidity!I5</f>
        <v>NA</v>
      </c>
      <c r="K151" s="401" t="str">
        <f>Humidity!J5</f>
        <v>NA</v>
      </c>
      <c r="L151" s="401" t="str">
        <f>Humidity!K5</f>
        <v>NA</v>
      </c>
      <c r="M151" s="401" t="str">
        <f>Humidity!L5</f>
        <v>NA</v>
      </c>
      <c r="N151" s="401" t="str">
        <f>Humidity!M5</f>
        <v>NA</v>
      </c>
      <c r="O151" s="401" t="str">
        <f>Humidity!N5</f>
        <v>NA</v>
      </c>
      <c r="P151" s="401" t="str">
        <f>Humidity!O5</f>
        <v>NA</v>
      </c>
      <c r="Q151" s="401" t="str">
        <f>Humidity!P5</f>
        <v>NA</v>
      </c>
      <c r="R151" s="401">
        <f>Humidity!Q5</f>
        <v>1.7707763234996277E-2</v>
      </c>
      <c r="S151" s="401">
        <f>Humidity!R5</f>
        <v>1.7457897967807213E-2</v>
      </c>
    </row>
    <row r="152" spans="1:20" s="305" customFormat="1" ht="15" customHeight="1">
      <c r="B152" s="305" t="s">
        <v>934</v>
      </c>
      <c r="C152" s="401">
        <f>Humidity!B6</f>
        <v>0</v>
      </c>
      <c r="D152" s="401">
        <f>Humidity!C6</f>
        <v>0</v>
      </c>
      <c r="E152" s="401">
        <f>Humidity!D6</f>
        <v>0</v>
      </c>
      <c r="F152" s="401">
        <f>Humidity!E6</f>
        <v>0</v>
      </c>
      <c r="G152" s="401">
        <f>Humidity!F6</f>
        <v>0</v>
      </c>
      <c r="H152" s="401">
        <f>Humidity!G6</f>
        <v>0</v>
      </c>
      <c r="I152" s="401">
        <f>Humidity!H6</f>
        <v>0</v>
      </c>
      <c r="J152" s="401">
        <f>Humidity!I6</f>
        <v>0</v>
      </c>
      <c r="K152" s="401">
        <f>Humidity!J6</f>
        <v>0</v>
      </c>
      <c r="L152" s="401">
        <f>Humidity!K6</f>
        <v>0</v>
      </c>
      <c r="M152" s="401">
        <f>Humidity!L6</f>
        <v>0</v>
      </c>
      <c r="N152" s="401">
        <f>Humidity!M6</f>
        <v>0</v>
      </c>
      <c r="O152" s="401">
        <f>Humidity!N6</f>
        <v>0</v>
      </c>
      <c r="P152" s="401">
        <f>Humidity!O6</f>
        <v>0</v>
      </c>
      <c r="Q152" s="401">
        <f>Humidity!P6</f>
        <v>0</v>
      </c>
      <c r="R152" s="401">
        <f>Humidity!Q6</f>
        <v>0</v>
      </c>
      <c r="S152" s="401">
        <f>Humidity!R6</f>
        <v>0</v>
      </c>
    </row>
    <row r="153" spans="1:20" s="305" customFormat="1" ht="15" customHeight="1">
      <c r="B153" s="305" t="s">
        <v>935</v>
      </c>
      <c r="C153" s="401">
        <f>Humidity!B7</f>
        <v>0</v>
      </c>
      <c r="D153" s="401">
        <f>Humidity!C7</f>
        <v>0</v>
      </c>
      <c r="E153" s="401">
        <f>Humidity!D7</f>
        <v>0</v>
      </c>
      <c r="F153" s="401">
        <f>Humidity!E7</f>
        <v>0</v>
      </c>
      <c r="G153" s="401">
        <f>Humidity!F7</f>
        <v>0</v>
      </c>
      <c r="H153" s="401">
        <f>Humidity!G7</f>
        <v>0</v>
      </c>
      <c r="I153" s="401">
        <f>Humidity!H7</f>
        <v>0</v>
      </c>
      <c r="J153" s="401">
        <f>Humidity!I7</f>
        <v>0</v>
      </c>
      <c r="K153" s="401">
        <f>Humidity!J7</f>
        <v>0</v>
      </c>
      <c r="L153" s="401">
        <f>Humidity!K7</f>
        <v>0</v>
      </c>
      <c r="M153" s="401">
        <f>Humidity!L7</f>
        <v>0</v>
      </c>
      <c r="N153" s="401">
        <f>Humidity!M7</f>
        <v>0</v>
      </c>
      <c r="O153" s="401">
        <f>Humidity!N7</f>
        <v>0</v>
      </c>
      <c r="P153" s="401">
        <f>Humidity!O7</f>
        <v>0</v>
      </c>
      <c r="Q153" s="401">
        <f>Humidity!P7</f>
        <v>0</v>
      </c>
      <c r="R153" s="401">
        <f>Humidity!Q7</f>
        <v>0</v>
      </c>
      <c r="S153" s="401">
        <f>Humidity!R7</f>
        <v>0</v>
      </c>
    </row>
    <row r="154" spans="1:20" ht="15" customHeight="1">
      <c r="B154" s="305" t="s">
        <v>962</v>
      </c>
      <c r="C154" s="305">
        <f>Humidity!B42</f>
        <v>7.6169999999999996E-3</v>
      </c>
      <c r="D154" s="305">
        <f>Humidity!C42</f>
        <v>3.7669999999999999E-3</v>
      </c>
      <c r="E154" s="305">
        <f>Humidity!D42</f>
        <v>0</v>
      </c>
      <c r="F154" s="305">
        <f>Humidity!E42</f>
        <v>2.1570000000000001E-3</v>
      </c>
      <c r="G154" s="305">
        <f>Humidity!F42</f>
        <v>0</v>
      </c>
      <c r="H154" s="305">
        <f>Humidity!G42</f>
        <v>0</v>
      </c>
      <c r="I154" s="305">
        <f>Humidity!H42</f>
        <v>1.544E-3</v>
      </c>
      <c r="J154" s="305">
        <f>Humidity!I42</f>
        <v>0</v>
      </c>
      <c r="K154" s="305">
        <f>Humidity!J42</f>
        <v>0</v>
      </c>
      <c r="L154" s="305">
        <f>Humidity!K42</f>
        <v>0</v>
      </c>
      <c r="M154" s="305">
        <f>Humidity!L42</f>
        <v>0</v>
      </c>
      <c r="N154" s="305">
        <f>Humidity!M42</f>
        <v>0</v>
      </c>
      <c r="O154" s="305">
        <f>Humidity!N42</f>
        <v>0</v>
      </c>
      <c r="P154" s="305">
        <f>Humidity!O42</f>
        <v>0</v>
      </c>
      <c r="Q154" s="305">
        <f>Humidity!P42</f>
        <v>0</v>
      </c>
      <c r="R154" s="305">
        <f>Humidity!Q42</f>
        <v>6.8250000000000003E-3</v>
      </c>
      <c r="S154" s="305">
        <f>Humidity!R42</f>
        <v>3.4429999999999999E-3</v>
      </c>
    </row>
    <row r="155" spans="1:20" ht="15" customHeight="1">
      <c r="B155" s="305" t="s">
        <v>963</v>
      </c>
      <c r="C155" s="305">
        <f>Humidity!B43</f>
        <v>7.8799999999999999E-3</v>
      </c>
      <c r="D155" s="305">
        <f>Humidity!C43</f>
        <v>3.6329999999999999E-3</v>
      </c>
      <c r="E155" s="305">
        <f>Humidity!D43</f>
        <v>0</v>
      </c>
      <c r="F155" s="305">
        <f>Humidity!E43</f>
        <v>1.9650000000000002E-3</v>
      </c>
      <c r="G155" s="305">
        <f>Humidity!F43</f>
        <v>0</v>
      </c>
      <c r="H155" s="305">
        <f>Humidity!G43</f>
        <v>0</v>
      </c>
      <c r="I155" s="305">
        <f>Humidity!H43</f>
        <v>1.6559999999999999E-3</v>
      </c>
      <c r="J155" s="305">
        <f>Humidity!I43</f>
        <v>0</v>
      </c>
      <c r="K155" s="305">
        <f>Humidity!J43</f>
        <v>0</v>
      </c>
      <c r="L155" s="305">
        <f>Humidity!K43</f>
        <v>0</v>
      </c>
      <c r="M155" s="305">
        <f>Humidity!L43</f>
        <v>0</v>
      </c>
      <c r="N155" s="305">
        <f>Humidity!M43</f>
        <v>0</v>
      </c>
      <c r="O155" s="305">
        <f>Humidity!N43</f>
        <v>0</v>
      </c>
      <c r="P155" s="305">
        <f>Humidity!O43</f>
        <v>0</v>
      </c>
      <c r="Q155" s="305">
        <f>Humidity!P43</f>
        <v>0</v>
      </c>
      <c r="R155" s="305">
        <f>Humidity!Q43</f>
        <v>6.6210000000000001E-3</v>
      </c>
      <c r="S155" s="305">
        <f>Humidity!R43</f>
        <v>2.928E-3</v>
      </c>
    </row>
    <row r="156" spans="1:20" ht="15" customHeight="1">
      <c r="B156" s="305" t="s">
        <v>964</v>
      </c>
      <c r="C156" s="305">
        <f>Humidity!B44</f>
        <v>8.541E-3</v>
      </c>
      <c r="D156" s="305">
        <f>Humidity!C44</f>
        <v>4.7939999999999997E-3</v>
      </c>
      <c r="E156" s="305">
        <f>Humidity!D44</f>
        <v>0</v>
      </c>
      <c r="F156" s="305">
        <f>Humidity!E44</f>
        <v>3.9420000000000002E-3</v>
      </c>
      <c r="G156" s="305">
        <f>Humidity!F44</f>
        <v>0</v>
      </c>
      <c r="H156" s="305">
        <f>Humidity!G44</f>
        <v>0</v>
      </c>
      <c r="I156" s="305">
        <f>Humidity!H44</f>
        <v>2.088E-3</v>
      </c>
      <c r="J156" s="305">
        <f>Humidity!I44</f>
        <v>0</v>
      </c>
      <c r="K156" s="305">
        <f>Humidity!J44</f>
        <v>0</v>
      </c>
      <c r="L156" s="305">
        <f>Humidity!K44</f>
        <v>0</v>
      </c>
      <c r="M156" s="305">
        <f>Humidity!L44</f>
        <v>0</v>
      </c>
      <c r="N156" s="305">
        <f>Humidity!M44</f>
        <v>0</v>
      </c>
      <c r="O156" s="305">
        <f>Humidity!N44</f>
        <v>0</v>
      </c>
      <c r="P156" s="305">
        <f>Humidity!O44</f>
        <v>0</v>
      </c>
      <c r="Q156" s="305">
        <f>Humidity!P44</f>
        <v>0</v>
      </c>
      <c r="R156" s="305">
        <f>Humidity!Q44</f>
        <v>4.6239999999999996E-3</v>
      </c>
      <c r="S156" s="305">
        <f>Humidity!R44</f>
        <v>4.9439999999999996E-3</v>
      </c>
    </row>
    <row r="157" spans="1:20" ht="15" customHeight="1">
      <c r="B157" s="305" t="s">
        <v>965</v>
      </c>
      <c r="C157" s="305">
        <f>Humidity!B45</f>
        <v>1.1350000000000001E-2</v>
      </c>
      <c r="D157" s="305">
        <f>Humidity!C45</f>
        <v>9.1559999999999992E-3</v>
      </c>
      <c r="E157" s="305">
        <f>Humidity!D45</f>
        <v>0</v>
      </c>
      <c r="F157" s="305">
        <f>Humidity!E45</f>
        <v>4.6220000000000002E-3</v>
      </c>
      <c r="G157" s="305">
        <f>Humidity!F45</f>
        <v>0</v>
      </c>
      <c r="H157" s="305">
        <f>Humidity!G45</f>
        <v>0</v>
      </c>
      <c r="I157" s="305">
        <f>Humidity!H45</f>
        <v>4.0499999999999998E-3</v>
      </c>
      <c r="J157" s="305">
        <f>Humidity!I45</f>
        <v>0</v>
      </c>
      <c r="K157" s="305">
        <f>Humidity!J45</f>
        <v>0</v>
      </c>
      <c r="L157" s="305">
        <f>Humidity!K45</f>
        <v>0</v>
      </c>
      <c r="M157" s="305">
        <f>Humidity!L45</f>
        <v>0</v>
      </c>
      <c r="N157" s="305">
        <f>Humidity!M45</f>
        <v>0</v>
      </c>
      <c r="O157" s="305">
        <f>Humidity!N45</f>
        <v>0</v>
      </c>
      <c r="P157" s="305">
        <f>Humidity!O45</f>
        <v>0</v>
      </c>
      <c r="Q157" s="305">
        <f>Humidity!P45</f>
        <v>0</v>
      </c>
      <c r="R157" s="305">
        <f>Humidity!Q45</f>
        <v>8.0610000000000005E-3</v>
      </c>
      <c r="S157" s="305">
        <f>Humidity!R45</f>
        <v>6.4580000000000002E-3</v>
      </c>
    </row>
    <row r="158" spans="1:20" ht="15" customHeight="1">
      <c r="B158" s="305" t="s">
        <v>966</v>
      </c>
      <c r="C158" s="305">
        <f>Humidity!B46</f>
        <v>1.4200000000000001E-2</v>
      </c>
      <c r="D158" s="305">
        <f>Humidity!C46</f>
        <v>1.2579999999999999E-2</v>
      </c>
      <c r="E158" s="305">
        <f>Humidity!D46</f>
        <v>0</v>
      </c>
      <c r="F158" s="305">
        <f>Humidity!E46</f>
        <v>8.8590000000000006E-3</v>
      </c>
      <c r="G158" s="305">
        <f>Humidity!F46</f>
        <v>0</v>
      </c>
      <c r="H158" s="305">
        <f>Humidity!G46</f>
        <v>0</v>
      </c>
      <c r="I158" s="305">
        <f>Humidity!H46</f>
        <v>5.8789999999999997E-3</v>
      </c>
      <c r="J158" s="305">
        <f>Humidity!I46</f>
        <v>0</v>
      </c>
      <c r="K158" s="305">
        <f>Humidity!J46</f>
        <v>0</v>
      </c>
      <c r="L158" s="305">
        <f>Humidity!K46</f>
        <v>0</v>
      </c>
      <c r="M158" s="305">
        <f>Humidity!L46</f>
        <v>0</v>
      </c>
      <c r="N158" s="305">
        <f>Humidity!M46</f>
        <v>0</v>
      </c>
      <c r="O158" s="305">
        <f>Humidity!N46</f>
        <v>0</v>
      </c>
      <c r="P158" s="305">
        <f>Humidity!O46</f>
        <v>0</v>
      </c>
      <c r="Q158" s="305">
        <f>Humidity!P46</f>
        <v>0</v>
      </c>
      <c r="R158" s="305">
        <f>Humidity!Q46</f>
        <v>1.0699999999999999E-2</v>
      </c>
      <c r="S158" s="305">
        <f>Humidity!R46</f>
        <v>1.091E-2</v>
      </c>
    </row>
    <row r="159" spans="1:20" ht="15" customHeight="1">
      <c r="B159" s="305" t="s">
        <v>967</v>
      </c>
      <c r="C159" s="305">
        <f>Humidity!B47</f>
        <v>1.6289999999999999E-2</v>
      </c>
      <c r="D159" s="305">
        <f>Humidity!C47</f>
        <v>1.6219999999999998E-2</v>
      </c>
      <c r="E159" s="305">
        <f>Humidity!D47</f>
        <v>0</v>
      </c>
      <c r="F159" s="305">
        <f>Humidity!E47</f>
        <v>1.2749999999999999E-2</v>
      </c>
      <c r="G159" s="305">
        <f>Humidity!F47</f>
        <v>0</v>
      </c>
      <c r="H159" s="305">
        <f>Humidity!G47</f>
        <v>0</v>
      </c>
      <c r="I159" s="305">
        <f>Humidity!H47</f>
        <v>9.5149999999999992E-3</v>
      </c>
      <c r="J159" s="305">
        <f>Humidity!I47</f>
        <v>0</v>
      </c>
      <c r="K159" s="305">
        <f>Humidity!J47</f>
        <v>0</v>
      </c>
      <c r="L159" s="305">
        <f>Humidity!K47</f>
        <v>0</v>
      </c>
      <c r="M159" s="305">
        <f>Humidity!L47</f>
        <v>0</v>
      </c>
      <c r="N159" s="305">
        <f>Humidity!M47</f>
        <v>0</v>
      </c>
      <c r="O159" s="305">
        <f>Humidity!N47</f>
        <v>0</v>
      </c>
      <c r="P159" s="305">
        <f>Humidity!O47</f>
        <v>0</v>
      </c>
      <c r="Q159" s="305">
        <f>Humidity!P47</f>
        <v>0</v>
      </c>
      <c r="R159" s="305">
        <f>Humidity!Q47</f>
        <v>1.371E-2</v>
      </c>
      <c r="S159" s="305">
        <f>Humidity!R47</f>
        <v>1.4019999999999999E-2</v>
      </c>
    </row>
    <row r="160" spans="1:20" ht="15" customHeight="1">
      <c r="B160" s="305" t="s">
        <v>968</v>
      </c>
      <c r="C160" s="305">
        <f>Humidity!B48</f>
        <v>1.6670000000000001E-2</v>
      </c>
      <c r="D160" s="305">
        <f>Humidity!C48</f>
        <v>1.6740000000000001E-2</v>
      </c>
      <c r="E160" s="305">
        <f>Humidity!D48</f>
        <v>0</v>
      </c>
      <c r="F160" s="305">
        <f>Humidity!E48</f>
        <v>1.426E-2</v>
      </c>
      <c r="G160" s="305">
        <f>Humidity!F48</f>
        <v>0</v>
      </c>
      <c r="H160" s="305">
        <f>Humidity!G48</f>
        <v>0</v>
      </c>
      <c r="I160" s="305">
        <f>Humidity!H48</f>
        <v>1.163E-2</v>
      </c>
      <c r="J160" s="305">
        <f>Humidity!I48</f>
        <v>0</v>
      </c>
      <c r="K160" s="305">
        <f>Humidity!J48</f>
        <v>0</v>
      </c>
      <c r="L160" s="305">
        <f>Humidity!K48</f>
        <v>0</v>
      </c>
      <c r="M160" s="305">
        <f>Humidity!L48</f>
        <v>0</v>
      </c>
      <c r="N160" s="305">
        <f>Humidity!M48</f>
        <v>0</v>
      </c>
      <c r="O160" s="305">
        <f>Humidity!N48</f>
        <v>0</v>
      </c>
      <c r="P160" s="305">
        <f>Humidity!O48</f>
        <v>0</v>
      </c>
      <c r="Q160" s="305">
        <f>Humidity!P48</f>
        <v>0</v>
      </c>
      <c r="R160" s="305">
        <f>Humidity!Q48</f>
        <v>1.668E-2</v>
      </c>
      <c r="S160" s="305">
        <f>Humidity!R48</f>
        <v>1.6289999999999999E-2</v>
      </c>
    </row>
    <row r="161" spans="2:19" ht="15" customHeight="1">
      <c r="B161" s="305" t="s">
        <v>969</v>
      </c>
      <c r="C161" s="305">
        <f>Humidity!B49</f>
        <v>1.686E-2</v>
      </c>
      <c r="D161" s="305">
        <f>Humidity!C49</f>
        <v>1.6830000000000001E-2</v>
      </c>
      <c r="E161" s="305">
        <f>Humidity!D49</f>
        <v>0</v>
      </c>
      <c r="F161" s="305">
        <f>Humidity!E49</f>
        <v>1.239E-2</v>
      </c>
      <c r="G161" s="305">
        <f>Humidity!F49</f>
        <v>0</v>
      </c>
      <c r="H161" s="305">
        <f>Humidity!G49</f>
        <v>0</v>
      </c>
      <c r="I161" s="305">
        <f>Humidity!H49</f>
        <v>1.059E-2</v>
      </c>
      <c r="J161" s="305">
        <f>Humidity!I49</f>
        <v>0</v>
      </c>
      <c r="K161" s="305">
        <f>Humidity!J49</f>
        <v>0</v>
      </c>
      <c r="L161" s="305">
        <f>Humidity!K49</f>
        <v>0</v>
      </c>
      <c r="M161" s="305">
        <f>Humidity!L49</f>
        <v>0</v>
      </c>
      <c r="N161" s="305">
        <f>Humidity!M49</f>
        <v>0</v>
      </c>
      <c r="O161" s="305">
        <f>Humidity!N49</f>
        <v>0</v>
      </c>
      <c r="P161" s="305">
        <f>Humidity!O49</f>
        <v>0</v>
      </c>
      <c r="Q161" s="305">
        <f>Humidity!P49</f>
        <v>0</v>
      </c>
      <c r="R161" s="305">
        <f>Humidity!Q49</f>
        <v>1.6760000000000001E-2</v>
      </c>
      <c r="S161" s="305">
        <f>Humidity!R49</f>
        <v>1.626E-2</v>
      </c>
    </row>
    <row r="162" spans="2:19" ht="15" customHeight="1">
      <c r="B162" s="305" t="s">
        <v>970</v>
      </c>
      <c r="C162" s="305">
        <f>Humidity!B50</f>
        <v>1.6320000000000001E-2</v>
      </c>
      <c r="D162" s="305">
        <f>Humidity!C50</f>
        <v>1.145E-2</v>
      </c>
      <c r="E162" s="305">
        <f>Humidity!D50</f>
        <v>0</v>
      </c>
      <c r="F162" s="305">
        <f>Humidity!E50</f>
        <v>1.0970000000000001E-2</v>
      </c>
      <c r="G162" s="305">
        <f>Humidity!F50</f>
        <v>0</v>
      </c>
      <c r="H162" s="305">
        <f>Humidity!G50</f>
        <v>0</v>
      </c>
      <c r="I162" s="305">
        <f>Humidity!H50</f>
        <v>8.8909999999999996E-3</v>
      </c>
      <c r="J162" s="305">
        <f>Humidity!I50</f>
        <v>0</v>
      </c>
      <c r="K162" s="305">
        <f>Humidity!J50</f>
        <v>0</v>
      </c>
      <c r="L162" s="305">
        <f>Humidity!K50</f>
        <v>0</v>
      </c>
      <c r="M162" s="305">
        <f>Humidity!L50</f>
        <v>0</v>
      </c>
      <c r="N162" s="305">
        <f>Humidity!M50</f>
        <v>0</v>
      </c>
      <c r="O162" s="305">
        <f>Humidity!N50</f>
        <v>0</v>
      </c>
      <c r="P162" s="305">
        <f>Humidity!O50</f>
        <v>0</v>
      </c>
      <c r="Q162" s="305">
        <f>Humidity!P50</f>
        <v>0</v>
      </c>
      <c r="R162" s="305">
        <f>Humidity!Q50</f>
        <v>1.404E-2</v>
      </c>
      <c r="S162" s="305">
        <f>Humidity!R50</f>
        <v>1.3559999999999999E-2</v>
      </c>
    </row>
    <row r="163" spans="2:19" ht="15" customHeight="1">
      <c r="B163" s="305" t="s">
        <v>971</v>
      </c>
      <c r="C163" s="305">
        <f>Humidity!B51</f>
        <v>1.4590000000000001E-2</v>
      </c>
      <c r="D163" s="305">
        <f>Humidity!C51</f>
        <v>7.8910000000000004E-3</v>
      </c>
      <c r="E163" s="305">
        <f>Humidity!D51</f>
        <v>0</v>
      </c>
      <c r="F163" s="305">
        <f>Humidity!E51</f>
        <v>5.4270000000000004E-3</v>
      </c>
      <c r="G163" s="305">
        <f>Humidity!F51</f>
        <v>0</v>
      </c>
      <c r="H163" s="305">
        <f>Humidity!G51</f>
        <v>0</v>
      </c>
      <c r="I163" s="305">
        <f>Humidity!H51</f>
        <v>3.9449999999999997E-3</v>
      </c>
      <c r="J163" s="305">
        <f>Humidity!I51</f>
        <v>0</v>
      </c>
      <c r="K163" s="305">
        <f>Humidity!J51</f>
        <v>0</v>
      </c>
      <c r="L163" s="305">
        <f>Humidity!K51</f>
        <v>0</v>
      </c>
      <c r="M163" s="305">
        <f>Humidity!L51</f>
        <v>0</v>
      </c>
      <c r="N163" s="305">
        <f>Humidity!M51</f>
        <v>0</v>
      </c>
      <c r="O163" s="305">
        <f>Humidity!N51</f>
        <v>0</v>
      </c>
      <c r="P163" s="305">
        <f>Humidity!O51</f>
        <v>0</v>
      </c>
      <c r="Q163" s="305">
        <f>Humidity!P51</f>
        <v>0</v>
      </c>
      <c r="R163" s="305">
        <f>Humidity!Q51</f>
        <v>1.0500000000000001E-2</v>
      </c>
      <c r="S163" s="305">
        <f>Humidity!R51</f>
        <v>7.4929999999999997E-3</v>
      </c>
    </row>
    <row r="164" spans="2:19" ht="15" customHeight="1">
      <c r="B164" s="305" t="s">
        <v>972</v>
      </c>
      <c r="C164" s="305">
        <f>Humidity!B52</f>
        <v>1.225E-2</v>
      </c>
      <c r="D164" s="305">
        <f>Humidity!C52</f>
        <v>6.0429999999999998E-3</v>
      </c>
      <c r="E164" s="305">
        <f>Humidity!D52</f>
        <v>0</v>
      </c>
      <c r="F164" s="305">
        <f>Humidity!E52</f>
        <v>4.2989999999999999E-3</v>
      </c>
      <c r="G164" s="305">
        <f>Humidity!F52</f>
        <v>0</v>
      </c>
      <c r="H164" s="305">
        <f>Humidity!G52</f>
        <v>0</v>
      </c>
      <c r="I164" s="305">
        <f>Humidity!H52</f>
        <v>3.2200000000000002E-3</v>
      </c>
      <c r="J164" s="305">
        <f>Humidity!I52</f>
        <v>0</v>
      </c>
      <c r="K164" s="305">
        <f>Humidity!J52</f>
        <v>0</v>
      </c>
      <c r="L164" s="305">
        <f>Humidity!K52</f>
        <v>0</v>
      </c>
      <c r="M164" s="305">
        <f>Humidity!L52</f>
        <v>0</v>
      </c>
      <c r="N164" s="305">
        <f>Humidity!M52</f>
        <v>0</v>
      </c>
      <c r="O164" s="305">
        <f>Humidity!N52</f>
        <v>0</v>
      </c>
      <c r="P164" s="305">
        <f>Humidity!O52</f>
        <v>0</v>
      </c>
      <c r="Q164" s="305">
        <f>Humidity!P52</f>
        <v>0</v>
      </c>
      <c r="R164" s="305">
        <f>Humidity!Q52</f>
        <v>7.1399999999999996E-3</v>
      </c>
      <c r="S164" s="305">
        <f>Humidity!R52</f>
        <v>5.2579999999999997E-3</v>
      </c>
    </row>
    <row r="165" spans="2:19" ht="15" customHeight="1">
      <c r="B165" s="305" t="s">
        <v>973</v>
      </c>
      <c r="C165" s="305">
        <f>Humidity!B53</f>
        <v>8.7150000000000005E-3</v>
      </c>
      <c r="D165" s="305">
        <f>Humidity!C53</f>
        <v>4.2940000000000001E-3</v>
      </c>
      <c r="E165" s="305">
        <f>Humidity!D53</f>
        <v>0</v>
      </c>
      <c r="F165" s="305">
        <f>Humidity!E53</f>
        <v>2.2769999999999999E-3</v>
      </c>
      <c r="G165" s="305">
        <f>Humidity!F53</f>
        <v>0</v>
      </c>
      <c r="H165" s="305">
        <f>Humidity!G53</f>
        <v>0</v>
      </c>
      <c r="I165" s="305">
        <f>Humidity!H53</f>
        <v>1.505E-3</v>
      </c>
      <c r="J165" s="305">
        <f>Humidity!I53</f>
        <v>0</v>
      </c>
      <c r="K165" s="305">
        <f>Humidity!J53</f>
        <v>0</v>
      </c>
      <c r="L165" s="305">
        <f>Humidity!K53</f>
        <v>0</v>
      </c>
      <c r="M165" s="305">
        <f>Humidity!L53</f>
        <v>0</v>
      </c>
      <c r="N165" s="305">
        <f>Humidity!M53</f>
        <v>0</v>
      </c>
      <c r="O165" s="305">
        <f>Humidity!N53</f>
        <v>0</v>
      </c>
      <c r="P165" s="305">
        <f>Humidity!O53</f>
        <v>0</v>
      </c>
      <c r="Q165" s="305">
        <f>Humidity!P53</f>
        <v>0</v>
      </c>
      <c r="R165" s="305">
        <f>Humidity!Q53</f>
        <v>6.6519999999999999E-3</v>
      </c>
      <c r="S165" s="305">
        <f>Humidity!R53</f>
        <v>2.604E-3</v>
      </c>
    </row>
    <row r="166" spans="2:19" ht="15" customHeight="1">
      <c r="B166" s="305" t="s">
        <v>974</v>
      </c>
      <c r="C166" s="13">
        <f>Humidity!B59</f>
        <v>1.3089999999999999E-2</v>
      </c>
      <c r="D166" s="275">
        <f>Humidity!C59</f>
        <v>8.8339999999999998E-3</v>
      </c>
      <c r="E166" s="275">
        <f>Humidity!D59</f>
        <v>0</v>
      </c>
      <c r="F166" s="275">
        <f>Humidity!E59</f>
        <v>5.5209999999999999E-3</v>
      </c>
      <c r="G166" s="275">
        <f>Humidity!F59</f>
        <v>0</v>
      </c>
      <c r="H166" s="275">
        <f>Humidity!G59</f>
        <v>0</v>
      </c>
      <c r="I166" s="275">
        <f>Humidity!H59</f>
        <v>3.2390000000000001E-3</v>
      </c>
      <c r="J166" s="275">
        <f>Humidity!I59</f>
        <v>0</v>
      </c>
      <c r="K166" s="275">
        <f>Humidity!J59</f>
        <v>0</v>
      </c>
      <c r="L166" s="275">
        <f>Humidity!K59</f>
        <v>0</v>
      </c>
      <c r="M166" s="275">
        <f>Humidity!L59</f>
        <v>0</v>
      </c>
      <c r="N166" s="275">
        <f>Humidity!M59</f>
        <v>0</v>
      </c>
      <c r="O166" s="275">
        <f>Humidity!N59</f>
        <v>0</v>
      </c>
      <c r="P166" s="275">
        <f>Humidity!O59</f>
        <v>0</v>
      </c>
      <c r="Q166" s="275">
        <f>Humidity!P59</f>
        <v>0</v>
      </c>
      <c r="R166" s="275">
        <f>Humidity!Q59</f>
        <v>1.0449999999999999E-2</v>
      </c>
      <c r="S166" s="275">
        <f>Humidity!R59</f>
        <v>6.9750000000000003E-3</v>
      </c>
    </row>
    <row r="167" spans="2:19" ht="15" customHeight="1">
      <c r="B167" s="305" t="s">
        <v>975</v>
      </c>
      <c r="C167" s="275">
        <f>Humidity!B60</f>
        <v>1.312E-2</v>
      </c>
      <c r="D167" s="275">
        <f>Humidity!C60</f>
        <v>1.022E-2</v>
      </c>
      <c r="E167" s="275">
        <f>Humidity!D60</f>
        <v>0</v>
      </c>
      <c r="F167" s="275">
        <f>Humidity!E60</f>
        <v>5.0109999999999998E-3</v>
      </c>
      <c r="G167" s="275">
        <f>Humidity!F60</f>
        <v>0</v>
      </c>
      <c r="H167" s="275">
        <f>Humidity!G60</f>
        <v>0</v>
      </c>
      <c r="I167" s="275">
        <f>Humidity!H60</f>
        <v>3.6640000000000002E-3</v>
      </c>
      <c r="J167" s="275">
        <f>Humidity!I60</f>
        <v>0</v>
      </c>
      <c r="K167" s="275">
        <f>Humidity!J60</f>
        <v>0</v>
      </c>
      <c r="L167" s="275">
        <f>Humidity!K60</f>
        <v>0</v>
      </c>
      <c r="M167" s="275">
        <f>Humidity!L60</f>
        <v>0</v>
      </c>
      <c r="N167" s="275">
        <f>Humidity!M60</f>
        <v>0</v>
      </c>
      <c r="O167" s="275">
        <f>Humidity!N60</f>
        <v>0</v>
      </c>
      <c r="P167" s="275">
        <f>Humidity!O60</f>
        <v>0</v>
      </c>
      <c r="Q167" s="275">
        <f>Humidity!P60</f>
        <v>0</v>
      </c>
      <c r="R167" s="275">
        <f>Humidity!Q60</f>
        <v>1.132E-2</v>
      </c>
      <c r="S167" s="275">
        <f>Humidity!R60</f>
        <v>7.0429999999999998E-3</v>
      </c>
    </row>
    <row r="168" spans="2:19" ht="15" customHeight="1">
      <c r="B168" s="305" t="s">
        <v>976</v>
      </c>
      <c r="C168" s="275">
        <f>Humidity!B61</f>
        <v>1.418E-2</v>
      </c>
      <c r="D168" s="275">
        <f>Humidity!C61</f>
        <v>1.196E-2</v>
      </c>
      <c r="E168" s="275">
        <f>Humidity!D61</f>
        <v>0</v>
      </c>
      <c r="F168" s="275">
        <f>Humidity!E61</f>
        <v>8.2719999999999998E-3</v>
      </c>
      <c r="G168" s="275">
        <f>Humidity!F61</f>
        <v>0</v>
      </c>
      <c r="H168" s="275">
        <f>Humidity!G61</f>
        <v>0</v>
      </c>
      <c r="I168" s="275">
        <f>Humidity!H61</f>
        <v>4.254E-3</v>
      </c>
      <c r="J168" s="275">
        <f>Humidity!I61</f>
        <v>0</v>
      </c>
      <c r="K168" s="275">
        <f>Humidity!J61</f>
        <v>0</v>
      </c>
      <c r="L168" s="275">
        <f>Humidity!K61</f>
        <v>0</v>
      </c>
      <c r="M168" s="275">
        <f>Humidity!L61</f>
        <v>0</v>
      </c>
      <c r="N168" s="275">
        <f>Humidity!M61</f>
        <v>0</v>
      </c>
      <c r="O168" s="275">
        <f>Humidity!N61</f>
        <v>0</v>
      </c>
      <c r="P168" s="275">
        <f>Humidity!O61</f>
        <v>0</v>
      </c>
      <c r="Q168" s="275">
        <f>Humidity!P61</f>
        <v>0</v>
      </c>
      <c r="R168" s="275">
        <f>Humidity!Q61</f>
        <v>1.102E-2</v>
      </c>
      <c r="S168" s="275">
        <f>Humidity!R61</f>
        <v>0.01</v>
      </c>
    </row>
    <row r="169" spans="2:19" ht="15" customHeight="1">
      <c r="B169" s="305" t="s">
        <v>977</v>
      </c>
      <c r="C169" s="275">
        <f>Humidity!B62</f>
        <v>1.405E-2</v>
      </c>
      <c r="D169" s="275">
        <f>Humidity!C62</f>
        <v>1.41E-2</v>
      </c>
      <c r="E169" s="275">
        <f>Humidity!D62</f>
        <v>0</v>
      </c>
      <c r="F169" s="275">
        <f>Humidity!E62</f>
        <v>9.9340000000000001E-3</v>
      </c>
      <c r="G169" s="275">
        <f>Humidity!F62</f>
        <v>0</v>
      </c>
      <c r="H169" s="275">
        <f>Humidity!G62</f>
        <v>0</v>
      </c>
      <c r="I169" s="275">
        <f>Humidity!H62</f>
        <v>7.2680000000000002E-3</v>
      </c>
      <c r="J169" s="275">
        <f>Humidity!I62</f>
        <v>0</v>
      </c>
      <c r="K169" s="275">
        <f>Humidity!J62</f>
        <v>0</v>
      </c>
      <c r="L169" s="275">
        <f>Humidity!K62</f>
        <v>0</v>
      </c>
      <c r="M169" s="275">
        <f>Humidity!L62</f>
        <v>0</v>
      </c>
      <c r="N169" s="275">
        <f>Humidity!M62</f>
        <v>0</v>
      </c>
      <c r="O169" s="275">
        <f>Humidity!N62</f>
        <v>0</v>
      </c>
      <c r="P169" s="275">
        <f>Humidity!O62</f>
        <v>0</v>
      </c>
      <c r="Q169" s="275">
        <f>Humidity!P62</f>
        <v>0</v>
      </c>
      <c r="R169" s="275">
        <f>Humidity!Q62</f>
        <v>1.208E-2</v>
      </c>
      <c r="S169" s="275">
        <f>Humidity!R62</f>
        <v>1.1299999999999999E-2</v>
      </c>
    </row>
    <row r="170" spans="2:19" ht="15" customHeight="1">
      <c r="B170" s="305" t="s">
        <v>978</v>
      </c>
      <c r="C170" s="275">
        <f>Humidity!B63</f>
        <v>1.6299999999999999E-2</v>
      </c>
      <c r="D170" s="275">
        <f>Humidity!C63</f>
        <v>1.5789999999999998E-2</v>
      </c>
      <c r="E170" s="275">
        <f>Humidity!D63</f>
        <v>0</v>
      </c>
      <c r="F170" s="275">
        <f>Humidity!E63</f>
        <v>1.43E-2</v>
      </c>
      <c r="G170" s="275">
        <f>Humidity!F63</f>
        <v>0</v>
      </c>
      <c r="H170" s="275">
        <f>Humidity!G63</f>
        <v>0</v>
      </c>
      <c r="I170" s="275">
        <f>Humidity!H63</f>
        <v>1.107E-2</v>
      </c>
      <c r="J170" s="275">
        <f>Humidity!I63</f>
        <v>0</v>
      </c>
      <c r="K170" s="275">
        <f>Humidity!J63</f>
        <v>0</v>
      </c>
      <c r="L170" s="275">
        <f>Humidity!K63</f>
        <v>0</v>
      </c>
      <c r="M170" s="275">
        <f>Humidity!L63</f>
        <v>0</v>
      </c>
      <c r="N170" s="275">
        <f>Humidity!M63</f>
        <v>0</v>
      </c>
      <c r="O170" s="275">
        <f>Humidity!N63</f>
        <v>0</v>
      </c>
      <c r="P170" s="275">
        <f>Humidity!O63</f>
        <v>0</v>
      </c>
      <c r="Q170" s="275">
        <f>Humidity!P63</f>
        <v>0</v>
      </c>
      <c r="R170" s="275">
        <f>Humidity!Q63</f>
        <v>1.47E-2</v>
      </c>
      <c r="S170" s="275">
        <f>Humidity!R63</f>
        <v>1.461E-2</v>
      </c>
    </row>
    <row r="171" spans="2:19" ht="15" customHeight="1">
      <c r="B171" s="305" t="s">
        <v>979</v>
      </c>
      <c r="C171" s="275">
        <f>Humidity!B64</f>
        <v>1.805E-2</v>
      </c>
      <c r="D171" s="275">
        <f>Humidity!C64</f>
        <v>1.8010000000000002E-2</v>
      </c>
      <c r="E171" s="275">
        <f>Humidity!D64</f>
        <v>0</v>
      </c>
      <c r="F171" s="275">
        <f>Humidity!E64</f>
        <v>1.6299999999999999E-2</v>
      </c>
      <c r="G171" s="275">
        <f>Humidity!F64</f>
        <v>0</v>
      </c>
      <c r="H171" s="275">
        <f>Humidity!G64</f>
        <v>0</v>
      </c>
      <c r="I171" s="275">
        <f>Humidity!H64</f>
        <v>1.329E-2</v>
      </c>
      <c r="J171" s="275">
        <f>Humidity!I64</f>
        <v>0</v>
      </c>
      <c r="K171" s="275">
        <f>Humidity!J64</f>
        <v>0</v>
      </c>
      <c r="L171" s="275">
        <f>Humidity!K64</f>
        <v>0</v>
      </c>
      <c r="M171" s="275">
        <f>Humidity!L64</f>
        <v>0</v>
      </c>
      <c r="N171" s="275">
        <f>Humidity!M64</f>
        <v>0</v>
      </c>
      <c r="O171" s="275">
        <f>Humidity!N64</f>
        <v>0</v>
      </c>
      <c r="P171" s="275">
        <f>Humidity!O64</f>
        <v>0</v>
      </c>
      <c r="Q171" s="275">
        <f>Humidity!P64</f>
        <v>0</v>
      </c>
      <c r="R171" s="275">
        <f>Humidity!Q64</f>
        <v>1.6549999999999999E-2</v>
      </c>
      <c r="S171" s="275">
        <f>Humidity!R64</f>
        <v>1.797E-2</v>
      </c>
    </row>
    <row r="172" spans="2:19" ht="15" customHeight="1">
      <c r="B172" s="305" t="s">
        <v>980</v>
      </c>
      <c r="C172" s="275">
        <f>Humidity!B65</f>
        <v>1.8460000000000001E-2</v>
      </c>
      <c r="D172" s="275">
        <f>Humidity!C65</f>
        <v>1.8630000000000001E-2</v>
      </c>
      <c r="E172" s="275">
        <f>Humidity!D65</f>
        <v>0</v>
      </c>
      <c r="F172" s="275">
        <f>Humidity!E65</f>
        <v>1.6910000000000001E-2</v>
      </c>
      <c r="G172" s="275">
        <f>Humidity!F65</f>
        <v>0</v>
      </c>
      <c r="H172" s="275">
        <f>Humidity!G65</f>
        <v>0</v>
      </c>
      <c r="I172" s="275">
        <f>Humidity!H65</f>
        <v>1.545E-2</v>
      </c>
      <c r="J172" s="275">
        <f>Humidity!I65</f>
        <v>0</v>
      </c>
      <c r="K172" s="275">
        <f>Humidity!J65</f>
        <v>0</v>
      </c>
      <c r="L172" s="275">
        <f>Humidity!K65</f>
        <v>0</v>
      </c>
      <c r="M172" s="275">
        <f>Humidity!L65</f>
        <v>0</v>
      </c>
      <c r="N172" s="275">
        <f>Humidity!M65</f>
        <v>0</v>
      </c>
      <c r="O172" s="275">
        <f>Humidity!N65</f>
        <v>0</v>
      </c>
      <c r="P172" s="275">
        <f>Humidity!O65</f>
        <v>0</v>
      </c>
      <c r="Q172" s="275">
        <f>Humidity!P65</f>
        <v>0</v>
      </c>
      <c r="R172" s="275">
        <f>Humidity!Q65</f>
        <v>1.8689999999999998E-2</v>
      </c>
      <c r="S172" s="275">
        <f>Humidity!R65</f>
        <v>1.848E-2</v>
      </c>
    </row>
    <row r="173" spans="2:19" ht="15" customHeight="1">
      <c r="B173" s="305" t="s">
        <v>981</v>
      </c>
      <c r="C173" s="275">
        <f>Humidity!B66</f>
        <v>1.8519999999999998E-2</v>
      </c>
      <c r="D173" s="275">
        <f>Humidity!C66</f>
        <v>1.874E-2</v>
      </c>
      <c r="E173" s="275">
        <f>Humidity!D66</f>
        <v>0</v>
      </c>
      <c r="F173" s="275">
        <f>Humidity!E66</f>
        <v>1.6420000000000001E-2</v>
      </c>
      <c r="G173" s="275">
        <f>Humidity!F66</f>
        <v>0</v>
      </c>
      <c r="H173" s="275">
        <f>Humidity!G66</f>
        <v>0</v>
      </c>
      <c r="I173" s="275">
        <f>Humidity!H66</f>
        <v>1.5730000000000001E-2</v>
      </c>
      <c r="J173" s="275">
        <f>Humidity!I66</f>
        <v>0</v>
      </c>
      <c r="K173" s="275">
        <f>Humidity!J66</f>
        <v>0</v>
      </c>
      <c r="L173" s="275">
        <f>Humidity!K66</f>
        <v>0</v>
      </c>
      <c r="M173" s="275">
        <f>Humidity!L66</f>
        <v>0</v>
      </c>
      <c r="N173" s="275">
        <f>Humidity!M66</f>
        <v>0</v>
      </c>
      <c r="O173" s="275">
        <f>Humidity!N66</f>
        <v>0</v>
      </c>
      <c r="P173" s="275">
        <f>Humidity!O66</f>
        <v>0</v>
      </c>
      <c r="Q173" s="275">
        <f>Humidity!P66</f>
        <v>0</v>
      </c>
      <c r="R173" s="275">
        <f>Humidity!Q66</f>
        <v>1.7989999999999999E-2</v>
      </c>
      <c r="S173" s="275">
        <f>Humidity!R66</f>
        <v>1.763E-2</v>
      </c>
    </row>
    <row r="174" spans="2:19" ht="15" customHeight="1">
      <c r="B174" s="305" t="s">
        <v>982</v>
      </c>
      <c r="C174" s="275">
        <f>Humidity!B67</f>
        <v>1.8010000000000002E-2</v>
      </c>
      <c r="D174" s="275">
        <f>Humidity!C67</f>
        <v>1.7670000000000002E-2</v>
      </c>
      <c r="E174" s="275">
        <f>Humidity!D67</f>
        <v>0</v>
      </c>
      <c r="F174" s="275">
        <f>Humidity!E67</f>
        <v>1.6830000000000001E-2</v>
      </c>
      <c r="G174" s="275">
        <f>Humidity!F67</f>
        <v>0</v>
      </c>
      <c r="H174" s="275">
        <f>Humidity!G67</f>
        <v>0</v>
      </c>
      <c r="I174" s="275">
        <f>Humidity!H67</f>
        <v>1.473E-2</v>
      </c>
      <c r="J174" s="275">
        <f>Humidity!I67</f>
        <v>0</v>
      </c>
      <c r="K174" s="275">
        <f>Humidity!J67</f>
        <v>0</v>
      </c>
      <c r="L174" s="275">
        <f>Humidity!K67</f>
        <v>0</v>
      </c>
      <c r="M174" s="275">
        <f>Humidity!L67</f>
        <v>0</v>
      </c>
      <c r="N174" s="275">
        <f>Humidity!M67</f>
        <v>0</v>
      </c>
      <c r="O174" s="275">
        <f>Humidity!N67</f>
        <v>0</v>
      </c>
      <c r="P174" s="275">
        <f>Humidity!O67</f>
        <v>0</v>
      </c>
      <c r="Q174" s="275">
        <f>Humidity!P67</f>
        <v>0</v>
      </c>
      <c r="R174" s="275">
        <f>Humidity!Q67</f>
        <v>1.6729999999999998E-2</v>
      </c>
      <c r="S174" s="275">
        <f>Humidity!R67</f>
        <v>1.5789999999999998E-2</v>
      </c>
    </row>
    <row r="175" spans="2:19" ht="15" customHeight="1">
      <c r="B175" s="305" t="s">
        <v>983</v>
      </c>
      <c r="C175" s="275">
        <f>Humidity!B68</f>
        <v>1.7479999999999999E-2</v>
      </c>
      <c r="D175" s="275">
        <f>Humidity!C68</f>
        <v>1.274E-2</v>
      </c>
      <c r="E175" s="275">
        <f>Humidity!D68</f>
        <v>0</v>
      </c>
      <c r="F175" s="275">
        <f>Humidity!E68</f>
        <v>9.6229999999999996E-3</v>
      </c>
      <c r="G175" s="275">
        <f>Humidity!F68</f>
        <v>0</v>
      </c>
      <c r="H175" s="275">
        <f>Humidity!G68</f>
        <v>0</v>
      </c>
      <c r="I175" s="275">
        <f>Humidity!H68</f>
        <v>7.8040000000000002E-3</v>
      </c>
      <c r="J175" s="275">
        <f>Humidity!I68</f>
        <v>0</v>
      </c>
      <c r="K175" s="275">
        <f>Humidity!J68</f>
        <v>0</v>
      </c>
      <c r="L175" s="275">
        <f>Humidity!K68</f>
        <v>0</v>
      </c>
      <c r="M175" s="275">
        <f>Humidity!L68</f>
        <v>0</v>
      </c>
      <c r="N175" s="275">
        <f>Humidity!M68</f>
        <v>0</v>
      </c>
      <c r="O175" s="275">
        <f>Humidity!N68</f>
        <v>0</v>
      </c>
      <c r="P175" s="275">
        <f>Humidity!O68</f>
        <v>0</v>
      </c>
      <c r="Q175" s="275">
        <f>Humidity!P68</f>
        <v>0</v>
      </c>
      <c r="R175" s="275">
        <f>Humidity!Q68</f>
        <v>1.7749999999999998E-2</v>
      </c>
      <c r="S175" s="275">
        <f>Humidity!R68</f>
        <v>1.3180000000000001E-2</v>
      </c>
    </row>
    <row r="176" spans="2:19" ht="15" customHeight="1">
      <c r="B176" s="305" t="s">
        <v>984</v>
      </c>
      <c r="C176" s="275">
        <f>Humidity!B69</f>
        <v>1.6619999999999999E-2</v>
      </c>
      <c r="D176" s="275">
        <f>Humidity!C69</f>
        <v>1.3089999999999999E-2</v>
      </c>
      <c r="E176" s="275">
        <f>Humidity!D69</f>
        <v>0</v>
      </c>
      <c r="F176" s="275">
        <f>Humidity!E69</f>
        <v>7.7149999999999996E-3</v>
      </c>
      <c r="G176" s="275">
        <f>Humidity!F69</f>
        <v>0</v>
      </c>
      <c r="H176" s="275">
        <f>Humidity!G69</f>
        <v>0</v>
      </c>
      <c r="I176" s="275">
        <f>Humidity!H69</f>
        <v>5.9290000000000002E-3</v>
      </c>
      <c r="J176" s="275">
        <f>Humidity!I69</f>
        <v>0</v>
      </c>
      <c r="K176" s="275">
        <f>Humidity!J69</f>
        <v>0</v>
      </c>
      <c r="L176" s="275">
        <f>Humidity!K69</f>
        <v>0</v>
      </c>
      <c r="M176" s="275">
        <f>Humidity!L69</f>
        <v>0</v>
      </c>
      <c r="N176" s="275">
        <f>Humidity!M69</f>
        <v>0</v>
      </c>
      <c r="O176" s="275">
        <f>Humidity!N69</f>
        <v>0</v>
      </c>
      <c r="P176" s="275">
        <f>Humidity!O69</f>
        <v>0</v>
      </c>
      <c r="Q176" s="275">
        <f>Humidity!P69</f>
        <v>0</v>
      </c>
      <c r="R176" s="275">
        <f>Humidity!Q69</f>
        <v>1.188E-2</v>
      </c>
      <c r="S176" s="275">
        <f>Humidity!R69</f>
        <v>1.1429999999999999E-2</v>
      </c>
    </row>
    <row r="177" spans="1:22" ht="15" customHeight="1">
      <c r="B177" s="305" t="s">
        <v>985</v>
      </c>
      <c r="C177" s="275">
        <f>Humidity!B70</f>
        <v>1.452E-2</v>
      </c>
      <c r="D177" s="275">
        <f>Humidity!C70</f>
        <v>9.1240000000000002E-3</v>
      </c>
      <c r="E177" s="275">
        <f>Humidity!D70</f>
        <v>0</v>
      </c>
      <c r="F177" s="275">
        <f>Humidity!E70</f>
        <v>5.0899999999999999E-3</v>
      </c>
      <c r="G177" s="275">
        <f>Humidity!F70</f>
        <v>0</v>
      </c>
      <c r="H177" s="275">
        <f>Humidity!G70</f>
        <v>0</v>
      </c>
      <c r="I177" s="275">
        <f>Humidity!H70</f>
        <v>3.7090000000000001E-3</v>
      </c>
      <c r="J177" s="275">
        <f>Humidity!I70</f>
        <v>0</v>
      </c>
      <c r="K177" s="275">
        <f>Humidity!J70</f>
        <v>0</v>
      </c>
      <c r="L177" s="275">
        <f>Humidity!K70</f>
        <v>0</v>
      </c>
      <c r="M177" s="275">
        <f>Humidity!L70</f>
        <v>0</v>
      </c>
      <c r="N177" s="275">
        <f>Humidity!M70</f>
        <v>0</v>
      </c>
      <c r="O177" s="275">
        <f>Humidity!N70</f>
        <v>0</v>
      </c>
      <c r="P177" s="275">
        <f>Humidity!O70</f>
        <v>0</v>
      </c>
      <c r="Q177" s="275">
        <f>Humidity!P70</f>
        <v>0</v>
      </c>
      <c r="R177" s="275">
        <f>Humidity!Q70</f>
        <v>1.0070000000000001E-2</v>
      </c>
      <c r="S177" s="275">
        <f>Humidity!R70</f>
        <v>8.9569999999999997E-3</v>
      </c>
    </row>
    <row r="178" spans="1:22" ht="15" customHeight="1">
      <c r="B178" s="305" t="s">
        <v>1066</v>
      </c>
      <c r="C178" s="13">
        <f>Humidity!B8</f>
        <v>0</v>
      </c>
      <c r="D178" s="275">
        <f>Humidity!C8</f>
        <v>0</v>
      </c>
      <c r="E178" s="275">
        <f>Humidity!D8</f>
        <v>0</v>
      </c>
      <c r="F178" s="275">
        <f>Humidity!E8</f>
        <v>0</v>
      </c>
      <c r="G178" s="275">
        <f>Humidity!F8</f>
        <v>0</v>
      </c>
      <c r="H178" s="275">
        <f>Humidity!G8</f>
        <v>0</v>
      </c>
      <c r="I178" s="275">
        <f>Humidity!H8</f>
        <v>0</v>
      </c>
      <c r="J178" s="275">
        <f>Humidity!I8</f>
        <v>0</v>
      </c>
      <c r="K178" s="275">
        <f>Humidity!J8</f>
        <v>0</v>
      </c>
      <c r="L178" s="275">
        <f>Humidity!K8</f>
        <v>0</v>
      </c>
      <c r="M178" s="275">
        <f>Humidity!L8</f>
        <v>0</v>
      </c>
      <c r="N178" s="275">
        <f>Humidity!M8</f>
        <v>0</v>
      </c>
      <c r="O178" s="275">
        <f>Humidity!N8</f>
        <v>0</v>
      </c>
      <c r="P178" s="275">
        <f>Humidity!O8</f>
        <v>0</v>
      </c>
      <c r="Q178" s="275">
        <f>Humidity!P8</f>
        <v>0</v>
      </c>
      <c r="R178" s="275">
        <f>Humidity!Q8</f>
        <v>0</v>
      </c>
      <c r="S178" s="275">
        <f>Humidity!R8</f>
        <v>0</v>
      </c>
    </row>
    <row r="179" spans="1:22" ht="15" customHeight="1">
      <c r="B179" s="305" t="s">
        <v>1067</v>
      </c>
      <c r="C179" s="275">
        <f>Humidity!B9</f>
        <v>0</v>
      </c>
      <c r="D179" s="275">
        <f>Humidity!C9</f>
        <v>0</v>
      </c>
      <c r="E179" s="275">
        <f>Humidity!D9</f>
        <v>0</v>
      </c>
      <c r="F179" s="275">
        <f>Humidity!E9</f>
        <v>0</v>
      </c>
      <c r="G179" s="275">
        <f>Humidity!F9</f>
        <v>0</v>
      </c>
      <c r="H179" s="275">
        <f>Humidity!G9</f>
        <v>0</v>
      </c>
      <c r="I179" s="275">
        <f>Humidity!H9</f>
        <v>0</v>
      </c>
      <c r="J179" s="275">
        <f>Humidity!I9</f>
        <v>0</v>
      </c>
      <c r="K179" s="275">
        <f>Humidity!J9</f>
        <v>0</v>
      </c>
      <c r="L179" s="275">
        <f>Humidity!K9</f>
        <v>0</v>
      </c>
      <c r="M179" s="275">
        <f>Humidity!L9</f>
        <v>0</v>
      </c>
      <c r="N179" s="275">
        <f>Humidity!M9</f>
        <v>0</v>
      </c>
      <c r="O179" s="275">
        <f>Humidity!N9</f>
        <v>0</v>
      </c>
      <c r="P179" s="275">
        <f>Humidity!O9</f>
        <v>0</v>
      </c>
      <c r="Q179" s="275">
        <f>Humidity!P9</f>
        <v>0</v>
      </c>
      <c r="R179" s="275">
        <f>Humidity!Q9</f>
        <v>0</v>
      </c>
      <c r="S179" s="275">
        <f>Humidity!R9</f>
        <v>0</v>
      </c>
      <c r="U179" s="305"/>
      <c r="V179" s="305"/>
    </row>
    <row r="180" spans="1:22" ht="15" customHeight="1">
      <c r="B180" s="305" t="s">
        <v>1068</v>
      </c>
      <c r="C180" s="275">
        <f>Humidity!B10</f>
        <v>0</v>
      </c>
      <c r="D180" s="275">
        <f>Humidity!C10</f>
        <v>0</v>
      </c>
      <c r="E180" s="275">
        <f>Humidity!D10</f>
        <v>0</v>
      </c>
      <c r="F180" s="275">
        <f>Humidity!E10</f>
        <v>0</v>
      </c>
      <c r="G180" s="275">
        <f>Humidity!F10</f>
        <v>0</v>
      </c>
      <c r="H180" s="275">
        <f>Humidity!G10</f>
        <v>0</v>
      </c>
      <c r="I180" s="275">
        <f>Humidity!H10</f>
        <v>0</v>
      </c>
      <c r="J180" s="275">
        <f>Humidity!I10</f>
        <v>0</v>
      </c>
      <c r="K180" s="275">
        <f>Humidity!J10</f>
        <v>0</v>
      </c>
      <c r="L180" s="275">
        <f>Humidity!K10</f>
        <v>0</v>
      </c>
      <c r="M180" s="275">
        <f>Humidity!L10</f>
        <v>0</v>
      </c>
      <c r="N180" s="275">
        <f>Humidity!M10</f>
        <v>0</v>
      </c>
      <c r="O180" s="275">
        <f>Humidity!N10</f>
        <v>0</v>
      </c>
      <c r="P180" s="275">
        <f>Humidity!O10</f>
        <v>0</v>
      </c>
      <c r="Q180" s="275">
        <f>Humidity!P10</f>
        <v>0</v>
      </c>
      <c r="R180" s="275">
        <f>Humidity!Q10</f>
        <v>0</v>
      </c>
      <c r="S180" s="275">
        <f>Humidity!R10</f>
        <v>0</v>
      </c>
      <c r="U180" s="305"/>
      <c r="V180" s="305"/>
    </row>
    <row r="181" spans="1:22" ht="15" customHeight="1">
      <c r="B181" s="305" t="s">
        <v>1069</v>
      </c>
      <c r="C181" s="275">
        <f>Humidity!B11</f>
        <v>0</v>
      </c>
      <c r="D181" s="275">
        <f>Humidity!C11</f>
        <v>0</v>
      </c>
      <c r="E181" s="275">
        <f>Humidity!D11</f>
        <v>0</v>
      </c>
      <c r="F181" s="275">
        <f>Humidity!E11</f>
        <v>0</v>
      </c>
      <c r="G181" s="275">
        <f>Humidity!F11</f>
        <v>0</v>
      </c>
      <c r="H181" s="275">
        <f>Humidity!G11</f>
        <v>0</v>
      </c>
      <c r="I181" s="275">
        <f>Humidity!H11</f>
        <v>0</v>
      </c>
      <c r="J181" s="275">
        <f>Humidity!I11</f>
        <v>0</v>
      </c>
      <c r="K181" s="275">
        <f>Humidity!J11</f>
        <v>0</v>
      </c>
      <c r="L181" s="275">
        <f>Humidity!K11</f>
        <v>0</v>
      </c>
      <c r="M181" s="275">
        <f>Humidity!L11</f>
        <v>0</v>
      </c>
      <c r="N181" s="275">
        <f>Humidity!M11</f>
        <v>0</v>
      </c>
      <c r="O181" s="275">
        <f>Humidity!N11</f>
        <v>0</v>
      </c>
      <c r="P181" s="275">
        <f>Humidity!O11</f>
        <v>0</v>
      </c>
      <c r="Q181" s="275">
        <f>Humidity!P11</f>
        <v>0</v>
      </c>
      <c r="R181" s="275">
        <f>Humidity!Q11</f>
        <v>0</v>
      </c>
      <c r="S181" s="275">
        <f>Humidity!R11</f>
        <v>0</v>
      </c>
      <c r="U181" s="305"/>
      <c r="V181" s="305"/>
    </row>
    <row r="182" spans="1:22" ht="15" customHeight="1">
      <c r="B182" s="305" t="s">
        <v>1071</v>
      </c>
      <c r="C182" s="144" t="str">
        <f>Inputs!C182</f>
        <v>0 0 0</v>
      </c>
      <c r="D182" s="144" t="str">
        <f t="shared" ref="D182:S185" si="56">C182</f>
        <v>0 0 0</v>
      </c>
      <c r="E182" s="144" t="str">
        <f t="shared" si="56"/>
        <v>0 0 0</v>
      </c>
      <c r="F182" s="144" t="str">
        <f t="shared" si="56"/>
        <v>0 0 0</v>
      </c>
      <c r="G182" s="144" t="str">
        <f t="shared" si="56"/>
        <v>0 0 0</v>
      </c>
      <c r="H182" s="144" t="str">
        <f t="shared" si="56"/>
        <v>0 0 0</v>
      </c>
      <c r="I182" s="144" t="str">
        <f t="shared" si="56"/>
        <v>0 0 0</v>
      </c>
      <c r="J182" s="144" t="str">
        <f t="shared" si="56"/>
        <v>0 0 0</v>
      </c>
      <c r="K182" s="144" t="str">
        <f t="shared" si="56"/>
        <v>0 0 0</v>
      </c>
      <c r="L182" s="144" t="str">
        <f t="shared" si="56"/>
        <v>0 0 0</v>
      </c>
      <c r="M182" s="144" t="str">
        <f t="shared" si="56"/>
        <v>0 0 0</v>
      </c>
      <c r="N182" s="144" t="str">
        <f t="shared" si="56"/>
        <v>0 0 0</v>
      </c>
      <c r="O182" s="144" t="str">
        <f t="shared" si="56"/>
        <v>0 0 0</v>
      </c>
      <c r="P182" s="144" t="str">
        <f t="shared" si="56"/>
        <v>0 0 0</v>
      </c>
      <c r="Q182" s="144" t="str">
        <f t="shared" si="56"/>
        <v>0 0 0</v>
      </c>
      <c r="R182" s="144" t="str">
        <f t="shared" si="56"/>
        <v>0 0 0</v>
      </c>
      <c r="S182" s="144" t="str">
        <f t="shared" si="56"/>
        <v>0 0 0</v>
      </c>
    </row>
    <row r="183" spans="1:22" ht="15" customHeight="1">
      <c r="B183" s="305" t="s">
        <v>1072</v>
      </c>
      <c r="C183" s="144" t="str">
        <f>Inputs!C183</f>
        <v>0 0 0</v>
      </c>
      <c r="D183" s="144" t="str">
        <f t="shared" si="56"/>
        <v>0 0 0</v>
      </c>
      <c r="E183" s="144" t="str">
        <f t="shared" si="56"/>
        <v>0 0 0</v>
      </c>
      <c r="F183" s="144" t="str">
        <f t="shared" si="56"/>
        <v>0 0 0</v>
      </c>
      <c r="G183" s="144" t="str">
        <f t="shared" si="56"/>
        <v>0 0 0</v>
      </c>
      <c r="H183" s="144" t="str">
        <f t="shared" si="56"/>
        <v>0 0 0</v>
      </c>
      <c r="I183" s="144" t="str">
        <f t="shared" si="56"/>
        <v>0 0 0</v>
      </c>
      <c r="J183" s="144" t="str">
        <f t="shared" si="56"/>
        <v>0 0 0</v>
      </c>
      <c r="K183" s="144" t="str">
        <f t="shared" si="56"/>
        <v>0 0 0</v>
      </c>
      <c r="L183" s="144" t="str">
        <f t="shared" si="56"/>
        <v>0 0 0</v>
      </c>
      <c r="M183" s="144" t="str">
        <f t="shared" si="56"/>
        <v>0 0 0</v>
      </c>
      <c r="N183" s="144" t="str">
        <f t="shared" si="56"/>
        <v>0 0 0</v>
      </c>
      <c r="O183" s="144" t="str">
        <f t="shared" si="56"/>
        <v>0 0 0</v>
      </c>
      <c r="P183" s="144" t="str">
        <f t="shared" si="56"/>
        <v>0 0 0</v>
      </c>
      <c r="Q183" s="144" t="str">
        <f t="shared" si="56"/>
        <v>0 0 0</v>
      </c>
      <c r="R183" s="144" t="str">
        <f t="shared" si="56"/>
        <v>0 0 0</v>
      </c>
      <c r="S183" s="144" t="str">
        <f t="shared" si="56"/>
        <v>0 0 0</v>
      </c>
    </row>
    <row r="184" spans="1:22" ht="15" customHeight="1">
      <c r="B184" s="305" t="s">
        <v>1074</v>
      </c>
      <c r="C184" s="144">
        <f>Inputs!C184</f>
        <v>0</v>
      </c>
      <c r="D184" s="144">
        <f t="shared" si="56"/>
        <v>0</v>
      </c>
      <c r="E184" s="144">
        <f t="shared" si="56"/>
        <v>0</v>
      </c>
      <c r="F184" s="144">
        <f t="shared" si="56"/>
        <v>0</v>
      </c>
      <c r="G184" s="144">
        <f t="shared" si="56"/>
        <v>0</v>
      </c>
      <c r="H184" s="144">
        <f t="shared" si="56"/>
        <v>0</v>
      </c>
      <c r="I184" s="144">
        <f t="shared" si="56"/>
        <v>0</v>
      </c>
      <c r="J184" s="144">
        <f t="shared" si="56"/>
        <v>0</v>
      </c>
      <c r="K184" s="144">
        <f t="shared" si="56"/>
        <v>0</v>
      </c>
      <c r="L184" s="144">
        <f t="shared" si="56"/>
        <v>0</v>
      </c>
      <c r="M184" s="144">
        <f t="shared" si="56"/>
        <v>0</v>
      </c>
      <c r="N184" s="144">
        <f t="shared" si="56"/>
        <v>0</v>
      </c>
      <c r="O184" s="144">
        <f t="shared" si="56"/>
        <v>0</v>
      </c>
      <c r="P184" s="144">
        <f t="shared" si="56"/>
        <v>0</v>
      </c>
      <c r="Q184" s="144">
        <f t="shared" si="56"/>
        <v>0</v>
      </c>
      <c r="R184" s="144">
        <f t="shared" si="56"/>
        <v>0</v>
      </c>
      <c r="S184" s="144">
        <f t="shared" si="56"/>
        <v>0</v>
      </c>
    </row>
    <row r="185" spans="1:22" ht="15" customHeight="1">
      <c r="B185" s="305" t="s">
        <v>1073</v>
      </c>
      <c r="C185" s="144">
        <f>Inputs!C185</f>
        <v>0</v>
      </c>
      <c r="D185" s="144">
        <f t="shared" si="56"/>
        <v>0</v>
      </c>
      <c r="E185" s="144">
        <f t="shared" si="56"/>
        <v>0</v>
      </c>
      <c r="F185" s="144">
        <f t="shared" si="56"/>
        <v>0</v>
      </c>
      <c r="G185" s="144">
        <f t="shared" si="56"/>
        <v>0</v>
      </c>
      <c r="H185" s="144">
        <f t="shared" si="56"/>
        <v>0</v>
      </c>
      <c r="I185" s="144">
        <f t="shared" si="56"/>
        <v>0</v>
      </c>
      <c r="J185" s="144">
        <f t="shared" si="56"/>
        <v>0</v>
      </c>
      <c r="K185" s="144">
        <f t="shared" si="56"/>
        <v>0</v>
      </c>
      <c r="L185" s="144">
        <f t="shared" si="56"/>
        <v>0</v>
      </c>
      <c r="M185" s="144">
        <f t="shared" si="56"/>
        <v>0</v>
      </c>
      <c r="N185" s="144">
        <f t="shared" si="56"/>
        <v>0</v>
      </c>
      <c r="O185" s="144">
        <f t="shared" si="56"/>
        <v>0</v>
      </c>
      <c r="P185" s="144">
        <f t="shared" si="56"/>
        <v>0</v>
      </c>
      <c r="Q185" s="144">
        <f t="shared" si="56"/>
        <v>0</v>
      </c>
      <c r="R185" s="144">
        <f t="shared" si="56"/>
        <v>0</v>
      </c>
      <c r="S185" s="144">
        <f t="shared" si="56"/>
        <v>0</v>
      </c>
    </row>
    <row r="186" spans="1:22" ht="15" customHeight="1">
      <c r="A186" s="305" t="s">
        <v>1224</v>
      </c>
      <c r="B186" s="305" t="s">
        <v>1210</v>
      </c>
      <c r="C186" s="144">
        <f>Inputs!C186</f>
        <v>0</v>
      </c>
      <c r="D186" s="144">
        <f>C186</f>
        <v>0</v>
      </c>
      <c r="E186" s="144">
        <f t="shared" ref="E186:S186" si="57">D186</f>
        <v>0</v>
      </c>
      <c r="F186" s="144">
        <f t="shared" si="57"/>
        <v>0</v>
      </c>
      <c r="G186" s="144">
        <f t="shared" si="57"/>
        <v>0</v>
      </c>
      <c r="H186" s="144">
        <f t="shared" si="57"/>
        <v>0</v>
      </c>
      <c r="I186" s="144">
        <f t="shared" si="57"/>
        <v>0</v>
      </c>
      <c r="J186" s="144">
        <f t="shared" si="57"/>
        <v>0</v>
      </c>
      <c r="K186" s="144">
        <f t="shared" si="57"/>
        <v>0</v>
      </c>
      <c r="L186" s="144">
        <f t="shared" si="57"/>
        <v>0</v>
      </c>
      <c r="M186" s="144">
        <f t="shared" si="57"/>
        <v>0</v>
      </c>
      <c r="N186" s="144">
        <f t="shared" si="57"/>
        <v>0</v>
      </c>
      <c r="O186" s="144">
        <f t="shared" si="57"/>
        <v>0</v>
      </c>
      <c r="P186" s="144">
        <f t="shared" si="57"/>
        <v>0</v>
      </c>
      <c r="Q186" s="144">
        <f t="shared" si="57"/>
        <v>0</v>
      </c>
      <c r="R186" s="144">
        <f t="shared" si="57"/>
        <v>0</v>
      </c>
      <c r="S186" s="144">
        <f t="shared" si="57"/>
        <v>0</v>
      </c>
    </row>
    <row r="187" spans="1:22" ht="15" customHeight="1">
      <c r="B187" s="305" t="s">
        <v>1212</v>
      </c>
      <c r="C187" s="169">
        <f>Inputs!C187</f>
        <v>1.85</v>
      </c>
      <c r="D187" s="169">
        <f t="shared" ref="D187:S190" si="58">C187</f>
        <v>1.85</v>
      </c>
      <c r="E187" s="169">
        <f t="shared" si="58"/>
        <v>1.85</v>
      </c>
      <c r="F187" s="169">
        <f t="shared" si="58"/>
        <v>1.85</v>
      </c>
      <c r="G187" s="169">
        <f t="shared" si="58"/>
        <v>1.85</v>
      </c>
      <c r="H187" s="169">
        <f t="shared" si="58"/>
        <v>1.85</v>
      </c>
      <c r="I187" s="169">
        <f t="shared" si="58"/>
        <v>1.85</v>
      </c>
      <c r="J187" s="169">
        <f t="shared" si="58"/>
        <v>1.85</v>
      </c>
      <c r="K187" s="169">
        <f t="shared" si="58"/>
        <v>1.85</v>
      </c>
      <c r="L187" s="169">
        <f t="shared" si="58"/>
        <v>1.85</v>
      </c>
      <c r="M187" s="169">
        <f t="shared" si="58"/>
        <v>1.85</v>
      </c>
      <c r="N187" s="169">
        <f t="shared" si="58"/>
        <v>1.85</v>
      </c>
      <c r="O187" s="169">
        <f t="shared" si="58"/>
        <v>1.85</v>
      </c>
      <c r="P187" s="169">
        <f t="shared" si="58"/>
        <v>1.85</v>
      </c>
      <c r="Q187" s="169">
        <f t="shared" si="58"/>
        <v>1.85</v>
      </c>
      <c r="R187" s="169">
        <f t="shared" si="58"/>
        <v>1.85</v>
      </c>
      <c r="S187" s="169">
        <f t="shared" si="58"/>
        <v>1.85</v>
      </c>
    </row>
    <row r="188" spans="1:22" ht="15" customHeight="1">
      <c r="B188" s="305" t="s">
        <v>1213</v>
      </c>
      <c r="C188" s="144">
        <f>Inputs!C188</f>
        <v>55</v>
      </c>
      <c r="D188" s="144">
        <f t="shared" si="58"/>
        <v>55</v>
      </c>
      <c r="E188" s="144">
        <f t="shared" si="58"/>
        <v>55</v>
      </c>
      <c r="F188" s="144">
        <f t="shared" si="58"/>
        <v>55</v>
      </c>
      <c r="G188" s="144">
        <f t="shared" si="58"/>
        <v>55</v>
      </c>
      <c r="H188" s="144">
        <f t="shared" si="58"/>
        <v>55</v>
      </c>
      <c r="I188" s="144">
        <f t="shared" si="58"/>
        <v>55</v>
      </c>
      <c r="J188" s="144">
        <f t="shared" si="58"/>
        <v>55</v>
      </c>
      <c r="K188" s="144">
        <f t="shared" si="58"/>
        <v>55</v>
      </c>
      <c r="L188" s="144">
        <f t="shared" si="58"/>
        <v>55</v>
      </c>
      <c r="M188" s="144">
        <f t="shared" si="58"/>
        <v>55</v>
      </c>
      <c r="N188" s="144">
        <f t="shared" si="58"/>
        <v>55</v>
      </c>
      <c r="O188" s="144">
        <f t="shared" si="58"/>
        <v>55</v>
      </c>
      <c r="P188" s="144">
        <f t="shared" si="58"/>
        <v>55</v>
      </c>
      <c r="Q188" s="144">
        <f t="shared" si="58"/>
        <v>55</v>
      </c>
      <c r="R188" s="144">
        <f t="shared" si="58"/>
        <v>55</v>
      </c>
      <c r="S188" s="144">
        <f t="shared" si="58"/>
        <v>55</v>
      </c>
    </row>
    <row r="189" spans="1:22" ht="15" customHeight="1">
      <c r="B189" s="305" t="s">
        <v>1214</v>
      </c>
      <c r="C189" s="276">
        <f>Inputs!C189</f>
        <v>2.5</v>
      </c>
      <c r="D189" s="276">
        <f t="shared" si="58"/>
        <v>2.5</v>
      </c>
      <c r="E189" s="276">
        <f t="shared" si="58"/>
        <v>2.5</v>
      </c>
      <c r="F189" s="276">
        <f t="shared" si="58"/>
        <v>2.5</v>
      </c>
      <c r="G189" s="276">
        <f t="shared" si="58"/>
        <v>2.5</v>
      </c>
      <c r="H189" s="276">
        <f t="shared" si="58"/>
        <v>2.5</v>
      </c>
      <c r="I189" s="276">
        <f t="shared" si="58"/>
        <v>2.5</v>
      </c>
      <c r="J189" s="276">
        <f t="shared" si="58"/>
        <v>2.5</v>
      </c>
      <c r="K189" s="276">
        <f t="shared" si="58"/>
        <v>2.5</v>
      </c>
      <c r="L189" s="276">
        <f t="shared" si="58"/>
        <v>2.5</v>
      </c>
      <c r="M189" s="276">
        <f t="shared" si="58"/>
        <v>2.5</v>
      </c>
      <c r="N189" s="276">
        <f t="shared" si="58"/>
        <v>2.5</v>
      </c>
      <c r="O189" s="276">
        <f t="shared" si="58"/>
        <v>2.5</v>
      </c>
      <c r="P189" s="276">
        <f t="shared" si="58"/>
        <v>2.5</v>
      </c>
      <c r="Q189" s="276">
        <f t="shared" si="58"/>
        <v>2.5</v>
      </c>
      <c r="R189" s="276">
        <f t="shared" si="58"/>
        <v>2.5</v>
      </c>
      <c r="S189" s="276">
        <f t="shared" si="58"/>
        <v>2.5</v>
      </c>
    </row>
    <row r="190" spans="1:22" ht="15" customHeight="1">
      <c r="A190" s="305" t="s">
        <v>1255</v>
      </c>
      <c r="C190" s="276" t="str">
        <f>Inputs!C190</f>
        <v>E_O_F</v>
      </c>
      <c r="D190" s="276" t="str">
        <f t="shared" si="58"/>
        <v>E_O_F</v>
      </c>
      <c r="E190" s="276" t="str">
        <f t="shared" si="58"/>
        <v>E_O_F</v>
      </c>
      <c r="F190" s="276" t="str">
        <f t="shared" si="58"/>
        <v>E_O_F</v>
      </c>
      <c r="G190" s="276" t="str">
        <f t="shared" si="58"/>
        <v>E_O_F</v>
      </c>
      <c r="H190" s="276" t="str">
        <f t="shared" si="58"/>
        <v>E_O_F</v>
      </c>
      <c r="I190" s="276" t="str">
        <f t="shared" si="58"/>
        <v>E_O_F</v>
      </c>
      <c r="J190" s="276" t="str">
        <f t="shared" si="58"/>
        <v>E_O_F</v>
      </c>
      <c r="K190" s="276" t="str">
        <f t="shared" si="58"/>
        <v>E_O_F</v>
      </c>
      <c r="L190" s="276" t="str">
        <f t="shared" si="58"/>
        <v>E_O_F</v>
      </c>
      <c r="M190" s="276" t="str">
        <f t="shared" si="58"/>
        <v>E_O_F</v>
      </c>
      <c r="N190" s="276" t="str">
        <f t="shared" si="58"/>
        <v>E_O_F</v>
      </c>
      <c r="O190" s="276" t="str">
        <f t="shared" si="58"/>
        <v>E_O_F</v>
      </c>
      <c r="P190" s="276" t="str">
        <f t="shared" si="58"/>
        <v>E_O_F</v>
      </c>
      <c r="Q190" s="276" t="str">
        <f t="shared" si="58"/>
        <v>E_O_F</v>
      </c>
      <c r="R190" s="276" t="str">
        <f t="shared" si="58"/>
        <v>E_O_F</v>
      </c>
      <c r="S190" s="276" t="str">
        <f t="shared" si="58"/>
        <v>E_O_F</v>
      </c>
    </row>
    <row r="191" spans="1:22" ht="15" customHeight="1">
      <c r="D191" s="275"/>
      <c r="E191" s="275"/>
      <c r="F191" s="275"/>
      <c r="G191" s="275"/>
      <c r="H191" s="275"/>
      <c r="I191" s="275"/>
      <c r="J191" s="275"/>
      <c r="K191" s="275"/>
      <c r="L191" s="275"/>
      <c r="M191" s="275"/>
      <c r="N191" s="275"/>
      <c r="O191" s="275"/>
      <c r="P191" s="275"/>
      <c r="Q191" s="275"/>
      <c r="R191" s="275"/>
      <c r="S191" s="275"/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B5" sqref="B5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1052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E14" sqref="E14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1061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48">
        <f>D9*D10/(SQRT(rho_air/2)*D12^(n-0.5))</f>
        <v>7.7998262904850112E-3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>H31*1.05</f>
        <v>1.5620281250000001E-2</v>
      </c>
      <c r="I32" s="477">
        <f t="shared" ref="I32:X32" si="7">I31*1.05</f>
        <v>1.5620281250000001E-2</v>
      </c>
      <c r="J32" s="477">
        <f t="shared" si="7"/>
        <v>1.5620281250000001E-2</v>
      </c>
      <c r="K32" s="477">
        <f t="shared" si="7"/>
        <v>1.3016901041666668E-2</v>
      </c>
      <c r="L32" s="477">
        <f t="shared" si="7"/>
        <v>1.3016901041666668E-2</v>
      </c>
      <c r="M32" s="477">
        <f t="shared" si="7"/>
        <v>1.3016901041666668E-2</v>
      </c>
      <c r="N32" s="477">
        <f t="shared" si="7"/>
        <v>1.3016901041666668E-2</v>
      </c>
      <c r="O32" s="477">
        <f t="shared" si="7"/>
        <v>1.3016901041666668E-2</v>
      </c>
      <c r="P32" s="477">
        <f t="shared" si="7"/>
        <v>1.3016901041666668E-2</v>
      </c>
      <c r="Q32" s="477">
        <f t="shared" si="7"/>
        <v>1.0413520833333334E-2</v>
      </c>
      <c r="R32" s="477">
        <f t="shared" si="7"/>
        <v>1.0413520833333334E-2</v>
      </c>
      <c r="S32" s="477">
        <f t="shared" si="7"/>
        <v>1.0413520833333334E-2</v>
      </c>
      <c r="T32" s="477">
        <f t="shared" si="7"/>
        <v>1.0413520833333334E-2</v>
      </c>
      <c r="U32" s="477">
        <f t="shared" si="7"/>
        <v>1.0413520833333334E-2</v>
      </c>
      <c r="V32" s="477">
        <f t="shared" si="7"/>
        <v>7.8101406250000007E-3</v>
      </c>
      <c r="W32" s="477">
        <f t="shared" si="7"/>
        <v>1.5620281250000001E-2</v>
      </c>
      <c r="X32" s="477">
        <f t="shared" si="7"/>
        <v>1.3016901041666668E-2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1000*(H31/A_houseSI)*((H_soffitSI-Geometry!$D$12)/Geometry!$D$13)^0.4</f>
        <v>0.15231864689468855</v>
      </c>
      <c r="I34" s="1">
        <f>1000*(I31/A_houseSI)*((H_soffitSI-Geometry!$D$12)/Geometry!$D$13)^0.4</f>
        <v>0.15231864689468855</v>
      </c>
      <c r="J34" s="1">
        <f>1000*(J31/A_houseSI)*((H_soffitSI-Geometry!$D$12)/Geometry!$D$13)^0.4</f>
        <v>0.15231864689468855</v>
      </c>
      <c r="K34" s="1">
        <f>1000*(K31/A_houseSI)*((H_soffitSI-Geometry!$D$12)/Geometry!$D$13)^0.4</f>
        <v>0.12693220574557376</v>
      </c>
      <c r="L34" s="1">
        <f>1000*(L31/A_houseSI)*((H_soffitSI-Geometry!$D$12)/Geometry!$D$13)^0.4</f>
        <v>0.12693220574557376</v>
      </c>
      <c r="M34" s="1">
        <f>1000*(M31/A_houseSI)*((H_soffitSI-Geometry!$D$12)/Geometry!$D$13)^0.4</f>
        <v>0.12693220574557376</v>
      </c>
      <c r="N34" s="1">
        <f>1000*(N31/A_houseSI)*((H_soffitSI-Geometry!$D$12)/Geometry!$D$13)^0.4</f>
        <v>0.12693220574557376</v>
      </c>
      <c r="O34" s="1">
        <f>1000*(O31/A_houseSI)*((H_soffitSI-Geometry!$D$12)/Geometry!$D$13)^0.4</f>
        <v>0.12693220574557376</v>
      </c>
      <c r="P34" s="1">
        <f>1000*(P31/A_houseSI)*((H_soffitSI-Geometry!$D$12)/Geometry!$D$13)^0.4</f>
        <v>0.12693220574557376</v>
      </c>
      <c r="Q34" s="1">
        <f>1000*(Q31/A_houseSI)*((H_soffitSI-Geometry!$D$12)/Geometry!$D$13)^0.4</f>
        <v>0.10154576459645902</v>
      </c>
      <c r="R34" s="1">
        <f>1000*(R31/A_houseSI)*((H_soffitSI-Geometry!$D$12)/Geometry!$D$13)^0.4</f>
        <v>0.10154576459645902</v>
      </c>
      <c r="S34" s="1">
        <f>1000*(S31/A_houseSI)*((H_soffitSI-Geometry!$D$12)/Geometry!$D$13)^0.4</f>
        <v>0.10154576459645902</v>
      </c>
      <c r="T34" s="1">
        <f>1000*(T31/A_houseSI)*((H_soffitSI-Geometry!$D$12)/Geometry!$D$13)^0.4</f>
        <v>0.10154576459645902</v>
      </c>
      <c r="U34" s="1">
        <f>1000*(U31/A_houseSI)*((H_soffitSI-Geometry!$D$12)/Geometry!$D$13)^0.4</f>
        <v>0.10154576459645902</v>
      </c>
      <c r="V34" s="1">
        <f>1000*(V31/A_houseSI)*((H_soffitSI-Geometry!$D$12)/Geometry!$D$13)^0.4</f>
        <v>7.6159323447344274E-2</v>
      </c>
      <c r="W34" s="1">
        <f>1000*(W31/A_houseSI)*((H_soffitSI-Geometry!$D$12)/Geometry!$D$13)^0.4</f>
        <v>0.15231864689468855</v>
      </c>
      <c r="X34" s="1">
        <f>1000*(X31/A_houseSI)*((H_soffitSI-Geometry!$D$12)/Geometry!$D$13)^0.4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1109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1310</v>
      </c>
      <c r="D5" s="522" t="s">
        <v>1311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1292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1313</v>
      </c>
      <c r="C11" s="327">
        <v>-99</v>
      </c>
      <c r="D11" s="327">
        <v>-99</v>
      </c>
      <c r="E11" s="5" t="s">
        <v>1312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D20" sqref="D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1053</v>
      </c>
      <c r="B9" s="5">
        <v>1</v>
      </c>
      <c r="C9" s="43">
        <f>A_doors_SI</f>
        <v>3.7161219999999999</v>
      </c>
      <c r="D9" s="2" t="s">
        <v>1054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32" t="s">
        <v>622</v>
      </c>
      <c r="E56" s="533"/>
      <c r="F56" s="534"/>
      <c r="G56" s="538" t="s">
        <v>615</v>
      </c>
      <c r="H56" s="533"/>
      <c r="I56" s="539"/>
      <c r="J56" s="540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35" t="s">
        <v>614</v>
      </c>
      <c r="E57" s="536"/>
      <c r="F57" s="537"/>
      <c r="G57" s="541" t="s">
        <v>616</v>
      </c>
      <c r="H57" s="536"/>
      <c r="I57" s="542"/>
      <c r="J57" s="537"/>
      <c r="K57" s="543">
        <v>1.17</v>
      </c>
      <c r="L57" s="543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35"/>
      <c r="E58" s="536"/>
      <c r="F58" s="537"/>
      <c r="G58" s="541" t="s">
        <v>617</v>
      </c>
      <c r="H58" s="536"/>
      <c r="I58" s="542"/>
      <c r="J58" s="537"/>
      <c r="K58" s="543">
        <v>0.86</v>
      </c>
      <c r="L58" s="543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35" t="s">
        <v>618</v>
      </c>
      <c r="E59" s="536"/>
      <c r="F59" s="537"/>
      <c r="G59" s="541" t="s">
        <v>616</v>
      </c>
      <c r="H59" s="536"/>
      <c r="I59" s="542"/>
      <c r="J59" s="537"/>
      <c r="K59" s="543">
        <v>1.45</v>
      </c>
      <c r="L59" s="543"/>
      <c r="S59" s="17"/>
      <c r="T59" s="17"/>
      <c r="U59" s="17"/>
      <c r="V59" s="17"/>
      <c r="W59" s="17"/>
    </row>
    <row r="60" spans="2:24" ht="15" customHeight="1">
      <c r="D60" s="535"/>
      <c r="E60" s="536"/>
      <c r="F60" s="537"/>
      <c r="G60" s="541" t="s">
        <v>617</v>
      </c>
      <c r="H60" s="536"/>
      <c r="I60" s="542"/>
      <c r="J60" s="537"/>
      <c r="K60" s="543">
        <v>0.85</v>
      </c>
      <c r="L60" s="543"/>
      <c r="S60" s="17"/>
      <c r="T60" s="17"/>
      <c r="U60" s="17"/>
      <c r="V60" s="17"/>
      <c r="W60" s="17"/>
    </row>
    <row r="61" spans="2:24" ht="15" customHeight="1">
      <c r="D61" s="535" t="s">
        <v>619</v>
      </c>
      <c r="E61" s="536"/>
      <c r="F61" s="537"/>
      <c r="G61" s="541" t="s">
        <v>616</v>
      </c>
      <c r="H61" s="536"/>
      <c r="I61" s="542"/>
      <c r="J61" s="537"/>
      <c r="K61" s="543">
        <v>2.0699999999999998</v>
      </c>
      <c r="L61" s="543"/>
      <c r="S61" s="17"/>
      <c r="T61" s="17"/>
      <c r="U61" s="17"/>
      <c r="V61" s="17"/>
      <c r="W61" s="17"/>
    </row>
    <row r="62" spans="2:24" ht="15" customHeight="1">
      <c r="B62" s="2"/>
      <c r="D62" s="535"/>
      <c r="E62" s="536"/>
      <c r="F62" s="537"/>
      <c r="G62" s="541" t="s">
        <v>617</v>
      </c>
      <c r="H62" s="536"/>
      <c r="I62" s="542"/>
      <c r="J62" s="537"/>
      <c r="K62" s="543">
        <v>0.92</v>
      </c>
      <c r="L62" s="543"/>
      <c r="S62" s="17"/>
      <c r="T62" s="17"/>
      <c r="U62" s="17"/>
      <c r="V62" s="17"/>
      <c r="W62" s="17"/>
    </row>
    <row r="63" spans="2:24" ht="15" customHeight="1">
      <c r="D63" s="535" t="s">
        <v>620</v>
      </c>
      <c r="E63" s="536"/>
      <c r="F63" s="537"/>
      <c r="G63" s="541" t="s">
        <v>616</v>
      </c>
      <c r="H63" s="536"/>
      <c r="I63" s="542"/>
      <c r="J63" s="537"/>
      <c r="K63" s="543">
        <v>3.67</v>
      </c>
      <c r="L63" s="543"/>
      <c r="S63" s="17"/>
      <c r="T63" s="17"/>
      <c r="U63" s="17"/>
      <c r="V63" s="17"/>
      <c r="W63" s="17"/>
    </row>
    <row r="64" spans="2:24" ht="15" customHeight="1">
      <c r="D64" s="535" t="s">
        <v>621</v>
      </c>
      <c r="E64" s="536"/>
      <c r="F64" s="537"/>
      <c r="G64" s="541" t="s">
        <v>617</v>
      </c>
      <c r="H64" s="536"/>
      <c r="I64" s="542"/>
      <c r="J64" s="537"/>
      <c r="K64" s="543">
        <v>1.24</v>
      </c>
      <c r="L64" s="543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topLeftCell="A82" zoomScale="85" zoomScaleNormal="85" zoomScalePageLayoutView="85" workbookViewId="0">
      <selection activeCell="D111" sqref="D11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IF(Age="existing",0.15*A_houseSI+3.5*(B5+1)+(65/4),0.15*A_houseSI+3.5*(B5+1))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IF(Age="existing",0.03*A_houseFT+7.5*(B5+1)+(130/4),0.03*A_houseFT+7.5*(B5+1))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1103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1104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1105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44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45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31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44" t="s">
        <v>605</v>
      </c>
      <c r="P9" s="546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45"/>
      <c r="P10" s="547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1208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1207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1055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1325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1296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1272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1317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1318</v>
      </c>
      <c r="B36" s="1">
        <f>1*B35*SQRT(2/1.20411)*4^(0.5-0.65)</f>
        <v>0.14442216703926605</v>
      </c>
    </row>
    <row r="37" spans="1:4" ht="15" customHeight="1">
      <c r="A37" s="1" t="s">
        <v>1323</v>
      </c>
      <c r="B37" s="1">
        <f>B36*Leakage!H14</f>
        <v>3.6105541759816513E-2</v>
      </c>
    </row>
    <row r="38" spans="1:4" ht="15" customHeight="1">
      <c r="A38" s="1" t="s">
        <v>1319</v>
      </c>
      <c r="B38" s="1">
        <f>Leakage!H32</f>
        <v>1.5620281250000001E-2</v>
      </c>
    </row>
    <row r="39" spans="1:4" ht="15" customHeight="1">
      <c r="A39" s="1" t="s">
        <v>1324</v>
      </c>
      <c r="B39" s="1">
        <f>B38*Leakage!H14</f>
        <v>3.9050703125000003E-3</v>
      </c>
    </row>
    <row r="40" spans="1:4" ht="15" customHeight="1">
      <c r="A40" s="1" t="s">
        <v>1320</v>
      </c>
      <c r="B40" s="1">
        <f>D15 * SQRT(1.20411 / 2) * 4^(D14 - 0.5)</f>
        <v>0.18025353350004131</v>
      </c>
    </row>
    <row r="41" spans="1:4" ht="15" customHeight="1">
      <c r="A41" s="1" t="s">
        <v>1321</v>
      </c>
      <c r="B41" s="1">
        <f>B39 * SQRT(1.20411 / 2) * 4^(D14 - 0.5)</f>
        <v>3.7304046208017174E-3</v>
      </c>
    </row>
    <row r="42" spans="1:4" ht="15" customHeight="1">
      <c r="A42" s="1" t="s">
        <v>1322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1332</v>
      </c>
      <c r="D18" s="327">
        <v>0</v>
      </c>
      <c r="F18" s="313" t="s">
        <v>1334</v>
      </c>
    </row>
    <row r="19" spans="1:6" ht="15" customHeight="1">
      <c r="A19" s="290" t="s">
        <v>1333</v>
      </c>
      <c r="D19" s="327">
        <v>0</v>
      </c>
      <c r="F19" s="313" t="s">
        <v>1336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C26" sqref="C26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1058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1059</v>
      </c>
      <c r="B20" s="228" t="s">
        <v>1060</v>
      </c>
      <c r="C20" s="319">
        <f t="shared" ref="C20:S20" si="1">C18*(A_houseFT/1000)</f>
        <v>4.8797853878868693</v>
      </c>
      <c r="D20" s="319">
        <f t="shared" si="1"/>
        <v>11.265714246168034</v>
      </c>
      <c r="E20" s="319" t="e">
        <f t="shared" si="1"/>
        <v>#N/A</v>
      </c>
      <c r="F20" s="319">
        <f t="shared" si="1"/>
        <v>13.988319924640209</v>
      </c>
      <c r="G20" s="319" t="e">
        <f t="shared" si="1"/>
        <v>#N/A</v>
      </c>
      <c r="H20" s="319" t="e">
        <f t="shared" si="1"/>
        <v>#N/A</v>
      </c>
      <c r="I20" s="319">
        <f t="shared" si="1"/>
        <v>16.31970657874691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8.1946946783118548</v>
      </c>
      <c r="S20" s="319">
        <f t="shared" si="1"/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1338</v>
      </c>
      <c r="B21" s="228" t="s">
        <v>289</v>
      </c>
      <c r="C21" s="530">
        <f>VLOOKUP(CONCATENATE(C16,HomeSize),HVAC!$D$57:$K$75,5,FALSE)*C19</f>
        <v>493.43529757739373</v>
      </c>
      <c r="D21" s="530">
        <f>VLOOKUP(CONCATENATE(D16,HomeSize),HVAC!$D$57:$K$75,5,FALSE)*D19</f>
        <v>483.00438301018983</v>
      </c>
      <c r="E21" s="530" t="e">
        <f>VLOOKUP(CONCATENATE(E16,HomeSize),HVAC!$D$57:$K$75,5,FALSE)*E19</f>
        <v>#N/A</v>
      </c>
      <c r="F21" s="530">
        <f>VLOOKUP(CONCATENATE(F16,HomeSize),HVAC!$D$57:$K$75,5,FALSE)*F19</f>
        <v>512.78734978227521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466.02473075153682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458.40038961014653</v>
      </c>
      <c r="S21" s="530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1339</v>
      </c>
      <c r="B22" s="228" t="s">
        <v>289</v>
      </c>
      <c r="C22" s="530">
        <f>16.8*C20</f>
        <v>81.980394516499402</v>
      </c>
      <c r="D22" s="530">
        <f t="shared" ref="D22:S22" si="2">16.8*D20</f>
        <v>189.263999335623</v>
      </c>
      <c r="E22" s="530" t="e">
        <f t="shared" si="2"/>
        <v>#N/A</v>
      </c>
      <c r="F22" s="530">
        <f t="shared" si="2"/>
        <v>235.00377473395551</v>
      </c>
      <c r="G22" s="530" t="e">
        <f t="shared" si="2"/>
        <v>#N/A</v>
      </c>
      <c r="H22" s="530" t="e">
        <f t="shared" si="2"/>
        <v>#N/A</v>
      </c>
      <c r="I22" s="530">
        <f t="shared" si="2"/>
        <v>274.17107052294813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137.67087059563917</v>
      </c>
      <c r="S22" s="530">
        <f t="shared" si="2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1340</v>
      </c>
      <c r="B23" s="228" t="s">
        <v>640</v>
      </c>
      <c r="C23" s="530">
        <f>IF(C22&gt;C21*0.8,C20,(C21*0.8/C22)*C20)</f>
        <v>23.496918932256847</v>
      </c>
      <c r="D23" s="530">
        <f t="shared" ref="D23:S23" si="3">IF(D22&gt;D21*0.8,D20,(D21*0.8/D22)*D20)</f>
        <v>23.000208714770945</v>
      </c>
      <c r="E23" s="530" t="e">
        <f t="shared" si="3"/>
        <v>#N/A</v>
      </c>
      <c r="F23" s="530">
        <f t="shared" si="3"/>
        <v>24.418445227727393</v>
      </c>
      <c r="G23" s="530" t="e">
        <f t="shared" si="3"/>
        <v>#N/A</v>
      </c>
      <c r="H23" s="530" t="e">
        <f t="shared" si="3"/>
        <v>#N/A</v>
      </c>
      <c r="I23" s="530">
        <f t="shared" si="3"/>
        <v>22.191653845311276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21.828589981435549</v>
      </c>
      <c r="S23" s="530">
        <f t="shared" si="3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1341</v>
      </c>
      <c r="B24" s="113" t="s">
        <v>411</v>
      </c>
      <c r="C24" s="505">
        <f>ROUNDUP(C19*2,0)/2</f>
        <v>1.5</v>
      </c>
      <c r="D24" s="505">
        <f t="shared" ref="D24:S24" si="4">ROUNDUP(D19*2,0)/2</f>
        <v>1.5</v>
      </c>
      <c r="E24" s="505" t="e">
        <f t="shared" si="4"/>
        <v>#N/A</v>
      </c>
      <c r="F24" s="505">
        <f t="shared" si="4"/>
        <v>1.5</v>
      </c>
      <c r="G24" s="505" t="e">
        <f>ROUNDUP(G19*2,0)/2</f>
        <v>#N/A</v>
      </c>
      <c r="H24" s="505" t="e">
        <f t="shared" si="4"/>
        <v>#N/A</v>
      </c>
      <c r="I24" s="505">
        <f t="shared" si="4"/>
        <v>1.5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1.5</v>
      </c>
      <c r="S24" s="505">
        <f t="shared" si="4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1341</v>
      </c>
      <c r="B25" s="113" t="s">
        <v>412</v>
      </c>
      <c r="C25" s="505">
        <f>C24*12</f>
        <v>18</v>
      </c>
      <c r="D25" s="505">
        <f t="shared" ref="D25:S25" si="5">D24*12</f>
        <v>18</v>
      </c>
      <c r="E25" s="505" t="e">
        <f t="shared" si="5"/>
        <v>#N/A</v>
      </c>
      <c r="F25" s="505">
        <f t="shared" si="5"/>
        <v>18</v>
      </c>
      <c r="G25" s="505" t="e">
        <f t="shared" si="5"/>
        <v>#N/A</v>
      </c>
      <c r="H25" s="505" t="e">
        <f t="shared" si="5"/>
        <v>#N/A</v>
      </c>
      <c r="I25" s="505">
        <f t="shared" si="5"/>
        <v>18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18</v>
      </c>
      <c r="S25" s="505">
        <f t="shared" si="5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1342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30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30</v>
      </c>
      <c r="S26" s="506">
        <f t="shared" si="6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7">16.8*D26*(1/2119)</f>
        <v>0.23784804152902314</v>
      </c>
      <c r="E28" s="494" t="e">
        <f t="shared" si="7"/>
        <v>#N/A</v>
      </c>
      <c r="F28" s="494">
        <f t="shared" si="7"/>
        <v>0.23784804152902314</v>
      </c>
      <c r="G28" s="494" t="e">
        <f t="shared" si="7"/>
        <v>#N/A</v>
      </c>
      <c r="H28" s="494" t="e">
        <f t="shared" si="7"/>
        <v>#N/A</v>
      </c>
      <c r="I28" s="494">
        <f t="shared" si="7"/>
        <v>0.23784804152902314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0.23784804152902314</v>
      </c>
      <c r="S28" s="494">
        <f t="shared" si="7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8">D27*2119*0.167</f>
        <v>88.982638991971257</v>
      </c>
      <c r="E29" s="507" t="e">
        <f t="shared" si="8"/>
        <v>#N/A</v>
      </c>
      <c r="F29" s="507">
        <f t="shared" si="8"/>
        <v>96.723527350225524</v>
      </c>
      <c r="G29" s="507" t="e">
        <f t="shared" si="8"/>
        <v>#N/A</v>
      </c>
      <c r="H29" s="507" t="e">
        <f t="shared" si="8"/>
        <v>#N/A</v>
      </c>
      <c r="I29" s="507">
        <f t="shared" si="8"/>
        <v>96.723527350225524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88.982638991971257</v>
      </c>
      <c r="S29" s="507">
        <f t="shared" si="8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9">D28*2119*0.167</f>
        <v>84.168000000000021</v>
      </c>
      <c r="E30" s="507" t="e">
        <f t="shared" si="9"/>
        <v>#N/A</v>
      </c>
      <c r="F30" s="507">
        <f t="shared" si="9"/>
        <v>84.168000000000021</v>
      </c>
      <c r="G30" s="507" t="e">
        <f t="shared" si="9"/>
        <v>#N/A</v>
      </c>
      <c r="H30" s="507" t="e">
        <f t="shared" si="9"/>
        <v>#N/A</v>
      </c>
      <c r="I30" s="507">
        <f t="shared" si="9"/>
        <v>84.168000000000021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84.168000000000021</v>
      </c>
      <c r="S30" s="507">
        <f t="shared" si="9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1057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10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1">O41/6</f>
        <v>88.799998720535527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1"/>
        <v>96.524998609230764</v>
      </c>
      <c r="R43" s="319">
        <f>F28</f>
        <v>0.23784804152902314</v>
      </c>
      <c r="S43" s="293">
        <f t="shared" si="12"/>
        <v>503.97145175595955</v>
      </c>
      <c r="T43" s="293">
        <f>F30</f>
        <v>84.168000000000021</v>
      </c>
      <c r="U43" s="312">
        <f t="shared" si="13"/>
        <v>5.9876847704110761</v>
      </c>
      <c r="V43" s="293">
        <f t="shared" si="10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1"/>
        <v>96.524998609230764</v>
      </c>
      <c r="R46" s="319">
        <f>I28</f>
        <v>0.23784804152902314</v>
      </c>
      <c r="S46" s="293">
        <f t="shared" si="12"/>
        <v>503.97145175595955</v>
      </c>
      <c r="T46" s="293">
        <f>I30</f>
        <v>84.168000000000021</v>
      </c>
      <c r="U46" s="312">
        <f t="shared" si="13"/>
        <v>5.9876847704110761</v>
      </c>
      <c r="V46" s="293">
        <f t="shared" si="10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1056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B23" sqref="B23:E23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1290</v>
      </c>
      <c r="R22" s="341" t="s">
        <v>1291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1106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1290</v>
      </c>
      <c r="R2" s="341" t="s">
        <v>1291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1066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1067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1068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1069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1066</v>
      </c>
      <c r="C72" s="290" t="s">
        <v>1067</v>
      </c>
      <c r="D72" s="290" t="s">
        <v>1084</v>
      </c>
      <c r="E72" s="290" t="s">
        <v>1069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1088</v>
      </c>
      <c r="C79" s="290" t="s">
        <v>1089</v>
      </c>
      <c r="D79" s="290" t="s">
        <v>1086</v>
      </c>
      <c r="E79" s="290" t="s">
        <v>1087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1090</v>
      </c>
      <c r="B87" s="290" t="s">
        <v>1091</v>
      </c>
      <c r="C87" s="290" t="s">
        <v>1092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1090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1230</v>
      </c>
    </row>
    <row r="2" spans="1:3">
      <c r="A2" t="s">
        <v>1237</v>
      </c>
      <c r="B2" t="s">
        <v>1238</v>
      </c>
    </row>
    <row r="7" spans="1:3">
      <c r="A7" t="s">
        <v>1229</v>
      </c>
      <c r="B7" s="457" t="str">
        <f>DehumidType</f>
        <v>No</v>
      </c>
    </row>
    <row r="8" spans="1:3">
      <c r="A8" s="290" t="s">
        <v>1232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1233</v>
      </c>
      <c r="B9" s="514">
        <v>1.85</v>
      </c>
      <c r="C9" s="290"/>
    </row>
    <row r="10" spans="1:3">
      <c r="A10" s="290" t="s">
        <v>1234</v>
      </c>
      <c r="B10" s="514">
        <v>55</v>
      </c>
      <c r="C10" s="290"/>
    </row>
    <row r="11" spans="1:3">
      <c r="A11" s="290" t="s">
        <v>1235</v>
      </c>
      <c r="B11" s="514">
        <v>2.5</v>
      </c>
      <c r="C11" s="290" t="s">
        <v>1236</v>
      </c>
    </row>
    <row r="14" spans="1:3">
      <c r="A14" t="s">
        <v>1239</v>
      </c>
    </row>
    <row r="15" spans="1:3">
      <c r="A15" t="s">
        <v>1240</v>
      </c>
      <c r="B15" t="s">
        <v>1241</v>
      </c>
    </row>
    <row r="16" spans="1:3">
      <c r="A16" t="s">
        <v>1242</v>
      </c>
      <c r="B16">
        <v>1.85</v>
      </c>
    </row>
    <row r="17" spans="1:9">
      <c r="A17" t="s">
        <v>1243</v>
      </c>
      <c r="B17">
        <v>2.8</v>
      </c>
    </row>
    <row r="19" spans="1:9" ht="15" thickBot="1">
      <c r="A19" t="s">
        <v>1245</v>
      </c>
      <c r="E19" s="142" t="s">
        <v>1244</v>
      </c>
    </row>
    <row r="20" spans="1:9" ht="28">
      <c r="A20" s="447" t="s">
        <v>1247</v>
      </c>
      <c r="B20" s="448" t="s">
        <v>1234</v>
      </c>
      <c r="C20" s="448" t="s">
        <v>1248</v>
      </c>
      <c r="D20" s="449" t="s">
        <v>1232</v>
      </c>
      <c r="E20" t="s">
        <v>892</v>
      </c>
      <c r="F20" t="s">
        <v>1246</v>
      </c>
      <c r="G20" t="s">
        <v>1251</v>
      </c>
      <c r="H20" t="s">
        <v>177</v>
      </c>
    </row>
    <row r="21" spans="1:9">
      <c r="A21" s="450" t="s">
        <v>1249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1249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1249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1249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1250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1250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1250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1250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1316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8"/>
  <sheetViews>
    <sheetView topLeftCell="A5" workbookViewId="0">
      <selection activeCell="H23" sqref="H23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50" t="s">
        <v>1354</v>
      </c>
      <c r="B1" s="550"/>
      <c r="C1" s="550"/>
      <c r="D1" s="550"/>
      <c r="E1" s="550"/>
      <c r="F1" s="550"/>
      <c r="G1" s="550"/>
      <c r="H1" s="550"/>
    </row>
    <row r="2" spans="1:8" ht="15">
      <c r="A2" s="551" t="s">
        <v>1346</v>
      </c>
      <c r="B2" s="552" t="s">
        <v>1355</v>
      </c>
      <c r="C2" s="552"/>
      <c r="D2" s="552"/>
      <c r="E2" s="553"/>
      <c r="F2" s="553"/>
      <c r="G2" s="553"/>
      <c r="H2" s="550"/>
    </row>
    <row r="3" spans="1:8">
      <c r="A3" s="554">
        <v>1</v>
      </c>
      <c r="B3" s="555">
        <v>0.48</v>
      </c>
      <c r="C3" s="550"/>
      <c r="D3" s="550"/>
      <c r="E3" s="550"/>
      <c r="F3" s="550"/>
      <c r="G3" s="550"/>
      <c r="H3" s="550"/>
    </row>
    <row r="4" spans="1:8">
      <c r="A4" s="554">
        <v>2</v>
      </c>
      <c r="B4" s="555">
        <v>0.59</v>
      </c>
      <c r="C4" s="550"/>
      <c r="D4" s="550"/>
      <c r="E4" s="550"/>
      <c r="F4" s="550"/>
      <c r="G4" s="550"/>
      <c r="H4" s="550"/>
    </row>
    <row r="5" spans="1:8">
      <c r="A5" s="554">
        <v>3</v>
      </c>
      <c r="B5" s="555">
        <v>0.67</v>
      </c>
      <c r="C5" s="550"/>
      <c r="D5" s="550"/>
      <c r="E5" s="550"/>
      <c r="F5" s="550"/>
      <c r="G5" s="550"/>
      <c r="H5" s="550"/>
    </row>
    <row r="6" spans="1:8">
      <c r="A6" s="550"/>
      <c r="B6" s="550"/>
      <c r="C6" s="550"/>
      <c r="D6" s="550"/>
      <c r="E6" s="550"/>
      <c r="F6" s="550"/>
      <c r="G6" s="550"/>
      <c r="H6" s="550"/>
    </row>
    <row r="7" spans="1:8">
      <c r="A7" s="550"/>
      <c r="B7" s="550"/>
      <c r="C7" s="550"/>
      <c r="D7" s="550"/>
      <c r="E7" s="550"/>
      <c r="F7" s="550"/>
      <c r="G7" s="550"/>
      <c r="H7" s="550"/>
    </row>
    <row r="8" spans="1:8" ht="14" customHeight="1">
      <c r="A8" s="556"/>
      <c r="B8" s="556"/>
      <c r="D8" s="562"/>
      <c r="E8" s="553"/>
      <c r="F8" s="553"/>
      <c r="G8" s="553"/>
      <c r="H8" s="550"/>
    </row>
    <row r="9" spans="1:8" ht="22">
      <c r="A9" s="557" t="s">
        <v>1347</v>
      </c>
      <c r="B9" t="s">
        <v>1356</v>
      </c>
      <c r="C9" s="558" t="s">
        <v>1348</v>
      </c>
      <c r="D9" s="563"/>
      <c r="E9" s="553"/>
      <c r="F9" s="553"/>
      <c r="G9" s="553"/>
      <c r="H9" s="550"/>
    </row>
    <row r="10" spans="1:8">
      <c r="A10" s="551" t="s">
        <v>1366</v>
      </c>
      <c r="B10" t="s">
        <v>1327</v>
      </c>
      <c r="C10" s="555">
        <v>0.5</v>
      </c>
      <c r="D10" s="564"/>
      <c r="E10" s="553"/>
      <c r="F10" s="553"/>
      <c r="G10" s="553"/>
      <c r="H10" s="550"/>
    </row>
    <row r="11" spans="1:8">
      <c r="A11" s="554">
        <v>1</v>
      </c>
      <c r="B11" t="s">
        <v>1231</v>
      </c>
      <c r="C11" s="555">
        <v>0.7</v>
      </c>
      <c r="D11" s="564"/>
      <c r="E11" s="553"/>
      <c r="F11" s="553"/>
      <c r="G11" s="553"/>
      <c r="H11" s="550"/>
    </row>
    <row r="12" spans="1:8">
      <c r="A12" s="554">
        <v>2</v>
      </c>
      <c r="B12" t="s">
        <v>1231</v>
      </c>
      <c r="C12" s="555">
        <v>0.64</v>
      </c>
      <c r="D12" s="564"/>
      <c r="E12" s="550"/>
      <c r="F12" s="550"/>
      <c r="G12" s="550"/>
      <c r="H12" s="550"/>
    </row>
    <row r="13" spans="1:8">
      <c r="A13" s="554">
        <v>3</v>
      </c>
      <c r="B13" t="s">
        <v>1231</v>
      </c>
      <c r="C13" s="555">
        <v>0.61</v>
      </c>
      <c r="D13" s="564"/>
      <c r="E13" s="550"/>
      <c r="F13" s="550"/>
      <c r="G13" s="550"/>
      <c r="H13" s="550"/>
    </row>
    <row r="14" spans="1:8" s="290" customFormat="1">
      <c r="A14" s="551"/>
      <c r="B14" s="555"/>
      <c r="C14" s="550"/>
      <c r="D14" s="550"/>
      <c r="E14" s="550"/>
      <c r="F14" s="550"/>
      <c r="G14" s="550"/>
      <c r="H14" s="550"/>
    </row>
    <row r="15" spans="1:8" ht="14" customHeight="1">
      <c r="A15" s="550"/>
      <c r="B15" s="550"/>
      <c r="C15" s="550"/>
      <c r="D15" s="550"/>
      <c r="E15" s="550"/>
      <c r="F15" s="550"/>
      <c r="G15" s="550"/>
      <c r="H15" s="550"/>
    </row>
    <row r="16" spans="1:8">
      <c r="A16" s="559" t="s">
        <v>1358</v>
      </c>
      <c r="B16" s="550"/>
      <c r="C16" s="550"/>
      <c r="D16" s="550"/>
      <c r="E16" s="550"/>
      <c r="F16" s="550"/>
      <c r="G16" s="550"/>
      <c r="H16" s="550"/>
    </row>
    <row r="17" spans="1:8" ht="22">
      <c r="A17" s="551" t="s">
        <v>1346</v>
      </c>
      <c r="B17" s="549" t="s">
        <v>1350</v>
      </c>
      <c r="C17" s="555" t="s">
        <v>1352</v>
      </c>
      <c r="D17" s="555" t="s">
        <v>1353</v>
      </c>
      <c r="E17" s="550"/>
      <c r="F17" s="550"/>
      <c r="G17" s="550"/>
      <c r="H17" s="550"/>
    </row>
    <row r="18" spans="1:8">
      <c r="A18" s="560">
        <v>1</v>
      </c>
      <c r="B18" s="549" t="s">
        <v>1349</v>
      </c>
      <c r="C18" s="555">
        <v>0.156</v>
      </c>
      <c r="D18" s="555">
        <v>0.128</v>
      </c>
      <c r="E18" s="550"/>
      <c r="F18" s="550"/>
      <c r="G18" s="550"/>
      <c r="H18" s="550"/>
    </row>
    <row r="19" spans="1:8">
      <c r="A19" s="560">
        <v>2</v>
      </c>
      <c r="B19" s="549" t="s">
        <v>1349</v>
      </c>
      <c r="C19" s="555">
        <v>0.17</v>
      </c>
      <c r="D19" s="555">
        <v>0.14199999999999999</v>
      </c>
      <c r="E19" s="550"/>
      <c r="F19" s="550"/>
      <c r="G19" s="550"/>
      <c r="H19" s="550"/>
    </row>
    <row r="20" spans="1:8">
      <c r="A20" s="560">
        <v>3</v>
      </c>
      <c r="B20" s="549" t="s">
        <v>1349</v>
      </c>
      <c r="C20" s="555">
        <v>0.17</v>
      </c>
      <c r="D20" s="555">
        <v>0.151</v>
      </c>
      <c r="E20" s="550"/>
      <c r="F20" s="550"/>
      <c r="G20" s="550"/>
      <c r="H20" s="550"/>
    </row>
    <row r="21" spans="1:8">
      <c r="A21" s="560">
        <v>1</v>
      </c>
      <c r="B21" s="549" t="s">
        <v>1351</v>
      </c>
      <c r="C21" s="555">
        <v>0.14199999999999999</v>
      </c>
      <c r="D21" s="555">
        <v>0.128</v>
      </c>
      <c r="E21" s="550"/>
      <c r="F21" s="550"/>
      <c r="G21" s="550"/>
      <c r="H21" s="550"/>
    </row>
    <row r="22" spans="1:8">
      <c r="A22" s="560">
        <v>2</v>
      </c>
      <c r="B22" s="549" t="s">
        <v>1351</v>
      </c>
      <c r="C22" s="555">
        <v>0.156</v>
      </c>
      <c r="D22" s="555">
        <v>0.14199999999999999</v>
      </c>
      <c r="E22" s="550"/>
      <c r="F22" s="550"/>
      <c r="G22" s="550"/>
      <c r="H22" s="550"/>
    </row>
    <row r="23" spans="1:8">
      <c r="A23" s="560">
        <v>3</v>
      </c>
      <c r="B23" s="549" t="s">
        <v>1351</v>
      </c>
      <c r="C23" s="555">
        <v>0.16700000000000001</v>
      </c>
      <c r="D23" s="555">
        <v>0.154</v>
      </c>
      <c r="E23" s="550"/>
      <c r="F23" s="550"/>
      <c r="G23" s="550"/>
      <c r="H23" s="550"/>
    </row>
    <row r="24" spans="1:8" s="290" customFormat="1">
      <c r="A24" s="560"/>
      <c r="B24" s="549"/>
      <c r="C24" s="555"/>
      <c r="D24" s="555"/>
      <c r="E24" s="550"/>
      <c r="F24" s="550"/>
      <c r="G24" s="550"/>
      <c r="H24" s="550"/>
    </row>
    <row r="25" spans="1:8" s="290" customFormat="1">
      <c r="A25" s="560"/>
      <c r="B25" s="549"/>
      <c r="C25" s="555"/>
      <c r="D25" s="555"/>
      <c r="E25" s="550"/>
      <c r="F25" s="550"/>
      <c r="G25" s="550"/>
      <c r="H25" s="550"/>
    </row>
    <row r="26" spans="1:8" ht="22">
      <c r="A26" s="557" t="s">
        <v>1359</v>
      </c>
      <c r="B26" s="550"/>
      <c r="C26" s="550"/>
      <c r="D26" s="550"/>
      <c r="E26" s="550"/>
      <c r="F26" s="550"/>
      <c r="G26" s="550"/>
      <c r="H26" s="550"/>
    </row>
    <row r="27" spans="1:8">
      <c r="A27" s="554" t="s">
        <v>1346</v>
      </c>
      <c r="B27" s="549" t="s">
        <v>1356</v>
      </c>
      <c r="C27" s="561" t="s">
        <v>1357</v>
      </c>
      <c r="D27" s="550"/>
      <c r="E27" s="550"/>
      <c r="F27" s="550"/>
      <c r="G27" s="550"/>
      <c r="H27" s="550"/>
    </row>
    <row r="28" spans="1:8">
      <c r="A28" s="554">
        <v>1</v>
      </c>
      <c r="B28" s="549" t="s">
        <v>1327</v>
      </c>
      <c r="C28" s="555">
        <v>5.3999999999999999E-2</v>
      </c>
      <c r="D28" s="550"/>
      <c r="E28" s="550"/>
      <c r="F28" s="550"/>
      <c r="G28" s="550"/>
      <c r="H28" s="550"/>
    </row>
    <row r="29" spans="1:8">
      <c r="A29" s="554">
        <v>2</v>
      </c>
      <c r="B29" s="549" t="s">
        <v>1327</v>
      </c>
      <c r="C29" s="555">
        <v>7.8E-2</v>
      </c>
      <c r="D29" s="550"/>
      <c r="E29" s="550"/>
      <c r="F29" s="550"/>
      <c r="G29" s="550"/>
      <c r="H29" s="550"/>
    </row>
    <row r="30" spans="1:8">
      <c r="A30" s="554">
        <v>3</v>
      </c>
      <c r="B30" s="549" t="s">
        <v>1327</v>
      </c>
      <c r="C30" s="555">
        <v>9.8000000000000004E-2</v>
      </c>
      <c r="D30" s="553"/>
      <c r="E30" s="553"/>
      <c r="F30" s="553"/>
      <c r="G30" s="553"/>
      <c r="H30" s="550"/>
    </row>
    <row r="31" spans="1:8">
      <c r="A31" s="554">
        <v>1</v>
      </c>
      <c r="B31" s="549" t="s">
        <v>1231</v>
      </c>
      <c r="C31" s="555">
        <v>6.9000000000000006E-2</v>
      </c>
      <c r="D31" s="553"/>
      <c r="E31" s="553"/>
      <c r="F31" s="553"/>
      <c r="G31" s="553"/>
      <c r="H31" s="550"/>
    </row>
    <row r="32" spans="1:8">
      <c r="A32" s="554">
        <v>2</v>
      </c>
      <c r="B32" s="549" t="s">
        <v>1231</v>
      </c>
      <c r="C32" s="555">
        <v>8.8999999999999996E-2</v>
      </c>
      <c r="D32" s="550"/>
      <c r="E32" s="550"/>
      <c r="F32" s="550"/>
      <c r="G32" s="553"/>
      <c r="H32" s="550"/>
    </row>
    <row r="33" spans="1:8">
      <c r="A33" s="554">
        <v>3</v>
      </c>
      <c r="B33" s="549" t="s">
        <v>1231</v>
      </c>
      <c r="C33" s="555">
        <v>0.107</v>
      </c>
      <c r="D33" s="550"/>
      <c r="E33" s="550"/>
      <c r="F33" s="550"/>
      <c r="G33" s="553"/>
      <c r="H33" s="550"/>
    </row>
    <row r="34" spans="1:8">
      <c r="A34" s="550"/>
      <c r="B34" s="550"/>
      <c r="C34" s="550"/>
      <c r="D34" s="550"/>
      <c r="E34" s="550"/>
      <c r="F34" s="550"/>
      <c r="G34" s="553"/>
      <c r="H34" s="550"/>
    </row>
    <row r="35" spans="1:8">
      <c r="A35" s="550"/>
      <c r="B35" s="550"/>
      <c r="C35" s="550"/>
      <c r="D35" s="550"/>
      <c r="E35" s="550"/>
      <c r="F35" s="550"/>
      <c r="G35" s="553"/>
      <c r="H35" s="550"/>
    </row>
    <row r="36" spans="1:8">
      <c r="A36" s="553"/>
      <c r="B36" s="553"/>
      <c r="C36" s="553"/>
      <c r="D36" s="553"/>
      <c r="E36" s="553"/>
      <c r="F36" s="553"/>
      <c r="G36" s="553"/>
      <c r="H36" s="550"/>
    </row>
    <row r="37" spans="1:8">
      <c r="A37" s="550"/>
      <c r="B37" s="550"/>
      <c r="C37" s="550"/>
      <c r="D37" s="550"/>
      <c r="E37" s="550"/>
      <c r="F37" s="550"/>
      <c r="G37" s="550"/>
      <c r="H37" s="550"/>
    </row>
    <row r="38" spans="1:8">
      <c r="A38" s="550"/>
      <c r="B38" s="557"/>
      <c r="C38" s="557"/>
      <c r="D38" s="557"/>
      <c r="E38" s="557"/>
      <c r="F38" s="557"/>
      <c r="G38" s="550"/>
      <c r="H38" s="55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2016-12-07T00:56:15Z</dcterms:modified>
</cp:coreProperties>
</file>