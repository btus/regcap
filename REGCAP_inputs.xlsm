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940" yWindow="0" windowWidth="25040" windowHeight="15980" tabRatio="775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Humidity" sheetId="13" r:id="rId15"/>
    <sheet name="Dehumidifier" sheetId="17" r:id="rId16"/>
    <sheet name="InfiltrationModelCoefficients" sheetId="19" r:id="rId17"/>
  </sheets>
  <definedNames>
    <definedName name="A_2nd_floor">Geometry!$D$10</definedName>
    <definedName name="A_atticSI">Geometry!#REF!</definedName>
    <definedName name="A_ceilingSI">Geometry!$D$9</definedName>
    <definedName name="A_doors_SI">Geometry!$D$17</definedName>
    <definedName name="A_houseFT">Geometry!$B$8</definedName>
    <definedName name="A_houseSI">Geometry!$D$8</definedName>
    <definedName name="A_wall">Geometry!$D$19</definedName>
    <definedName name="A_windowSI">Geometry!$D$16</definedName>
    <definedName name="Aeq">Fans!$L$2</definedName>
    <definedName name="Age">Parametrics!$C$22</definedName>
    <definedName name="Airtightness">Parametrics!$C$27</definedName>
    <definedName name="BaseName">Parametrics!$K$4</definedName>
    <definedName name="BatchFileName">Parametrics!$K$2</definedName>
    <definedName name="C_name" localSheetId="10">Parametrics!$K$4</definedName>
    <definedName name="C_name">Parametrics!$K$4</definedName>
    <definedName name="C_no">Parametrics!#REF!</definedName>
    <definedName name="DehumidType">Parametrics!$C$40</definedName>
    <definedName name="fanSchedule">Parametrics!$C$51</definedName>
    <definedName name="FanSize">Parametrics!$C$17</definedName>
    <definedName name="H_attic.ventSI">Geometry!$D$27</definedName>
    <definedName name="H_flueSI">Geometry!$D$29</definedName>
    <definedName name="H_peak">Geometry!$D$26</definedName>
    <definedName name="H_soffitSI">Geometry!$D$15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Dehumid">Parametrics!$C$41:$C$42</definedName>
    <definedName name="luFanSchedule">Parametrics!$C$52:$C$54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OccSchedule">Parametrics!$C$46:$C$49</definedName>
    <definedName name="luStories">Parametrics!$C$13:$C$14</definedName>
    <definedName name="luVentSystem">Parametrics!$C$36:$C$38</definedName>
    <definedName name="n" comment="Pressure Exponent">Leakage!$D$14</definedName>
    <definedName name="N_windoor">HVAC!$B$178</definedName>
    <definedName name="NAtticFan">Inputs!$C$105</definedName>
    <definedName name="Navent">Inputs!$C$93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Control">Parametrics!$G$2</definedName>
    <definedName name="OccDensity">Parametrics!$C$7</definedName>
    <definedName name="occSchedule">Parametrics!$C$45</definedName>
    <definedName name="output_11">#REF!</definedName>
    <definedName name="overhang">Geometry!$D$30</definedName>
    <definedName name="planareaSI">Geometry!$D$9</definedName>
    <definedName name="Qtot">Fans!$L$2</definedName>
    <definedName name="rho_air">Leakage!$D$11</definedName>
    <definedName name="RIVEC_fans">Fans!$M$17:$Q$36</definedName>
    <definedName name="Stories" localSheetId="3">Parametrics!$C$12</definedName>
    <definedName name="Stories">Parametrics!$C$12</definedName>
    <definedName name="Type">Parametrics!$C$8:$C$9</definedName>
    <definedName name="V_atticSI">Geometry!#REF!</definedName>
    <definedName name="V_houseSI">Geometry!$D$20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49" i="10" l="1"/>
  <c r="D18" i="10"/>
  <c r="D6" i="2"/>
  <c r="D7" i="2"/>
  <c r="D8" i="2"/>
  <c r="B8" i="2"/>
  <c r="D20" i="10"/>
  <c r="C193" i="10"/>
  <c r="E18" i="10"/>
  <c r="E20" i="10"/>
  <c r="D193" i="10"/>
  <c r="F18" i="10"/>
  <c r="F20" i="10"/>
  <c r="E193" i="10"/>
  <c r="G18" i="10"/>
  <c r="G20" i="10"/>
  <c r="F193" i="10"/>
  <c r="H18" i="10"/>
  <c r="H20" i="10"/>
  <c r="G193" i="10"/>
  <c r="I18" i="10"/>
  <c r="I20" i="10"/>
  <c r="H193" i="10"/>
  <c r="J18" i="10"/>
  <c r="J20" i="10"/>
  <c r="I193" i="10"/>
  <c r="K18" i="10"/>
  <c r="K20" i="10"/>
  <c r="J193" i="10"/>
  <c r="L18" i="10"/>
  <c r="L20" i="10"/>
  <c r="K193" i="10"/>
  <c r="M18" i="10"/>
  <c r="M20" i="10"/>
  <c r="L193" i="10"/>
  <c r="N18" i="10"/>
  <c r="N20" i="10"/>
  <c r="M193" i="10"/>
  <c r="O18" i="10"/>
  <c r="O20" i="10"/>
  <c r="N193" i="10"/>
  <c r="P18" i="10"/>
  <c r="P20" i="10"/>
  <c r="O193" i="10"/>
  <c r="Q18" i="10"/>
  <c r="Q20" i="10"/>
  <c r="P193" i="10"/>
  <c r="R18" i="10"/>
  <c r="R20" i="10"/>
  <c r="Q193" i="10"/>
  <c r="S18" i="10"/>
  <c r="S20" i="10"/>
  <c r="R193" i="10"/>
  <c r="C18" i="10"/>
  <c r="C20" i="10"/>
  <c r="B193" i="10"/>
  <c r="D17" i="10"/>
  <c r="D19" i="10"/>
  <c r="C190" i="10"/>
  <c r="E17" i="10"/>
  <c r="E19" i="10"/>
  <c r="D190" i="10"/>
  <c r="F17" i="10"/>
  <c r="F19" i="10"/>
  <c r="E190" i="10"/>
  <c r="G17" i="10"/>
  <c r="G19" i="10"/>
  <c r="F190" i="10"/>
  <c r="H17" i="10"/>
  <c r="H19" i="10"/>
  <c r="G190" i="10"/>
  <c r="I17" i="10"/>
  <c r="I19" i="10"/>
  <c r="H190" i="10"/>
  <c r="J17" i="10"/>
  <c r="J19" i="10"/>
  <c r="I190" i="10"/>
  <c r="K17" i="10"/>
  <c r="K19" i="10"/>
  <c r="J190" i="10"/>
  <c r="L17" i="10"/>
  <c r="L19" i="10"/>
  <c r="K190" i="10"/>
  <c r="M17" i="10"/>
  <c r="M19" i="10"/>
  <c r="L190" i="10"/>
  <c r="N17" i="10"/>
  <c r="N19" i="10"/>
  <c r="M190" i="10"/>
  <c r="O17" i="10"/>
  <c r="O19" i="10"/>
  <c r="N190" i="10"/>
  <c r="P17" i="10"/>
  <c r="P19" i="10"/>
  <c r="O190" i="10"/>
  <c r="Q17" i="10"/>
  <c r="Q19" i="10"/>
  <c r="P190" i="10"/>
  <c r="R17" i="10"/>
  <c r="R19" i="10"/>
  <c r="Q190" i="10"/>
  <c r="S17" i="10"/>
  <c r="S19" i="10"/>
  <c r="R190" i="10"/>
  <c r="C17" i="10"/>
  <c r="C19" i="10"/>
  <c r="B190" i="10"/>
  <c r="D16" i="2"/>
  <c r="D11" i="2"/>
  <c r="D19" i="2"/>
  <c r="C6" i="5"/>
  <c r="E105" i="10"/>
  <c r="E101" i="10"/>
  <c r="E140" i="10"/>
  <c r="E153" i="10"/>
  <c r="E157" i="10"/>
  <c r="E172" i="10"/>
  <c r="E180" i="10"/>
  <c r="E174" i="10"/>
  <c r="E182" i="10"/>
  <c r="E176" i="10"/>
  <c r="E184" i="10"/>
  <c r="D20" i="2"/>
  <c r="K31" i="3"/>
  <c r="K34" i="3"/>
  <c r="E9" i="6"/>
  <c r="E120" i="10"/>
  <c r="B22" i="7"/>
  <c r="B23" i="7"/>
  <c r="L2" i="6"/>
  <c r="E10" i="6"/>
  <c r="E121" i="10"/>
  <c r="E122" i="10"/>
  <c r="E124" i="10"/>
  <c r="E125" i="10"/>
  <c r="D9" i="2"/>
  <c r="E108" i="10"/>
  <c r="E145" i="10"/>
  <c r="E154" i="10"/>
  <c r="E158" i="10"/>
  <c r="E188" i="10"/>
  <c r="E191" i="10"/>
  <c r="I31" i="3"/>
  <c r="I34" i="3"/>
  <c r="C9" i="6"/>
  <c r="C120" i="10"/>
  <c r="C10" i="6"/>
  <c r="C121" i="10"/>
  <c r="C122" i="10"/>
  <c r="C101" i="10"/>
  <c r="C124" i="10"/>
  <c r="J31" i="3"/>
  <c r="J34" i="3"/>
  <c r="D9" i="6"/>
  <c r="D120" i="10"/>
  <c r="D10" i="6"/>
  <c r="D121" i="10"/>
  <c r="D122" i="10"/>
  <c r="D101" i="10"/>
  <c r="D124" i="10"/>
  <c r="L31" i="3"/>
  <c r="L34" i="3"/>
  <c r="F9" i="6"/>
  <c r="F120" i="10"/>
  <c r="F10" i="6"/>
  <c r="F121" i="10"/>
  <c r="F122" i="10"/>
  <c r="F101" i="10"/>
  <c r="F124" i="10"/>
  <c r="M31" i="3"/>
  <c r="M34" i="3"/>
  <c r="G9" i="6"/>
  <c r="G120" i="10"/>
  <c r="G10" i="6"/>
  <c r="G121" i="10"/>
  <c r="G122" i="10"/>
  <c r="G101" i="10"/>
  <c r="G124" i="10"/>
  <c r="N31" i="3"/>
  <c r="N34" i="3"/>
  <c r="H9" i="6"/>
  <c r="H120" i="10"/>
  <c r="H10" i="6"/>
  <c r="H121" i="10"/>
  <c r="H122" i="10"/>
  <c r="H101" i="10"/>
  <c r="H124" i="10"/>
  <c r="O31" i="3"/>
  <c r="O34" i="3"/>
  <c r="I9" i="6"/>
  <c r="I120" i="10"/>
  <c r="I10" i="6"/>
  <c r="I121" i="10"/>
  <c r="I122" i="10"/>
  <c r="I101" i="10"/>
  <c r="I124" i="10"/>
  <c r="P31" i="3"/>
  <c r="P34" i="3"/>
  <c r="J9" i="6"/>
  <c r="J120" i="10"/>
  <c r="J10" i="6"/>
  <c r="J121" i="10"/>
  <c r="J122" i="10"/>
  <c r="J101" i="10"/>
  <c r="J124" i="10"/>
  <c r="Q31" i="3"/>
  <c r="Q34" i="3"/>
  <c r="K9" i="6"/>
  <c r="K120" i="10"/>
  <c r="K10" i="6"/>
  <c r="K121" i="10"/>
  <c r="K122" i="10"/>
  <c r="K101" i="10"/>
  <c r="K124" i="10"/>
  <c r="R31" i="3"/>
  <c r="R34" i="3"/>
  <c r="L9" i="6"/>
  <c r="L120" i="10"/>
  <c r="L10" i="6"/>
  <c r="L121" i="10"/>
  <c r="L122" i="10"/>
  <c r="L101" i="10"/>
  <c r="L124" i="10"/>
  <c r="S31" i="3"/>
  <c r="S34" i="3"/>
  <c r="M9" i="6"/>
  <c r="M120" i="10"/>
  <c r="M10" i="6"/>
  <c r="M121" i="10"/>
  <c r="M122" i="10"/>
  <c r="M101" i="10"/>
  <c r="M124" i="10"/>
  <c r="T31" i="3"/>
  <c r="T34" i="3"/>
  <c r="N9" i="6"/>
  <c r="N120" i="10"/>
  <c r="N10" i="6"/>
  <c r="N121" i="10"/>
  <c r="N122" i="10"/>
  <c r="N101" i="10"/>
  <c r="N124" i="10"/>
  <c r="U31" i="3"/>
  <c r="U34" i="3"/>
  <c r="O9" i="6"/>
  <c r="O120" i="10"/>
  <c r="O10" i="6"/>
  <c r="O121" i="10"/>
  <c r="O122" i="10"/>
  <c r="O101" i="10"/>
  <c r="O124" i="10"/>
  <c r="V31" i="3"/>
  <c r="V34" i="3"/>
  <c r="P9" i="6"/>
  <c r="P120" i="10"/>
  <c r="P10" i="6"/>
  <c r="P121" i="10"/>
  <c r="P122" i="10"/>
  <c r="P101" i="10"/>
  <c r="P124" i="10"/>
  <c r="W31" i="3"/>
  <c r="W34" i="3"/>
  <c r="Q9" i="6"/>
  <c r="Q120" i="10"/>
  <c r="Q10" i="6"/>
  <c r="Q121" i="10"/>
  <c r="Q122" i="10"/>
  <c r="Q101" i="10"/>
  <c r="Q124" i="10"/>
  <c r="X31" i="3"/>
  <c r="X34" i="3"/>
  <c r="R9" i="6"/>
  <c r="R120" i="10"/>
  <c r="R10" i="6"/>
  <c r="R121" i="10"/>
  <c r="R122" i="10"/>
  <c r="R101" i="10"/>
  <c r="R124" i="10"/>
  <c r="C125" i="10"/>
  <c r="D125" i="10"/>
  <c r="F125" i="10"/>
  <c r="G125" i="10"/>
  <c r="H125" i="10"/>
  <c r="I125" i="10"/>
  <c r="J125" i="10"/>
  <c r="K125" i="10"/>
  <c r="L125" i="10"/>
  <c r="M125" i="10"/>
  <c r="N125" i="10"/>
  <c r="O125" i="10"/>
  <c r="P125" i="10"/>
  <c r="Q125" i="10"/>
  <c r="R125" i="10"/>
  <c r="H31" i="3"/>
  <c r="H34" i="3"/>
  <c r="B9" i="6"/>
  <c r="B120" i="10"/>
  <c r="B10" i="6"/>
  <c r="B121" i="10"/>
  <c r="B122" i="10"/>
  <c r="B101" i="10"/>
  <c r="B124" i="10"/>
  <c r="B125" i="10"/>
  <c r="C115" i="10"/>
  <c r="C116" i="10"/>
  <c r="C117" i="10"/>
  <c r="C100" i="10"/>
  <c r="C119" i="10"/>
  <c r="D115" i="10"/>
  <c r="D116" i="10"/>
  <c r="D117" i="10"/>
  <c r="D100" i="10"/>
  <c r="D119" i="10"/>
  <c r="E115" i="10"/>
  <c r="E116" i="10"/>
  <c r="E117" i="10"/>
  <c r="E100" i="10"/>
  <c r="E119" i="10"/>
  <c r="F115" i="10"/>
  <c r="F116" i="10"/>
  <c r="F117" i="10"/>
  <c r="F100" i="10"/>
  <c r="F119" i="10"/>
  <c r="G115" i="10"/>
  <c r="G116" i="10"/>
  <c r="G117" i="10"/>
  <c r="G100" i="10"/>
  <c r="G119" i="10"/>
  <c r="H115" i="10"/>
  <c r="H116" i="10"/>
  <c r="H117" i="10"/>
  <c r="H100" i="10"/>
  <c r="H119" i="10"/>
  <c r="I115" i="10"/>
  <c r="I116" i="10"/>
  <c r="I117" i="10"/>
  <c r="I100" i="10"/>
  <c r="I119" i="10"/>
  <c r="J115" i="10"/>
  <c r="J116" i="10"/>
  <c r="J117" i="10"/>
  <c r="J100" i="10"/>
  <c r="J119" i="10"/>
  <c r="K115" i="10"/>
  <c r="K116" i="10"/>
  <c r="K117" i="10"/>
  <c r="K100" i="10"/>
  <c r="K119" i="10"/>
  <c r="L115" i="10"/>
  <c r="L116" i="10"/>
  <c r="L117" i="10"/>
  <c r="L100" i="10"/>
  <c r="L119" i="10"/>
  <c r="M115" i="10"/>
  <c r="M116" i="10"/>
  <c r="M117" i="10"/>
  <c r="M100" i="10"/>
  <c r="M119" i="10"/>
  <c r="N115" i="10"/>
  <c r="N116" i="10"/>
  <c r="N117" i="10"/>
  <c r="N100" i="10"/>
  <c r="N119" i="10"/>
  <c r="O115" i="10"/>
  <c r="O116" i="10"/>
  <c r="O117" i="10"/>
  <c r="O100" i="10"/>
  <c r="O119" i="10"/>
  <c r="P115" i="10"/>
  <c r="P116" i="10"/>
  <c r="P117" i="10"/>
  <c r="P100" i="10"/>
  <c r="P119" i="10"/>
  <c r="Q115" i="10"/>
  <c r="Q116" i="10"/>
  <c r="Q117" i="10"/>
  <c r="Q100" i="10"/>
  <c r="Q119" i="10"/>
  <c r="R115" i="10"/>
  <c r="R116" i="10"/>
  <c r="R117" i="10"/>
  <c r="R100" i="10"/>
  <c r="R119" i="10"/>
  <c r="B115" i="10"/>
  <c r="B116" i="10"/>
  <c r="B117" i="10"/>
  <c r="B100" i="10"/>
  <c r="B119" i="10"/>
  <c r="C123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P123" i="10"/>
  <c r="Q123" i="10"/>
  <c r="R123" i="10"/>
  <c r="F114" i="10"/>
  <c r="C118" i="10"/>
  <c r="D118" i="10"/>
  <c r="E118" i="10"/>
  <c r="F118" i="10"/>
  <c r="G118" i="10"/>
  <c r="H118" i="10"/>
  <c r="I118" i="10"/>
  <c r="J118" i="10"/>
  <c r="K118" i="10"/>
  <c r="L118" i="10"/>
  <c r="M118" i="10"/>
  <c r="N118" i="10"/>
  <c r="O118" i="10"/>
  <c r="P118" i="10"/>
  <c r="Q118" i="10"/>
  <c r="R118" i="10"/>
  <c r="B118" i="10"/>
  <c r="E114" i="10"/>
  <c r="C105" i="10"/>
  <c r="C7" i="5"/>
  <c r="C106" i="10"/>
  <c r="C8" i="5"/>
  <c r="C107" i="10"/>
  <c r="C108" i="10"/>
  <c r="C109" i="10"/>
  <c r="C110" i="10"/>
  <c r="C192" i="10"/>
  <c r="D105" i="10"/>
  <c r="D106" i="10"/>
  <c r="D107" i="10"/>
  <c r="D108" i="10"/>
  <c r="D109" i="10"/>
  <c r="D110" i="10"/>
  <c r="D192" i="10"/>
  <c r="E106" i="10"/>
  <c r="E107" i="10"/>
  <c r="E109" i="10"/>
  <c r="E110" i="10"/>
  <c r="E192" i="10"/>
  <c r="F105" i="10"/>
  <c r="F106" i="10"/>
  <c r="F107" i="10"/>
  <c r="F108" i="10"/>
  <c r="F109" i="10"/>
  <c r="F110" i="10"/>
  <c r="F192" i="10"/>
  <c r="G105" i="10"/>
  <c r="G106" i="10"/>
  <c r="G107" i="10"/>
  <c r="G108" i="10"/>
  <c r="G109" i="10"/>
  <c r="G110" i="10"/>
  <c r="G192" i="10"/>
  <c r="H105" i="10"/>
  <c r="H106" i="10"/>
  <c r="H107" i="10"/>
  <c r="H108" i="10"/>
  <c r="H109" i="10"/>
  <c r="H110" i="10"/>
  <c r="H192" i="10"/>
  <c r="I105" i="10"/>
  <c r="I106" i="10"/>
  <c r="I107" i="10"/>
  <c r="I108" i="10"/>
  <c r="I109" i="10"/>
  <c r="I110" i="10"/>
  <c r="I192" i="10"/>
  <c r="J105" i="10"/>
  <c r="J106" i="10"/>
  <c r="J107" i="10"/>
  <c r="J108" i="10"/>
  <c r="J109" i="10"/>
  <c r="J110" i="10"/>
  <c r="J192" i="10"/>
  <c r="K105" i="10"/>
  <c r="K106" i="10"/>
  <c r="K107" i="10"/>
  <c r="K108" i="10"/>
  <c r="K109" i="10"/>
  <c r="K110" i="10"/>
  <c r="K192" i="10"/>
  <c r="L105" i="10"/>
  <c r="L106" i="10"/>
  <c r="L107" i="10"/>
  <c r="L108" i="10"/>
  <c r="L109" i="10"/>
  <c r="L110" i="10"/>
  <c r="L192" i="10"/>
  <c r="M105" i="10"/>
  <c r="M106" i="10"/>
  <c r="M107" i="10"/>
  <c r="M108" i="10"/>
  <c r="M109" i="10"/>
  <c r="M110" i="10"/>
  <c r="M192" i="10"/>
  <c r="N105" i="10"/>
  <c r="N106" i="10"/>
  <c r="N107" i="10"/>
  <c r="N108" i="10"/>
  <c r="N109" i="10"/>
  <c r="N110" i="10"/>
  <c r="N192" i="10"/>
  <c r="O105" i="10"/>
  <c r="O106" i="10"/>
  <c r="O107" i="10"/>
  <c r="O108" i="10"/>
  <c r="O109" i="10"/>
  <c r="O110" i="10"/>
  <c r="O192" i="10"/>
  <c r="P105" i="10"/>
  <c r="P106" i="10"/>
  <c r="P107" i="10"/>
  <c r="P108" i="10"/>
  <c r="P109" i="10"/>
  <c r="P110" i="10"/>
  <c r="P192" i="10"/>
  <c r="Q105" i="10"/>
  <c r="Q106" i="10"/>
  <c r="Q107" i="10"/>
  <c r="Q108" i="10"/>
  <c r="Q109" i="10"/>
  <c r="Q110" i="10"/>
  <c r="Q192" i="10"/>
  <c r="R105" i="10"/>
  <c r="R106" i="10"/>
  <c r="R107" i="10"/>
  <c r="R108" i="10"/>
  <c r="R109" i="10"/>
  <c r="R110" i="10"/>
  <c r="R192" i="10"/>
  <c r="B105" i="10"/>
  <c r="B106" i="10"/>
  <c r="B107" i="10"/>
  <c r="B108" i="10"/>
  <c r="B109" i="10"/>
  <c r="B110" i="10"/>
  <c r="B192" i="10"/>
  <c r="C140" i="10"/>
  <c r="C153" i="10"/>
  <c r="C157" i="10"/>
  <c r="C172" i="10"/>
  <c r="C180" i="10"/>
  <c r="C174" i="10"/>
  <c r="C182" i="10"/>
  <c r="C176" i="10"/>
  <c r="C184" i="10"/>
  <c r="C145" i="10"/>
  <c r="C154" i="10"/>
  <c r="C158" i="10"/>
  <c r="C188" i="10"/>
  <c r="C191" i="10"/>
  <c r="D141" i="10"/>
  <c r="D153" i="10"/>
  <c r="D157" i="10"/>
  <c r="D172" i="10"/>
  <c r="D180" i="10"/>
  <c r="D174" i="10"/>
  <c r="D182" i="10"/>
  <c r="D176" i="10"/>
  <c r="D184" i="10"/>
  <c r="D146" i="10"/>
  <c r="D154" i="10"/>
  <c r="D158" i="10"/>
  <c r="D188" i="10"/>
  <c r="D191" i="10"/>
  <c r="F141" i="10"/>
  <c r="F153" i="10"/>
  <c r="F157" i="10"/>
  <c r="F172" i="10"/>
  <c r="F180" i="10"/>
  <c r="F174" i="10"/>
  <c r="F182" i="10"/>
  <c r="F176" i="10"/>
  <c r="F184" i="10"/>
  <c r="F146" i="10"/>
  <c r="F154" i="10"/>
  <c r="F158" i="10"/>
  <c r="F188" i="10"/>
  <c r="F191" i="10"/>
  <c r="G140" i="10"/>
  <c r="G153" i="10"/>
  <c r="G157" i="10"/>
  <c r="G172" i="10"/>
  <c r="G180" i="10"/>
  <c r="G174" i="10"/>
  <c r="G182" i="10"/>
  <c r="G176" i="10"/>
  <c r="G184" i="10"/>
  <c r="G145" i="10"/>
  <c r="G154" i="10"/>
  <c r="G158" i="10"/>
  <c r="G188" i="10"/>
  <c r="G191" i="10"/>
  <c r="H140" i="10"/>
  <c r="H153" i="10"/>
  <c r="H157" i="10"/>
  <c r="H172" i="10"/>
  <c r="H180" i="10"/>
  <c r="H174" i="10"/>
  <c r="H182" i="10"/>
  <c r="H176" i="10"/>
  <c r="H184" i="10"/>
  <c r="H145" i="10"/>
  <c r="H154" i="10"/>
  <c r="H158" i="10"/>
  <c r="H188" i="10"/>
  <c r="H191" i="10"/>
  <c r="I141" i="10"/>
  <c r="I153" i="10"/>
  <c r="I157" i="10"/>
  <c r="I172" i="10"/>
  <c r="I180" i="10"/>
  <c r="I174" i="10"/>
  <c r="I182" i="10"/>
  <c r="I176" i="10"/>
  <c r="I184" i="10"/>
  <c r="I146" i="10"/>
  <c r="I154" i="10"/>
  <c r="I158" i="10"/>
  <c r="I188" i="10"/>
  <c r="I191" i="10"/>
  <c r="J141" i="10"/>
  <c r="J153" i="10"/>
  <c r="J157" i="10"/>
  <c r="J172" i="10"/>
  <c r="J180" i="10"/>
  <c r="J174" i="10"/>
  <c r="J182" i="10"/>
  <c r="J176" i="10"/>
  <c r="J184" i="10"/>
  <c r="J146" i="10"/>
  <c r="J154" i="10"/>
  <c r="J158" i="10"/>
  <c r="J188" i="10"/>
  <c r="J191" i="10"/>
  <c r="K140" i="10"/>
  <c r="K153" i="10"/>
  <c r="K157" i="10"/>
  <c r="K172" i="10"/>
  <c r="K180" i="10"/>
  <c r="K174" i="10"/>
  <c r="K182" i="10"/>
  <c r="K176" i="10"/>
  <c r="K184" i="10"/>
  <c r="K145" i="10"/>
  <c r="K154" i="10"/>
  <c r="K158" i="10"/>
  <c r="K188" i="10"/>
  <c r="K191" i="10"/>
  <c r="L141" i="10"/>
  <c r="L153" i="10"/>
  <c r="L157" i="10"/>
  <c r="L172" i="10"/>
  <c r="L180" i="10"/>
  <c r="L174" i="10"/>
  <c r="L182" i="10"/>
  <c r="L176" i="10"/>
  <c r="L184" i="10"/>
  <c r="L146" i="10"/>
  <c r="L154" i="10"/>
  <c r="L158" i="10"/>
  <c r="L188" i="10"/>
  <c r="L191" i="10"/>
  <c r="M140" i="10"/>
  <c r="M153" i="10"/>
  <c r="M157" i="10"/>
  <c r="M172" i="10"/>
  <c r="M180" i="10"/>
  <c r="M174" i="10"/>
  <c r="M182" i="10"/>
  <c r="M176" i="10"/>
  <c r="M184" i="10"/>
  <c r="M145" i="10"/>
  <c r="M154" i="10"/>
  <c r="M158" i="10"/>
  <c r="M188" i="10"/>
  <c r="M191" i="10"/>
  <c r="N141" i="10"/>
  <c r="N153" i="10"/>
  <c r="N157" i="10"/>
  <c r="N172" i="10"/>
  <c r="N180" i="10"/>
  <c r="N174" i="10"/>
  <c r="N182" i="10"/>
  <c r="N176" i="10"/>
  <c r="N184" i="10"/>
  <c r="N146" i="10"/>
  <c r="N154" i="10"/>
  <c r="N158" i="10"/>
  <c r="N188" i="10"/>
  <c r="N191" i="10"/>
  <c r="O140" i="10"/>
  <c r="O153" i="10"/>
  <c r="O157" i="10"/>
  <c r="O172" i="10"/>
  <c r="O180" i="10"/>
  <c r="O174" i="10"/>
  <c r="O182" i="10"/>
  <c r="O176" i="10"/>
  <c r="O184" i="10"/>
  <c r="O145" i="10"/>
  <c r="O154" i="10"/>
  <c r="O158" i="10"/>
  <c r="O188" i="10"/>
  <c r="O191" i="10"/>
  <c r="P140" i="10"/>
  <c r="P153" i="10"/>
  <c r="P157" i="10"/>
  <c r="P172" i="10"/>
  <c r="P180" i="10"/>
  <c r="P174" i="10"/>
  <c r="P182" i="10"/>
  <c r="P176" i="10"/>
  <c r="P184" i="10"/>
  <c r="P145" i="10"/>
  <c r="P154" i="10"/>
  <c r="P158" i="10"/>
  <c r="P188" i="10"/>
  <c r="P191" i="10"/>
  <c r="Q140" i="10"/>
  <c r="Q153" i="10"/>
  <c r="Q157" i="10"/>
  <c r="Q172" i="10"/>
  <c r="Q180" i="10"/>
  <c r="Q174" i="10"/>
  <c r="Q182" i="10"/>
  <c r="Q176" i="10"/>
  <c r="Q184" i="10"/>
  <c r="Q145" i="10"/>
  <c r="Q154" i="10"/>
  <c r="Q158" i="10"/>
  <c r="Q188" i="10"/>
  <c r="Q191" i="10"/>
  <c r="R139" i="10"/>
  <c r="R153" i="10"/>
  <c r="R157" i="10"/>
  <c r="R172" i="10"/>
  <c r="R180" i="10"/>
  <c r="R174" i="10"/>
  <c r="R182" i="10"/>
  <c r="R176" i="10"/>
  <c r="R184" i="10"/>
  <c r="R144" i="10"/>
  <c r="R154" i="10"/>
  <c r="R158" i="10"/>
  <c r="R188" i="10"/>
  <c r="R191" i="10"/>
  <c r="B139" i="10"/>
  <c r="B153" i="10"/>
  <c r="B157" i="10"/>
  <c r="B172" i="10"/>
  <c r="B180" i="10"/>
  <c r="B174" i="10"/>
  <c r="B182" i="10"/>
  <c r="B176" i="10"/>
  <c r="B184" i="10"/>
  <c r="B144" i="10"/>
  <c r="B154" i="10"/>
  <c r="B158" i="10"/>
  <c r="B188" i="10"/>
  <c r="B191" i="10"/>
  <c r="B175" i="10"/>
  <c r="C22" i="10"/>
  <c r="C21" i="10"/>
  <c r="C23" i="10"/>
  <c r="C26" i="10"/>
  <c r="F21" i="5"/>
  <c r="F11" i="5"/>
  <c r="C150" i="10"/>
  <c r="C155" i="10"/>
  <c r="C159" i="10"/>
  <c r="D151" i="10"/>
  <c r="D155" i="10"/>
  <c r="D159" i="10"/>
  <c r="E150" i="10"/>
  <c r="E155" i="10"/>
  <c r="E159" i="10"/>
  <c r="F151" i="10"/>
  <c r="F155" i="10"/>
  <c r="F159" i="10"/>
  <c r="G150" i="10"/>
  <c r="G155" i="10"/>
  <c r="G159" i="10"/>
  <c r="H150" i="10"/>
  <c r="H155" i="10"/>
  <c r="H159" i="10"/>
  <c r="I151" i="10"/>
  <c r="I155" i="10"/>
  <c r="I159" i="10"/>
  <c r="J151" i="10"/>
  <c r="J155" i="10"/>
  <c r="J159" i="10"/>
  <c r="K150" i="10"/>
  <c r="K155" i="10"/>
  <c r="K159" i="10"/>
  <c r="L151" i="10"/>
  <c r="L155" i="10"/>
  <c r="L159" i="10"/>
  <c r="M150" i="10"/>
  <c r="M155" i="10"/>
  <c r="M159" i="10"/>
  <c r="N151" i="10"/>
  <c r="N155" i="10"/>
  <c r="N159" i="10"/>
  <c r="O150" i="10"/>
  <c r="O155" i="10"/>
  <c r="O159" i="10"/>
  <c r="P150" i="10"/>
  <c r="P155" i="10"/>
  <c r="P159" i="10"/>
  <c r="Q150" i="10"/>
  <c r="Q155" i="10"/>
  <c r="Q159" i="10"/>
  <c r="R149" i="10"/>
  <c r="R155" i="10"/>
  <c r="R159" i="10"/>
  <c r="B155" i="10"/>
  <c r="B159" i="10"/>
  <c r="B16" i="2"/>
  <c r="C173" i="10"/>
  <c r="D173" i="10"/>
  <c r="E173" i="10"/>
  <c r="F173" i="10"/>
  <c r="G173" i="10"/>
  <c r="H173" i="10"/>
  <c r="I173" i="10"/>
  <c r="J173" i="10"/>
  <c r="K173" i="10"/>
  <c r="L173" i="10"/>
  <c r="M173" i="10"/>
  <c r="N173" i="10"/>
  <c r="O173" i="10"/>
  <c r="P173" i="10"/>
  <c r="Q173" i="10"/>
  <c r="R173" i="10"/>
  <c r="C175" i="10"/>
  <c r="D175" i="10"/>
  <c r="E175" i="10"/>
  <c r="F175" i="10"/>
  <c r="G175" i="10"/>
  <c r="H175" i="10"/>
  <c r="I175" i="10"/>
  <c r="J175" i="10"/>
  <c r="K175" i="10"/>
  <c r="L175" i="10"/>
  <c r="M175" i="10"/>
  <c r="N175" i="10"/>
  <c r="O175" i="10"/>
  <c r="P175" i="10"/>
  <c r="Q175" i="10"/>
  <c r="R175" i="10"/>
  <c r="B173" i="10"/>
  <c r="R140" i="10"/>
  <c r="R141" i="10"/>
  <c r="R145" i="10"/>
  <c r="R146" i="10"/>
  <c r="R150" i="10"/>
  <c r="R151" i="10"/>
  <c r="N139" i="10"/>
  <c r="O139" i="10"/>
  <c r="P139" i="10"/>
  <c r="Q139" i="10"/>
  <c r="N140" i="10"/>
  <c r="O141" i="10"/>
  <c r="P141" i="10"/>
  <c r="Q141" i="10"/>
  <c r="N144" i="10"/>
  <c r="O144" i="10"/>
  <c r="P144" i="10"/>
  <c r="Q144" i="10"/>
  <c r="N145" i="10"/>
  <c r="O146" i="10"/>
  <c r="P146" i="10"/>
  <c r="Q146" i="10"/>
  <c r="N149" i="10"/>
  <c r="O149" i="10"/>
  <c r="P149" i="10"/>
  <c r="Q149" i="10"/>
  <c r="N150" i="10"/>
  <c r="O151" i="10"/>
  <c r="P151" i="10"/>
  <c r="Q151" i="10"/>
  <c r="C149" i="10"/>
  <c r="D149" i="10"/>
  <c r="E149" i="10"/>
  <c r="F149" i="10"/>
  <c r="G149" i="10"/>
  <c r="H149" i="10"/>
  <c r="I149" i="10"/>
  <c r="J149" i="10"/>
  <c r="K149" i="10"/>
  <c r="L149" i="10"/>
  <c r="M149" i="10"/>
  <c r="D150" i="10"/>
  <c r="F150" i="10"/>
  <c r="I150" i="10"/>
  <c r="J150" i="10"/>
  <c r="L150" i="10"/>
  <c r="C151" i="10"/>
  <c r="E151" i="10"/>
  <c r="G151" i="10"/>
  <c r="H151" i="10"/>
  <c r="K151" i="10"/>
  <c r="M151" i="10"/>
  <c r="B151" i="10"/>
  <c r="B150" i="10"/>
  <c r="M146" i="10"/>
  <c r="C144" i="10"/>
  <c r="D144" i="10"/>
  <c r="E144" i="10"/>
  <c r="F144" i="10"/>
  <c r="G144" i="10"/>
  <c r="H144" i="10"/>
  <c r="I144" i="10"/>
  <c r="J144" i="10"/>
  <c r="K144" i="10"/>
  <c r="L144" i="10"/>
  <c r="M144" i="10"/>
  <c r="D145" i="10"/>
  <c r="F145" i="10"/>
  <c r="I145" i="10"/>
  <c r="J145" i="10"/>
  <c r="L145" i="10"/>
  <c r="C146" i="10"/>
  <c r="E146" i="10"/>
  <c r="G146" i="10"/>
  <c r="H146" i="10"/>
  <c r="K146" i="10"/>
  <c r="B146" i="10"/>
  <c r="B145" i="10"/>
  <c r="C139" i="10"/>
  <c r="D139" i="10"/>
  <c r="E139" i="10"/>
  <c r="F139" i="10"/>
  <c r="G139" i="10"/>
  <c r="H139" i="10"/>
  <c r="I139" i="10"/>
  <c r="J139" i="10"/>
  <c r="K139" i="10"/>
  <c r="L139" i="10"/>
  <c r="M139" i="10"/>
  <c r="D140" i="10"/>
  <c r="F140" i="10"/>
  <c r="I140" i="10"/>
  <c r="J140" i="10"/>
  <c r="L140" i="10"/>
  <c r="C141" i="10"/>
  <c r="E141" i="10"/>
  <c r="G141" i="10"/>
  <c r="H141" i="10"/>
  <c r="K141" i="10"/>
  <c r="M141" i="10"/>
  <c r="B141" i="10"/>
  <c r="B140" i="10"/>
  <c r="F137" i="10"/>
  <c r="B123" i="10"/>
  <c r="F10" i="5"/>
  <c r="C46" i="16"/>
  <c r="K25" i="16"/>
  <c r="D51" i="16"/>
  <c r="D45" i="16"/>
  <c r="C54" i="16"/>
  <c r="C49" i="16"/>
  <c r="K4" i="16"/>
  <c r="I8" i="16"/>
  <c r="L8" i="16"/>
  <c r="L9" i="16"/>
  <c r="L10" i="16"/>
  <c r="L11" i="16"/>
  <c r="L12" i="16"/>
  <c r="I13" i="16"/>
  <c r="L13" i="16"/>
  <c r="L14" i="16"/>
  <c r="L15" i="16"/>
  <c r="L16" i="16"/>
  <c r="L17" i="16"/>
  <c r="L18" i="16"/>
  <c r="L19" i="16"/>
  <c r="L20" i="16"/>
  <c r="L21" i="16"/>
  <c r="L22" i="16"/>
  <c r="L23" i="16"/>
  <c r="I7" i="16"/>
  <c r="L7" i="16"/>
  <c r="D15" i="2"/>
  <c r="C152" i="15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C152" i="1"/>
  <c r="C3" i="15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C3" i="1"/>
  <c r="C48" i="1"/>
  <c r="C13" i="6"/>
  <c r="D13" i="6"/>
  <c r="E13" i="6"/>
  <c r="F13" i="6"/>
  <c r="G13" i="6"/>
  <c r="H13" i="6"/>
  <c r="I13" i="6"/>
  <c r="J13" i="6"/>
  <c r="K13" i="6"/>
  <c r="L13" i="6"/>
  <c r="M13" i="6"/>
  <c r="N13" i="6"/>
  <c r="O13" i="6"/>
  <c r="P13" i="6"/>
  <c r="Q13" i="6"/>
  <c r="R13" i="6"/>
  <c r="B13" i="6"/>
  <c r="B11" i="6"/>
  <c r="B12" i="6"/>
  <c r="C50" i="15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B14" i="6"/>
  <c r="C53" i="16"/>
  <c r="C52" i="16"/>
  <c r="C47" i="16"/>
  <c r="C48" i="16"/>
  <c r="C5" i="15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C140" i="15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L3" i="6"/>
  <c r="C12" i="15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H32" i="3"/>
  <c r="AC15" i="3"/>
  <c r="AD15" i="3"/>
  <c r="D9" i="3"/>
  <c r="D13" i="3"/>
  <c r="D59" i="10"/>
  <c r="D60" i="10"/>
  <c r="D61" i="10"/>
  <c r="D62" i="10"/>
  <c r="J59" i="10"/>
  <c r="K59" i="10"/>
  <c r="J60" i="10"/>
  <c r="K60" i="10"/>
  <c r="J61" i="10"/>
  <c r="K61" i="10"/>
  <c r="J62" i="10"/>
  <c r="K62" i="10"/>
  <c r="D63" i="10"/>
  <c r="J63" i="10"/>
  <c r="K63" i="10"/>
  <c r="D64" i="10"/>
  <c r="J64" i="10"/>
  <c r="K64" i="10"/>
  <c r="D65" i="10"/>
  <c r="J65" i="10"/>
  <c r="K65" i="10"/>
  <c r="D66" i="10"/>
  <c r="J66" i="10"/>
  <c r="K66" i="10"/>
  <c r="D67" i="10"/>
  <c r="J67" i="10"/>
  <c r="K67" i="10"/>
  <c r="D68" i="10"/>
  <c r="J68" i="10"/>
  <c r="K68" i="10"/>
  <c r="D69" i="10"/>
  <c r="J69" i="10"/>
  <c r="K69" i="10"/>
  <c r="D70" i="10"/>
  <c r="J70" i="10"/>
  <c r="K70" i="10"/>
  <c r="D71" i="10"/>
  <c r="J71" i="10"/>
  <c r="K71" i="10"/>
  <c r="D72" i="10"/>
  <c r="J72" i="10"/>
  <c r="K72" i="10"/>
  <c r="D73" i="10"/>
  <c r="J73" i="10"/>
  <c r="K73" i="10"/>
  <c r="D74" i="10"/>
  <c r="J74" i="10"/>
  <c r="K74" i="10"/>
  <c r="D75" i="10"/>
  <c r="J75" i="10"/>
  <c r="K75" i="10"/>
  <c r="J24" i="10"/>
  <c r="K24" i="10"/>
  <c r="L24" i="10"/>
  <c r="M24" i="10"/>
  <c r="N24" i="10"/>
  <c r="O24" i="10"/>
  <c r="P24" i="10"/>
  <c r="Q24" i="10"/>
  <c r="R24" i="10"/>
  <c r="S24" i="10"/>
  <c r="G24" i="10"/>
  <c r="H24" i="10"/>
  <c r="I24" i="10"/>
  <c r="D24" i="10"/>
  <c r="E24" i="10"/>
  <c r="F24" i="10"/>
  <c r="C24" i="10"/>
  <c r="G22" i="10"/>
  <c r="G21" i="10"/>
  <c r="G23" i="10"/>
  <c r="G26" i="10"/>
  <c r="H22" i="10"/>
  <c r="H21" i="10"/>
  <c r="H23" i="10"/>
  <c r="H26" i="10"/>
  <c r="I22" i="10"/>
  <c r="I21" i="10"/>
  <c r="I23" i="10"/>
  <c r="I26" i="10"/>
  <c r="J22" i="10"/>
  <c r="J21" i="10"/>
  <c r="J23" i="10"/>
  <c r="J26" i="10"/>
  <c r="K22" i="10"/>
  <c r="K21" i="10"/>
  <c r="K23" i="10"/>
  <c r="K26" i="10"/>
  <c r="L22" i="10"/>
  <c r="L21" i="10"/>
  <c r="L23" i="10"/>
  <c r="L26" i="10"/>
  <c r="M22" i="10"/>
  <c r="M21" i="10"/>
  <c r="M23" i="10"/>
  <c r="M26" i="10"/>
  <c r="N22" i="10"/>
  <c r="N21" i="10"/>
  <c r="N23" i="10"/>
  <c r="N26" i="10"/>
  <c r="O22" i="10"/>
  <c r="O21" i="10"/>
  <c r="O23" i="10"/>
  <c r="O26" i="10"/>
  <c r="P22" i="10"/>
  <c r="P21" i="10"/>
  <c r="P23" i="10"/>
  <c r="P26" i="10"/>
  <c r="Q22" i="10"/>
  <c r="Q21" i="10"/>
  <c r="Q23" i="10"/>
  <c r="Q26" i="10"/>
  <c r="R22" i="10"/>
  <c r="R21" i="10"/>
  <c r="R23" i="10"/>
  <c r="R26" i="10"/>
  <c r="S22" i="10"/>
  <c r="S21" i="10"/>
  <c r="S23" i="10"/>
  <c r="S26" i="10"/>
  <c r="E22" i="10"/>
  <c r="E21" i="10"/>
  <c r="E23" i="10"/>
  <c r="E26" i="10"/>
  <c r="F22" i="10"/>
  <c r="F21" i="10"/>
  <c r="F23" i="10"/>
  <c r="F26" i="10"/>
  <c r="D22" i="10"/>
  <c r="D21" i="10"/>
  <c r="D23" i="10"/>
  <c r="D26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D27" i="10"/>
  <c r="E27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D28" i="10"/>
  <c r="E28" i="10"/>
  <c r="F28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D58" i="10"/>
  <c r="J58" i="10"/>
  <c r="K58" i="10"/>
  <c r="B7" i="17"/>
  <c r="B8" i="17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C27" i="10"/>
  <c r="C32" i="10"/>
  <c r="C31" i="10"/>
  <c r="C43" i="16"/>
  <c r="C42" i="16"/>
  <c r="C41" i="16"/>
  <c r="D10" i="2"/>
  <c r="D10" i="8"/>
  <c r="D11" i="8"/>
  <c r="D12" i="8"/>
  <c r="D35" i="8"/>
  <c r="B35" i="8"/>
  <c r="B36" i="8"/>
  <c r="B37" i="8"/>
  <c r="B42" i="8"/>
  <c r="B38" i="8"/>
  <c r="B39" i="8"/>
  <c r="B41" i="8"/>
  <c r="D15" i="8"/>
  <c r="B40" i="8"/>
  <c r="C125" i="15"/>
  <c r="C124" i="15"/>
  <c r="C117" i="15"/>
  <c r="C116" i="15"/>
  <c r="C22" i="15"/>
  <c r="C19" i="15"/>
  <c r="C16" i="15"/>
  <c r="C16" i="1"/>
  <c r="I11" i="4"/>
  <c r="D9" i="4"/>
  <c r="D10" i="4"/>
  <c r="C20" i="15"/>
  <c r="C9" i="4"/>
  <c r="C10" i="4"/>
  <c r="C17" i="15"/>
  <c r="D8" i="4"/>
  <c r="D23" i="2"/>
  <c r="C83" i="15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H33" i="3"/>
  <c r="C8" i="15"/>
  <c r="C7" i="15"/>
  <c r="C13" i="15"/>
  <c r="C92" i="15"/>
  <c r="C91" i="15"/>
  <c r="C90" i="15"/>
  <c r="C89" i="15"/>
  <c r="B5" i="2"/>
  <c r="B9" i="2"/>
  <c r="C2" i="15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I10" i="16"/>
  <c r="I22" i="16"/>
  <c r="I23" i="16"/>
  <c r="F2" i="1"/>
  <c r="G2" i="1"/>
  <c r="H2" i="1"/>
  <c r="I2" i="1"/>
  <c r="J2" i="1"/>
  <c r="K2" i="1"/>
  <c r="L2" i="1"/>
  <c r="M2" i="1"/>
  <c r="N2" i="1"/>
  <c r="O2" i="1"/>
  <c r="P2" i="1"/>
  <c r="Q2" i="1"/>
  <c r="Q26" i="12"/>
  <c r="R2" i="1"/>
  <c r="S2" i="1"/>
  <c r="C2" i="1"/>
  <c r="D2" i="1"/>
  <c r="C150" i="15"/>
  <c r="C151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53" i="15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C154" i="15"/>
  <c r="C154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C155" i="15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C156" i="15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H22" i="17"/>
  <c r="H23" i="17"/>
  <c r="H24" i="17"/>
  <c r="H25" i="17"/>
  <c r="H26" i="17"/>
  <c r="H27" i="17"/>
  <c r="H28" i="17"/>
  <c r="H21" i="17"/>
  <c r="G22" i="17"/>
  <c r="G23" i="17"/>
  <c r="G24" i="17"/>
  <c r="G25" i="17"/>
  <c r="G26" i="17"/>
  <c r="G27" i="17"/>
  <c r="G28" i="17"/>
  <c r="G21" i="17"/>
  <c r="F22" i="17"/>
  <c r="F23" i="17"/>
  <c r="F24" i="17"/>
  <c r="F25" i="17"/>
  <c r="F26" i="17"/>
  <c r="F27" i="17"/>
  <c r="F28" i="17"/>
  <c r="F21" i="17"/>
  <c r="E26" i="17"/>
  <c r="E27" i="17"/>
  <c r="E28" i="17"/>
  <c r="E25" i="17"/>
  <c r="E22" i="17"/>
  <c r="E23" i="17"/>
  <c r="E24" i="17"/>
  <c r="E21" i="17"/>
  <c r="I22" i="17"/>
  <c r="I23" i="17"/>
  <c r="I24" i="17"/>
  <c r="I25" i="17"/>
  <c r="I26" i="17"/>
  <c r="I27" i="17"/>
  <c r="I28" i="17"/>
  <c r="I21" i="17"/>
  <c r="B6" i="13"/>
  <c r="B7" i="13"/>
  <c r="B5" i="13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C137" i="15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C136" i="15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C115" i="15"/>
  <c r="C114" i="15"/>
  <c r="C113" i="15"/>
  <c r="C112" i="15"/>
  <c r="C78" i="15"/>
  <c r="C77" i="15"/>
  <c r="C76" i="15"/>
  <c r="B5" i="6"/>
  <c r="C52" i="15"/>
  <c r="C51" i="15"/>
  <c r="C49" i="15"/>
  <c r="C38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B9" i="13"/>
  <c r="B10" i="13"/>
  <c r="B11" i="13"/>
  <c r="B8" i="13"/>
  <c r="C138" i="15"/>
  <c r="D24" i="2"/>
  <c r="D27" i="2"/>
  <c r="C99" i="15"/>
  <c r="D26" i="2"/>
  <c r="D29" i="2"/>
  <c r="C21" i="15"/>
  <c r="B5" i="7"/>
  <c r="D5" i="7"/>
  <c r="D6" i="7"/>
  <c r="C138" i="1"/>
  <c r="C135" i="15"/>
  <c r="C29" i="10"/>
  <c r="C133" i="15"/>
  <c r="C28" i="10"/>
  <c r="C30" i="10"/>
  <c r="C132" i="15"/>
  <c r="C131" i="15"/>
  <c r="C130" i="15"/>
  <c r="E131" i="15"/>
  <c r="C25" i="10"/>
  <c r="C129" i="15"/>
  <c r="E129" i="15"/>
  <c r="C128" i="15"/>
  <c r="E128" i="15"/>
  <c r="C123" i="15"/>
  <c r="E123" i="15"/>
  <c r="C122" i="15"/>
  <c r="E122" i="15"/>
  <c r="B9" i="9"/>
  <c r="D9" i="9"/>
  <c r="D16" i="9"/>
  <c r="C118" i="15"/>
  <c r="B10" i="9"/>
  <c r="D10" i="9"/>
  <c r="D17" i="9"/>
  <c r="C119" i="15"/>
  <c r="C120" i="15"/>
  <c r="C121" i="15"/>
  <c r="C126" i="15"/>
  <c r="C127" i="15"/>
  <c r="C104" i="15"/>
  <c r="C102" i="15"/>
  <c r="C100" i="15"/>
  <c r="C95" i="15"/>
  <c r="C96" i="15"/>
  <c r="C88" i="15"/>
  <c r="C87" i="15"/>
  <c r="C86" i="15"/>
  <c r="C85" i="15"/>
  <c r="C84" i="15"/>
  <c r="C82" i="15"/>
  <c r="D25" i="2"/>
  <c r="C81" i="15"/>
  <c r="C80" i="15"/>
  <c r="D12" i="7"/>
  <c r="C79" i="15"/>
  <c r="C75" i="15"/>
  <c r="C74" i="15"/>
  <c r="C73" i="15"/>
  <c r="B6" i="6"/>
  <c r="C65" i="15"/>
  <c r="C64" i="15"/>
  <c r="C62" i="15"/>
  <c r="C61" i="15"/>
  <c r="C59" i="15"/>
  <c r="C58" i="15"/>
  <c r="C56" i="15"/>
  <c r="C55" i="15"/>
  <c r="C53" i="15"/>
  <c r="AC11" i="3"/>
  <c r="AD11" i="3"/>
  <c r="AF11" i="3"/>
  <c r="B67" i="6"/>
  <c r="C67" i="6"/>
  <c r="C78" i="6"/>
  <c r="C99" i="6"/>
  <c r="F12" i="5"/>
  <c r="C41" i="15"/>
  <c r="F13" i="5"/>
  <c r="C40" i="15"/>
  <c r="C9" i="5"/>
  <c r="C39" i="15"/>
  <c r="C37" i="15"/>
  <c r="C36" i="15"/>
  <c r="C35" i="15"/>
  <c r="C33" i="15"/>
  <c r="H20" i="3"/>
  <c r="H21" i="3"/>
  <c r="H22" i="3"/>
  <c r="M6" i="3"/>
  <c r="C25" i="15"/>
  <c r="C26" i="15"/>
  <c r="C30" i="15"/>
  <c r="C29" i="15"/>
  <c r="H23" i="3"/>
  <c r="M5" i="3"/>
  <c r="C23" i="15"/>
  <c r="C24" i="15"/>
  <c r="C28" i="15"/>
  <c r="C27" i="15"/>
  <c r="C18" i="15"/>
  <c r="C8" i="4"/>
  <c r="I7" i="4"/>
  <c r="I9" i="4"/>
  <c r="C15" i="15"/>
  <c r="C14" i="15"/>
  <c r="C33" i="16"/>
  <c r="C32" i="16"/>
  <c r="C31" i="16"/>
  <c r="C30" i="16"/>
  <c r="C29" i="16"/>
  <c r="C28" i="16"/>
  <c r="C25" i="16"/>
  <c r="C24" i="16"/>
  <c r="G23" i="16"/>
  <c r="C23" i="16"/>
  <c r="G22" i="16"/>
  <c r="I21" i="16"/>
  <c r="G21" i="16"/>
  <c r="I20" i="16"/>
  <c r="G20" i="16"/>
  <c r="C20" i="16"/>
  <c r="I19" i="16"/>
  <c r="G19" i="16"/>
  <c r="C19" i="16"/>
  <c r="I18" i="16"/>
  <c r="G18" i="16"/>
  <c r="C18" i="16"/>
  <c r="I17" i="16"/>
  <c r="G17" i="16"/>
  <c r="I16" i="16"/>
  <c r="G16" i="16"/>
  <c r="I15" i="16"/>
  <c r="G15" i="16"/>
  <c r="I14" i="16"/>
  <c r="G14" i="16"/>
  <c r="C14" i="16"/>
  <c r="G13" i="16"/>
  <c r="C13" i="16"/>
  <c r="I12" i="16"/>
  <c r="G12" i="16"/>
  <c r="I11" i="16"/>
  <c r="G11" i="16"/>
  <c r="G10" i="16"/>
  <c r="C10" i="16"/>
  <c r="I9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C5" i="13"/>
  <c r="D5" i="13"/>
  <c r="E5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C6" i="13"/>
  <c r="D6" i="13"/>
  <c r="E6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C7" i="13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C8" i="13"/>
  <c r="D8" i="13"/>
  <c r="E8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C9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C10" i="13"/>
  <c r="D10" i="13"/>
  <c r="D75" i="13"/>
  <c r="E10" i="13"/>
  <c r="F10" i="13"/>
  <c r="G10" i="13"/>
  <c r="D76" i="13"/>
  <c r="H10" i="13"/>
  <c r="I10" i="13"/>
  <c r="J10" i="13"/>
  <c r="K10" i="13"/>
  <c r="L10" i="13"/>
  <c r="M10" i="13"/>
  <c r="N10" i="13"/>
  <c r="O10" i="13"/>
  <c r="P10" i="13"/>
  <c r="Q10" i="13"/>
  <c r="R10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C12" i="6"/>
  <c r="D49" i="1"/>
  <c r="D12" i="6"/>
  <c r="E49" i="1"/>
  <c r="E12" i="6"/>
  <c r="F49" i="1"/>
  <c r="F12" i="6"/>
  <c r="G49" i="1"/>
  <c r="G12" i="6"/>
  <c r="H49" i="1"/>
  <c r="H12" i="6"/>
  <c r="I49" i="1"/>
  <c r="I12" i="6"/>
  <c r="J49" i="1"/>
  <c r="J12" i="6"/>
  <c r="K49" i="1"/>
  <c r="K12" i="6"/>
  <c r="L49" i="1"/>
  <c r="L12" i="6"/>
  <c r="M49" i="1"/>
  <c r="M12" i="6"/>
  <c r="N49" i="1"/>
  <c r="N12" i="6"/>
  <c r="O49" i="1"/>
  <c r="O12" i="6"/>
  <c r="P49" i="1"/>
  <c r="P12" i="6"/>
  <c r="Q49" i="1"/>
  <c r="Q12" i="6"/>
  <c r="R49" i="1"/>
  <c r="R12" i="6"/>
  <c r="S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C50" i="1"/>
  <c r="C51" i="1"/>
  <c r="C49" i="1"/>
  <c r="AC16" i="3"/>
  <c r="AD16" i="3"/>
  <c r="AF16" i="3"/>
  <c r="B72" i="6"/>
  <c r="Q72" i="6"/>
  <c r="Q83" i="6"/>
  <c r="P72" i="6"/>
  <c r="P83" i="6"/>
  <c r="O72" i="6"/>
  <c r="O83" i="6"/>
  <c r="N72" i="6"/>
  <c r="N83" i="6"/>
  <c r="M72" i="6"/>
  <c r="M83" i="6"/>
  <c r="L72" i="6"/>
  <c r="L83" i="6"/>
  <c r="K72" i="6"/>
  <c r="K83" i="6"/>
  <c r="J72" i="6"/>
  <c r="J83" i="6"/>
  <c r="I72" i="6"/>
  <c r="I83" i="6"/>
  <c r="H72" i="6"/>
  <c r="H83" i="6"/>
  <c r="G72" i="6"/>
  <c r="G83" i="6"/>
  <c r="F72" i="6"/>
  <c r="F83" i="6"/>
  <c r="E72" i="6"/>
  <c r="E83" i="6"/>
  <c r="D72" i="6"/>
  <c r="D83" i="6"/>
  <c r="C72" i="6"/>
  <c r="C83" i="6"/>
  <c r="AF15" i="3"/>
  <c r="B71" i="6"/>
  <c r="Q71" i="6"/>
  <c r="Q82" i="6"/>
  <c r="P71" i="6"/>
  <c r="P82" i="6"/>
  <c r="O71" i="6"/>
  <c r="O82" i="6"/>
  <c r="N71" i="6"/>
  <c r="N82" i="6"/>
  <c r="M71" i="6"/>
  <c r="M82" i="6"/>
  <c r="L71" i="6"/>
  <c r="L82" i="6"/>
  <c r="K71" i="6"/>
  <c r="K82" i="6"/>
  <c r="J71" i="6"/>
  <c r="J82" i="6"/>
  <c r="I71" i="6"/>
  <c r="I82" i="6"/>
  <c r="H71" i="6"/>
  <c r="H82" i="6"/>
  <c r="G71" i="6"/>
  <c r="G82" i="6"/>
  <c r="F71" i="6"/>
  <c r="F82" i="6"/>
  <c r="E71" i="6"/>
  <c r="E82" i="6"/>
  <c r="D71" i="6"/>
  <c r="D82" i="6"/>
  <c r="C71" i="6"/>
  <c r="C82" i="6"/>
  <c r="AC14" i="3"/>
  <c r="AD14" i="3"/>
  <c r="AF14" i="3"/>
  <c r="B70" i="6"/>
  <c r="Q70" i="6"/>
  <c r="Q81" i="6"/>
  <c r="P70" i="6"/>
  <c r="P81" i="6"/>
  <c r="O70" i="6"/>
  <c r="O81" i="6"/>
  <c r="N70" i="6"/>
  <c r="N81" i="6"/>
  <c r="M70" i="6"/>
  <c r="M81" i="6"/>
  <c r="L70" i="6"/>
  <c r="L81" i="6"/>
  <c r="K70" i="6"/>
  <c r="K81" i="6"/>
  <c r="J70" i="6"/>
  <c r="J81" i="6"/>
  <c r="I70" i="6"/>
  <c r="I81" i="6"/>
  <c r="H70" i="6"/>
  <c r="H81" i="6"/>
  <c r="G70" i="6"/>
  <c r="G81" i="6"/>
  <c r="F70" i="6"/>
  <c r="F81" i="6"/>
  <c r="E70" i="6"/>
  <c r="E81" i="6"/>
  <c r="D70" i="6"/>
  <c r="D81" i="6"/>
  <c r="C70" i="6"/>
  <c r="C81" i="6"/>
  <c r="AC13" i="3"/>
  <c r="AD13" i="3"/>
  <c r="AF13" i="3"/>
  <c r="B69" i="6"/>
  <c r="Q69" i="6"/>
  <c r="Q80" i="6"/>
  <c r="P69" i="6"/>
  <c r="P80" i="6"/>
  <c r="O69" i="6"/>
  <c r="O80" i="6"/>
  <c r="N69" i="6"/>
  <c r="N80" i="6"/>
  <c r="M69" i="6"/>
  <c r="M80" i="6"/>
  <c r="L69" i="6"/>
  <c r="L80" i="6"/>
  <c r="K69" i="6"/>
  <c r="K80" i="6"/>
  <c r="J69" i="6"/>
  <c r="J80" i="6"/>
  <c r="I69" i="6"/>
  <c r="I80" i="6"/>
  <c r="H69" i="6"/>
  <c r="H80" i="6"/>
  <c r="G69" i="6"/>
  <c r="G80" i="6"/>
  <c r="F69" i="6"/>
  <c r="F80" i="6"/>
  <c r="E69" i="6"/>
  <c r="E80" i="6"/>
  <c r="D69" i="6"/>
  <c r="D80" i="6"/>
  <c r="C69" i="6"/>
  <c r="C80" i="6"/>
  <c r="AC12" i="3"/>
  <c r="AD12" i="3"/>
  <c r="AF12" i="3"/>
  <c r="B68" i="6"/>
  <c r="Q68" i="6"/>
  <c r="Q79" i="6"/>
  <c r="P68" i="6"/>
  <c r="P79" i="6"/>
  <c r="O68" i="6"/>
  <c r="O79" i="6"/>
  <c r="N68" i="6"/>
  <c r="N79" i="6"/>
  <c r="M68" i="6"/>
  <c r="M79" i="6"/>
  <c r="L68" i="6"/>
  <c r="L79" i="6"/>
  <c r="K68" i="6"/>
  <c r="K79" i="6"/>
  <c r="J68" i="6"/>
  <c r="J79" i="6"/>
  <c r="I68" i="6"/>
  <c r="I79" i="6"/>
  <c r="H68" i="6"/>
  <c r="H79" i="6"/>
  <c r="G68" i="6"/>
  <c r="G79" i="6"/>
  <c r="F68" i="6"/>
  <c r="F79" i="6"/>
  <c r="E68" i="6"/>
  <c r="E79" i="6"/>
  <c r="D68" i="6"/>
  <c r="D79" i="6"/>
  <c r="C68" i="6"/>
  <c r="C79" i="6"/>
  <c r="Q67" i="6"/>
  <c r="Q78" i="6"/>
  <c r="P67" i="6"/>
  <c r="P78" i="6"/>
  <c r="O67" i="6"/>
  <c r="O78" i="6"/>
  <c r="N67" i="6"/>
  <c r="N78" i="6"/>
  <c r="M67" i="6"/>
  <c r="M78" i="6"/>
  <c r="L67" i="6"/>
  <c r="L78" i="6"/>
  <c r="K67" i="6"/>
  <c r="K78" i="6"/>
  <c r="J67" i="6"/>
  <c r="J78" i="6"/>
  <c r="I67" i="6"/>
  <c r="I78" i="6"/>
  <c r="H67" i="6"/>
  <c r="H78" i="6"/>
  <c r="G67" i="6"/>
  <c r="G78" i="6"/>
  <c r="F67" i="6"/>
  <c r="F78" i="6"/>
  <c r="E67" i="6"/>
  <c r="E78" i="6"/>
  <c r="D67" i="6"/>
  <c r="D78" i="6"/>
  <c r="D5" i="2"/>
  <c r="G19" i="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R26" i="12"/>
  <c r="B26" i="12"/>
  <c r="E2" i="1"/>
  <c r="G11" i="5"/>
  <c r="D39" i="1"/>
  <c r="H11" i="5"/>
  <c r="E39" i="1"/>
  <c r="I11" i="5"/>
  <c r="F39" i="1"/>
  <c r="J11" i="5"/>
  <c r="G39" i="1"/>
  <c r="K11" i="5"/>
  <c r="H39" i="1"/>
  <c r="L11" i="5"/>
  <c r="I39" i="1"/>
  <c r="M11" i="5"/>
  <c r="J39" i="1"/>
  <c r="N11" i="5"/>
  <c r="K39" i="1"/>
  <c r="O11" i="5"/>
  <c r="L39" i="1"/>
  <c r="P11" i="5"/>
  <c r="M39" i="1"/>
  <c r="Q11" i="5"/>
  <c r="N39" i="1"/>
  <c r="R11" i="5"/>
  <c r="O39" i="1"/>
  <c r="S11" i="5"/>
  <c r="P39" i="1"/>
  <c r="T11" i="5"/>
  <c r="Q39" i="1"/>
  <c r="U11" i="5"/>
  <c r="R39" i="1"/>
  <c r="V11" i="5"/>
  <c r="S39" i="1"/>
  <c r="G13" i="5"/>
  <c r="D40" i="1"/>
  <c r="H13" i="5"/>
  <c r="E40" i="1"/>
  <c r="I13" i="5"/>
  <c r="F40" i="1"/>
  <c r="J13" i="5"/>
  <c r="G40" i="1"/>
  <c r="K13" i="5"/>
  <c r="H40" i="1"/>
  <c r="L13" i="5"/>
  <c r="I40" i="1"/>
  <c r="M13" i="5"/>
  <c r="J40" i="1"/>
  <c r="N13" i="5"/>
  <c r="K40" i="1"/>
  <c r="O13" i="5"/>
  <c r="L40" i="1"/>
  <c r="P13" i="5"/>
  <c r="M40" i="1"/>
  <c r="Q13" i="5"/>
  <c r="N40" i="1"/>
  <c r="R13" i="5"/>
  <c r="O40" i="1"/>
  <c r="S13" i="5"/>
  <c r="P40" i="1"/>
  <c r="T13" i="5"/>
  <c r="Q40" i="1"/>
  <c r="U13" i="5"/>
  <c r="R40" i="1"/>
  <c r="V13" i="5"/>
  <c r="S40" i="1"/>
  <c r="G12" i="5"/>
  <c r="D41" i="1"/>
  <c r="H12" i="5"/>
  <c r="E41" i="1"/>
  <c r="I12" i="5"/>
  <c r="F41" i="1"/>
  <c r="J12" i="5"/>
  <c r="G41" i="1"/>
  <c r="K12" i="5"/>
  <c r="H41" i="1"/>
  <c r="L12" i="5"/>
  <c r="I41" i="1"/>
  <c r="M12" i="5"/>
  <c r="J41" i="1"/>
  <c r="N12" i="5"/>
  <c r="K41" i="1"/>
  <c r="O12" i="5"/>
  <c r="L41" i="1"/>
  <c r="P12" i="5"/>
  <c r="M41" i="1"/>
  <c r="Q12" i="5"/>
  <c r="N41" i="1"/>
  <c r="R12" i="5"/>
  <c r="O41" i="1"/>
  <c r="S12" i="5"/>
  <c r="P41" i="1"/>
  <c r="T12" i="5"/>
  <c r="Q41" i="1"/>
  <c r="U12" i="5"/>
  <c r="R41" i="1"/>
  <c r="V12" i="5"/>
  <c r="S41" i="1"/>
  <c r="C41" i="1"/>
  <c r="C40" i="1"/>
  <c r="C39" i="1"/>
  <c r="F14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42" i="1"/>
  <c r="C43" i="1"/>
  <c r="H15" i="3"/>
  <c r="U33" i="10"/>
  <c r="D30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D29" i="10"/>
  <c r="E29" i="10"/>
  <c r="F29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B17" i="2"/>
  <c r="B19" i="7"/>
  <c r="F17" i="5"/>
  <c r="U14" i="5"/>
  <c r="U16" i="5"/>
  <c r="V14" i="5"/>
  <c r="V16" i="5"/>
  <c r="V15" i="5"/>
  <c r="U15" i="5"/>
  <c r="F16" i="5"/>
  <c r="F15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17" i="2"/>
  <c r="B6" i="5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C6" i="1"/>
  <c r="C5" i="1"/>
  <c r="B12" i="9"/>
  <c r="B20" i="5"/>
  <c r="F20" i="5"/>
  <c r="B21" i="5"/>
  <c r="F22" i="5"/>
  <c r="B13" i="5"/>
  <c r="F8" i="5"/>
  <c r="F7" i="5"/>
  <c r="C29" i="7"/>
  <c r="G7" i="5"/>
  <c r="G17" i="5"/>
  <c r="H7" i="5"/>
  <c r="H17" i="5"/>
  <c r="I7" i="5"/>
  <c r="I17" i="5"/>
  <c r="J7" i="5"/>
  <c r="J17" i="5"/>
  <c r="K7" i="5"/>
  <c r="K17" i="5"/>
  <c r="L7" i="5"/>
  <c r="L17" i="5"/>
  <c r="M7" i="5"/>
  <c r="M17" i="5"/>
  <c r="N7" i="5"/>
  <c r="N17" i="5"/>
  <c r="O7" i="5"/>
  <c r="O17" i="5"/>
  <c r="P7" i="5"/>
  <c r="P17" i="5"/>
  <c r="Q7" i="5"/>
  <c r="Q17" i="5"/>
  <c r="R7" i="5"/>
  <c r="R17" i="5"/>
  <c r="S7" i="5"/>
  <c r="S17" i="5"/>
  <c r="T7" i="5"/>
  <c r="T17" i="5"/>
  <c r="C30" i="7"/>
  <c r="C31" i="7"/>
  <c r="C32" i="7"/>
  <c r="C33" i="7"/>
  <c r="C34" i="7"/>
  <c r="C35" i="7"/>
  <c r="C36" i="7"/>
  <c r="C37" i="7"/>
  <c r="R30" i="13"/>
  <c r="Q30" i="13"/>
  <c r="H30" i="13"/>
  <c r="E30" i="13"/>
  <c r="C30" i="13"/>
  <c r="R36" i="13"/>
  <c r="Q36" i="13"/>
  <c r="H36" i="13"/>
  <c r="E36" i="13"/>
  <c r="C36" i="13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L21" i="7"/>
  <c r="K21" i="7"/>
  <c r="H37" i="7"/>
  <c r="H36" i="7"/>
  <c r="H35" i="7"/>
  <c r="H34" i="7"/>
  <c r="H33" i="7"/>
  <c r="H32" i="7"/>
  <c r="H31" i="7"/>
  <c r="H30" i="7"/>
  <c r="H29" i="7"/>
  <c r="I17" i="6"/>
  <c r="C58" i="1"/>
  <c r="R10" i="10"/>
  <c r="R130" i="1"/>
  <c r="S10" i="10"/>
  <c r="S130" i="1"/>
  <c r="S14" i="10"/>
  <c r="R14" i="10"/>
  <c r="S9" i="10"/>
  <c r="R9" i="10"/>
  <c r="I28" i="5"/>
  <c r="V28" i="5"/>
  <c r="G28" i="5"/>
  <c r="U28" i="5"/>
  <c r="R76" i="1"/>
  <c r="S76" i="1"/>
  <c r="G20" i="5"/>
  <c r="G21" i="5"/>
  <c r="U21" i="5"/>
  <c r="R77" i="1"/>
  <c r="I20" i="5"/>
  <c r="I21" i="5"/>
  <c r="V21" i="5"/>
  <c r="S77" i="1"/>
  <c r="G22" i="5"/>
  <c r="U22" i="5"/>
  <c r="R78" i="1"/>
  <c r="I22" i="5"/>
  <c r="V22" i="5"/>
  <c r="S78" i="1"/>
  <c r="S8" i="1"/>
  <c r="J8" i="9"/>
  <c r="Y14" i="9"/>
  <c r="S112" i="1"/>
  <c r="S113" i="1"/>
  <c r="Y16" i="9"/>
  <c r="S114" i="1"/>
  <c r="S115" i="1"/>
  <c r="S135" i="1"/>
  <c r="S138" i="1"/>
  <c r="U20" i="5"/>
  <c r="V20" i="5"/>
  <c r="U7" i="5"/>
  <c r="V7" i="5"/>
  <c r="G8" i="5"/>
  <c r="U8" i="5"/>
  <c r="I8" i="5"/>
  <c r="V8" i="5"/>
  <c r="V6" i="5"/>
  <c r="U6" i="5"/>
  <c r="C40" i="10"/>
  <c r="E17" i="6"/>
  <c r="H17" i="6"/>
  <c r="H20" i="5"/>
  <c r="J20" i="5"/>
  <c r="K20" i="5"/>
  <c r="L20" i="5"/>
  <c r="M20" i="5"/>
  <c r="N20" i="5"/>
  <c r="O20" i="5"/>
  <c r="P20" i="5"/>
  <c r="Q20" i="5"/>
  <c r="R20" i="5"/>
  <c r="S20" i="5"/>
  <c r="T20" i="5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C130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C135" i="1"/>
  <c r="H8" i="5"/>
  <c r="J8" i="5"/>
  <c r="K8" i="5"/>
  <c r="L8" i="5"/>
  <c r="M8" i="5"/>
  <c r="N8" i="5"/>
  <c r="O8" i="5"/>
  <c r="P8" i="5"/>
  <c r="Q8" i="5"/>
  <c r="R8" i="5"/>
  <c r="S8" i="5"/>
  <c r="T8" i="5"/>
  <c r="H28" i="5"/>
  <c r="J28" i="5"/>
  <c r="K28" i="5"/>
  <c r="L28" i="5"/>
  <c r="M28" i="5"/>
  <c r="F28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F89" i="5"/>
  <c r="B18" i="2"/>
  <c r="B13" i="2"/>
  <c r="B14" i="2"/>
  <c r="B12" i="2"/>
  <c r="C17" i="6"/>
  <c r="C64" i="1"/>
  <c r="B6" i="2"/>
  <c r="G107" i="6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H29" i="6"/>
  <c r="J29" i="6"/>
  <c r="H30" i="6"/>
  <c r="J30" i="6"/>
  <c r="H31" i="6"/>
  <c r="J31" i="6"/>
  <c r="H41" i="6"/>
  <c r="C41" i="6"/>
  <c r="H42" i="6"/>
  <c r="J42" i="6"/>
  <c r="H50" i="6"/>
  <c r="J50" i="6"/>
  <c r="H52" i="6"/>
  <c r="J52" i="6"/>
  <c r="C77" i="1"/>
  <c r="D129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B133" i="5"/>
  <c r="B134" i="5"/>
  <c r="D127" i="5"/>
  <c r="D126" i="5"/>
  <c r="D128" i="5"/>
  <c r="D125" i="5"/>
  <c r="Y1" i="5"/>
  <c r="A37" i="5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AC13" i="9"/>
  <c r="L14" i="9"/>
  <c r="M14" i="9"/>
  <c r="G112" i="1"/>
  <c r="R14" i="9"/>
  <c r="L112" i="1"/>
  <c r="X14" i="9"/>
  <c r="R112" i="1"/>
  <c r="R18" i="7"/>
  <c r="Q18" i="7"/>
  <c r="C5" i="12"/>
  <c r="G5" i="12"/>
  <c r="K5" i="12"/>
  <c r="O5" i="12"/>
  <c r="F54" i="10"/>
  <c r="X7" i="5"/>
  <c r="X14" i="5"/>
  <c r="I18" i="6"/>
  <c r="C55" i="1"/>
  <c r="E18" i="6"/>
  <c r="H18" i="6"/>
  <c r="E20" i="6"/>
  <c r="C20" i="6"/>
  <c r="C53" i="1"/>
  <c r="C42" i="6"/>
  <c r="C60" i="6"/>
  <c r="C59" i="6"/>
  <c r="C58" i="6"/>
  <c r="H57" i="6"/>
  <c r="C57" i="6"/>
  <c r="H56" i="6"/>
  <c r="C56" i="6"/>
  <c r="H55" i="6"/>
  <c r="C55" i="6"/>
  <c r="H39" i="6"/>
  <c r="C39" i="6"/>
  <c r="H40" i="6"/>
  <c r="C40" i="6"/>
  <c r="H38" i="6"/>
  <c r="C38" i="6"/>
  <c r="H37" i="6"/>
  <c r="C37" i="6"/>
  <c r="H32" i="6"/>
  <c r="C32" i="6"/>
  <c r="H33" i="6"/>
  <c r="C33" i="6"/>
  <c r="H34" i="6"/>
  <c r="C34" i="6"/>
  <c r="C30" i="6"/>
  <c r="C29" i="6"/>
  <c r="H25" i="6"/>
  <c r="C25" i="6"/>
  <c r="H24" i="6"/>
  <c r="C24" i="6"/>
  <c r="H46" i="6"/>
  <c r="C46" i="6"/>
  <c r="H47" i="6"/>
  <c r="C47" i="6"/>
  <c r="H48" i="6"/>
  <c r="C48" i="6"/>
  <c r="H49" i="6"/>
  <c r="C49" i="6"/>
  <c r="H51" i="6"/>
  <c r="C51" i="6"/>
  <c r="C52" i="6"/>
  <c r="H45" i="6"/>
  <c r="C45" i="6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B60" i="6"/>
  <c r="B59" i="6"/>
  <c r="B58" i="6"/>
  <c r="M12" i="3"/>
  <c r="X57" i="5"/>
  <c r="X33" i="5"/>
  <c r="X34" i="5"/>
  <c r="T33" i="5"/>
  <c r="F33" i="5"/>
  <c r="F34" i="5"/>
  <c r="T30" i="5"/>
  <c r="X30" i="5"/>
  <c r="X31" i="5"/>
  <c r="F30" i="5"/>
  <c r="F31" i="5"/>
  <c r="T34" i="5"/>
  <c r="T31" i="5"/>
  <c r="Q36" i="6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AM22" i="5"/>
  <c r="D44" i="2"/>
  <c r="D43" i="2"/>
  <c r="D14" i="9"/>
  <c r="B14" i="9"/>
  <c r="Q76" i="1"/>
  <c r="P76" i="1"/>
  <c r="O76" i="1"/>
  <c r="N76" i="1"/>
  <c r="M76" i="1"/>
  <c r="L76" i="1"/>
  <c r="K76" i="1"/>
  <c r="J76" i="1"/>
  <c r="I76" i="1"/>
  <c r="H76" i="1"/>
  <c r="G76" i="1"/>
  <c r="F76" i="1"/>
  <c r="D76" i="1"/>
  <c r="C76" i="1"/>
  <c r="E76" i="1"/>
  <c r="I19" i="6"/>
  <c r="B13" i="9"/>
  <c r="Q24" i="3"/>
  <c r="Q22" i="3"/>
  <c r="C17" i="3"/>
  <c r="D17" i="3"/>
  <c r="E17" i="3"/>
  <c r="Q26" i="6"/>
  <c r="C121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C102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C79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5" i="1"/>
  <c r="W16" i="9"/>
  <c r="Q114" i="1"/>
  <c r="V16" i="9"/>
  <c r="U16" i="9"/>
  <c r="O115" i="1"/>
  <c r="T16" i="9"/>
  <c r="N115" i="1"/>
  <c r="S16" i="9"/>
  <c r="M115" i="1"/>
  <c r="R16" i="9"/>
  <c r="L114" i="1"/>
  <c r="Q16" i="9"/>
  <c r="K115" i="1"/>
  <c r="P16" i="9"/>
  <c r="J115" i="1"/>
  <c r="O16" i="9"/>
  <c r="I115" i="1"/>
  <c r="N16" i="9"/>
  <c r="M16" i="9"/>
  <c r="G115" i="1"/>
  <c r="L16" i="9"/>
  <c r="F115" i="1"/>
  <c r="K16" i="9"/>
  <c r="J16" i="9"/>
  <c r="D115" i="1"/>
  <c r="I16" i="9"/>
  <c r="C115" i="1"/>
  <c r="D15" i="9"/>
  <c r="B15" i="9"/>
  <c r="J9" i="9"/>
  <c r="J7" i="9"/>
  <c r="Q27" i="6"/>
  <c r="Q23" i="6"/>
  <c r="Q22" i="6"/>
  <c r="Q21" i="6"/>
  <c r="Q20" i="6"/>
  <c r="Q19" i="6"/>
  <c r="Q18" i="6"/>
  <c r="Q17" i="6"/>
  <c r="AO22" i="5"/>
  <c r="AI22" i="5"/>
  <c r="AC22" i="5"/>
  <c r="X22" i="5"/>
  <c r="O22" i="5"/>
  <c r="L78" i="1"/>
  <c r="J22" i="5"/>
  <c r="G78" i="1"/>
  <c r="AO21" i="5"/>
  <c r="AN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X21" i="5"/>
  <c r="T21" i="5"/>
  <c r="Q77" i="1"/>
  <c r="S21" i="5"/>
  <c r="P77" i="1"/>
  <c r="R21" i="5"/>
  <c r="O77" i="1"/>
  <c r="Q21" i="5"/>
  <c r="N77" i="1"/>
  <c r="P21" i="5"/>
  <c r="M77" i="1"/>
  <c r="O21" i="5"/>
  <c r="L77" i="1"/>
  <c r="N21" i="5"/>
  <c r="K77" i="1"/>
  <c r="M21" i="5"/>
  <c r="J77" i="1"/>
  <c r="L21" i="5"/>
  <c r="I77" i="1"/>
  <c r="K21" i="5"/>
  <c r="H77" i="1"/>
  <c r="J21" i="5"/>
  <c r="G77" i="1"/>
  <c r="F77" i="1"/>
  <c r="H21" i="5"/>
  <c r="D77" i="1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AO8" i="5"/>
  <c r="AL8" i="5"/>
  <c r="AK8" i="5"/>
  <c r="AJ8" i="5"/>
  <c r="AH8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O6" i="5"/>
  <c r="AL6" i="5"/>
  <c r="AK6" i="5"/>
  <c r="AJ6" i="5"/>
  <c r="AH6" i="5"/>
  <c r="R9" i="4"/>
  <c r="R10" i="4"/>
  <c r="R11" i="4"/>
  <c r="B25" i="3"/>
  <c r="B26" i="3"/>
  <c r="C24" i="3"/>
  <c r="D24" i="3"/>
  <c r="E24" i="3"/>
  <c r="Q23" i="3"/>
  <c r="Q21" i="3"/>
  <c r="S23" i="3"/>
  <c r="C20" i="3"/>
  <c r="D20" i="3"/>
  <c r="E20" i="3"/>
  <c r="C19" i="3"/>
  <c r="D19" i="3"/>
  <c r="E19" i="3"/>
  <c r="Q18" i="3"/>
  <c r="C18" i="3"/>
  <c r="D18" i="3"/>
  <c r="E18" i="3"/>
  <c r="U16" i="3"/>
  <c r="U17" i="3"/>
  <c r="Q15" i="3"/>
  <c r="Q16" i="3"/>
  <c r="C1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C116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C105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E77" i="1"/>
  <c r="F114" i="1"/>
  <c r="J114" i="1"/>
  <c r="R114" i="1"/>
  <c r="G114" i="1"/>
  <c r="O114" i="1"/>
  <c r="D114" i="1"/>
  <c r="H114" i="1"/>
  <c r="H115" i="1"/>
  <c r="P114" i="1"/>
  <c r="P115" i="1"/>
  <c r="I114" i="1"/>
  <c r="Q115" i="1"/>
  <c r="C87" i="1"/>
  <c r="H13" i="3"/>
  <c r="H14" i="3"/>
  <c r="C14" i="1"/>
  <c r="C25" i="3"/>
  <c r="D25" i="3"/>
  <c r="E25" i="3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D24" i="8"/>
  <c r="E19" i="6"/>
  <c r="H19" i="6"/>
  <c r="C65" i="1"/>
  <c r="G113" i="1"/>
  <c r="K114" i="1"/>
  <c r="C114" i="1"/>
  <c r="M22" i="5"/>
  <c r="J78" i="1"/>
  <c r="E114" i="1"/>
  <c r="K22" i="5"/>
  <c r="H78" i="1"/>
  <c r="Q22" i="5"/>
  <c r="N78" i="1"/>
  <c r="Z22" i="5"/>
  <c r="AF22" i="5"/>
  <c r="AJ22" i="5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Q19" i="3"/>
  <c r="F78" i="1"/>
  <c r="N22" i="5"/>
  <c r="K78" i="1"/>
  <c r="S22" i="5"/>
  <c r="P78" i="1"/>
  <c r="AB22" i="5"/>
  <c r="AH22" i="5"/>
  <c r="AN22" i="5"/>
  <c r="C31" i="6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3" i="1"/>
  <c r="C78" i="1"/>
  <c r="R22" i="5"/>
  <c r="O78" i="1"/>
  <c r="AA22" i="5"/>
  <c r="AG22" i="5"/>
  <c r="AK22" i="5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S22" i="3"/>
  <c r="M114" i="1"/>
  <c r="E115" i="1"/>
  <c r="L113" i="1"/>
  <c r="H20" i="6"/>
  <c r="D133" i="5"/>
  <c r="D134" i="5"/>
  <c r="B137" i="5"/>
  <c r="B140" i="5"/>
  <c r="C28" i="8"/>
  <c r="B27" i="3"/>
  <c r="C27" i="3"/>
  <c r="D27" i="3"/>
  <c r="E27" i="3"/>
  <c r="C26" i="3"/>
  <c r="D26" i="3"/>
  <c r="E26" i="3"/>
  <c r="O22" i="6"/>
  <c r="P22" i="6"/>
  <c r="O20" i="6"/>
  <c r="P20" i="6"/>
  <c r="O23" i="6"/>
  <c r="P23" i="6"/>
  <c r="F113" i="1"/>
  <c r="F112" i="1"/>
  <c r="C50" i="6"/>
  <c r="I14" i="9"/>
  <c r="Q14" i="9"/>
  <c r="AB14" i="9"/>
  <c r="AC16" i="9"/>
  <c r="L115" i="1"/>
  <c r="D78" i="1"/>
  <c r="AD22" i="5"/>
  <c r="AL22" i="5"/>
  <c r="W14" i="9"/>
  <c r="O14" i="9"/>
  <c r="H16" i="3"/>
  <c r="N114" i="1"/>
  <c r="H22" i="5"/>
  <c r="L22" i="5"/>
  <c r="I78" i="1"/>
  <c r="P22" i="5"/>
  <c r="M78" i="1"/>
  <c r="T22" i="5"/>
  <c r="Q78" i="1"/>
  <c r="AE22" i="5"/>
  <c r="V14" i="9"/>
  <c r="N14" i="9"/>
  <c r="AD13" i="9"/>
  <c r="T14" i="9"/>
  <c r="J41" i="6"/>
  <c r="J54" i="6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R134" i="1"/>
  <c r="S134" i="1"/>
  <c r="R110" i="1"/>
  <c r="S110" i="1"/>
  <c r="R94" i="1"/>
  <c r="S94" i="1"/>
  <c r="R98" i="1"/>
  <c r="S98" i="1"/>
  <c r="R101" i="1"/>
  <c r="S101" i="1"/>
  <c r="R117" i="1"/>
  <c r="S117" i="1"/>
  <c r="R111" i="1"/>
  <c r="S111" i="1"/>
  <c r="R124" i="1"/>
  <c r="S124" i="1"/>
  <c r="R93" i="1"/>
  <c r="S93" i="1"/>
  <c r="R103" i="1"/>
  <c r="S103" i="1"/>
  <c r="R97" i="1"/>
  <c r="S97" i="1"/>
  <c r="R109" i="1"/>
  <c r="S109" i="1"/>
  <c r="R83" i="1"/>
  <c r="S83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R52" i="1"/>
  <c r="S52" i="1"/>
  <c r="R34" i="1"/>
  <c r="S34" i="1"/>
  <c r="R16" i="1"/>
  <c r="S16" i="1"/>
  <c r="R31" i="1"/>
  <c r="S31" i="1"/>
  <c r="R42" i="1"/>
  <c r="S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19" i="1"/>
  <c r="S19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R88" i="1"/>
  <c r="S88" i="1"/>
  <c r="R32" i="1"/>
  <c r="S32" i="1"/>
  <c r="R60" i="1"/>
  <c r="S60" i="1"/>
  <c r="R33" i="1"/>
  <c r="S33" i="1"/>
  <c r="R22" i="1"/>
  <c r="S22" i="1"/>
  <c r="R54" i="1"/>
  <c r="S54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R66" i="1"/>
  <c r="S66" i="1"/>
  <c r="R57" i="1"/>
  <c r="S57" i="1"/>
  <c r="R20" i="1"/>
  <c r="S20" i="1"/>
  <c r="R120" i="1"/>
  <c r="S120" i="1"/>
  <c r="R48" i="1"/>
  <c r="S48" i="1"/>
  <c r="R63" i="1"/>
  <c r="S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O27" i="6"/>
  <c r="P27" i="6"/>
  <c r="O36" i="6"/>
  <c r="P36" i="6"/>
  <c r="O26" i="6"/>
  <c r="P26" i="6"/>
  <c r="C19" i="6"/>
  <c r="C18" i="6"/>
  <c r="C56" i="1"/>
  <c r="O21" i="6"/>
  <c r="P21" i="6"/>
  <c r="O19" i="6"/>
  <c r="P19" i="6"/>
  <c r="O18" i="6"/>
  <c r="P18" i="6"/>
  <c r="O17" i="6"/>
  <c r="P17" i="6"/>
  <c r="J112" i="1"/>
  <c r="J113" i="1"/>
  <c r="O113" i="1"/>
  <c r="O112" i="1"/>
  <c r="D112" i="1"/>
  <c r="D113" i="1"/>
  <c r="M112" i="1"/>
  <c r="M113" i="1"/>
  <c r="E112" i="1"/>
  <c r="E113" i="1"/>
  <c r="I112" i="1"/>
  <c r="I113" i="1"/>
  <c r="K112" i="1"/>
  <c r="K113" i="1"/>
  <c r="E78" i="1"/>
  <c r="C113" i="1"/>
  <c r="C112" i="1"/>
  <c r="Q112" i="1"/>
  <c r="Q113" i="1"/>
  <c r="H113" i="1"/>
  <c r="H112" i="1"/>
  <c r="N113" i="1"/>
  <c r="N112" i="1"/>
  <c r="P112" i="1"/>
  <c r="P113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D36" i="2"/>
  <c r="B7" i="2"/>
  <c r="C27" i="8"/>
  <c r="C29" i="8"/>
  <c r="C30" i="8"/>
  <c r="C32" i="8"/>
  <c r="B11" i="2"/>
  <c r="C81" i="1"/>
  <c r="D31" i="2"/>
  <c r="C25" i="1"/>
  <c r="C29" i="1"/>
  <c r="G43" i="5"/>
  <c r="P35" i="5"/>
  <c r="L35" i="5"/>
  <c r="S43" i="5"/>
  <c r="F35" i="5"/>
  <c r="T35" i="5"/>
  <c r="I43" i="5"/>
  <c r="X35" i="5"/>
  <c r="X10" i="5"/>
  <c r="H43" i="5"/>
  <c r="O35" i="5"/>
  <c r="M43" i="5"/>
  <c r="N43" i="5"/>
  <c r="J35" i="5"/>
  <c r="J43" i="5"/>
  <c r="F43" i="5"/>
  <c r="Q35" i="5"/>
  <c r="G35" i="5"/>
  <c r="M35" i="5"/>
  <c r="L43" i="5"/>
  <c r="H35" i="5"/>
  <c r="O43" i="5"/>
  <c r="T43" i="5"/>
  <c r="N35" i="5"/>
  <c r="K35" i="5"/>
  <c r="I35" i="5"/>
  <c r="R43" i="5"/>
  <c r="R35" i="5"/>
  <c r="K43" i="5"/>
  <c r="S35" i="5"/>
  <c r="Q43" i="5"/>
  <c r="P43" i="5"/>
  <c r="M7" i="3"/>
  <c r="C31" i="8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C27" i="1"/>
  <c r="C23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C30" i="1"/>
  <c r="C26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C28" i="1"/>
  <c r="C24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F5" i="12"/>
  <c r="J5" i="12"/>
  <c r="N5" i="12"/>
  <c r="B5" i="12"/>
  <c r="E5" i="12"/>
  <c r="I5" i="12"/>
  <c r="M5" i="12"/>
  <c r="Q5" i="12"/>
  <c r="D5" i="12"/>
  <c r="H5" i="12"/>
  <c r="L5" i="12"/>
  <c r="P5" i="12"/>
  <c r="C30" i="4"/>
  <c r="R79" i="1"/>
  <c r="S79" i="1"/>
  <c r="R53" i="1"/>
  <c r="S53" i="1"/>
  <c r="R59" i="1"/>
  <c r="S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R65" i="1"/>
  <c r="S65" i="1"/>
  <c r="R61" i="1"/>
  <c r="S6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C37" i="1"/>
  <c r="C90" i="1"/>
  <c r="B15" i="2"/>
  <c r="C92" i="1"/>
  <c r="C91" i="1"/>
  <c r="C82" i="1"/>
  <c r="D33" i="4"/>
  <c r="D32" i="4"/>
  <c r="D31" i="4"/>
  <c r="B20" i="7"/>
  <c r="C20" i="7"/>
  <c r="C19" i="7"/>
  <c r="L54" i="10"/>
  <c r="I40" i="10"/>
  <c r="C36" i="1"/>
  <c r="B10" i="2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C73" i="1"/>
  <c r="C74" i="1"/>
  <c r="C75" i="1"/>
  <c r="I84" i="6"/>
  <c r="I105" i="6"/>
  <c r="G84" i="6"/>
  <c r="G105" i="6"/>
  <c r="K2" i="6"/>
  <c r="J84" i="6"/>
  <c r="J105" i="6"/>
  <c r="N84" i="6"/>
  <c r="N105" i="6"/>
  <c r="H84" i="6"/>
  <c r="H105" i="6"/>
  <c r="E84" i="6"/>
  <c r="E105" i="6"/>
  <c r="M2" i="6"/>
  <c r="O84" i="6"/>
  <c r="O105" i="6"/>
  <c r="M84" i="6"/>
  <c r="M105" i="6"/>
  <c r="Q84" i="6"/>
  <c r="Q105" i="6"/>
  <c r="N2" i="6"/>
  <c r="D84" i="6"/>
  <c r="D105" i="6"/>
  <c r="L84" i="6"/>
  <c r="L105" i="6"/>
  <c r="I2" i="6"/>
  <c r="C84" i="6"/>
  <c r="C105" i="6"/>
  <c r="K84" i="6"/>
  <c r="K105" i="6"/>
  <c r="O2" i="6"/>
  <c r="P84" i="6"/>
  <c r="P105" i="6"/>
  <c r="J2" i="6"/>
  <c r="F84" i="6"/>
  <c r="F105" i="6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C13" i="1"/>
  <c r="C89" i="1"/>
  <c r="AB11" i="5"/>
  <c r="AN11" i="5"/>
  <c r="N46" i="5"/>
  <c r="AI11" i="5"/>
  <c r="O46" i="5"/>
  <c r="AO11" i="5"/>
  <c r="R46" i="5"/>
  <c r="J46" i="5"/>
  <c r="G46" i="5"/>
  <c r="Z11" i="5"/>
  <c r="AJ11" i="5"/>
  <c r="AG11" i="5"/>
  <c r="X13" i="5"/>
  <c r="I46" i="5"/>
  <c r="AA11" i="5"/>
  <c r="M46" i="5"/>
  <c r="F46" i="5"/>
  <c r="T46" i="5"/>
  <c r="L46" i="5"/>
  <c r="AK11" i="5"/>
  <c r="AH11" i="5"/>
  <c r="AM11" i="5"/>
  <c r="AE11" i="5"/>
  <c r="P46" i="5"/>
  <c r="AL11" i="5"/>
  <c r="K46" i="5"/>
  <c r="AD11" i="5"/>
  <c r="AF11" i="5"/>
  <c r="S46" i="5"/>
  <c r="Q46" i="5"/>
  <c r="AC11" i="5"/>
  <c r="H46" i="5"/>
  <c r="U6" i="3"/>
  <c r="U7" i="3"/>
  <c r="U8" i="3"/>
  <c r="AB6" i="3"/>
  <c r="AB7" i="3"/>
  <c r="C35" i="1"/>
  <c r="L20" i="6"/>
  <c r="B20" i="2"/>
  <c r="K20" i="6"/>
  <c r="AC6" i="3"/>
  <c r="AC7" i="3"/>
  <c r="L19" i="6"/>
  <c r="AD6" i="3"/>
  <c r="AD7" i="3"/>
  <c r="AG6" i="3"/>
  <c r="AG7" i="3"/>
  <c r="L17" i="6"/>
  <c r="AF6" i="3"/>
  <c r="AF7" i="3"/>
  <c r="Y6" i="3"/>
  <c r="Y7" i="3"/>
  <c r="Y8" i="3"/>
  <c r="K17" i="6"/>
  <c r="K19" i="6"/>
  <c r="Q6" i="3"/>
  <c r="Q7" i="3"/>
  <c r="Q8" i="3"/>
  <c r="AE6" i="3"/>
  <c r="AE7" i="3"/>
  <c r="AE11" i="3"/>
  <c r="K18" i="6"/>
  <c r="L18" i="6"/>
  <c r="C99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C80" i="1"/>
  <c r="J40" i="10"/>
  <c r="K40" i="10"/>
  <c r="M54" i="10"/>
  <c r="C104" i="1"/>
  <c r="N131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R7" i="1"/>
  <c r="AG8" i="3"/>
  <c r="AG9" i="3"/>
  <c r="AE14" i="3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K133" i="1"/>
  <c r="G133" i="1"/>
  <c r="H133" i="1"/>
  <c r="J133" i="1"/>
  <c r="J131" i="1"/>
  <c r="L131" i="1"/>
  <c r="S131" i="1"/>
  <c r="I133" i="1"/>
  <c r="H131" i="1"/>
  <c r="C118" i="1"/>
  <c r="B16" i="9"/>
  <c r="E131" i="1"/>
  <c r="C131" i="1"/>
  <c r="F131" i="1"/>
  <c r="Q133" i="1"/>
  <c r="G131" i="1"/>
  <c r="B19" i="2"/>
  <c r="K7" i="1"/>
  <c r="AE9" i="3"/>
  <c r="AE8" i="3"/>
  <c r="I7" i="1"/>
  <c r="G7" i="1"/>
  <c r="AC8" i="3"/>
  <c r="AC9" i="3"/>
  <c r="P7" i="1"/>
  <c r="AB9" i="3"/>
  <c r="AB8" i="3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AL10" i="5"/>
  <c r="K45" i="5"/>
  <c r="AG10" i="5"/>
  <c r="AH10" i="5"/>
  <c r="J45" i="5"/>
  <c r="X12" i="5"/>
  <c r="AF10" i="5"/>
  <c r="Z10" i="5"/>
  <c r="T45" i="5"/>
  <c r="AM10" i="5"/>
  <c r="Q45" i="5"/>
  <c r="I45" i="5"/>
  <c r="AO10" i="5"/>
  <c r="AB10" i="5"/>
  <c r="O45" i="5"/>
  <c r="AN10" i="5"/>
  <c r="N45" i="5"/>
  <c r="F45" i="5"/>
  <c r="L45" i="5"/>
  <c r="S45" i="5"/>
  <c r="AD10" i="5"/>
  <c r="AI10" i="5"/>
  <c r="AA10" i="5"/>
  <c r="AE10" i="5"/>
  <c r="G45" i="5"/>
  <c r="P45" i="5"/>
  <c r="AK10" i="5"/>
  <c r="M45" i="5"/>
  <c r="H45" i="5"/>
  <c r="AJ10" i="5"/>
  <c r="R45" i="5"/>
  <c r="AC10" i="5"/>
  <c r="C119" i="1"/>
  <c r="B17" i="9"/>
  <c r="L133" i="1"/>
  <c r="K131" i="1"/>
  <c r="O133" i="1"/>
  <c r="R133" i="1"/>
  <c r="O3" i="6"/>
  <c r="I3" i="6"/>
  <c r="M3" i="6"/>
  <c r="K3" i="6"/>
  <c r="J3" i="6"/>
  <c r="N3" i="6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AE13" i="3"/>
  <c r="M7" i="1"/>
  <c r="O7" i="1"/>
  <c r="Q7" i="1"/>
  <c r="AE16" i="3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M131" i="1"/>
  <c r="C21" i="1"/>
  <c r="C18" i="1"/>
  <c r="O131" i="1"/>
  <c r="C133" i="1"/>
  <c r="M133" i="1"/>
  <c r="N133" i="1"/>
  <c r="P13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P131" i="1"/>
  <c r="F133" i="1"/>
  <c r="Q131" i="1"/>
  <c r="S133" i="1"/>
  <c r="D133" i="1"/>
  <c r="D131" i="1"/>
  <c r="I131" i="1"/>
  <c r="R131" i="1"/>
  <c r="D7" i="1"/>
  <c r="F7" i="1"/>
  <c r="H7" i="1"/>
  <c r="AE12" i="3"/>
  <c r="AF8" i="3"/>
  <c r="AF9" i="3"/>
  <c r="N7" i="1"/>
  <c r="AD8" i="3"/>
  <c r="AD9" i="3"/>
  <c r="C7" i="1"/>
  <c r="S7" i="1"/>
  <c r="AE15" i="3"/>
  <c r="C100" i="1"/>
  <c r="C96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B79" i="6"/>
  <c r="B100" i="6"/>
  <c r="B90" i="6"/>
  <c r="B112" i="6"/>
  <c r="B115" i="6"/>
  <c r="B93" i="6"/>
  <c r="B82" i="6"/>
  <c r="B103" i="6"/>
  <c r="E11" i="6"/>
  <c r="P122" i="1"/>
  <c r="O53" i="10"/>
  <c r="P127" i="1"/>
  <c r="P126" i="1"/>
  <c r="I11" i="6"/>
  <c r="O128" i="1"/>
  <c r="O129" i="1"/>
  <c r="L122" i="1"/>
  <c r="L126" i="1"/>
  <c r="L127" i="1"/>
  <c r="O49" i="10"/>
  <c r="J11" i="6"/>
  <c r="R43" i="10"/>
  <c r="S43" i="10"/>
  <c r="F123" i="1"/>
  <c r="E123" i="1"/>
  <c r="R42" i="10"/>
  <c r="S42" i="10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I126" i="1"/>
  <c r="I127" i="1"/>
  <c r="O46" i="10"/>
  <c r="I122" i="1"/>
  <c r="L123" i="1"/>
  <c r="R49" i="10"/>
  <c r="S49" i="10"/>
  <c r="O47" i="10"/>
  <c r="J126" i="1"/>
  <c r="J127" i="1"/>
  <c r="J122" i="1"/>
  <c r="H128" i="1"/>
  <c r="H129" i="1"/>
  <c r="K128" i="1"/>
  <c r="K129" i="1"/>
  <c r="Q11" i="6"/>
  <c r="M11" i="6"/>
  <c r="R123" i="1"/>
  <c r="R132" i="1"/>
  <c r="R67" i="1"/>
  <c r="R41" i="10"/>
  <c r="S41" i="10"/>
  <c r="D123" i="1"/>
  <c r="Q123" i="1"/>
  <c r="R54" i="10"/>
  <c r="S54" i="10"/>
  <c r="M129" i="1"/>
  <c r="M128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L11" i="6"/>
  <c r="R122" i="1"/>
  <c r="R68" i="1"/>
  <c r="R126" i="1"/>
  <c r="R127" i="1"/>
  <c r="L128" i="1"/>
  <c r="L12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H11" i="6"/>
  <c r="R44" i="10"/>
  <c r="S44" i="10"/>
  <c r="G123" i="1"/>
  <c r="R40" i="10"/>
  <c r="S40" i="10"/>
  <c r="C123" i="1"/>
  <c r="I129" i="1"/>
  <c r="I128" i="1"/>
  <c r="S132" i="1"/>
  <c r="S67" i="1"/>
  <c r="S123" i="1"/>
  <c r="H122" i="1"/>
  <c r="O45" i="10"/>
  <c r="H126" i="1"/>
  <c r="H127" i="1"/>
  <c r="G129" i="1"/>
  <c r="G128" i="1"/>
  <c r="E122" i="1"/>
  <c r="E68" i="1"/>
  <c r="E126" i="1"/>
  <c r="O42" i="10"/>
  <c r="E127" i="1"/>
  <c r="B114" i="6"/>
  <c r="B102" i="6"/>
  <c r="B81" i="6"/>
  <c r="B92" i="6"/>
  <c r="R51" i="10"/>
  <c r="S51" i="10"/>
  <c r="N123" i="1"/>
  <c r="D129" i="1"/>
  <c r="D128" i="1"/>
  <c r="N129" i="1"/>
  <c r="N128" i="1"/>
  <c r="P11" i="6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R11" i="6"/>
  <c r="G11" i="6"/>
  <c r="C11" i="6"/>
  <c r="I123" i="1"/>
  <c r="R46" i="10"/>
  <c r="S46" i="10"/>
  <c r="D127" i="1"/>
  <c r="D122" i="1"/>
  <c r="D126" i="1"/>
  <c r="O41" i="10"/>
  <c r="S127" i="1"/>
  <c r="S122" i="1"/>
  <c r="S126" i="1"/>
  <c r="F126" i="1"/>
  <c r="O43" i="10"/>
  <c r="F127" i="1"/>
  <c r="F122" i="1"/>
  <c r="F68" i="1"/>
  <c r="O50" i="10"/>
  <c r="M126" i="1"/>
  <c r="M122" i="1"/>
  <c r="M127" i="1"/>
  <c r="O40" i="10"/>
  <c r="C122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D11" i="6"/>
  <c r="B83" i="6"/>
  <c r="B104" i="6"/>
  <c r="B116" i="6"/>
  <c r="B94" i="6"/>
  <c r="O127" i="1"/>
  <c r="O122" i="1"/>
  <c r="O52" i="10"/>
  <c r="O126" i="1"/>
  <c r="Q129" i="1"/>
  <c r="Q128" i="1"/>
  <c r="R45" i="10"/>
  <c r="S45" i="10"/>
  <c r="H123" i="1"/>
  <c r="J123" i="1"/>
  <c r="R47" i="10"/>
  <c r="S47" i="10"/>
  <c r="J128" i="1"/>
  <c r="J129" i="1"/>
  <c r="G122" i="1"/>
  <c r="G68" i="1"/>
  <c r="O44" i="10"/>
  <c r="G127" i="1"/>
  <c r="G126" i="1"/>
  <c r="E133" i="1"/>
  <c r="K126" i="1"/>
  <c r="O48" i="10"/>
  <c r="K127" i="1"/>
  <c r="K122" i="1"/>
  <c r="K11" i="6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S128" i="1"/>
  <c r="S129" i="1"/>
  <c r="F128" i="1"/>
  <c r="F129" i="1"/>
  <c r="P123" i="1"/>
  <c r="R53" i="10"/>
  <c r="S53" i="10"/>
  <c r="P128" i="1"/>
  <c r="P129" i="1"/>
  <c r="O51" i="10"/>
  <c r="N127" i="1"/>
  <c r="N122" i="1"/>
  <c r="N68" i="1"/>
  <c r="N126" i="1"/>
  <c r="C128" i="1"/>
  <c r="R52" i="10"/>
  <c r="S52" i="10"/>
  <c r="O123" i="1"/>
  <c r="R50" i="10"/>
  <c r="S50" i="10"/>
  <c r="M123" i="1"/>
  <c r="N11" i="6"/>
  <c r="B113" i="6"/>
  <c r="B91" i="6"/>
  <c r="B101" i="6"/>
  <c r="B80" i="6"/>
  <c r="R129" i="1"/>
  <c r="R128" i="1"/>
  <c r="R48" i="10"/>
  <c r="S48" i="10"/>
  <c r="K123" i="1"/>
  <c r="O11" i="6"/>
  <c r="F11" i="6"/>
  <c r="R44" i="5"/>
  <c r="H44" i="5"/>
  <c r="I44" i="5"/>
  <c r="X11" i="5"/>
  <c r="L44" i="5"/>
  <c r="AB9" i="5"/>
  <c r="AB13" i="5"/>
  <c r="AB14" i="5"/>
  <c r="O44" i="5"/>
  <c r="AC9" i="5"/>
  <c r="AC13" i="5"/>
  <c r="AC14" i="5"/>
  <c r="AD9" i="5"/>
  <c r="AD13" i="5"/>
  <c r="AD14" i="5"/>
  <c r="P44" i="5"/>
  <c r="AA9" i="5"/>
  <c r="AA13" i="5"/>
  <c r="AA14" i="5"/>
  <c r="J44" i="5"/>
  <c r="AE9" i="5"/>
  <c r="AE13" i="5"/>
  <c r="AE14" i="5"/>
  <c r="AN9" i="5"/>
  <c r="AN13" i="5"/>
  <c r="AN14" i="5"/>
  <c r="AJ9" i="5"/>
  <c r="AJ13" i="5"/>
  <c r="AJ14" i="5"/>
  <c r="M44" i="5"/>
  <c r="AH9" i="5"/>
  <c r="AH13" i="5"/>
  <c r="AH14" i="5"/>
  <c r="K44" i="5"/>
  <c r="AO9" i="5"/>
  <c r="AO13" i="5"/>
  <c r="AO14" i="5"/>
  <c r="AM9" i="5"/>
  <c r="AM13" i="5"/>
  <c r="AM14" i="5"/>
  <c r="N44" i="5"/>
  <c r="Q44" i="5"/>
  <c r="F44" i="5"/>
  <c r="S44" i="5"/>
  <c r="AG9" i="5"/>
  <c r="AG13" i="5"/>
  <c r="AG14" i="5"/>
  <c r="AF9" i="5"/>
  <c r="AF13" i="5"/>
  <c r="AF14" i="5"/>
  <c r="AL9" i="5"/>
  <c r="AL13" i="5"/>
  <c r="AL14" i="5"/>
  <c r="AK9" i="5"/>
  <c r="AK13" i="5"/>
  <c r="AK14" i="5"/>
  <c r="T44" i="5"/>
  <c r="Z9" i="5"/>
  <c r="Z13" i="5"/>
  <c r="Z14" i="5"/>
  <c r="AI9" i="5"/>
  <c r="AI13" i="5"/>
  <c r="AI14" i="5"/>
  <c r="G44" i="5"/>
  <c r="Q126" i="1"/>
  <c r="Q127" i="1"/>
  <c r="O54" i="10"/>
  <c r="Q122" i="1"/>
  <c r="Q68" i="1"/>
  <c r="E128" i="1"/>
  <c r="E129" i="1"/>
  <c r="D68" i="1"/>
  <c r="O68" i="1"/>
  <c r="T42" i="10"/>
  <c r="E132" i="1"/>
  <c r="E67" i="1"/>
  <c r="T43" i="10"/>
  <c r="U43" i="10"/>
  <c r="F132" i="1"/>
  <c r="F67" i="1"/>
  <c r="B99" i="6"/>
  <c r="B89" i="6"/>
  <c r="B78" i="6"/>
  <c r="B111" i="6"/>
  <c r="Q41" i="10"/>
  <c r="P41" i="10"/>
  <c r="V46" i="10"/>
  <c r="F48" i="5"/>
  <c r="F49" i="5"/>
  <c r="J16" i="5"/>
  <c r="J15" i="5"/>
  <c r="Q44" i="10"/>
  <c r="P44" i="10"/>
  <c r="T47" i="10"/>
  <c r="U47" i="10"/>
  <c r="J132" i="1"/>
  <c r="J67" i="1"/>
  <c r="Q40" i="10"/>
  <c r="P40" i="10"/>
  <c r="Q43" i="10"/>
  <c r="P43" i="10"/>
  <c r="P42" i="10"/>
  <c r="Q42" i="10"/>
  <c r="T40" i="10"/>
  <c r="C132" i="1"/>
  <c r="V41" i="10"/>
  <c r="V42" i="10"/>
  <c r="U42" i="10"/>
  <c r="V43" i="10"/>
  <c r="P49" i="10"/>
  <c r="Q49" i="10"/>
  <c r="K68" i="1"/>
  <c r="H68" i="1"/>
  <c r="K49" i="5"/>
  <c r="K48" i="5"/>
  <c r="Q54" i="10"/>
  <c r="P54" i="10"/>
  <c r="O16" i="5"/>
  <c r="O15" i="5"/>
  <c r="Q48" i="5"/>
  <c r="Q49" i="5"/>
  <c r="M15" i="5"/>
  <c r="M16" i="5"/>
  <c r="Q15" i="5"/>
  <c r="Q16" i="5"/>
  <c r="L49" i="5"/>
  <c r="L48" i="5"/>
  <c r="R48" i="5"/>
  <c r="R49" i="5"/>
  <c r="V48" i="10"/>
  <c r="V50" i="10"/>
  <c r="C129" i="1"/>
  <c r="V47" i="10"/>
  <c r="V45" i="10"/>
  <c r="P52" i="10"/>
  <c r="Q52" i="10"/>
  <c r="C126" i="1"/>
  <c r="P50" i="10"/>
  <c r="Q50" i="10"/>
  <c r="G49" i="5"/>
  <c r="G48" i="5"/>
  <c r="H16" i="5"/>
  <c r="H15" i="5"/>
  <c r="S15" i="5"/>
  <c r="S16" i="5"/>
  <c r="M48" i="5"/>
  <c r="M49" i="5"/>
  <c r="P16" i="5"/>
  <c r="P15" i="5"/>
  <c r="J49" i="5"/>
  <c r="J48" i="5"/>
  <c r="H49" i="5"/>
  <c r="H48" i="5"/>
  <c r="T48" i="5"/>
  <c r="T49" i="5"/>
  <c r="S49" i="5"/>
  <c r="S48" i="5"/>
  <c r="I16" i="5"/>
  <c r="I15" i="5"/>
  <c r="K15" i="5"/>
  <c r="K16" i="5"/>
  <c r="P48" i="5"/>
  <c r="P49" i="5"/>
  <c r="R15" i="5"/>
  <c r="R16" i="5"/>
  <c r="L15" i="5"/>
  <c r="L16" i="5"/>
  <c r="I48" i="5"/>
  <c r="I49" i="5"/>
  <c r="T48" i="10"/>
  <c r="U48" i="10"/>
  <c r="K132" i="1"/>
  <c r="K67" i="1"/>
  <c r="M132" i="1"/>
  <c r="M67" i="1"/>
  <c r="T50" i="10"/>
  <c r="U50" i="10"/>
  <c r="P51" i="10"/>
  <c r="Q51" i="10"/>
  <c r="H132" i="1"/>
  <c r="H67" i="1"/>
  <c r="T45" i="10"/>
  <c r="U45" i="10"/>
  <c r="C68" i="1"/>
  <c r="I132" i="1"/>
  <c r="I67" i="1"/>
  <c r="T46" i="10"/>
  <c r="U46" i="10"/>
  <c r="T51" i="10"/>
  <c r="U51" i="10"/>
  <c r="N132" i="1"/>
  <c r="N67" i="1"/>
  <c r="Q45" i="10"/>
  <c r="P45" i="10"/>
  <c r="V40" i="10"/>
  <c r="U40" i="10"/>
  <c r="V44" i="10"/>
  <c r="Q132" i="1"/>
  <c r="Q67" i="1"/>
  <c r="T54" i="10"/>
  <c r="U54" i="10"/>
  <c r="T49" i="10"/>
  <c r="U49" i="10"/>
  <c r="L132" i="1"/>
  <c r="L67" i="1"/>
  <c r="Q46" i="10"/>
  <c r="P46" i="10"/>
  <c r="M68" i="1"/>
  <c r="S68" i="1"/>
  <c r="J68" i="1"/>
  <c r="L68" i="1"/>
  <c r="P68" i="1"/>
  <c r="N48" i="5"/>
  <c r="N49" i="5"/>
  <c r="T16" i="5"/>
  <c r="T15" i="5"/>
  <c r="G15" i="5"/>
  <c r="G16" i="5"/>
  <c r="O48" i="5"/>
  <c r="O49" i="5"/>
  <c r="N15" i="5"/>
  <c r="N16" i="5"/>
  <c r="X15" i="5"/>
  <c r="X16" i="5"/>
  <c r="O132" i="1"/>
  <c r="O67" i="1"/>
  <c r="T52" i="10"/>
  <c r="U52" i="10"/>
  <c r="P132" i="1"/>
  <c r="P67" i="1"/>
  <c r="T53" i="10"/>
  <c r="U53" i="10"/>
  <c r="P48" i="10"/>
  <c r="Q48" i="10"/>
  <c r="C127" i="1"/>
  <c r="T44" i="10"/>
  <c r="U44" i="10"/>
  <c r="G132" i="1"/>
  <c r="G67" i="1"/>
  <c r="T41" i="10"/>
  <c r="U41" i="10"/>
  <c r="D132" i="1"/>
  <c r="D67" i="1"/>
  <c r="Q47" i="10"/>
  <c r="P47" i="10"/>
  <c r="P53" i="10"/>
  <c r="Q53" i="10"/>
  <c r="I68" i="1"/>
  <c r="F90" i="6"/>
  <c r="F100" i="6"/>
  <c r="F112" i="6"/>
  <c r="J101" i="6"/>
  <c r="J113" i="6"/>
  <c r="J91" i="6"/>
  <c r="C90" i="6"/>
  <c r="C100" i="6"/>
  <c r="C112" i="6"/>
  <c r="J90" i="6"/>
  <c r="J100" i="6"/>
  <c r="J112" i="6"/>
  <c r="M100" i="6"/>
  <c r="M112" i="6"/>
  <c r="M90" i="6"/>
  <c r="O101" i="6"/>
  <c r="O113" i="6"/>
  <c r="O91" i="6"/>
  <c r="G91" i="6"/>
  <c r="G101" i="6"/>
  <c r="G113" i="6"/>
  <c r="P103" i="6"/>
  <c r="P115" i="6"/>
  <c r="P93" i="6"/>
  <c r="P100" i="6"/>
  <c r="P112" i="6"/>
  <c r="P90" i="6"/>
  <c r="D90" i="6"/>
  <c r="D100" i="6"/>
  <c r="D112" i="6"/>
  <c r="L90" i="6"/>
  <c r="L100" i="6"/>
  <c r="L112" i="6"/>
  <c r="H90" i="6"/>
  <c r="H100" i="6"/>
  <c r="H112" i="6"/>
  <c r="N101" i="6"/>
  <c r="N113" i="6"/>
  <c r="N91" i="6"/>
  <c r="E101" i="6"/>
  <c r="E113" i="6"/>
  <c r="E91" i="6"/>
  <c r="L91" i="6"/>
  <c r="L101" i="6"/>
  <c r="L113" i="6"/>
  <c r="C101" i="6"/>
  <c r="C113" i="6"/>
  <c r="C91" i="6"/>
  <c r="F103" i="6"/>
  <c r="F115" i="6"/>
  <c r="F93" i="6"/>
  <c r="J93" i="6"/>
  <c r="J103" i="6"/>
  <c r="J115" i="6"/>
  <c r="C103" i="6"/>
  <c r="C115" i="6"/>
  <c r="C93" i="6"/>
  <c r="D104" i="6"/>
  <c r="D116" i="6"/>
  <c r="D94" i="6"/>
  <c r="J94" i="6"/>
  <c r="J104" i="6"/>
  <c r="J116" i="6"/>
  <c r="P104" i="6"/>
  <c r="P116" i="6"/>
  <c r="P94" i="6"/>
  <c r="F94" i="6"/>
  <c r="F104" i="6"/>
  <c r="F116" i="6"/>
  <c r="C67" i="1"/>
  <c r="D102" i="6"/>
  <c r="D114" i="6"/>
  <c r="D92" i="6"/>
  <c r="M102" i="6"/>
  <c r="M114" i="6"/>
  <c r="M92" i="6"/>
  <c r="H102" i="6"/>
  <c r="H114" i="6"/>
  <c r="H92" i="6"/>
  <c r="Q102" i="6"/>
  <c r="Q114" i="6"/>
  <c r="Q92" i="6"/>
  <c r="I90" i="6"/>
  <c r="I100" i="6"/>
  <c r="I112" i="6"/>
  <c r="Q101" i="6"/>
  <c r="Q113" i="6"/>
  <c r="Q91" i="6"/>
  <c r="N103" i="6"/>
  <c r="N115" i="6"/>
  <c r="N93" i="6"/>
  <c r="G103" i="6"/>
  <c r="G115" i="6"/>
  <c r="G93" i="6"/>
  <c r="C94" i="6"/>
  <c r="C104" i="6"/>
  <c r="C116" i="6"/>
  <c r="L104" i="6"/>
  <c r="L116" i="6"/>
  <c r="L94" i="6"/>
  <c r="O104" i="6"/>
  <c r="O116" i="6"/>
  <c r="O94" i="6"/>
  <c r="K104" i="6"/>
  <c r="K116" i="6"/>
  <c r="K94" i="6"/>
  <c r="C102" i="6"/>
  <c r="C114" i="6"/>
  <c r="C92" i="6"/>
  <c r="N102" i="6"/>
  <c r="N114" i="6"/>
  <c r="N92" i="6"/>
  <c r="K92" i="6"/>
  <c r="K102" i="6"/>
  <c r="K114" i="6"/>
  <c r="K90" i="6"/>
  <c r="K100" i="6"/>
  <c r="K112" i="6"/>
  <c r="P91" i="6"/>
  <c r="P101" i="6"/>
  <c r="P113" i="6"/>
  <c r="D101" i="6"/>
  <c r="D113" i="6"/>
  <c r="D91" i="6"/>
  <c r="Q93" i="6"/>
  <c r="Q103" i="6"/>
  <c r="Q115" i="6"/>
  <c r="L93" i="6"/>
  <c r="L103" i="6"/>
  <c r="L115" i="6"/>
  <c r="G90" i="6"/>
  <c r="G100" i="6"/>
  <c r="G112" i="6"/>
  <c r="E90" i="6"/>
  <c r="E100" i="6"/>
  <c r="E112" i="6"/>
  <c r="N90" i="6"/>
  <c r="N100" i="6"/>
  <c r="N112" i="6"/>
  <c r="I91" i="6"/>
  <c r="I101" i="6"/>
  <c r="I113" i="6"/>
  <c r="K101" i="6"/>
  <c r="K113" i="6"/>
  <c r="K91" i="6"/>
  <c r="H91" i="6"/>
  <c r="H101" i="6"/>
  <c r="H113" i="6"/>
  <c r="F101" i="6"/>
  <c r="F113" i="6"/>
  <c r="F91" i="6"/>
  <c r="M93" i="6"/>
  <c r="M103" i="6"/>
  <c r="M115" i="6"/>
  <c r="H103" i="6"/>
  <c r="H115" i="6"/>
  <c r="H93" i="6"/>
  <c r="K93" i="6"/>
  <c r="K103" i="6"/>
  <c r="K115" i="6"/>
  <c r="E103" i="6"/>
  <c r="E115" i="6"/>
  <c r="E93" i="6"/>
  <c r="H94" i="6"/>
  <c r="H104" i="6"/>
  <c r="H116" i="6"/>
  <c r="I94" i="6"/>
  <c r="I104" i="6"/>
  <c r="I116" i="6"/>
  <c r="M94" i="6"/>
  <c r="M104" i="6"/>
  <c r="M116" i="6"/>
  <c r="N94" i="6"/>
  <c r="N104" i="6"/>
  <c r="N116" i="6"/>
  <c r="J102" i="6"/>
  <c r="J114" i="6"/>
  <c r="J92" i="6"/>
  <c r="E102" i="6"/>
  <c r="E114" i="6"/>
  <c r="E92" i="6"/>
  <c r="O102" i="6"/>
  <c r="O114" i="6"/>
  <c r="O92" i="6"/>
  <c r="L92" i="6"/>
  <c r="L102" i="6"/>
  <c r="L114" i="6"/>
  <c r="O100" i="6"/>
  <c r="O112" i="6"/>
  <c r="O90" i="6"/>
  <c r="Q90" i="6"/>
  <c r="Q100" i="6"/>
  <c r="Q112" i="6"/>
  <c r="M91" i="6"/>
  <c r="M101" i="6"/>
  <c r="M113" i="6"/>
  <c r="I103" i="6"/>
  <c r="I115" i="6"/>
  <c r="I93" i="6"/>
  <c r="D93" i="6"/>
  <c r="D103" i="6"/>
  <c r="D115" i="6"/>
  <c r="O103" i="6"/>
  <c r="O115" i="6"/>
  <c r="O93" i="6"/>
  <c r="E94" i="6"/>
  <c r="E104" i="6"/>
  <c r="E116" i="6"/>
  <c r="G104" i="6"/>
  <c r="G116" i="6"/>
  <c r="G94" i="6"/>
  <c r="Q94" i="6"/>
  <c r="Q104" i="6"/>
  <c r="Q116" i="6"/>
  <c r="P92" i="6"/>
  <c r="P102" i="6"/>
  <c r="P114" i="6"/>
  <c r="F92" i="6"/>
  <c r="F102" i="6"/>
  <c r="F114" i="6"/>
  <c r="I92" i="6"/>
  <c r="I102" i="6"/>
  <c r="I114" i="6"/>
  <c r="G102" i="6"/>
  <c r="G114" i="6"/>
  <c r="G92" i="6"/>
  <c r="F89" i="6"/>
  <c r="F99" i="6"/>
  <c r="F111" i="6"/>
  <c r="P89" i="6"/>
  <c r="P99" i="6"/>
  <c r="P111" i="6"/>
  <c r="O89" i="6"/>
  <c r="O99" i="6"/>
  <c r="O111" i="6"/>
  <c r="E89" i="6"/>
  <c r="E99" i="6"/>
  <c r="E111" i="6"/>
  <c r="L99" i="6"/>
  <c r="L111" i="6"/>
  <c r="L89" i="6"/>
  <c r="N89" i="6"/>
  <c r="N99" i="6"/>
  <c r="N111" i="6"/>
  <c r="I89" i="6"/>
  <c r="I99" i="6"/>
  <c r="I111" i="6"/>
  <c r="C89" i="6"/>
  <c r="M89" i="6"/>
  <c r="M99" i="6"/>
  <c r="M111" i="6"/>
  <c r="H89" i="6"/>
  <c r="H99" i="6"/>
  <c r="H111" i="6"/>
  <c r="K99" i="6"/>
  <c r="K111" i="6"/>
  <c r="K89" i="6"/>
  <c r="G89" i="6"/>
  <c r="G99" i="6"/>
  <c r="G111" i="6"/>
  <c r="D89" i="6"/>
  <c r="D99" i="6"/>
  <c r="D111" i="6"/>
  <c r="Q89" i="6"/>
  <c r="Q99" i="6"/>
  <c r="Q111" i="6"/>
  <c r="J89" i="6"/>
  <c r="J99" i="6"/>
  <c r="J111" i="6"/>
  <c r="C111" i="6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31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4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4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1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1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17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<sst xmlns="http://schemas.openxmlformats.org/spreadsheetml/2006/main" count="2959" uniqueCount="1415">
  <si>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</si>
  <si>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</si>
  <si>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</si>
  <si>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</si>
  <si>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</si>
  <si>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</si>
  <si>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</si>
  <si>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</si>
  <si>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</si>
  <si>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</si>
  <si>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</si>
  <si>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</si>
  <si>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</si>
  <si>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</si>
  <si>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</si>
  <si>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</si>
  <si>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</si>
  <si>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</si>
  <si>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</si>
  <si>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</si>
  <si>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</si>
  <si>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</si>
  <si>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</si>
  <si>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</si>
  <si>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</si>
  <si>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</si>
  <si>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</si>
  <si>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</si>
  <si>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</si>
  <si>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</si>
  <si>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</si>
  <si>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</si>
  <si>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</si>
  <si>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</si>
  <si>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</si>
  <si>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</si>
  <si>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</si>
  <si>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</si>
  <si>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</si>
  <si>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</si>
  <si>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</si>
  <si>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</si>
  <si>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</si>
  <si>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</si>
  <si>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</si>
  <si>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</si>
  <si>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</si>
  <si>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</si>
  <si>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</si>
  <si>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</si>
  <si>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</si>
  <si>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</si>
  <si>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</si>
  <si>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</si>
  <si>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</si>
  <si>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</si>
  <si>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</si>
  <si>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</si>
  <si>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</si>
  <si>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</si>
  <si>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</si>
  <si>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</si>
  <si>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</si>
  <si>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</si>
  <si>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</si>
  <si>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Heating Rvalue of ceiling, m2K/W</t>
  </si>
  <si>
    <t>Cooling Rvalue of ceiling, m2K/W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</si>
  <si>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</si>
  <si>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</si>
  <si>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</si>
  <si>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</si>
  <si>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</si>
  <si>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</si>
  <si>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</si>
  <si>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</si>
  <si>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</si>
  <si>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</si>
  <si>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</si>
  <si>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</si>
  <si>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</si>
  <si>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</si>
  <si>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</si>
  <si>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</si>
  <si>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</si>
  <si>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</si>
  <si>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</si>
  <si>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</si>
  <si>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</si>
  <si>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</si>
  <si>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</si>
  <si>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</si>
  <si>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</si>
  <si>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</si>
  <si>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</si>
  <si>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</si>
  <si>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</si>
  <si>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</si>
  <si>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</si>
  <si>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Roof rvalue - only non-zero if roof deck insulated, the shingle and plywood rvalues are added to this number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</si>
  <si>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</si>
  <si>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</si>
  <si>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</si>
  <si>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</si>
  <si>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</si>
  <si>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</si>
  <si>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</si>
  <si>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</si>
  <si>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</si>
  <si>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</si>
  <si>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</si>
  <si>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</si>
  <si>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</si>
  <si>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</si>
  <si>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</si>
  <si>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</si>
  <si>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</si>
  <si>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</si>
  <si>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</si>
  <si>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</si>
  <si>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</si>
  <si>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</si>
  <si>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</si>
  <si>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</si>
  <si>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</si>
  <si>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</si>
  <si>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</si>
  <si>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</si>
  <si>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</si>
  <si>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</si>
  <si>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</si>
  <si>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</si>
  <si>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</si>
  <si>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</si>
  <si>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</si>
  <si>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</si>
  <si>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</si>
  <si>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</si>
  <si>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</si>
  <si>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</si>
  <si>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</si>
  <si>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</si>
  <si>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</si>
  <si>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</si>
  <si>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</si>
  <si>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</si>
  <si>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</si>
  <si>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</si>
  <si>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</si>
  <si>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</si>
  <si>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A_wall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</si>
  <si>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</si>
  <si>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</si>
  <si>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</si>
  <si>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</si>
  <si>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</si>
  <si>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</si>
  <si>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</si>
  <si>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</si>
  <si>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</si>
  <si>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</si>
  <si>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</si>
  <si>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</si>
  <si>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</si>
  <si>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</si>
  <si>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</si>
  <si>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</si>
  <si>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</si>
  <si>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</si>
  <si>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</si>
  <si>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</si>
  <si>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</si>
  <si>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</si>
  <si>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</si>
  <si>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</si>
  <si>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</si>
  <si>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</si>
  <si>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</si>
  <si>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</si>
  <si>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</si>
  <si>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</si>
  <si>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</si>
  <si>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</si>
  <si>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</si>
  <si>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</si>
  <si>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</si>
  <si>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</si>
  <si>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</si>
  <si>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</si>
  <si>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Annamaria's ventilation rates</t>
  </si>
  <si>
    <t>Danish leakage requirements</t>
  </si>
  <si>
    <t>Leakage in different house sizes (ELA=AL5 in code)</t>
  </si>
  <si>
    <t>LF_wall</t>
  </si>
  <si>
    <t>l/s</t>
  </si>
  <si>
    <t>n50</t>
  </si>
  <si>
    <t>l/s m2</t>
  </si>
  <si>
    <t>A [ft2]</t>
  </si>
  <si>
    <t>SLA [-]</t>
  </si>
  <si>
    <t>ELA [in2]</t>
  </si>
  <si>
    <t>ELA [m2]</t>
  </si>
  <si>
    <t>C [m3/sPan]</t>
  </si>
  <si>
    <t>62.2 + infil</t>
  </si>
  <si>
    <t>ACH</t>
  </si>
  <si>
    <t>h-1</t>
  </si>
  <si>
    <t>A_house</t>
  </si>
  <si>
    <t xml:space="preserve"> =&gt; Danish houses are very very tight compared to CA houses</t>
  </si>
  <si>
    <t>ACH_n50</t>
  </si>
  <si>
    <t>ELA</t>
  </si>
  <si>
    <t>Flue_0.1m</t>
  </si>
  <si>
    <t>Flue_0.2m</t>
  </si>
  <si>
    <t xml:space="preserve"> =&gt; The house Annamaria simulated was very tight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</si>
  <si>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</si>
  <si>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</si>
  <si>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</si>
  <si>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</si>
  <si>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</si>
  <si>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</si>
  <si>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</si>
  <si>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</si>
  <si>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</si>
  <si>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</si>
  <si>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</si>
  <si>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</si>
  <si>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</si>
  <si>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</si>
  <si>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</si>
  <si>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</si>
  <si>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</si>
  <si>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</si>
  <si>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</si>
  <si>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</si>
  <si>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</si>
  <si>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</si>
  <si>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</si>
  <si>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</si>
  <si>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</si>
  <si>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</si>
  <si>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</si>
  <si>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</si>
  <si>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</si>
  <si>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</si>
  <si>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</si>
  <si>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</si>
  <si>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</si>
  <si>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</si>
  <si>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ACM, p. 24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</si>
  <si>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</si>
  <si>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</si>
  <si>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</si>
  <si>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</si>
  <si>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</si>
  <si>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</si>
  <si>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</si>
  <si>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</si>
  <si>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</si>
  <si>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</si>
  <si>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</si>
  <si>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</si>
  <si>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</si>
  <si>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</si>
  <si>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</si>
  <si>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</si>
  <si>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</si>
  <si>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</si>
  <si>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</si>
  <si>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</si>
  <si>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</si>
  <si>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</si>
  <si>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</si>
  <si>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Degrade</t>
  </si>
  <si>
    <t>Area</t>
  </si>
  <si>
    <t>Ceiling</t>
  </si>
  <si>
    <t>R-Ceiling</t>
  </si>
  <si>
    <t>R_heat</t>
  </si>
  <si>
    <t>R_cool</t>
  </si>
  <si>
    <t>Conversion from Btu/h ft2 F to W/m2K: multiply by 5.6783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</si>
  <si>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</si>
  <si>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</si>
  <si>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</si>
  <si>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</si>
  <si>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</si>
  <si>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</si>
  <si>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</si>
  <si>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</si>
  <si>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</si>
  <si>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</si>
  <si>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</si>
  <si>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</si>
  <si>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</si>
  <si>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</si>
  <si>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</si>
  <si>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</si>
  <si>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</si>
  <si>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</si>
  <si>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</si>
  <si>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</si>
  <si>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</si>
  <si>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</si>
  <si>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</si>
  <si>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</si>
  <si>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</si>
  <si>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</si>
  <si>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</si>
  <si>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</si>
  <si>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</si>
  <si>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</si>
  <si>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</si>
  <si>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</si>
  <si>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</si>
  <si>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</si>
  <si>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</si>
  <si>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</si>
  <si>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</si>
  <si>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</si>
  <si>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</si>
  <si>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</si>
  <si>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</si>
  <si>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</si>
  <si>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</si>
  <si>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</si>
  <si>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</si>
  <si>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</si>
  <si>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</si>
  <si>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</si>
  <si>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</si>
  <si>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</si>
  <si>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</si>
  <si>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</si>
  <si>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</si>
  <si>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</si>
  <si>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</si>
  <si>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</si>
  <si>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</si>
  <si>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</si>
  <si>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</si>
  <si>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</si>
  <si>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</si>
  <si>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</si>
  <si>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</si>
  <si>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</si>
  <si>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</si>
  <si>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</si>
  <si>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</si>
  <si>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</si>
  <si>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</si>
  <si>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</si>
  <si>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</si>
  <si>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A_attic, openings</t>
  </si>
  <si>
    <t>1ft2 pr.150ft2</t>
  </si>
  <si>
    <t>A_attic, leakage (AL4)</t>
  </si>
  <si>
    <t>A_attic, vent</t>
  </si>
  <si>
    <t>Difference btw. openings and leakage area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</si>
  <si>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</si>
  <si>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</si>
  <si>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</si>
  <si>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</si>
  <si>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</si>
  <si>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</si>
  <si>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</si>
  <si>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</si>
  <si>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</si>
  <si>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</si>
  <si>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</si>
  <si>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</si>
  <si>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</si>
  <si>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</si>
  <si>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</si>
  <si>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</si>
  <si>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</si>
  <si>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</si>
  <si>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</si>
  <si>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</si>
  <si>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</si>
  <si>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</si>
  <si>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</si>
  <si>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</si>
  <si>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</si>
  <si>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</si>
  <si>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</si>
  <si>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</si>
  <si>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</si>
  <si>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</si>
  <si>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</si>
  <si>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</si>
  <si>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</si>
  <si>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</si>
  <si>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Location</t>
  </si>
  <si>
    <t>Cooling Sizing</t>
  </si>
  <si>
    <t>Heating Sizing</t>
  </si>
  <si>
    <t>Cooling/Heating Ratio</t>
  </si>
  <si>
    <t>House UA calculation, p. 1</t>
  </si>
  <si>
    <r>
      <t>tons/1000ft</t>
    </r>
    <r>
      <rPr>
        <vertAlign val="superscript"/>
        <sz val="11"/>
        <color indexed="8"/>
        <rFont val="Calibri"/>
        <family val="2"/>
      </rPr>
      <t>2</t>
    </r>
  </si>
  <si>
    <r>
      <t>kBtu/1000ft</t>
    </r>
    <r>
      <rPr>
        <vertAlign val="superscript"/>
        <sz val="11"/>
        <color indexed="8"/>
        <rFont val="Calibri"/>
        <family val="2"/>
      </rPr>
      <t>2</t>
    </r>
  </si>
  <si>
    <t>tons/100kBtu</t>
  </si>
  <si>
    <t>EER_ari</t>
  </si>
  <si>
    <t>ALL CZ</t>
  </si>
  <si>
    <t>average</t>
  </si>
  <si>
    <t>ACM, p. 71-72</t>
  </si>
  <si>
    <t>max</t>
  </si>
  <si>
    <t>min</t>
  </si>
  <si>
    <t>sdev</t>
  </si>
  <si>
    <t>SEER</t>
  </si>
  <si>
    <t>SEER=13 from note: CECVentilation</t>
  </si>
  <si>
    <t>sdev%</t>
  </si>
  <si>
    <t>ACM, p. 72, eq R3-42</t>
  </si>
  <si>
    <t>Heating and cooling sizing</t>
  </si>
  <si>
    <t>AFUE</t>
  </si>
  <si>
    <t>Sdev%</t>
  </si>
  <si>
    <t>Cooling</t>
  </si>
  <si>
    <t>Max</t>
  </si>
  <si>
    <t>Heating</t>
  </si>
  <si>
    <t>Min</t>
  </si>
  <si>
    <t>tons</t>
  </si>
  <si>
    <t>kBtu/h</t>
  </si>
  <si>
    <t>q_cool</t>
  </si>
  <si>
    <t>m3/s</t>
  </si>
  <si>
    <t>400cfm/ton</t>
  </si>
  <si>
    <t>q_heat</t>
  </si>
  <si>
    <t xml:space="preserve">16.8 cfm/ kBtuh </t>
  </si>
  <si>
    <t>P_fan,cool</t>
  </si>
  <si>
    <t>P_fan,heat</t>
  </si>
  <si>
    <t>C_sup</t>
  </si>
  <si>
    <t>m3/sPa^n</t>
  </si>
  <si>
    <t>cooling air air flow * LK_frac (0.03) = C*25^0.6</t>
  </si>
  <si>
    <t>C_ret</t>
  </si>
  <si>
    <t>Conversion: tons to kBtu/h - mulitiply by 12.</t>
  </si>
  <si>
    <t>One ton of capacity equals 12,000 Btu/h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</si>
  <si>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</si>
  <si>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</si>
  <si>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</si>
  <si>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</si>
  <si>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</si>
  <si>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</si>
  <si>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</si>
  <si>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</si>
  <si>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</si>
  <si>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</si>
  <si>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</si>
  <si>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</si>
  <si>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</si>
  <si>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</si>
  <si>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</si>
  <si>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</si>
  <si>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</si>
  <si>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</si>
  <si>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</si>
  <si>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</si>
  <si>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</si>
  <si>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</si>
  <si>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</si>
  <si>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</si>
  <si>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</si>
  <si>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</si>
  <si>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</si>
  <si>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fraction based on reative size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</si>
  <si>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</si>
  <si>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</si>
  <si>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</si>
  <si>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</si>
  <si>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</si>
  <si>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</si>
  <si>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</si>
  <si>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</si>
  <si>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</si>
  <si>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</si>
  <si>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</si>
  <si>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</si>
  <si>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</si>
  <si>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</si>
  <si>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</si>
  <si>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</si>
  <si>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</si>
  <si>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</si>
  <si>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</si>
  <si>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</si>
  <si>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</si>
  <si>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</si>
  <si>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</si>
  <si>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</si>
  <si>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</si>
  <si>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</si>
  <si>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</si>
  <si>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</si>
  <si>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</si>
  <si>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</si>
  <si>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r>
      <t>tons/1000ft</t>
    </r>
    <r>
      <rPr>
        <b/>
        <vertAlign val="superscript"/>
        <sz val="11"/>
        <color indexed="8"/>
        <rFont val="Calibri"/>
        <family val="2"/>
      </rPr>
      <t>2</t>
    </r>
  </si>
  <si>
    <r>
      <t>kBtu/1000ft</t>
    </r>
    <r>
      <rPr>
        <b/>
        <vertAlign val="superscript"/>
        <sz val="11"/>
        <color indexed="8"/>
        <rFont val="Calibri"/>
        <family val="2"/>
      </rPr>
      <t>2</t>
    </r>
  </si>
  <si>
    <t>CZ_8</t>
  </si>
  <si>
    <t>CZ_10</t>
  </si>
  <si>
    <t>CZ_11</t>
  </si>
  <si>
    <t>CZ_12</t>
  </si>
  <si>
    <t>CZ_13</t>
  </si>
  <si>
    <t>CZ_15</t>
  </si>
  <si>
    <t>ACM, p. 25</t>
  </si>
  <si>
    <t>AFUE efficiency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</si>
  <si>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</si>
  <si>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</si>
  <si>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</si>
  <si>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</si>
  <si>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</si>
  <si>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</si>
  <si>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</si>
  <si>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</si>
  <si>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</si>
  <si>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</si>
  <si>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</si>
  <si>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</si>
  <si>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</si>
  <si>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</si>
  <si>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</si>
  <si>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</si>
  <si>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</si>
  <si>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</si>
  <si>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</si>
  <si>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</si>
  <si>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</si>
  <si>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</si>
  <si>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</si>
  <si>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</si>
  <si>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</si>
  <si>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</si>
  <si>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</si>
  <si>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</si>
  <si>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</si>
  <si>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</si>
  <si>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</si>
  <si>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</si>
  <si>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</si>
  <si>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</si>
  <si>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</si>
  <si>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</si>
  <si>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</si>
  <si>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</si>
  <si>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</si>
  <si>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</si>
  <si>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</si>
  <si>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</si>
  <si>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</si>
  <si>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</si>
  <si>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</si>
  <si>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</si>
  <si>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</si>
  <si>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</si>
  <si>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</si>
  <si>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</si>
  <si>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</si>
  <si>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</si>
  <si>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</si>
  <si>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</si>
  <si>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</si>
  <si>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</si>
  <si>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</si>
  <si>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</si>
  <si>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</si>
  <si>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</si>
  <si>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</si>
  <si>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</si>
  <si>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</si>
  <si>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</si>
  <si>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</si>
  <si>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</si>
  <si>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</si>
  <si>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</si>
  <si>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</si>
  <si>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</si>
  <si>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</si>
  <si>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</si>
  <si>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</si>
  <si>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</si>
  <si>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</si>
  <si>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</si>
  <si>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</si>
  <si>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</si>
  <si>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</si>
  <si>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</si>
  <si>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</si>
  <si>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</si>
  <si>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</si>
  <si>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</si>
  <si>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</si>
  <si>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</si>
  <si>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</si>
  <si>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</si>
  <si>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Slab floor perimeter, Res. Com Apx B p.5</t>
  </si>
  <si>
    <t>Fenestration, Res. Com,  Apx B p.5</t>
  </si>
  <si>
    <t>Raised floor, Res. Com, Apx B p.5</t>
  </si>
  <si>
    <t>Wood-frame walls, Res. Com, Apx B p.5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</si>
  <si>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</si>
  <si>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</si>
  <si>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</si>
  <si>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</si>
  <si>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</si>
  <si>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</si>
  <si>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</si>
  <si>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</si>
  <si>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</si>
  <si>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</si>
  <si>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</si>
  <si>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</si>
  <si>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</si>
  <si>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</si>
  <si>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</si>
  <si>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</si>
  <si>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</si>
  <si>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</si>
  <si>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</si>
  <si>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</si>
  <si>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</si>
  <si>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</si>
  <si>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</si>
  <si>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</si>
  <si>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</si>
  <si>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</si>
  <si>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</si>
  <si>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</si>
  <si>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</si>
  <si>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</si>
  <si>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</si>
  <si>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R-0.95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</si>
  <si>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</si>
  <si>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</si>
  <si>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</si>
  <si>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</si>
  <si>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</si>
  <si>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</si>
  <si>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</si>
  <si>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</si>
  <si>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</si>
  <si>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</si>
  <si>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</si>
  <si>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</si>
  <si>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</si>
  <si>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</si>
  <si>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</si>
  <si>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</si>
  <si>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</si>
  <si>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</si>
  <si>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</si>
  <si>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</si>
  <si>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Name</t>
  </si>
  <si>
    <t>CZ</t>
  </si>
  <si>
    <t>kBtuh</t>
  </si>
  <si>
    <t>kW/100m2</t>
  </si>
  <si>
    <t>kBtuh/1000 sq ft</t>
  </si>
  <si>
    <t>Wrightsoft Manual J Calculations 2011 for 2,100 sq ft Pro C</t>
  </si>
  <si>
    <t>tons/1000 sq ft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</si>
  <si>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</si>
  <si>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</si>
  <si>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</si>
  <si>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</si>
  <si>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</si>
  <si>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</si>
  <si>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Airflow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</si>
  <si>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</si>
  <si>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</si>
  <si>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</si>
  <si>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</si>
  <si>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</si>
  <si>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</si>
  <si>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</si>
  <si>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</si>
  <si>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</si>
  <si>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</si>
  <si>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</si>
  <si>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</si>
  <si>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</si>
  <si>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</si>
  <si>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</si>
  <si>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</si>
  <si>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</si>
  <si>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</si>
  <si>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</si>
  <si>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</si>
  <si>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</si>
  <si>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</si>
  <si>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</si>
  <si>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</si>
  <si>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</si>
  <si>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</si>
  <si>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</si>
  <si>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</si>
  <si>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</si>
  <si>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</si>
  <si>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</si>
  <si>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</si>
  <si>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</si>
  <si>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</si>
  <si>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</si>
  <si>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</si>
  <si>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</si>
  <si>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</si>
  <si>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</si>
  <si>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</si>
  <si>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</si>
  <si>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</si>
  <si>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</si>
  <si>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</si>
  <si>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</si>
  <si>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</si>
  <si>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</si>
  <si>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</si>
  <si>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</si>
  <si>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</si>
  <si>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</si>
  <si>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</si>
  <si>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</si>
  <si>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</si>
  <si>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</si>
  <si>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</si>
  <si>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2A Houston, TX</t>
  </si>
  <si>
    <t>2B Phoenix, AZ</t>
  </si>
  <si>
    <t>3A Memphis, TN</t>
  </si>
  <si>
    <t>3B El Paso, TX</t>
  </si>
  <si>
    <t>3C San Francisco, CA</t>
  </si>
  <si>
    <t>4A Baltimore, MD</t>
  </si>
  <si>
    <t>4B Albuquerque, NM</t>
  </si>
  <si>
    <t>4C Salem, OR</t>
  </si>
  <si>
    <t>5A Chicago, IL</t>
  </si>
  <si>
    <t>5B Boise, ID</t>
  </si>
  <si>
    <t>6A Burlington, VT</t>
  </si>
  <si>
    <t>6B Helena, MT</t>
  </si>
  <si>
    <t>7 Duluth, MN</t>
  </si>
  <si>
    <t>8 Fairbanks, AL</t>
  </si>
  <si>
    <t>1A Miami, FL</t>
  </si>
  <si>
    <t>3 stories</t>
  </si>
  <si>
    <t>cfm cool</t>
  </si>
  <si>
    <t>cfm/W</t>
  </si>
  <si>
    <t>cfm heat</t>
  </si>
  <si>
    <t>l/s heat</t>
  </si>
  <si>
    <t>Heat W</t>
  </si>
  <si>
    <t>(6cfm/W =&gt;)</t>
  </si>
  <si>
    <t>h_air flow 0.167W/cfm; 400cfm/ton</t>
  </si>
  <si>
    <t>h_air flow 0.167W/cfm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</si>
  <si>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</si>
  <si>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</si>
  <si>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</si>
  <si>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</si>
  <si>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</si>
  <si>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</si>
  <si>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</si>
  <si>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</si>
  <si>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</si>
  <si>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</si>
  <si>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</si>
  <si>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</si>
  <si>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</si>
  <si>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</si>
  <si>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</si>
  <si>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</si>
  <si>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</si>
  <si>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</si>
  <si>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</si>
  <si>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</si>
  <si>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</si>
  <si>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</si>
  <si>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</si>
  <si>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</si>
  <si>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</si>
  <si>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</si>
  <si>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</si>
  <si>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</si>
  <si>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</si>
  <si>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</si>
  <si>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</si>
  <si>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</si>
  <si>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</si>
  <si>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</si>
  <si>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</si>
  <si>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</si>
  <si>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</si>
  <si>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</si>
  <si>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</si>
  <si>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</si>
  <si>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</si>
  <si>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</si>
  <si>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</si>
  <si>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</si>
  <si>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</si>
  <si>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</si>
  <si>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</si>
  <si>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</si>
  <si>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</si>
  <si>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</si>
  <si>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</si>
  <si>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</si>
  <si>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</si>
  <si>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</si>
  <si>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</si>
  <si>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</si>
  <si>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</si>
  <si>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</si>
  <si>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</si>
  <si>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</si>
  <si>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</si>
  <si>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</si>
  <si>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</si>
  <si>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</si>
  <si>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</si>
  <si>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</si>
  <si>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</si>
  <si>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</si>
  <si>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</si>
  <si>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</si>
  <si>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</si>
  <si>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</si>
  <si>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</si>
  <si>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</si>
  <si>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</si>
  <si>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</si>
  <si>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</si>
  <si>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</si>
  <si>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</si>
  <si>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</si>
  <si>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</si>
  <si>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</si>
  <si>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</si>
  <si>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</si>
  <si>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</si>
  <si>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</si>
  <si>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</si>
  <si>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</si>
  <si>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</si>
  <si>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</si>
  <si>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</si>
  <si>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</si>
  <si>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</si>
  <si>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</si>
  <si>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</si>
  <si>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</si>
  <si>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</si>
  <si>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</si>
  <si>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</si>
  <si>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</si>
  <si>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</si>
  <si>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</si>
  <si>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</si>
  <si>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</si>
  <si>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</si>
  <si>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</si>
  <si>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</si>
  <si>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</si>
  <si>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</si>
  <si>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</si>
  <si>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</si>
  <si>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</si>
  <si>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</si>
  <si>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</si>
  <si>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</si>
  <si>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</si>
  <si>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</si>
  <si>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</si>
  <si>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</si>
  <si>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</si>
  <si>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</si>
  <si>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</si>
  <si>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</si>
  <si>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</si>
  <si>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</si>
  <si>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</si>
  <si>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</si>
  <si>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</si>
  <si>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</si>
  <si>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</si>
  <si>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</si>
  <si>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</si>
  <si>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</si>
  <si>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</si>
  <si>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</si>
  <si>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</si>
  <si>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</si>
  <si>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</si>
  <si>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</si>
  <si>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</si>
  <si>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</si>
  <si>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</si>
  <si>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</si>
  <si>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</si>
  <si>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</si>
  <si>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</si>
  <si>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</si>
  <si>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</si>
  <si>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</si>
  <si>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</si>
  <si>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</si>
  <si>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</si>
  <si>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I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</si>
  <si>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</si>
  <si>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</si>
  <si>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</si>
  <si>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</si>
  <si>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</si>
  <si>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</si>
  <si>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</si>
  <si>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</si>
  <si>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</si>
  <si>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</si>
  <si>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</si>
  <si>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FanPower (w)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</si>
  <si>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</si>
  <si>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</si>
  <si>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</si>
  <si>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</si>
  <si>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</si>
  <si>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</si>
  <si>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</si>
  <si>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</si>
  <si>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</si>
  <si>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</si>
  <si>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</si>
  <si>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Orland</t>
  </si>
  <si>
    <t>Charleston</t>
  </si>
  <si>
    <t>Orlando</t>
  </si>
  <si>
    <t>Heating (Btu/hr)</t>
  </si>
  <si>
    <t>Cooling (Btu/hr)</t>
  </si>
  <si>
    <t>Sensible Heat Fraction</t>
  </si>
  <si>
    <t>Rated airflow (cfm/ton)</t>
  </si>
  <si>
    <t xml:space="preserve">Floor area (ft2) </t>
  </si>
  <si>
    <t>Heating Input per 1,000ft2</t>
  </si>
  <si>
    <t>2Ao</t>
  </si>
  <si>
    <t>3Ac</t>
  </si>
  <si>
    <t>2ao</t>
  </si>
  <si>
    <t>CFIS</t>
  </si>
  <si>
    <t>ERV</t>
  </si>
  <si>
    <t>Vent System Type</t>
  </si>
  <si>
    <t>Number of Total BathFan Minutes</t>
  </si>
  <si>
    <t>For  comparison, I ran this in Beopt ManJ sizing run with a 70% ERV (as opposed to simple exhaust), same airflow, and Heating went to 25923 and cooling to 20706.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</si>
  <si>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</si>
  <si>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</si>
  <si>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</si>
  <si>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</si>
  <si>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</si>
  <si>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wCutoff</t>
  </si>
  <si>
    <t>Indicator variable that instructs fan codes 13 and 17 to use rivec controls</t>
  </si>
  <si>
    <t>wDiffMaxNeg</t>
  </si>
  <si>
    <t>wDiffMaxPos</t>
  </si>
  <si>
    <t>Miami, FL</t>
  </si>
  <si>
    <t>Orlando, FL</t>
  </si>
  <si>
    <t>Houston, TX</t>
  </si>
  <si>
    <t>Charleston, SC</t>
  </si>
  <si>
    <t>Memphis, TN</t>
  </si>
  <si>
    <t>Baltimore, MD</t>
  </si>
  <si>
    <t>90th Percentile Outdoor Humidity Ratio, based on TMY3 weather file analysis</t>
  </si>
  <si>
    <t>wDiff values calculated from baseline REGCAP simulation humidity data.</t>
  </si>
  <si>
    <t>Fan Code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</si>
  <si>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</si>
  <si>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</si>
  <si>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</si>
  <si>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</si>
  <si>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</si>
  <si>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</si>
  <si>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</si>
  <si>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</si>
  <si>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</si>
  <si>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</si>
  <si>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</si>
  <si>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</si>
  <si>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Outdoor Humidity Ratio, 25th percentile values by month and CZ</t>
  </si>
  <si>
    <t>Month</t>
  </si>
  <si>
    <t>Outdoor Humidity Ratio, 75th percentile values by month and CZ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</si>
  <si>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</si>
  <si>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</si>
  <si>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</si>
  <si>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</si>
  <si>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</si>
  <si>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</si>
  <si>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</si>
  <si>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</si>
  <si>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</si>
  <si>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</si>
  <si>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</si>
  <si>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THIS IS WHERE THE CURRENT AIRTIGHTNESS INPUTS ARE FROM</t>
  </si>
  <si>
    <t>% 62.2-2013</t>
  </si>
  <si>
    <t>CURRENT FAN SIZES ARE CALCULATED HERE. ALL OTHER STUFF IS REFERENCE OR OTHERWISE.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</si>
  <si>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</si>
  <si>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</si>
  <si>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</si>
  <si>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</si>
  <si>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</si>
  <si>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</si>
  <si>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</si>
  <si>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</si>
  <si>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</si>
  <si>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</si>
  <si>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</si>
  <si>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</si>
  <si>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tstat_std.txt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</si>
  <si>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</si>
  <si>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</si>
  <si>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</si>
  <si>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</si>
  <si>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</si>
  <si>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</si>
  <si>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</si>
  <si>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</si>
  <si>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</si>
  <si>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</si>
  <si>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</si>
  <si>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</si>
  <si>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</si>
  <si>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</si>
  <si>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</si>
  <si>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</si>
  <si>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</si>
  <si>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</si>
  <si>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</si>
  <si>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</si>
  <si>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</si>
  <si>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</si>
  <si>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</si>
  <si>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</si>
  <si>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</si>
  <si>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</si>
  <si>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</si>
  <si>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</si>
  <si>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</si>
  <si>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</si>
  <si>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</si>
  <si>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</si>
  <si>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</si>
  <si>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</si>
  <si>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</si>
  <si>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</si>
  <si>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</si>
  <si>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</si>
  <si>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Cooling Tons per 1,000ft2</t>
  </si>
  <si>
    <t>1 m3/s = 2119 ft3/min</t>
  </si>
  <si>
    <t>Raw_cool</t>
  </si>
  <si>
    <t>Raw_heat</t>
  </si>
  <si>
    <t>kBtu/hr</t>
  </si>
  <si>
    <t>=</t>
  </si>
  <si>
    <t>Opaque wall element UA, W/K</t>
  </si>
  <si>
    <t>Opaque floor element UA, W/K</t>
  </si>
  <si>
    <t>Window UA, W/K</t>
  </si>
  <si>
    <t>Age</t>
  </si>
  <si>
    <t>FirstCut</t>
  </si>
  <si>
    <t>SecondCut</t>
  </si>
  <si>
    <t>doseTarget</t>
  </si>
  <si>
    <t>HiDose</t>
  </si>
  <si>
    <t>LowDose</t>
  </si>
  <si>
    <t>C9_Low</t>
  </si>
  <si>
    <t>C9_High</t>
  </si>
  <si>
    <t>C7_Low</t>
  </si>
  <si>
    <t>C7_High</t>
  </si>
  <si>
    <t>cz</t>
  </si>
  <si>
    <t>maxPos</t>
  </si>
  <si>
    <t>maxNeg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</si>
  <si>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</si>
  <si>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</si>
  <si>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</si>
  <si>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</si>
  <si>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</si>
  <si>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</si>
  <si>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</si>
  <si>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</si>
  <si>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</si>
  <si>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</si>
  <si>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</si>
  <si>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</si>
  <si>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Num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</si>
  <si>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</si>
  <si>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</si>
  <si>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</si>
  <si>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</si>
  <si>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</si>
  <si>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</si>
  <si>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</si>
  <si>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</si>
  <si>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</si>
  <si>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</si>
  <si>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</si>
  <si>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</si>
  <si>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</si>
  <si>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</si>
  <si>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</si>
  <si>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</si>
  <si>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</si>
  <si>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</si>
  <si>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</si>
  <si>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</si>
  <si>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</si>
  <si>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</si>
  <si>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</si>
  <si>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</si>
  <si>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</si>
  <si>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</si>
  <si>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</si>
  <si>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</si>
  <si>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</si>
  <si>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</si>
  <si>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</si>
  <si>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</si>
  <si>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</si>
  <si>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</si>
  <si>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</si>
  <si>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</si>
  <si>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</si>
  <si>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</si>
  <si>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</si>
  <si>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</si>
  <si>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</si>
  <si>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</si>
  <si>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</si>
  <si>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</si>
  <si>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</si>
  <si>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</si>
  <si>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</si>
  <si>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</si>
  <si>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</si>
  <si>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</si>
  <si>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</si>
  <si>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</si>
  <si>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</si>
  <si>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</si>
  <si>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</si>
  <si>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</si>
  <si>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</si>
  <si>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</si>
  <si>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</si>
  <si>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</si>
  <si>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ceilRval_heat</t>
  </si>
  <si>
    <t>ceilRval_cool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</si>
  <si>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</si>
  <si>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</si>
  <si>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</si>
  <si>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</si>
  <si>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</si>
  <si>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</si>
  <si>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</si>
  <si>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</si>
  <si>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</si>
  <si>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</si>
  <si>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</si>
  <si>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</si>
  <si>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</si>
  <si>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</si>
  <si>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</si>
  <si>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</si>
  <si>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</si>
  <si>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</si>
  <si>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</si>
  <si>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</si>
  <si>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</si>
  <si>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</si>
  <si>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roofRval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</si>
  <si>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</si>
  <si>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</si>
  <si>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</si>
  <si>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</si>
  <si>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</si>
  <si>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</si>
  <si>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</si>
  <si>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</si>
  <si>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</si>
  <si>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</si>
  <si>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</si>
  <si>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</si>
  <si>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</si>
  <si>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</si>
  <si>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</si>
  <si>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</si>
  <si>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</si>
  <si>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</si>
  <si>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</si>
  <si>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</si>
  <si>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</si>
  <si>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</si>
  <si>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dhDeadBand</t>
  </si>
  <si>
    <t>defaults to 2.5%</t>
  </si>
  <si>
    <t>Dehumidifier capacity (pints/day)</t>
  </si>
  <si>
    <t>Dehumidifier energy factor (L/kWh)</t>
  </si>
  <si>
    <t>Dehumidifier set point (%RH)</t>
  </si>
  <si>
    <t>Dehumidifier dead band (+/-)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</si>
  <si>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</si>
  <si>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</si>
  <si>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</si>
  <si>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</si>
  <si>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</si>
  <si>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</si>
  <si>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</si>
  <si>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</si>
  <si>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</si>
  <si>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</si>
  <si>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</si>
  <si>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</si>
  <si>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</si>
  <si>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</si>
  <si>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</si>
  <si>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Dead Band +/- (% RH)</t>
  </si>
  <si>
    <t>default is 2.5%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</si>
  <si>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</si>
  <si>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</si>
  <si>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</si>
  <si>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</si>
  <si>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</si>
  <si>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</si>
  <si>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</si>
  <si>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</si>
  <si>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</si>
  <si>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</si>
  <si>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</si>
  <si>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</si>
  <si>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</si>
  <si>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</si>
  <si>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</si>
  <si>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</si>
  <si>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/>
  </si>
  <si>
    <t>dehumid</t>
  </si>
  <si>
    <t>End of File Mark</t>
  </si>
  <si>
    <t>E_O_F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</si>
  <si>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</si>
  <si>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</si>
  <si>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</si>
  <si>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</si>
  <si>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</si>
  <si>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</si>
  <si>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</si>
  <si>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</si>
  <si>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</si>
  <si>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</si>
  <si>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House site info: R=in a row of houses on a street; I=isolated house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</si>
  <si>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</si>
  <si>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</si>
  <si>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</si>
  <si>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</si>
  <si>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</si>
  <si>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</si>
  <si>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</si>
  <si>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</si>
  <si>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</si>
  <si>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</si>
  <si>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</si>
  <si>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</si>
  <si>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</si>
  <si>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</si>
  <si>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</si>
  <si>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</si>
  <si>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</si>
  <si>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</si>
  <si>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</si>
  <si>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</si>
  <si>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</si>
  <si>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</si>
  <si>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</si>
  <si>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</si>
  <si>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</si>
  <si>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</si>
  <si>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</si>
  <si>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</si>
  <si>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</si>
  <si>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</si>
  <si>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</si>
  <si>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</si>
  <si>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</si>
  <si>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</si>
  <si>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</si>
  <si>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</si>
  <si>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</si>
  <si>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</si>
  <si>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</si>
  <si>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</si>
  <si>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</si>
  <si>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</si>
  <si>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</si>
  <si>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</si>
  <si>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</si>
  <si>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</si>
  <si>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</si>
  <si>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</si>
  <si>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</si>
  <si>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</si>
  <si>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</si>
  <si>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</si>
  <si>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</si>
  <si>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</si>
  <si>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</si>
  <si>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</si>
  <si>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</si>
  <si>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</si>
  <si>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</si>
  <si>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</si>
  <si>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</si>
  <si>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</si>
  <si>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</si>
  <si>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</si>
  <si>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</si>
  <si>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</si>
  <si>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</si>
  <si>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</si>
  <si>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</si>
  <si>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Fan_cool_raw</t>
  </si>
  <si>
    <t>Fan_heat_raw</t>
  </si>
  <si>
    <t>Raw_heat_normalized</t>
  </si>
  <si>
    <t>Cool Capacity</t>
  </si>
  <si>
    <t>Heat Capacity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</si>
  <si>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</si>
  <si>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</si>
  <si>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</si>
  <si>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</si>
  <si>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</si>
  <si>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</si>
  <si>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</si>
  <si>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</si>
  <si>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</si>
  <si>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</si>
  <si>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</si>
  <si>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</si>
  <si>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</si>
  <si>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</si>
  <si>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</si>
  <si>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</si>
  <si>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</si>
  <si>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</si>
  <si>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</si>
  <si>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</si>
  <si>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</si>
  <si>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</si>
  <si>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</si>
  <si>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</si>
  <si>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</si>
  <si>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</si>
  <si>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</si>
  <si>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</si>
  <si>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</si>
  <si>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</si>
  <si>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</si>
  <si>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</si>
  <si>
    <t>1.1.2</t>
  </si>
  <si>
    <t>OccContType</t>
  </si>
  <si>
    <t>Various types of RIVEC controls, for SVC_Occupancy</t>
  </si>
  <si>
    <t>No Fan</t>
  </si>
  <si>
    <t>Continuous</t>
  </si>
  <si>
    <t>Aux Fans control</t>
  </si>
  <si>
    <t>Occupancy control</t>
  </si>
  <si>
    <t>Both controls</t>
  </si>
  <si>
    <t xml:space="preserve">Changed some parametrics things. </t>
  </si>
  <si>
    <t>Deleted all humidity control input variables on Inputs and InputFiles, changed the macro to read in correct number of lines.</t>
  </si>
  <si>
    <t>OccSchedule</t>
  </si>
  <si>
    <t>occ_1stShift.txt</t>
  </si>
  <si>
    <t>occ_3rdShift.txt</t>
  </si>
  <si>
    <t>FanSchedule</t>
  </si>
  <si>
    <t>Changed occupancyFileName and fanScheduleFileName values to be parametric, allowing 1st and 3rd shift stuff</t>
  </si>
  <si>
    <t>Simple Exhaust</t>
  </si>
  <si>
    <t>Adjusting fan1 airflows, power, etc. based on the HumControl variable. Auto sets to 0, 100% or 200% of Qfan 62.2-2016</t>
  </si>
  <si>
    <t>Fixed the parametrics in the macro and in the file naming on the Parametrics tab, to work with SVC_Occupancy</t>
  </si>
  <si>
    <t>Auxilliary Fan Detection RIVEC</t>
  </si>
  <si>
    <t>Determines if auxilliary fans count towards relative exposure calculation. 0 = do NOT count aux fans, and 1 = do count aux fans.</t>
  </si>
  <si>
    <t xml:space="preserve">Add variable for Auxilliary Fan Detection in the RIVEC relative exposure calcs. </t>
  </si>
  <si>
    <t>Updated the 62.2 fan calculation to include the additivity coefficient from Addendum S</t>
  </si>
  <si>
    <t>REGCAP_FanSchedule_1stShift.txt</t>
  </si>
  <si>
    <t>REGCAP_FanSchedule_3rdShift.txt</t>
  </si>
  <si>
    <t>occ_1stShift_extended.txt</t>
  </si>
  <si>
    <t>REGCAP_FanSchedule_1stShift_ext.txt</t>
  </si>
  <si>
    <t>Weather Design Conditions</t>
  </si>
  <si>
    <t>Design DB Temp</t>
  </si>
  <si>
    <t>Ceiling/Roof</t>
  </si>
  <si>
    <t>Infiltration</t>
  </si>
  <si>
    <t>UA and design temp for heating losses</t>
  </si>
  <si>
    <t>Equivalent temps for opagque heat gains</t>
  </si>
  <si>
    <t>HTM for glazing calculations</t>
  </si>
  <si>
    <t>Latitude</t>
  </si>
  <si>
    <t>Daily Diff</t>
  </si>
  <si>
    <t>97.5% DB temp</t>
  </si>
  <si>
    <t>2.5% DB temp</t>
  </si>
  <si>
    <t>Coincident Wb temp</t>
  </si>
  <si>
    <t>Grains difference (55% RH)</t>
  </si>
  <si>
    <t>M</t>
  </si>
  <si>
    <t>H</t>
  </si>
  <si>
    <t>Total UA</t>
  </si>
  <si>
    <t>Phi</t>
  </si>
  <si>
    <t>Total (inf + fan)</t>
  </si>
  <si>
    <t>Total ACH</t>
  </si>
  <si>
    <t>Heating Temp Diff</t>
  </si>
  <si>
    <t>Cooling Temp Diff</t>
  </si>
  <si>
    <t>Inf_HeatLoss (Btuh)</t>
  </si>
  <si>
    <t>Inf_HeatGain (Btuh)</t>
  </si>
  <si>
    <t>Inf_LatGain (Btuh)</t>
  </si>
  <si>
    <t>Equivalent Temperature Differences</t>
  </si>
  <si>
    <t>Figure 7-4, page 47 Manual J Edition 7</t>
  </si>
  <si>
    <t>Design Temp Difference</t>
  </si>
  <si>
    <t>Daily Range</t>
  </si>
  <si>
    <t>Walls and doors</t>
  </si>
  <si>
    <t>Ceiling - Dark</t>
  </si>
  <si>
    <t>Ceiling - Light</t>
  </si>
  <si>
    <t>House Conduction Losses</t>
  </si>
  <si>
    <t>Walls and Doors</t>
  </si>
  <si>
    <t>Glass Heat Transfer Multipliers</t>
  </si>
  <si>
    <t>NE and NW</t>
  </si>
  <si>
    <t>E and W</t>
  </si>
  <si>
    <t>SE and SW</t>
  </si>
  <si>
    <t>Triple Pane / Double Pane &amp; Low-e Coating</t>
  </si>
  <si>
    <t>Btu-hr</t>
  </si>
  <si>
    <t>Kitchen Appliances</t>
  </si>
  <si>
    <t>Duct Gain Multipliers</t>
  </si>
  <si>
    <t>Exposed Outdoor Ambient</t>
  </si>
  <si>
    <t>No insulatoin</t>
  </si>
  <si>
    <t>R2</t>
  </si>
  <si>
    <t>R4</t>
  </si>
  <si>
    <t>R6</t>
  </si>
  <si>
    <t>Enclosed in Unconditioned Space</t>
  </si>
  <si>
    <t>Ducts Buried in Slab</t>
  </si>
  <si>
    <t>No edge insulation</t>
  </si>
  <si>
    <t>R3 or 4</t>
  </si>
  <si>
    <t>R5 or 7</t>
  </si>
  <si>
    <t>R7 or 9</t>
  </si>
  <si>
    <t>Duct Gain Multiplier</t>
  </si>
  <si>
    <t>Conditioned Space</t>
  </si>
  <si>
    <t>Subtotal Heat Gain</t>
  </si>
  <si>
    <t>Subtotal Heat Loss</t>
  </si>
  <si>
    <t>Conductivce Heat Loss (Btuh)</t>
  </si>
  <si>
    <t>Cooling Conduction Gains</t>
  </si>
  <si>
    <t>Misc Gains</t>
  </si>
  <si>
    <t>This line scales the heat system sizing according to the fan airflow requirements for the cooling load</t>
  </si>
  <si>
    <t>Shading coefficient 0.25, No interior shade screen</t>
  </si>
  <si>
    <t>Table 3C, Manual J, pg 75</t>
  </si>
  <si>
    <t>Table 3A, pg. 73</t>
  </si>
  <si>
    <t>Added Manual J calculation to the HVAC tab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</si>
</sst>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#,##0.0"/>
    <numFmt numFmtId="170" formatCode="0.000000"/>
    <numFmt numFmtId="171" formatCode="m/d/yyyy;@"/>
  </numFmts>
  <fonts count="7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indexed="8"/>
      <name val="Calibri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sz val="13"/>
      <color theme="1"/>
      <name val="Arial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</fills>
  <borders count="5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287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0" fontId="4" fillId="0" borderId="0"/>
    <xf numFmtId="0" fontId="7" fillId="5" borderId="0"/>
    <xf numFmtId="0" fontId="8" fillId="0" borderId="0"/>
    <xf numFmtId="0" fontId="4" fillId="6" borderId="0"/>
    <xf numFmtId="0" fontId="4" fillId="7" borderId="0"/>
    <xf numFmtId="0" fontId="4" fillId="8" borderId="0"/>
    <xf numFmtId="0" fontId="4" fillId="9" borderId="0"/>
    <xf numFmtId="0" fontId="4" fillId="10" borderId="0"/>
    <xf numFmtId="0" fontId="4" fillId="11" borderId="0"/>
    <xf numFmtId="0" fontId="4" fillId="12" borderId="0"/>
    <xf numFmtId="0" fontId="4" fillId="13" borderId="0"/>
    <xf numFmtId="0" fontId="4" fillId="14" borderId="0"/>
    <xf numFmtId="0" fontId="4" fillId="15" borderId="0"/>
    <xf numFmtId="0" fontId="4" fillId="16" borderId="0"/>
    <xf numFmtId="0" fontId="4" fillId="17" borderId="0"/>
    <xf numFmtId="0" fontId="9" fillId="18" borderId="0"/>
    <xf numFmtId="0" fontId="9" fillId="19" borderId="0"/>
    <xf numFmtId="0" fontId="9" fillId="20" borderId="0"/>
    <xf numFmtId="0" fontId="9" fillId="21" borderId="0"/>
    <xf numFmtId="0" fontId="9" fillId="22" borderId="0"/>
    <xf numFmtId="0" fontId="9" fillId="23" borderId="0"/>
    <xf numFmtId="0" fontId="9" fillId="24" borderId="0"/>
    <xf numFmtId="0" fontId="9" fillId="25" borderId="0"/>
    <xf numFmtId="0" fontId="9" fillId="26" borderId="0"/>
    <xf numFmtId="0" fontId="9" fillId="27" borderId="0"/>
    <xf numFmtId="0" fontId="9" fillId="28" borderId="0"/>
    <xf numFmtId="0" fontId="9" fillId="29" borderId="0"/>
    <xf numFmtId="0" fontId="10" fillId="30" borderId="0"/>
    <xf numFmtId="0" fontId="11" fillId="31" borderId="3"/>
    <xf numFmtId="0" fontId="12" fillId="32" borderId="4"/>
    <xf numFmtId="0" fontId="13" fillId="0" borderId="0"/>
    <xf numFmtId="0" fontId="14" fillId="0" borderId="5"/>
    <xf numFmtId="0" fontId="15" fillId="0" borderId="6"/>
    <xf numFmtId="0" fontId="16" fillId="0" borderId="7"/>
    <xf numFmtId="0" fontId="16" fillId="0" borderId="0"/>
    <xf numFmtId="0" fontId="17" fillId="33" borderId="3"/>
    <xf numFmtId="0" fontId="18" fillId="0" borderId="8"/>
    <xf numFmtId="0" fontId="19" fillId="34" borderId="0"/>
    <xf numFmtId="0" fontId="4" fillId="35" borderId="9"/>
    <xf numFmtId="0" fontId="20" fillId="31" borderId="10"/>
    <xf numFmtId="0" fontId="21" fillId="0" borderId="0"/>
    <xf numFmtId="0" fontId="6" fillId="0" borderId="11"/>
    <xf numFmtId="0" fontId="22" fillId="0" borderId="0"/>
    <xf numFmtId="0" fontId="24" fillId="0" borderId="0"/>
    <xf numFmtId="9" fontId="24" fillId="0" borderId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</cellStyleXfs>
  <cellXfs count="564">
    <xf numFmtId="0" fontId="0" fillId="0" borderId="0" xfId="0"/>
    <xf numFmtId="0" fontId="4" fillId="0" borderId="0" xfId="4" applyFont="1"/>
    <xf numFmtId="0" fontId="4" fillId="0" borderId="0" xfId="4" applyAlignment="1">
      <alignment horizontal="center"/>
    </xf>
    <xf numFmtId="0" fontId="5" fillId="0" borderId="0" xfId="4" applyFont="1"/>
    <xf numFmtId="0" fontId="6" fillId="0" borderId="0" xfId="4" applyFont="1"/>
    <xf numFmtId="0" fontId="4" fillId="0" borderId="0" xfId="4"/>
    <xf numFmtId="164" fontId="4" fillId="0" borderId="0" xfId="4" applyNumberFormat="1" applyAlignment="1">
      <alignment horizontal="right"/>
    </xf>
    <xf numFmtId="0" fontId="4" fillId="0" borderId="0" xfId="4" applyFont="1" applyAlignment="1">
      <alignment horizontal="center"/>
    </xf>
    <xf numFmtId="166" fontId="4" fillId="0" borderId="0" xfId="4" applyNumberFormat="1" applyAlignment="1">
      <alignment horizontal="right"/>
    </xf>
    <xf numFmtId="1" fontId="2" fillId="3" borderId="0" xfId="2" applyNumberFormat="1" applyAlignment="1">
      <alignment horizontal="right"/>
    </xf>
    <xf numFmtId="166" fontId="2" fillId="3" borderId="0" xfId="2" applyNumberFormat="1" applyAlignment="1">
      <alignment horizontal="right"/>
    </xf>
    <xf numFmtId="2" fontId="2" fillId="3" borderId="0" xfId="2" applyNumberFormat="1" applyAlignment="1">
      <alignment horizontal="right"/>
    </xf>
    <xf numFmtId="164" fontId="2" fillId="3" borderId="0" xfId="2" applyNumberFormat="1" applyAlignment="1">
      <alignment horizontal="right"/>
    </xf>
    <xf numFmtId="0" fontId="4" fillId="0" borderId="0" xfId="4" applyAlignment="1">
      <alignment horizontal="right"/>
    </xf>
    <xf numFmtId="0" fontId="23" fillId="0" borderId="0" xfId="4" applyFont="1"/>
    <xf numFmtId="166" fontId="4" fillId="0" borderId="0" xfId="4" applyNumberFormat="1"/>
    <xf numFmtId="1" fontId="4" fillId="0" borderId="0" xfId="4" applyNumberFormat="1"/>
    <xf numFmtId="2" fontId="4" fillId="0" borderId="0" xfId="4" applyNumberFormat="1"/>
    <xf numFmtId="166" fontId="4" fillId="0" borderId="0" xfId="4" applyNumberFormat="1" applyFont="1"/>
    <xf numFmtId="164" fontId="4" fillId="0" borderId="0" xfId="4" applyNumberFormat="1" applyFont="1"/>
    <xf numFmtId="0" fontId="4" fillId="0" borderId="0" xfId="4" applyFont="1" applyBorder="1"/>
    <xf numFmtId="0" fontId="25" fillId="0" borderId="0" xfId="47" applyFont="1"/>
    <xf numFmtId="165" fontId="4" fillId="0" borderId="0" xfId="4" applyNumberFormat="1" applyFont="1"/>
    <xf numFmtId="0" fontId="26" fillId="0" borderId="0" xfId="4" applyFont="1"/>
    <xf numFmtId="0" fontId="4" fillId="0" borderId="12" xfId="4" applyFont="1" applyBorder="1"/>
    <xf numFmtId="2" fontId="4" fillId="0" borderId="0" xfId="4" applyNumberFormat="1" applyFont="1"/>
    <xf numFmtId="164" fontId="25" fillId="0" borderId="0" xfId="47" applyNumberFormat="1" applyFont="1"/>
    <xf numFmtId="9" fontId="24" fillId="0" borderId="0" xfId="48" applyFont="1"/>
    <xf numFmtId="0" fontId="13" fillId="0" borderId="0" xfId="34" applyNumberFormat="1" applyFont="1" applyFill="1" applyBorder="1" applyAlignment="1" applyProtection="1"/>
    <xf numFmtId="164" fontId="4" fillId="0" borderId="0" xfId="4" applyNumberFormat="1"/>
    <xf numFmtId="165" fontId="4" fillId="0" borderId="0" xfId="4" applyNumberFormat="1"/>
    <xf numFmtId="0" fontId="24" fillId="0" borderId="0" xfId="47"/>
    <xf numFmtId="0" fontId="26" fillId="0" borderId="0" xfId="4" applyFont="1" applyAlignment="1">
      <alignment horizontal="left"/>
    </xf>
    <xf numFmtId="0" fontId="26" fillId="0" borderId="0" xfId="4" applyFont="1" applyAlignment="1">
      <alignment horizontal="center"/>
    </xf>
    <xf numFmtId="0" fontId="4" fillId="0" borderId="0" xfId="4" applyAlignment="1"/>
    <xf numFmtId="2" fontId="4" fillId="0" borderId="0" xfId="4" applyNumberFormat="1" applyAlignment="1"/>
    <xf numFmtId="1" fontId="4" fillId="0" borderId="0" xfId="4" applyNumberFormat="1" applyAlignment="1"/>
    <xf numFmtId="0" fontId="1" fillId="2" borderId="0" xfId="1" applyAlignment="1">
      <alignment horizontal="center"/>
    </xf>
    <xf numFmtId="1" fontId="1" fillId="2" borderId="0" xfId="1" applyNumberFormat="1" applyAlignment="1"/>
    <xf numFmtId="2" fontId="1" fillId="2" borderId="0" xfId="1" applyNumberFormat="1"/>
    <xf numFmtId="0" fontId="27" fillId="0" borderId="0" xfId="49" applyAlignment="1" applyProtection="1"/>
    <xf numFmtId="0" fontId="4" fillId="0" borderId="0" xfId="4" applyNumberFormat="1" applyAlignment="1">
      <alignment horizontal="center"/>
    </xf>
    <xf numFmtId="2" fontId="4" fillId="0" borderId="0" xfId="4" applyNumberFormat="1" applyAlignment="1">
      <alignment horizontal="center"/>
    </xf>
    <xf numFmtId="166" fontId="4" fillId="0" borderId="0" xfId="4" applyNumberFormat="1" applyAlignment="1">
      <alignment horizontal="center"/>
    </xf>
    <xf numFmtId="2" fontId="4" fillId="0" borderId="0" xfId="4" applyNumberFormat="1" applyFont="1" applyAlignment="1">
      <alignment horizontal="center"/>
    </xf>
    <xf numFmtId="0" fontId="23" fillId="0" borderId="0" xfId="4" applyFont="1" applyAlignment="1">
      <alignment horizontal="center"/>
    </xf>
    <xf numFmtId="0" fontId="7" fillId="5" borderId="0" xfId="5" applyNumberFormat="1" applyBorder="1" applyAlignment="1" applyProtection="1">
      <alignment horizontal="center"/>
    </xf>
    <xf numFmtId="9" fontId="7" fillId="5" borderId="0" xfId="5" applyNumberFormat="1" applyBorder="1" applyAlignment="1" applyProtection="1">
      <alignment horizontal="center"/>
    </xf>
    <xf numFmtId="166" fontId="7" fillId="5" borderId="0" xfId="5" applyNumberFormat="1" applyBorder="1" applyAlignment="1" applyProtection="1">
      <alignment horizontal="center"/>
    </xf>
    <xf numFmtId="166" fontId="4" fillId="0" borderId="0" xfId="4" applyNumberFormat="1" applyFont="1" applyAlignment="1">
      <alignment horizontal="center"/>
    </xf>
    <xf numFmtId="0" fontId="4" fillId="0" borderId="2" xfId="4" applyFont="1" applyBorder="1" applyAlignment="1">
      <alignment horizontal="center"/>
    </xf>
    <xf numFmtId="0" fontId="4" fillId="0" borderId="0" xfId="4" applyFont="1" applyBorder="1" applyAlignment="1">
      <alignment horizontal="center"/>
    </xf>
    <xf numFmtId="0" fontId="4" fillId="0" borderId="0" xfId="4" applyFont="1" applyFill="1" applyBorder="1" applyAlignment="1">
      <alignment horizontal="center"/>
    </xf>
    <xf numFmtId="0" fontId="13" fillId="0" borderId="2" xfId="34" applyNumberFormat="1" applyFill="1" applyBorder="1" applyAlignment="1" applyProtection="1">
      <alignment horizontal="center"/>
    </xf>
    <xf numFmtId="0" fontId="13" fillId="0" borderId="0" xfId="34" applyNumberFormat="1" applyFill="1" applyBorder="1" applyAlignment="1" applyProtection="1">
      <alignment horizontal="center"/>
    </xf>
    <xf numFmtId="166" fontId="4" fillId="0" borderId="2" xfId="4" applyNumberFormat="1" applyFont="1" applyBorder="1" applyAlignment="1">
      <alignment horizontal="center"/>
    </xf>
    <xf numFmtId="0" fontId="4" fillId="0" borderId="2" xfId="4" applyBorder="1" applyAlignment="1">
      <alignment horizontal="center"/>
    </xf>
    <xf numFmtId="0" fontId="4" fillId="0" borderId="0" xfId="4" applyFont="1" applyAlignment="1">
      <alignment horizontal="left"/>
    </xf>
    <xf numFmtId="0" fontId="1" fillId="2" borderId="0" xfId="1"/>
    <xf numFmtId="9" fontId="4" fillId="0" borderId="0" xfId="4" applyNumberFormat="1"/>
    <xf numFmtId="0" fontId="4" fillId="0" borderId="0" xfId="4" applyFill="1"/>
    <xf numFmtId="167" fontId="4" fillId="0" borderId="0" xfId="4" applyNumberFormat="1" applyFill="1"/>
    <xf numFmtId="2" fontId="4" fillId="0" borderId="0" xfId="4" applyNumberFormat="1" applyFill="1"/>
    <xf numFmtId="164" fontId="4" fillId="0" borderId="0" xfId="4" applyNumberFormat="1" applyFill="1"/>
    <xf numFmtId="1" fontId="4" fillId="0" borderId="0" xfId="4" applyNumberFormat="1" applyFill="1"/>
    <xf numFmtId="0" fontId="29" fillId="0" borderId="0" xfId="47" applyFont="1"/>
    <xf numFmtId="0" fontId="30" fillId="0" borderId="0" xfId="47" applyFont="1"/>
    <xf numFmtId="0" fontId="6" fillId="0" borderId="0" xfId="4" applyFont="1" applyAlignment="1">
      <alignment horizontal="left"/>
    </xf>
    <xf numFmtId="9" fontId="4" fillId="0" borderId="0" xfId="50" applyFont="1"/>
    <xf numFmtId="0" fontId="0" fillId="0" borderId="0" xfId="0" applyAlignment="1">
      <alignment horizontal="left"/>
    </xf>
    <xf numFmtId="0" fontId="4" fillId="37" borderId="0" xfId="4" applyFill="1"/>
    <xf numFmtId="0" fontId="4" fillId="37" borderId="0" xfId="4" applyFont="1" applyFill="1"/>
    <xf numFmtId="0" fontId="4" fillId="0" borderId="0" xfId="4" applyFont="1" applyFill="1"/>
    <xf numFmtId="0" fontId="6" fillId="37" borderId="0" xfId="4" applyFont="1" applyFill="1"/>
    <xf numFmtId="0" fontId="23" fillId="37" borderId="0" xfId="4" applyFont="1" applyFill="1"/>
    <xf numFmtId="0" fontId="4" fillId="39" borderId="0" xfId="4" applyFont="1" applyFill="1"/>
    <xf numFmtId="1" fontId="4" fillId="39" borderId="0" xfId="4" applyNumberFormat="1" applyFont="1" applyFill="1"/>
    <xf numFmtId="164" fontId="4" fillId="39" borderId="0" xfId="4" applyNumberFormat="1" applyFont="1" applyFill="1"/>
    <xf numFmtId="0" fontId="4" fillId="39" borderId="0" xfId="4" quotePrefix="1" applyFont="1" applyFill="1"/>
    <xf numFmtId="166" fontId="4" fillId="39" borderId="0" xfId="4" applyNumberFormat="1" applyFont="1" applyFill="1"/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0" fontId="26" fillId="0" borderId="15" xfId="4" applyFont="1" applyBorder="1" applyAlignment="1">
      <alignment horizontal="center"/>
    </xf>
    <xf numFmtId="0" fontId="4" fillId="0" borderId="14" xfId="4" applyBorder="1" applyAlignment="1">
      <alignment horizontal="center"/>
    </xf>
    <xf numFmtId="0" fontId="4" fillId="0" borderId="14" xfId="4" applyFont="1" applyBorder="1" applyAlignment="1">
      <alignment horizontal="center"/>
    </xf>
    <xf numFmtId="0" fontId="1" fillId="2" borderId="14" xfId="1" applyFont="1" applyBorder="1" applyAlignment="1">
      <alignment horizontal="center"/>
    </xf>
    <xf numFmtId="0" fontId="1" fillId="2" borderId="14" xfId="1" applyBorder="1" applyAlignment="1">
      <alignment horizontal="center"/>
    </xf>
    <xf numFmtId="0" fontId="4" fillId="0" borderId="0" xfId="4" applyBorder="1"/>
    <xf numFmtId="166" fontId="4" fillId="0" borderId="14" xfId="4" applyNumberFormat="1" applyBorder="1"/>
    <xf numFmtId="0" fontId="4" fillId="0" borderId="15" xfId="4" applyBorder="1"/>
    <xf numFmtId="0" fontId="26" fillId="0" borderId="22" xfId="4" applyFont="1" applyBorder="1"/>
    <xf numFmtId="0" fontId="26" fillId="0" borderId="23" xfId="4" applyFont="1" applyBorder="1"/>
    <xf numFmtId="0" fontId="26" fillId="0" borderId="16" xfId="4" applyFont="1" applyBorder="1"/>
    <xf numFmtId="0" fontId="4" fillId="0" borderId="24" xfId="4" applyBorder="1"/>
    <xf numFmtId="0" fontId="4" fillId="0" borderId="14" xfId="4" applyBorder="1"/>
    <xf numFmtId="0" fontId="4" fillId="0" borderId="19" xfId="4" applyBorder="1" applyAlignment="1">
      <alignment horizontal="center"/>
    </xf>
    <xf numFmtId="0" fontId="26" fillId="0" borderId="22" xfId="4" applyFont="1" applyBorder="1" applyAlignment="1">
      <alignment horizontal="center"/>
    </xf>
    <xf numFmtId="0" fontId="26" fillId="0" borderId="14" xfId="4" applyFont="1" applyBorder="1"/>
    <xf numFmtId="0" fontId="4" fillId="0" borderId="26" xfId="4" applyFont="1" applyBorder="1"/>
    <xf numFmtId="0" fontId="13" fillId="0" borderId="14" xfId="34" applyNumberFormat="1" applyFont="1" applyFill="1" applyBorder="1" applyAlignment="1" applyProtection="1"/>
    <xf numFmtId="0" fontId="4" fillId="0" borderId="14" xfId="4" applyFont="1" applyBorder="1"/>
    <xf numFmtId="0" fontId="13" fillId="0" borderId="26" xfId="34" applyNumberFormat="1" applyFont="1" applyFill="1" applyBorder="1" applyAlignment="1" applyProtection="1"/>
    <xf numFmtId="0" fontId="4" fillId="36" borderId="27" xfId="4" applyFont="1" applyFill="1" applyBorder="1" applyAlignment="1">
      <alignment horizontal="left"/>
    </xf>
    <xf numFmtId="0" fontId="27" fillId="0" borderId="0" xfId="49" applyNumberFormat="1" applyFill="1" applyBorder="1" applyAlignment="1" applyProtection="1">
      <alignment horizontal="center"/>
    </xf>
    <xf numFmtId="0" fontId="4" fillId="0" borderId="13" xfId="4" applyBorder="1"/>
    <xf numFmtId="0" fontId="4" fillId="37" borderId="14" xfId="4" applyFill="1" applyBorder="1" applyAlignment="1">
      <alignment horizontal="center"/>
    </xf>
    <xf numFmtId="0" fontId="4" fillId="37" borderId="14" xfId="4" applyFill="1" applyBorder="1"/>
    <xf numFmtId="0" fontId="6" fillId="0" borderId="15" xfId="4" applyFont="1" applyBorder="1"/>
    <xf numFmtId="0" fontId="26" fillId="0" borderId="15" xfId="4" applyFont="1" applyBorder="1"/>
    <xf numFmtId="0" fontId="26" fillId="0" borderId="13" xfId="4" applyFont="1" applyBorder="1"/>
    <xf numFmtId="0" fontId="26" fillId="37" borderId="15" xfId="4" applyFont="1" applyFill="1" applyBorder="1"/>
    <xf numFmtId="0" fontId="26" fillId="37" borderId="13" xfId="4" applyFont="1" applyFill="1" applyBorder="1"/>
    <xf numFmtId="0" fontId="4" fillId="0" borderId="19" xfId="4" applyBorder="1"/>
    <xf numFmtId="0" fontId="1" fillId="2" borderId="14" xfId="1" applyBorder="1"/>
    <xf numFmtId="0" fontId="4" fillId="0" borderId="18" xfId="4" applyBorder="1"/>
    <xf numFmtId="0" fontId="6" fillId="0" borderId="17" xfId="4" applyFont="1" applyBorder="1"/>
    <xf numFmtId="0" fontId="6" fillId="0" borderId="19" xfId="4" applyFont="1" applyBorder="1"/>
    <xf numFmtId="0" fontId="6" fillId="0" borderId="18" xfId="4" applyFont="1" applyBorder="1"/>
    <xf numFmtId="0" fontId="6" fillId="0" borderId="20" xfId="4" applyFont="1" applyBorder="1"/>
    <xf numFmtId="0" fontId="6" fillId="0" borderId="14" xfId="4" applyFont="1" applyBorder="1"/>
    <xf numFmtId="0" fontId="6" fillId="0" borderId="0" xfId="4" applyFont="1" applyBorder="1"/>
    <xf numFmtId="0" fontId="6" fillId="0" borderId="21" xfId="4" applyFont="1" applyBorder="1"/>
    <xf numFmtId="0" fontId="23" fillId="0" borderId="14" xfId="4" applyFont="1" applyBorder="1"/>
    <xf numFmtId="0" fontId="4" fillId="0" borderId="15" xfId="4" applyFont="1" applyBorder="1"/>
    <xf numFmtId="0" fontId="4" fillId="0" borderId="13" xfId="4" applyFont="1" applyBorder="1"/>
    <xf numFmtId="0" fontId="4" fillId="0" borderId="14" xfId="4" applyFont="1" applyFill="1" applyBorder="1"/>
    <xf numFmtId="0" fontId="4" fillId="37" borderId="14" xfId="4" applyFont="1" applyFill="1" applyBorder="1"/>
    <xf numFmtId="0" fontId="4" fillId="39" borderId="14" xfId="4" applyFont="1" applyFill="1" applyBorder="1"/>
    <xf numFmtId="0" fontId="4" fillId="0" borderId="28" xfId="4" applyFont="1" applyBorder="1"/>
    <xf numFmtId="49" fontId="4" fillId="0" borderId="14" xfId="4" applyNumberFormat="1" applyFont="1" applyBorder="1" applyAlignment="1"/>
    <xf numFmtId="0" fontId="4" fillId="39" borderId="13" xfId="4" applyFont="1" applyFill="1" applyBorder="1"/>
    <xf numFmtId="0" fontId="26" fillId="39" borderId="15" xfId="4" quotePrefix="1" applyFont="1" applyFill="1" applyBorder="1"/>
    <xf numFmtId="0" fontId="0" fillId="39" borderId="14" xfId="0" applyFill="1" applyBorder="1"/>
    <xf numFmtId="0" fontId="4" fillId="0" borderId="0" xfId="4" applyBorder="1" applyAlignment="1">
      <alignment horizontal="center"/>
    </xf>
    <xf numFmtId="0" fontId="4" fillId="0" borderId="13" xfId="4" applyFill="1" applyBorder="1"/>
    <xf numFmtId="0" fontId="4" fillId="0" borderId="0" xfId="4" applyFill="1" applyBorder="1"/>
    <xf numFmtId="0" fontId="4" fillId="0" borderId="0" xfId="4"/>
    <xf numFmtId="166" fontId="4" fillId="0" borderId="0" xfId="4" applyNumberFormat="1"/>
    <xf numFmtId="0" fontId="0" fillId="0" borderId="0" xfId="0"/>
    <xf numFmtId="0" fontId="4" fillId="0" borderId="0" xfId="4"/>
    <xf numFmtId="0" fontId="6" fillId="0" borderId="0" xfId="4" applyFont="1"/>
    <xf numFmtId="0" fontId="23" fillId="0" borderId="0" xfId="4" applyFont="1"/>
    <xf numFmtId="0" fontId="27" fillId="0" borderId="0" xfId="49" applyAlignment="1" applyProtection="1"/>
    <xf numFmtId="0" fontId="23" fillId="0" borderId="0" xfId="4" applyFont="1"/>
    <xf numFmtId="1" fontId="4" fillId="0" borderId="0" xfId="4" applyNumberFormat="1" applyAlignment="1">
      <alignment horizontal="right"/>
    </xf>
    <xf numFmtId="0" fontId="4" fillId="0" borderId="14" xfId="4" applyFill="1" applyBorder="1"/>
    <xf numFmtId="0" fontId="36" fillId="0" borderId="24" xfId="0" applyFont="1" applyBorder="1" applyAlignment="1">
      <alignment horizontal="center" vertical="center" wrapText="1"/>
    </xf>
    <xf numFmtId="2" fontId="4" fillId="0" borderId="0" xfId="4" applyNumberFormat="1" applyFont="1" applyBorder="1"/>
    <xf numFmtId="0" fontId="4" fillId="0" borderId="16" xfId="4" applyBorder="1" applyAlignment="1">
      <alignment horizontal="center"/>
    </xf>
    <xf numFmtId="0" fontId="4" fillId="0" borderId="16" xfId="4" applyBorder="1"/>
    <xf numFmtId="0" fontId="41" fillId="0" borderId="0" xfId="0" applyFont="1"/>
    <xf numFmtId="0" fontId="45" fillId="0" borderId="0" xfId="0" quotePrefix="1" applyFont="1" applyBorder="1" applyAlignment="1">
      <alignment horizontal="left" vertical="center"/>
    </xf>
    <xf numFmtId="0" fontId="43" fillId="0" borderId="19" xfId="0" applyFont="1" applyBorder="1" applyAlignment="1">
      <alignment horizontal="center" vertical="center" wrapText="1"/>
    </xf>
    <xf numFmtId="0" fontId="43" fillId="0" borderId="14" xfId="0" applyFont="1" applyBorder="1" applyAlignment="1">
      <alignment horizontal="center" vertical="center" wrapText="1"/>
    </xf>
    <xf numFmtId="0" fontId="43" fillId="0" borderId="20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43" fillId="0" borderId="15" xfId="0" applyFont="1" applyBorder="1" applyAlignment="1">
      <alignment horizontal="center" vertical="center" wrapText="1"/>
    </xf>
    <xf numFmtId="0" fontId="43" fillId="0" borderId="29" xfId="0" applyFont="1" applyBorder="1" applyAlignment="1">
      <alignment horizontal="center" vertical="center" wrapText="1"/>
    </xf>
    <xf numFmtId="0" fontId="43" fillId="0" borderId="25" xfId="0" applyFont="1" applyBorder="1" applyAlignment="1">
      <alignment horizontal="center" vertical="center" wrapText="1"/>
    </xf>
    <xf numFmtId="0" fontId="43" fillId="0" borderId="24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6" fillId="0" borderId="13" xfId="4" applyFont="1" applyBorder="1" applyAlignment="1">
      <alignment horizontal="left" vertical="center"/>
    </xf>
    <xf numFmtId="0" fontId="26" fillId="0" borderId="13" xfId="4" applyFont="1" applyBorder="1" applyAlignment="1">
      <alignment horizontal="center" vertical="center"/>
    </xf>
    <xf numFmtId="0" fontId="23" fillId="0" borderId="0" xfId="4" applyFont="1" applyAlignment="1">
      <alignment horizontal="left" vertical="center"/>
    </xf>
    <xf numFmtId="166" fontId="4" fillId="0" borderId="16" xfId="4" applyNumberFormat="1" applyBorder="1"/>
    <xf numFmtId="0" fontId="4" fillId="0" borderId="0" xfId="4" applyAlignment="1">
      <alignment horizontal="left" vertical="center"/>
    </xf>
    <xf numFmtId="0" fontId="4" fillId="0" borderId="19" xfId="4" applyBorder="1" applyAlignment="1">
      <alignment horizontal="left" vertical="center"/>
    </xf>
    <xf numFmtId="166" fontId="4" fillId="0" borderId="18" xfId="4" applyNumberFormat="1" applyBorder="1" applyAlignment="1">
      <alignment horizontal="center"/>
    </xf>
    <xf numFmtId="2" fontId="4" fillId="0" borderId="0" xfId="4" applyNumberFormat="1" applyAlignment="1">
      <alignment horizontal="right"/>
    </xf>
    <xf numFmtId="0" fontId="4" fillId="0" borderId="0" xfId="4" applyAlignment="1">
      <alignment horizontal="left"/>
    </xf>
    <xf numFmtId="166" fontId="4" fillId="0" borderId="14" xfId="4" applyNumberFormat="1" applyBorder="1" applyAlignment="1">
      <alignment horizontal="center"/>
    </xf>
    <xf numFmtId="0" fontId="26" fillId="0" borderId="0" xfId="4" applyFont="1" applyBorder="1" applyAlignment="1">
      <alignment horizontal="center"/>
    </xf>
    <xf numFmtId="0" fontId="4" fillId="0" borderId="13" xfId="4" applyBorder="1" applyAlignment="1">
      <alignment horizontal="left"/>
    </xf>
    <xf numFmtId="0" fontId="4" fillId="0" borderId="15" xfId="4" applyBorder="1" applyAlignment="1">
      <alignment horizontal="center"/>
    </xf>
    <xf numFmtId="166" fontId="4" fillId="0" borderId="19" xfId="4" applyNumberFormat="1" applyBorder="1" applyAlignment="1">
      <alignment horizontal="center"/>
    </xf>
    <xf numFmtId="3" fontId="4" fillId="0" borderId="0" xfId="4" applyNumberFormat="1" applyAlignment="1">
      <alignment horizontal="right"/>
    </xf>
    <xf numFmtId="0" fontId="4" fillId="0" borderId="25" xfId="4" applyFill="1" applyBorder="1"/>
    <xf numFmtId="0" fontId="4" fillId="0" borderId="24" xfId="4" applyFill="1" applyBorder="1"/>
    <xf numFmtId="0" fontId="4" fillId="0" borderId="0" xfId="4" applyFill="1" applyAlignment="1">
      <alignment horizontal="right"/>
    </xf>
    <xf numFmtId="166" fontId="4" fillId="0" borderId="0" xfId="4" applyNumberFormat="1" applyFill="1"/>
    <xf numFmtId="0" fontId="26" fillId="0" borderId="15" xfId="4" quotePrefix="1" applyFont="1" applyBorder="1" applyAlignment="1">
      <alignment horizontal="center"/>
    </xf>
    <xf numFmtId="2" fontId="4" fillId="38" borderId="0" xfId="4" applyNumberFormat="1" applyFill="1" applyAlignment="1">
      <alignment horizontal="right"/>
    </xf>
    <xf numFmtId="0" fontId="0" fillId="0" borderId="0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quotePrefix="1"/>
    <xf numFmtId="0" fontId="0" fillId="0" borderId="14" xfId="0" applyBorder="1"/>
    <xf numFmtId="0" fontId="46" fillId="0" borderId="0" xfId="0" applyFont="1"/>
    <xf numFmtId="0" fontId="46" fillId="0" borderId="14" xfId="0" applyFont="1" applyBorder="1"/>
    <xf numFmtId="0" fontId="46" fillId="0" borderId="13" xfId="0" applyFont="1" applyBorder="1"/>
    <xf numFmtId="0" fontId="46" fillId="0" borderId="15" xfId="0" applyFont="1" applyBorder="1"/>
    <xf numFmtId="0" fontId="46" fillId="0" borderId="13" xfId="0" applyFont="1" applyBorder="1" applyAlignment="1">
      <alignment horizontal="center"/>
    </xf>
    <xf numFmtId="0" fontId="46" fillId="0" borderId="15" xfId="0" applyFont="1" applyBorder="1" applyAlignment="1">
      <alignment horizontal="center"/>
    </xf>
    <xf numFmtId="0" fontId="46" fillId="0" borderId="0" xfId="0" applyFont="1" applyBorder="1"/>
    <xf numFmtId="2" fontId="4" fillId="0" borderId="14" xfId="4" applyNumberFormat="1" applyBorder="1"/>
    <xf numFmtId="0" fontId="46" fillId="0" borderId="15" xfId="0" applyFont="1" applyBorder="1" applyAlignment="1">
      <alignment horizontal="left"/>
    </xf>
    <xf numFmtId="169" fontId="0" fillId="0" borderId="0" xfId="0" applyNumberFormat="1"/>
    <xf numFmtId="169" fontId="0" fillId="0" borderId="14" xfId="0" applyNumberFormat="1" applyBorder="1"/>
    <xf numFmtId="0" fontId="26" fillId="0" borderId="13" xfId="4" applyFont="1" applyBorder="1" applyAlignment="1">
      <alignment horizontal="left"/>
    </xf>
    <xf numFmtId="0" fontId="23" fillId="0" borderId="0" xfId="4" applyFont="1" applyAlignment="1">
      <alignment horizontal="left"/>
    </xf>
    <xf numFmtId="2" fontId="4" fillId="0" borderId="13" xfId="4" applyNumberFormat="1" applyBorder="1"/>
    <xf numFmtId="0" fontId="26" fillId="0" borderId="21" xfId="4" applyFont="1" applyBorder="1"/>
    <xf numFmtId="0" fontId="46" fillId="0" borderId="24" xfId="0" applyFont="1" applyBorder="1"/>
    <xf numFmtId="0" fontId="46" fillId="0" borderId="25" xfId="0" applyFont="1" applyBorder="1" applyAlignment="1">
      <alignment horizontal="center"/>
    </xf>
    <xf numFmtId="0" fontId="4" fillId="0" borderId="24" xfId="4" applyFont="1" applyBorder="1"/>
    <xf numFmtId="0" fontId="4" fillId="0" borderId="25" xfId="4" applyFont="1" applyBorder="1"/>
    <xf numFmtId="2" fontId="0" fillId="0" borderId="0" xfId="0" applyNumberFormat="1"/>
    <xf numFmtId="0" fontId="48" fillId="0" borderId="0" xfId="0" applyFont="1"/>
    <xf numFmtId="0" fontId="46" fillId="0" borderId="14" xfId="0" quotePrefix="1" applyFont="1" applyBorder="1"/>
    <xf numFmtId="2" fontId="0" fillId="0" borderId="0" xfId="0" applyNumberFormat="1" applyAlignment="1">
      <alignment horizontal="center"/>
    </xf>
    <xf numFmtId="0" fontId="46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4" fillId="0" borderId="13" xfId="4" applyNumberFormat="1" applyBorder="1" applyAlignment="1">
      <alignment horizontal="right"/>
    </xf>
    <xf numFmtId="164" fontId="4" fillId="0" borderId="0" xfId="4" applyNumberFormat="1" applyBorder="1" applyAlignment="1">
      <alignment horizontal="right"/>
    </xf>
    <xf numFmtId="0" fontId="48" fillId="0" borderId="0" xfId="0" applyFont="1" applyFill="1" applyBorder="1"/>
    <xf numFmtId="166" fontId="4" fillId="0" borderId="20" xfId="4" applyNumberFormat="1" applyFont="1" applyBorder="1" applyAlignment="1">
      <alignment horizontal="center"/>
    </xf>
    <xf numFmtId="167" fontId="4" fillId="0" borderId="0" xfId="4" applyNumberFormat="1" applyAlignment="1">
      <alignment horizontal="right"/>
    </xf>
    <xf numFmtId="166" fontId="4" fillId="0" borderId="18" xfId="4" applyNumberFormat="1" applyBorder="1" applyAlignment="1">
      <alignment horizontal="right"/>
    </xf>
    <xf numFmtId="0" fontId="4" fillId="37" borderId="0" xfId="4" applyFont="1" applyFill="1" applyAlignment="1">
      <alignment horizontal="center"/>
    </xf>
    <xf numFmtId="1" fontId="4" fillId="0" borderId="2" xfId="4" applyNumberFormat="1" applyFont="1" applyBorder="1" applyAlignment="1">
      <alignment horizontal="center"/>
    </xf>
    <xf numFmtId="166" fontId="4" fillId="37" borderId="0" xfId="4" applyNumberFormat="1" applyFont="1" applyFill="1" applyAlignment="1">
      <alignment horizontal="center"/>
    </xf>
    <xf numFmtId="3" fontId="4" fillId="0" borderId="0" xfId="4" applyNumberFormat="1" applyFont="1" applyAlignment="1">
      <alignment horizontal="center"/>
    </xf>
    <xf numFmtId="166" fontId="4" fillId="0" borderId="0" xfId="4" applyNumberFormat="1" applyFont="1" applyFill="1"/>
    <xf numFmtId="165" fontId="4" fillId="0" borderId="0" xfId="4" applyNumberFormat="1" applyAlignment="1">
      <alignment horizontal="right"/>
    </xf>
    <xf numFmtId="165" fontId="4" fillId="0" borderId="0" xfId="4" applyNumberFormat="1" applyFont="1" applyBorder="1" applyAlignment="1">
      <alignment horizontal="center"/>
    </xf>
    <xf numFmtId="0" fontId="4" fillId="0" borderId="0" xfId="4" applyFont="1" applyAlignment="1">
      <alignment horizontal="center"/>
    </xf>
    <xf numFmtId="0" fontId="23" fillId="0" borderId="0" xfId="4" applyFont="1" applyAlignment="1">
      <alignment horizontal="center"/>
    </xf>
    <xf numFmtId="0" fontId="4" fillId="0" borderId="14" xfId="4" applyBorder="1"/>
    <xf numFmtId="165" fontId="4" fillId="0" borderId="0" xfId="4" applyNumberFormat="1" applyFont="1" applyAlignment="1">
      <alignment horizontal="center"/>
    </xf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4" fillId="0" borderId="0" xfId="4" applyAlignment="1">
      <alignment horizontal="center"/>
    </xf>
    <xf numFmtId="0" fontId="4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22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1" fontId="4" fillId="0" borderId="18" xfId="4" applyNumberFormat="1" applyBorder="1" applyAlignment="1">
      <alignment horizontal="right"/>
    </xf>
    <xf numFmtId="0" fontId="26" fillId="37" borderId="13" xfId="4" applyFont="1" applyFill="1" applyBorder="1" applyAlignment="1"/>
    <xf numFmtId="0" fontId="4" fillId="37" borderId="0" xfId="4" applyFill="1" applyAlignment="1"/>
    <xf numFmtId="1" fontId="4" fillId="37" borderId="0" xfId="4" applyNumberFormat="1" applyFill="1" applyAlignment="1">
      <alignment horizontal="right"/>
    </xf>
    <xf numFmtId="1" fontId="4" fillId="37" borderId="0" xfId="4" applyNumberFormat="1" applyFill="1" applyAlignment="1"/>
    <xf numFmtId="1" fontId="1" fillId="37" borderId="0" xfId="1" applyNumberFormat="1" applyFill="1" applyAlignment="1"/>
    <xf numFmtId="0" fontId="4" fillId="37" borderId="0" xfId="4" applyFill="1" applyAlignment="1">
      <alignment horizontal="center"/>
    </xf>
    <xf numFmtId="0" fontId="4" fillId="37" borderId="0" xfId="4" applyFill="1" applyAlignment="1">
      <alignment horizontal="right"/>
    </xf>
    <xf numFmtId="2" fontId="1" fillId="37" borderId="0" xfId="1" applyNumberFormat="1" applyFill="1" applyAlignment="1">
      <alignment horizontal="right"/>
    </xf>
    <xf numFmtId="0" fontId="26" fillId="37" borderId="13" xfId="4" applyFont="1" applyFill="1" applyBorder="1" applyAlignment="1">
      <alignment horizontal="center"/>
    </xf>
    <xf numFmtId="2" fontId="4" fillId="37" borderId="0" xfId="4" applyNumberFormat="1" applyFill="1" applyAlignment="1">
      <alignment horizontal="right"/>
    </xf>
    <xf numFmtId="0" fontId="0" fillId="37" borderId="0" xfId="0" applyFill="1" applyAlignment="1">
      <alignment horizontal="right"/>
    </xf>
    <xf numFmtId="166" fontId="4" fillId="37" borderId="0" xfId="4" applyNumberFormat="1" applyFill="1" applyAlignment="1">
      <alignment horizontal="right"/>
    </xf>
    <xf numFmtId="166" fontId="4" fillId="37" borderId="13" xfId="4" applyNumberFormat="1" applyFill="1" applyBorder="1" applyAlignment="1">
      <alignment horizontal="right"/>
    </xf>
    <xf numFmtId="0" fontId="0" fillId="37" borderId="0" xfId="0" applyFill="1" applyBorder="1"/>
    <xf numFmtId="3" fontId="4" fillId="37" borderId="0" xfId="4" applyNumberFormat="1" applyFill="1" applyAlignment="1">
      <alignment horizontal="right"/>
    </xf>
    <xf numFmtId="2" fontId="4" fillId="0" borderId="0" xfId="4" applyNumberFormat="1" applyFill="1" applyAlignment="1">
      <alignment horizontal="right"/>
    </xf>
    <xf numFmtId="0" fontId="0" fillId="0" borderId="0" xfId="0" applyFill="1" applyBorder="1"/>
    <xf numFmtId="166" fontId="4" fillId="0" borderId="0" xfId="4" applyNumberFormat="1" applyFill="1" applyAlignment="1">
      <alignment horizontal="right"/>
    </xf>
    <xf numFmtId="0" fontId="0" fillId="0" borderId="0" xfId="0" applyBorder="1" applyAlignment="1">
      <alignment horizontal="center"/>
    </xf>
    <xf numFmtId="0" fontId="26" fillId="0" borderId="13" xfId="4" applyFont="1" applyFill="1" applyBorder="1" applyAlignment="1"/>
    <xf numFmtId="1" fontId="4" fillId="0" borderId="0" xfId="4" applyNumberFormat="1" applyFill="1" applyAlignment="1">
      <alignment horizontal="right"/>
    </xf>
    <xf numFmtId="0" fontId="26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4" fillId="0" borderId="13" xfId="4" applyNumberFormat="1" applyFill="1" applyBorder="1" applyAlignment="1">
      <alignment horizontal="right"/>
    </xf>
    <xf numFmtId="3" fontId="4" fillId="0" borderId="0" xfId="4" applyNumberFormat="1" applyFill="1" applyAlignment="1">
      <alignment horizontal="right"/>
    </xf>
    <xf numFmtId="1" fontId="4" fillId="0" borderId="0" xfId="4" applyNumberFormat="1" applyFill="1" applyAlignment="1"/>
    <xf numFmtId="0" fontId="4" fillId="0" borderId="0" xfId="4" applyAlignment="1"/>
    <xf numFmtId="166" fontId="4" fillId="0" borderId="0" xfId="4" applyNumberFormat="1" applyAlignment="1"/>
    <xf numFmtId="0" fontId="4" fillId="0" borderId="0" xfId="4" applyAlignment="1">
      <alignment horizontal="right"/>
    </xf>
    <xf numFmtId="166" fontId="4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4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3" fillId="0" borderId="0" xfId="4" applyFont="1" applyFill="1"/>
    <xf numFmtId="169" fontId="0" fillId="0" borderId="17" xfId="0" applyNumberFormat="1" applyBorder="1"/>
    <xf numFmtId="166" fontId="4" fillId="0" borderId="0" xfId="4" applyNumberFormat="1" applyFill="1" applyBorder="1"/>
    <xf numFmtId="0" fontId="4" fillId="0" borderId="0" xfId="4" applyFill="1" applyAlignment="1"/>
    <xf numFmtId="0" fontId="0" fillId="0" borderId="0" xfId="0"/>
    <xf numFmtId="0" fontId="4" fillId="0" borderId="0" xfId="4" applyFill="1"/>
    <xf numFmtId="1" fontId="4" fillId="0" borderId="0" xfId="4" applyNumberFormat="1" applyFill="1"/>
    <xf numFmtId="0" fontId="4" fillId="0" borderId="0" xfId="4" applyFill="1" applyBorder="1"/>
    <xf numFmtId="166" fontId="4" fillId="0" borderId="0" xfId="4" applyNumberFormat="1" applyFill="1"/>
    <xf numFmtId="0" fontId="0" fillId="0" borderId="0" xfId="0"/>
    <xf numFmtId="0" fontId="4" fillId="0" borderId="0" xfId="4"/>
    <xf numFmtId="20" fontId="4" fillId="0" borderId="0" xfId="4" applyNumberFormat="1" applyFont="1"/>
    <xf numFmtId="1" fontId="4" fillId="0" borderId="0" xfId="4" applyNumberFormat="1"/>
    <xf numFmtId="1" fontId="1" fillId="2" borderId="0" xfId="1" applyNumberFormat="1" applyAlignment="1"/>
    <xf numFmtId="2" fontId="1" fillId="2" borderId="0" xfId="1" applyNumberFormat="1"/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2" fontId="1" fillId="2" borderId="0" xfId="1" applyNumberFormat="1" applyAlignment="1">
      <alignment horizontal="right"/>
    </xf>
    <xf numFmtId="0" fontId="4" fillId="0" borderId="0" xfId="4" applyFill="1" applyAlignment="1">
      <alignment horizontal="center"/>
    </xf>
    <xf numFmtId="0" fontId="0" fillId="0" borderId="14" xfId="0" applyBorder="1" applyAlignment="1">
      <alignment horizontal="center"/>
    </xf>
    <xf numFmtId="169" fontId="0" fillId="0" borderId="0" xfId="0" applyNumberFormat="1"/>
    <xf numFmtId="169" fontId="0" fillId="0" borderId="14" xfId="0" applyNumberFormat="1" applyBorder="1" applyAlignment="1">
      <alignment horizontal="center"/>
    </xf>
    <xf numFmtId="169" fontId="0" fillId="0" borderId="14" xfId="0" quotePrefix="1" applyNumberFormat="1" applyBorder="1" applyAlignment="1">
      <alignment horizontal="center"/>
    </xf>
    <xf numFmtId="0" fontId="4" fillId="0" borderId="0" xfId="4"/>
    <xf numFmtId="0" fontId="26" fillId="0" borderId="13" xfId="4" applyFont="1" applyBorder="1" applyAlignment="1"/>
    <xf numFmtId="0" fontId="4" fillId="0" borderId="24" xfId="4" applyBorder="1"/>
    <xf numFmtId="0" fontId="46" fillId="0" borderId="15" xfId="0" applyFont="1" applyBorder="1"/>
    <xf numFmtId="169" fontId="0" fillId="0" borderId="0" xfId="0" applyNumberFormat="1"/>
    <xf numFmtId="169" fontId="0" fillId="0" borderId="14" xfId="0" applyNumberFormat="1" applyBorder="1"/>
    <xf numFmtId="169" fontId="0" fillId="0" borderId="14" xfId="0" applyNumberFormat="1" applyBorder="1" applyAlignment="1">
      <alignment horizontal="center"/>
    </xf>
    <xf numFmtId="166" fontId="4" fillId="0" borderId="0" xfId="4" applyNumberFormat="1"/>
    <xf numFmtId="0" fontId="4" fillId="0" borderId="0" xfId="4" applyFill="1"/>
    <xf numFmtId="0" fontId="26" fillId="0" borderId="13" xfId="4" applyFont="1" applyBorder="1" applyAlignment="1"/>
    <xf numFmtId="166" fontId="4" fillId="0" borderId="14" xfId="4" applyNumberFormat="1" applyBorder="1"/>
    <xf numFmtId="0" fontId="46" fillId="0" borderId="14" xfId="0" applyFont="1" applyBorder="1"/>
    <xf numFmtId="169" fontId="0" fillId="0" borderId="0" xfId="0" applyNumberFormat="1"/>
    <xf numFmtId="2" fontId="0" fillId="0" borderId="0" xfId="0" applyNumberFormat="1" applyAlignment="1">
      <alignment horizontal="center"/>
    </xf>
    <xf numFmtId="2" fontId="29" fillId="0" borderId="0" xfId="1" applyNumberFormat="1" applyFont="1" applyFill="1"/>
    <xf numFmtId="1" fontId="4" fillId="0" borderId="0" xfId="4" applyNumberFormat="1" applyFill="1" applyBorder="1"/>
    <xf numFmtId="2" fontId="4" fillId="0" borderId="0" xfId="4" applyNumberFormat="1" applyBorder="1" applyAlignment="1">
      <alignment horizontal="right"/>
    </xf>
    <xf numFmtId="1" fontId="2" fillId="40" borderId="0" xfId="2" applyNumberFormat="1" applyFill="1" applyAlignment="1">
      <alignment horizontal="right"/>
    </xf>
    <xf numFmtId="1" fontId="2" fillId="41" borderId="0" xfId="2" applyNumberFormat="1" applyFill="1" applyAlignment="1">
      <alignment horizontal="right"/>
    </xf>
    <xf numFmtId="2" fontId="2" fillId="41" borderId="0" xfId="2" applyNumberFormat="1" applyFill="1" applyAlignment="1">
      <alignment horizontal="right"/>
    </xf>
    <xf numFmtId="2" fontId="2" fillId="40" borderId="0" xfId="2" applyNumberFormat="1" applyFill="1" applyAlignment="1">
      <alignment horizontal="right"/>
    </xf>
    <xf numFmtId="0" fontId="0" fillId="42" borderId="0" xfId="0" applyFill="1"/>
    <xf numFmtId="0" fontId="4" fillId="42" borderId="0" xfId="4" applyFill="1"/>
    <xf numFmtId="166" fontId="4" fillId="42" borderId="0" xfId="4" applyNumberFormat="1" applyFill="1"/>
    <xf numFmtId="1" fontId="4" fillId="42" borderId="0" xfId="4" applyNumberFormat="1" applyFill="1"/>
    <xf numFmtId="0" fontId="0" fillId="0" borderId="0" xfId="0" applyFill="1"/>
    <xf numFmtId="16" fontId="4" fillId="0" borderId="0" xfId="4" applyNumberFormat="1" applyAlignment="1">
      <alignment horizontal="center"/>
    </xf>
    <xf numFmtId="0" fontId="6" fillId="0" borderId="0" xfId="4" applyFont="1" applyAlignment="1">
      <alignment horizontal="center"/>
    </xf>
    <xf numFmtId="0" fontId="36" fillId="0" borderId="0" xfId="0" applyFont="1"/>
    <xf numFmtId="164" fontId="4" fillId="0" borderId="0" xfId="4" applyNumberFormat="1" applyAlignment="1">
      <alignment horizontal="center"/>
    </xf>
    <xf numFmtId="0" fontId="49" fillId="0" borderId="0" xfId="0" applyFont="1"/>
    <xf numFmtId="43" fontId="4" fillId="0" borderId="0" xfId="51" applyFont="1"/>
    <xf numFmtId="166" fontId="4" fillId="43" borderId="0" xfId="4" applyNumberFormat="1" applyFill="1"/>
    <xf numFmtId="0" fontId="0" fillId="37" borderId="0" xfId="0" applyFill="1"/>
    <xf numFmtId="0" fontId="50" fillId="0" borderId="0" xfId="0" applyFont="1"/>
    <xf numFmtId="0" fontId="6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4" fillId="37" borderId="0" xfId="4" applyFont="1" applyFill="1" applyBorder="1"/>
    <xf numFmtId="0" fontId="4" fillId="43" borderId="0" xfId="4" applyFont="1" applyFill="1"/>
    <xf numFmtId="166" fontId="4" fillId="43" borderId="0" xfId="4" applyNumberFormat="1" applyFont="1" applyFill="1"/>
    <xf numFmtId="0" fontId="4" fillId="43" borderId="0" xfId="4" applyFont="1" applyFill="1" applyAlignment="1">
      <alignment horizontal="center"/>
    </xf>
    <xf numFmtId="164" fontId="4" fillId="0" borderId="0" xfId="4" applyNumberFormat="1" applyFont="1" applyAlignment="1">
      <alignment horizontal="center"/>
    </xf>
    <xf numFmtId="2" fontId="4" fillId="43" borderId="0" xfId="4" applyNumberFormat="1" applyFill="1"/>
    <xf numFmtId="0" fontId="32" fillId="0" borderId="0" xfId="0" applyFont="1"/>
    <xf numFmtId="0" fontId="26" fillId="0" borderId="0" xfId="4" applyFont="1" applyFill="1" applyBorder="1" applyAlignment="1"/>
    <xf numFmtId="3" fontId="52" fillId="0" borderId="0" xfId="4" applyNumberFormat="1" applyFont="1"/>
    <xf numFmtId="0" fontId="0" fillId="0" borderId="0" xfId="0" applyFont="1" applyFill="1" applyBorder="1"/>
    <xf numFmtId="170" fontId="0" fillId="0" borderId="0" xfId="0" applyNumberFormat="1"/>
    <xf numFmtId="0" fontId="23" fillId="43" borderId="0" xfId="4" applyFont="1" applyFill="1" applyAlignment="1">
      <alignment horizontal="center"/>
    </xf>
    <xf numFmtId="164" fontId="4" fillId="43" borderId="0" xfId="4" applyNumberFormat="1" applyFont="1" applyFill="1" applyAlignment="1">
      <alignment horizontal="center"/>
    </xf>
    <xf numFmtId="166" fontId="4" fillId="43" borderId="0" xfId="4" applyNumberFormat="1" applyFont="1" applyFill="1" applyAlignment="1">
      <alignment horizontal="center"/>
    </xf>
    <xf numFmtId="0" fontId="53" fillId="0" borderId="0" xfId="0" applyFont="1"/>
    <xf numFmtId="0" fontId="25" fillId="42" borderId="0" xfId="4" applyFont="1" applyFill="1" applyAlignment="1">
      <alignment horizontal="center"/>
    </xf>
    <xf numFmtId="0" fontId="25" fillId="42" borderId="14" xfId="4" applyFont="1" applyFill="1" applyBorder="1" applyAlignment="1">
      <alignment horizontal="center"/>
    </xf>
    <xf numFmtId="1" fontId="25" fillId="42" borderId="0" xfId="4" applyNumberFormat="1" applyFont="1" applyFill="1" applyAlignment="1"/>
    <xf numFmtId="0" fontId="1" fillId="0" borderId="0" xfId="1" applyFill="1" applyAlignment="1">
      <alignment horizontal="center"/>
    </xf>
    <xf numFmtId="0" fontId="1" fillId="0" borderId="14" xfId="1" applyFont="1" applyFill="1" applyBorder="1" applyAlignment="1">
      <alignment horizontal="center"/>
    </xf>
    <xf numFmtId="1" fontId="1" fillId="0" borderId="0" xfId="1" applyNumberFormat="1" applyFill="1" applyAlignment="1"/>
    <xf numFmtId="0" fontId="4" fillId="0" borderId="33" xfId="4" applyFont="1" applyBorder="1"/>
    <xf numFmtId="0" fontId="4" fillId="0" borderId="34" xfId="4" applyFont="1" applyBorder="1"/>
    <xf numFmtId="0" fontId="4" fillId="0" borderId="35" xfId="4" applyFont="1" applyBorder="1"/>
    <xf numFmtId="0" fontId="4" fillId="0" borderId="37" xfId="4" applyFont="1" applyBorder="1"/>
    <xf numFmtId="0" fontId="4" fillId="0" borderId="33" xfId="4" applyBorder="1" applyAlignment="1">
      <alignment horizontal="right"/>
    </xf>
    <xf numFmtId="0" fontId="4" fillId="0" borderId="35" xfId="4" applyBorder="1" applyAlignment="1">
      <alignment horizontal="right"/>
    </xf>
    <xf numFmtId="0" fontId="0" fillId="44" borderId="31" xfId="0" applyFill="1" applyBorder="1"/>
    <xf numFmtId="0" fontId="55" fillId="44" borderId="32" xfId="4" applyFont="1" applyFill="1" applyBorder="1"/>
    <xf numFmtId="0" fontId="4" fillId="0" borderId="38" xfId="4" applyFont="1" applyBorder="1"/>
    <xf numFmtId="0" fontId="56" fillId="0" borderId="0" xfId="0" applyFont="1"/>
    <xf numFmtId="0" fontId="54" fillId="44" borderId="30" xfId="4" applyFont="1" applyFill="1" applyBorder="1"/>
    <xf numFmtId="0" fontId="6" fillId="0" borderId="40" xfId="4" applyFont="1" applyBorder="1"/>
    <xf numFmtId="0" fontId="57" fillId="0" borderId="41" xfId="3" applyFont="1" applyFill="1" applyBorder="1"/>
    <xf numFmtId="0" fontId="58" fillId="0" borderId="16" xfId="0" applyFont="1" applyBorder="1"/>
    <xf numFmtId="0" fontId="58" fillId="0" borderId="36" xfId="0" applyFont="1" applyBorder="1"/>
    <xf numFmtId="0" fontId="55" fillId="0" borderId="16" xfId="4" applyNumberFormat="1" applyFont="1" applyBorder="1" applyAlignment="1">
      <alignment horizontal="left"/>
    </xf>
    <xf numFmtId="0" fontId="55" fillId="0" borderId="16" xfId="4" applyFont="1" applyBorder="1" applyAlignment="1">
      <alignment horizontal="left"/>
    </xf>
    <xf numFmtId="0" fontId="32" fillId="0" borderId="39" xfId="0" applyFont="1" applyBorder="1"/>
    <xf numFmtId="0" fontId="0" fillId="0" borderId="33" xfId="0" applyBorder="1"/>
    <xf numFmtId="0" fontId="0" fillId="0" borderId="35" xfId="0" applyBorder="1"/>
    <xf numFmtId="0" fontId="55" fillId="0" borderId="16" xfId="4" applyFont="1" applyBorder="1"/>
    <xf numFmtId="0" fontId="59" fillId="0" borderId="16" xfId="0" applyFont="1" applyBorder="1"/>
    <xf numFmtId="0" fontId="59" fillId="0" borderId="36" xfId="0" applyFont="1" applyBorder="1"/>
    <xf numFmtId="0" fontId="39" fillId="0" borderId="42" xfId="0" applyFont="1" applyBorder="1" applyAlignment="1">
      <alignment vertical="center" wrapText="1"/>
    </xf>
    <xf numFmtId="0" fontId="39" fillId="0" borderId="44" xfId="0" applyFont="1" applyBorder="1" applyAlignment="1">
      <alignment vertical="center" wrapText="1"/>
    </xf>
    <xf numFmtId="0" fontId="39" fillId="0" borderId="43" xfId="0" applyFont="1" applyBorder="1" applyAlignment="1">
      <alignment vertical="center" wrapText="1"/>
    </xf>
    <xf numFmtId="0" fontId="36" fillId="0" borderId="45" xfId="0" applyFont="1" applyBorder="1" applyAlignment="1">
      <alignment vertical="center" wrapText="1"/>
    </xf>
    <xf numFmtId="0" fontId="36" fillId="0" borderId="34" xfId="0" applyFont="1" applyBorder="1" applyAlignment="1">
      <alignment vertical="center" wrapText="1"/>
    </xf>
    <xf numFmtId="0" fontId="36" fillId="0" borderId="46" xfId="0" applyFont="1" applyBorder="1" applyAlignment="1">
      <alignment vertical="center" wrapText="1"/>
    </xf>
    <xf numFmtId="0" fontId="36" fillId="0" borderId="47" xfId="0" applyFont="1" applyBorder="1" applyAlignment="1">
      <alignment vertical="center" wrapText="1"/>
    </xf>
    <xf numFmtId="0" fontId="36" fillId="0" borderId="37" xfId="0" applyFont="1" applyBorder="1" applyAlignment="1">
      <alignment vertical="center" wrapText="1"/>
    </xf>
    <xf numFmtId="0" fontId="4" fillId="44" borderId="32" xfId="4" applyFill="1" applyBorder="1"/>
    <xf numFmtId="0" fontId="4" fillId="0" borderId="45" xfId="4" applyFont="1" applyBorder="1"/>
    <xf numFmtId="0" fontId="4" fillId="0" borderId="46" xfId="4" applyFont="1" applyBorder="1"/>
    <xf numFmtId="0" fontId="25" fillId="42" borderId="0" xfId="5" applyNumberFormat="1" applyFont="1" applyFill="1" applyBorder="1" applyAlignment="1" applyProtection="1">
      <alignment horizontal="right"/>
    </xf>
    <xf numFmtId="1" fontId="4" fillId="42" borderId="0" xfId="4" applyNumberFormat="1" applyFill="1" applyBorder="1" applyAlignment="1">
      <alignment horizontal="right"/>
    </xf>
    <xf numFmtId="164" fontId="4" fillId="0" borderId="18" xfId="4" applyNumberFormat="1" applyBorder="1" applyAlignment="1">
      <alignment horizontal="right"/>
    </xf>
    <xf numFmtId="0" fontId="4" fillId="42" borderId="0" xfId="4" applyFill="1" applyAlignment="1">
      <alignment horizontal="right"/>
    </xf>
    <xf numFmtId="0" fontId="55" fillId="0" borderId="16" xfId="4" applyFont="1" applyBorder="1" applyAlignment="1">
      <alignment horizontal="right"/>
    </xf>
    <xf numFmtId="2" fontId="55" fillId="0" borderId="16" xfId="4" applyNumberFormat="1" applyFont="1" applyBorder="1" applyAlignment="1">
      <alignment horizontal="right"/>
    </xf>
    <xf numFmtId="1" fontId="4" fillId="43" borderId="0" xfId="4" applyNumberFormat="1" applyFill="1"/>
    <xf numFmtId="0" fontId="5" fillId="0" borderId="0" xfId="4" applyFont="1" applyFill="1"/>
    <xf numFmtId="0" fontId="0" fillId="0" borderId="13" xfId="0" applyBorder="1"/>
    <xf numFmtId="0" fontId="55" fillId="0" borderId="25" xfId="4" applyFont="1" applyBorder="1" applyAlignment="1">
      <alignment horizontal="right"/>
    </xf>
    <xf numFmtId="0" fontId="5" fillId="0" borderId="13" xfId="4" applyFont="1" applyBorder="1"/>
    <xf numFmtId="166" fontId="55" fillId="0" borderId="25" xfId="4" applyNumberFormat="1" applyFont="1" applyBorder="1" applyAlignment="1">
      <alignment horizontal="right"/>
    </xf>
    <xf numFmtId="0" fontId="0" fillId="46" borderId="0" xfId="0" applyFill="1"/>
    <xf numFmtId="0" fontId="0" fillId="40" borderId="0" xfId="0" applyFill="1"/>
    <xf numFmtId="164" fontId="7" fillId="47" borderId="0" xfId="5" applyNumberFormat="1" applyFill="1" applyBorder="1" applyAlignment="1" applyProtection="1">
      <alignment horizontal="right"/>
    </xf>
    <xf numFmtId="0" fontId="7" fillId="48" borderId="0" xfId="5" applyNumberFormat="1" applyFill="1" applyBorder="1" applyAlignment="1" applyProtection="1">
      <alignment horizontal="right"/>
    </xf>
    <xf numFmtId="0" fontId="7" fillId="48" borderId="13" xfId="5" applyNumberFormat="1" applyFill="1" applyBorder="1" applyAlignment="1" applyProtection="1">
      <alignment horizontal="right"/>
    </xf>
    <xf numFmtId="2" fontId="7" fillId="48" borderId="0" xfId="5" applyNumberFormat="1" applyFill="1" applyBorder="1" applyAlignment="1" applyProtection="1">
      <alignment horizontal="right"/>
    </xf>
    <xf numFmtId="2" fontId="7" fillId="48" borderId="13" xfId="5" applyNumberFormat="1" applyFill="1" applyBorder="1" applyAlignment="1" applyProtection="1">
      <alignment horizontal="right"/>
    </xf>
    <xf numFmtId="166" fontId="7" fillId="48" borderId="0" xfId="5" applyNumberFormat="1" applyFill="1" applyBorder="1" applyAlignment="1" applyProtection="1">
      <alignment horizontal="right"/>
    </xf>
    <xf numFmtId="1" fontId="7" fillId="47" borderId="0" xfId="5" applyNumberFormat="1" applyFill="1" applyBorder="1" applyAlignment="1" applyProtection="1">
      <alignment horizontal="right"/>
    </xf>
    <xf numFmtId="1" fontId="7" fillId="47" borderId="13" xfId="5" applyNumberFormat="1" applyFill="1" applyBorder="1" applyAlignment="1" applyProtection="1">
      <alignment horizontal="right"/>
    </xf>
    <xf numFmtId="2" fontId="7" fillId="47" borderId="18" xfId="5" applyNumberFormat="1" applyFill="1" applyBorder="1" applyAlignment="1" applyProtection="1">
      <alignment horizontal="right"/>
    </xf>
    <xf numFmtId="164" fontId="7" fillId="48" borderId="0" xfId="5" applyNumberFormat="1" applyFill="1" applyBorder="1" applyAlignment="1" applyProtection="1">
      <alignment horizontal="right"/>
    </xf>
    <xf numFmtId="1" fontId="7" fillId="48" borderId="0" xfId="5" applyNumberFormat="1" applyFill="1" applyBorder="1" applyAlignment="1" applyProtection="1">
      <alignment horizontal="right"/>
    </xf>
    <xf numFmtId="167" fontId="7" fillId="48" borderId="0" xfId="5" applyNumberFormat="1" applyFill="1" applyBorder="1" applyAlignment="1" applyProtection="1">
      <alignment horizontal="right"/>
    </xf>
    <xf numFmtId="166" fontId="7" fillId="48" borderId="13" xfId="5" applyNumberFormat="1" applyFill="1" applyBorder="1" applyAlignment="1" applyProtection="1">
      <alignment horizontal="right"/>
    </xf>
    <xf numFmtId="2" fontId="7" fillId="47" borderId="0" xfId="5" applyNumberFormat="1" applyFill="1" applyBorder="1" applyAlignment="1" applyProtection="1">
      <alignment horizontal="right"/>
    </xf>
    <xf numFmtId="166" fontId="7" fillId="47" borderId="0" xfId="5" applyNumberFormat="1" applyFill="1" applyBorder="1" applyAlignment="1" applyProtection="1">
      <alignment horizontal="right"/>
    </xf>
    <xf numFmtId="165" fontId="7" fillId="47" borderId="0" xfId="5" applyNumberFormat="1" applyFill="1" applyBorder="1" applyAlignment="1" applyProtection="1">
      <alignment horizontal="right"/>
    </xf>
    <xf numFmtId="165" fontId="7" fillId="47" borderId="13" xfId="5" applyNumberFormat="1" applyFill="1" applyBorder="1" applyAlignment="1" applyProtection="1">
      <alignment horizontal="right"/>
    </xf>
    <xf numFmtId="0" fontId="7" fillId="47" borderId="0" xfId="5" applyNumberFormat="1" applyFill="1" applyBorder="1" applyAlignment="1" applyProtection="1">
      <alignment horizontal="right"/>
    </xf>
    <xf numFmtId="2" fontId="4" fillId="40" borderId="22" xfId="4" applyNumberFormat="1" applyFill="1" applyBorder="1" applyAlignment="1">
      <alignment horizontal="right"/>
    </xf>
    <xf numFmtId="2" fontId="4" fillId="40" borderId="0" xfId="4" applyNumberFormat="1" applyFill="1" applyAlignment="1">
      <alignment horizontal="right"/>
    </xf>
    <xf numFmtId="0" fontId="4" fillId="46" borderId="0" xfId="4" applyFill="1" applyBorder="1" applyAlignment="1">
      <alignment horizontal="right"/>
    </xf>
    <xf numFmtId="0" fontId="4" fillId="46" borderId="0" xfId="4" applyFill="1" applyAlignment="1">
      <alignment horizontal="right"/>
    </xf>
    <xf numFmtId="0" fontId="4" fillId="46" borderId="0" xfId="4" applyNumberForma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8" fillId="0" borderId="29" xfId="0" applyFont="1" applyBorder="1"/>
    <xf numFmtId="1" fontId="55" fillId="46" borderId="0" xfId="4" applyNumberFormat="1" applyFont="1" applyFill="1" applyBorder="1" applyAlignment="1">
      <alignment horizontal="right"/>
    </xf>
    <xf numFmtId="2" fontId="55" fillId="46" borderId="0" xfId="4" applyNumberFormat="1" applyFont="1" applyFill="1" applyBorder="1" applyAlignment="1">
      <alignment horizontal="right"/>
    </xf>
    <xf numFmtId="166" fontId="55" fillId="46" borderId="0" xfId="4" applyNumberFormat="1" applyFont="1" applyFill="1" applyBorder="1" applyAlignment="1">
      <alignment horizontal="right"/>
    </xf>
    <xf numFmtId="1" fontId="55" fillId="46" borderId="18" xfId="4" applyNumberFormat="1" applyFont="1" applyFill="1" applyBorder="1" applyAlignment="1">
      <alignment horizontal="right"/>
    </xf>
    <xf numFmtId="0" fontId="32" fillId="45" borderId="30" xfId="0" applyFont="1" applyFill="1" applyBorder="1"/>
    <xf numFmtId="0" fontId="0" fillId="45" borderId="31" xfId="0" applyFill="1" applyBorder="1"/>
    <xf numFmtId="0" fontId="32" fillId="45" borderId="32" xfId="0" applyFont="1" applyFill="1" applyBorder="1" applyAlignment="1">
      <alignment horizontal="left"/>
    </xf>
    <xf numFmtId="0" fontId="6" fillId="0" borderId="34" xfId="4" applyFont="1" applyBorder="1" applyAlignment="1">
      <alignment horizontal="left"/>
    </xf>
    <xf numFmtId="0" fontId="4" fillId="0" borderId="48" xfId="4" applyFont="1" applyBorder="1"/>
    <xf numFmtId="0" fontId="0" fillId="0" borderId="40" xfId="0" applyBorder="1"/>
    <xf numFmtId="0" fontId="0" fillId="0" borderId="41" xfId="0" applyBorder="1"/>
    <xf numFmtId="0" fontId="60" fillId="0" borderId="0" xfId="0" applyFont="1"/>
    <xf numFmtId="16" fontId="0" fillId="0" borderId="0" xfId="0" applyNumberFormat="1"/>
    <xf numFmtId="171" fontId="0" fillId="0" borderId="0" xfId="0" applyNumberFormat="1" applyAlignment="1">
      <alignment horizontal="left"/>
    </xf>
    <xf numFmtId="0" fontId="32" fillId="45" borderId="32" xfId="0" applyFont="1" applyFill="1" applyBorder="1"/>
    <xf numFmtId="0" fontId="32" fillId="45" borderId="0" xfId="0" applyFont="1" applyFill="1"/>
    <xf numFmtId="0" fontId="6" fillId="0" borderId="0" xfId="4" applyFont="1" applyFill="1"/>
    <xf numFmtId="0" fontId="26" fillId="0" borderId="0" xfId="4" applyFont="1" applyFill="1"/>
    <xf numFmtId="0" fontId="4" fillId="42" borderId="0" xfId="4" applyFont="1" applyFill="1"/>
    <xf numFmtId="1" fontId="4" fillId="0" borderId="0" xfId="4" applyNumberFormat="1" applyFont="1" applyFill="1"/>
    <xf numFmtId="164" fontId="4" fillId="0" borderId="0" xfId="4" applyNumberFormat="1" applyFont="1" applyFill="1"/>
    <xf numFmtId="0" fontId="4" fillId="42" borderId="0" xfId="4" applyFont="1" applyFill="1" applyAlignment="1">
      <alignment horizontal="center"/>
    </xf>
    <xf numFmtId="166" fontId="4" fillId="42" borderId="0" xfId="4" applyNumberFormat="1" applyFont="1" applyFill="1" applyAlignment="1">
      <alignment horizontal="center"/>
    </xf>
    <xf numFmtId="165" fontId="4" fillId="42" borderId="0" xfId="4" applyNumberFormat="1" applyFont="1" applyFill="1" applyAlignment="1">
      <alignment horizontal="center"/>
    </xf>
    <xf numFmtId="165" fontId="4" fillId="42" borderId="0" xfId="4" applyNumberFormat="1" applyFill="1" applyAlignment="1">
      <alignment horizontal="center"/>
    </xf>
    <xf numFmtId="2" fontId="1" fillId="42" borderId="0" xfId="1" applyNumberFormat="1" applyFill="1" applyAlignment="1"/>
    <xf numFmtId="2" fontId="1" fillId="42" borderId="0" xfId="1" applyNumberFormat="1" applyFill="1" applyAlignment="1">
      <alignment horizontal="right"/>
    </xf>
    <xf numFmtId="2" fontId="4" fillId="42" borderId="0" xfId="4" applyNumberFormat="1" applyFill="1" applyAlignment="1"/>
    <xf numFmtId="2" fontId="4" fillId="42" borderId="0" xfId="4" applyNumberFormat="1" applyFont="1" applyFill="1" applyAlignment="1">
      <alignment horizontal="right"/>
    </xf>
    <xf numFmtId="2" fontId="4" fillId="42" borderId="0" xfId="4" applyNumberFormat="1" applyFill="1" applyAlignment="1">
      <alignment horizontal="center"/>
    </xf>
    <xf numFmtId="2" fontId="4" fillId="42" borderId="0" xfId="4" applyNumberFormat="1" applyFill="1" applyAlignment="1">
      <alignment horizontal="right"/>
    </xf>
    <xf numFmtId="168" fontId="4" fillId="42" borderId="0" xfId="4" applyNumberFormat="1" applyFill="1"/>
    <xf numFmtId="0" fontId="1" fillId="0" borderId="0" xfId="1" applyFill="1"/>
    <xf numFmtId="0" fontId="29" fillId="0" borderId="14" xfId="1" applyFont="1" applyFill="1" applyBorder="1"/>
    <xf numFmtId="0" fontId="29" fillId="0" borderId="0" xfId="1" applyFont="1" applyFill="1"/>
    <xf numFmtId="2" fontId="29" fillId="42" borderId="0" xfId="1" applyNumberFormat="1" applyFont="1" applyFill="1"/>
    <xf numFmtId="0" fontId="25" fillId="49" borderId="0" xfId="5" applyNumberFormat="1" applyFont="1" applyFill="1" applyBorder="1" applyAlignment="1" applyProtection="1"/>
    <xf numFmtId="2" fontId="4" fillId="42" borderId="0" xfId="4" applyNumberFormat="1" applyFont="1" applyFill="1"/>
    <xf numFmtId="0" fontId="25" fillId="0" borderId="14" xfId="1" applyFont="1" applyFill="1" applyBorder="1"/>
    <xf numFmtId="166" fontId="25" fillId="0" borderId="0" xfId="1" applyNumberFormat="1" applyFont="1" applyFill="1"/>
    <xf numFmtId="0" fontId="25" fillId="0" borderId="0" xfId="1" applyFont="1" applyFill="1"/>
    <xf numFmtId="0" fontId="25" fillId="0" borderId="14" xfId="4" applyFont="1" applyFill="1" applyBorder="1"/>
    <xf numFmtId="166" fontId="25" fillId="0" borderId="0" xfId="4" applyNumberFormat="1" applyFont="1" applyFill="1"/>
    <xf numFmtId="0" fontId="25" fillId="0" borderId="0" xfId="4" applyFont="1" applyFill="1"/>
    <xf numFmtId="0" fontId="25" fillId="42" borderId="0" xfId="1" applyFont="1" applyFill="1"/>
    <xf numFmtId="166" fontId="25" fillId="42" borderId="0" xfId="1" applyNumberFormat="1" applyFont="1" applyFill="1"/>
    <xf numFmtId="0" fontId="29" fillId="42" borderId="0" xfId="1" applyFont="1" applyFill="1"/>
    <xf numFmtId="166" fontId="29" fillId="42" borderId="0" xfId="1" applyNumberFormat="1" applyFont="1" applyFill="1"/>
    <xf numFmtId="1" fontId="29" fillId="42" borderId="0" xfId="1" applyNumberFormat="1" applyFont="1" applyFill="1"/>
    <xf numFmtId="165" fontId="29" fillId="42" borderId="0" xfId="1" applyNumberFormat="1" applyFont="1" applyFill="1"/>
    <xf numFmtId="2" fontId="25" fillId="42" borderId="0" xfId="4" applyNumberFormat="1" applyFont="1" applyFill="1"/>
    <xf numFmtId="0" fontId="25" fillId="42" borderId="0" xfId="4" applyFont="1" applyFill="1"/>
    <xf numFmtId="0" fontId="26" fillId="42" borderId="0" xfId="4" applyFont="1" applyFill="1" applyBorder="1" applyAlignment="1"/>
    <xf numFmtId="0" fontId="0" fillId="42" borderId="0" xfId="0" applyFill="1" applyBorder="1"/>
    <xf numFmtId="1" fontId="25" fillId="42" borderId="16" xfId="4" applyNumberFormat="1" applyFont="1" applyFill="1" applyBorder="1" applyAlignment="1">
      <alignment horizontal="right"/>
    </xf>
    <xf numFmtId="0" fontId="25" fillId="42" borderId="16" xfId="4" applyFont="1" applyFill="1" applyBorder="1" applyAlignment="1">
      <alignment horizontal="right"/>
    </xf>
    <xf numFmtId="165" fontId="25" fillId="42" borderId="0" xfId="5" applyNumberFormat="1" applyFont="1" applyFill="1" applyBorder="1" applyAlignment="1" applyProtection="1"/>
    <xf numFmtId="0" fontId="25" fillId="0" borderId="14" xfId="5" applyNumberFormat="1" applyFont="1" applyFill="1" applyBorder="1" applyAlignment="1" applyProtection="1"/>
    <xf numFmtId="0" fontId="25" fillId="0" borderId="0" xfId="5" applyNumberFormat="1" applyFont="1" applyFill="1" applyBorder="1" applyAlignment="1" applyProtection="1"/>
    <xf numFmtId="0" fontId="55" fillId="42" borderId="0" xfId="4" applyFont="1" applyFill="1" applyBorder="1" applyAlignment="1">
      <alignment horizontal="right"/>
    </xf>
    <xf numFmtId="0" fontId="7" fillId="48" borderId="18" xfId="5" applyNumberFormat="1" applyFill="1" applyBorder="1" applyAlignment="1" applyProtection="1">
      <alignment horizontal="right"/>
    </xf>
    <xf numFmtId="165" fontId="7" fillId="48" borderId="0" xfId="5" applyNumberFormat="1" applyFill="1" applyBorder="1" applyAlignment="1" applyProtection="1">
      <alignment horizontal="right"/>
    </xf>
    <xf numFmtId="0" fontId="55" fillId="0" borderId="0" xfId="4" applyFont="1" applyFill="1" applyBorder="1" applyAlignment="1">
      <alignment horizontal="right"/>
    </xf>
    <xf numFmtId="0" fontId="6" fillId="0" borderId="13" xfId="4" applyFont="1" applyBorder="1"/>
    <xf numFmtId="2" fontId="7" fillId="47" borderId="13" xfId="5" applyNumberFormat="1" applyFill="1" applyBorder="1" applyAlignment="1" applyProtection="1">
      <alignment horizontal="right"/>
    </xf>
    <xf numFmtId="0" fontId="4" fillId="0" borderId="0" xfId="4" applyAlignment="1">
      <alignment horizontal="left" wrapText="1"/>
    </xf>
    <xf numFmtId="0" fontId="6" fillId="0" borderId="0" xfId="4" applyFont="1" applyAlignment="1">
      <alignment horizontal="left" wrapText="1"/>
    </xf>
    <xf numFmtId="0" fontId="36" fillId="0" borderId="0" xfId="0" applyFont="1" applyAlignment="1">
      <alignment horizontal="right"/>
    </xf>
    <xf numFmtId="0" fontId="4" fillId="0" borderId="0" xfId="4" applyAlignment="1">
      <alignment horizontal="center" wrapText="1"/>
    </xf>
    <xf numFmtId="0" fontId="49" fillId="0" borderId="0" xfId="0" applyFont="1" applyAlignment="1">
      <alignment wrapText="1"/>
    </xf>
    <xf numFmtId="14" fontId="0" fillId="0" borderId="0" xfId="0" applyNumberFormat="1"/>
    <xf numFmtId="1" fontId="29" fillId="0" borderId="0" xfId="1" applyNumberFormat="1" applyFont="1" applyFill="1"/>
    <xf numFmtId="165" fontId="52" fillId="0" borderId="0" xfId="4" applyNumberFormat="1" applyFont="1"/>
    <xf numFmtId="167" fontId="4" fillId="0" borderId="0" xfId="4" applyNumberFormat="1" applyFont="1" applyFill="1"/>
    <xf numFmtId="0" fontId="64" fillId="0" borderId="0" xfId="0" applyFont="1" applyFill="1" applyBorder="1" applyAlignment="1">
      <alignment horizontal="center" vertical="center" wrapText="1"/>
    </xf>
    <xf numFmtId="0" fontId="29" fillId="0" borderId="0" xfId="0" applyFont="1" applyFill="1"/>
    <xf numFmtId="0" fontId="64" fillId="0" borderId="0" xfId="0" applyFont="1" applyFill="1" applyBorder="1" applyAlignment="1">
      <alignment vertical="center" wrapText="1"/>
    </xf>
    <xf numFmtId="0" fontId="29" fillId="0" borderId="0" xfId="0" applyFont="1" applyFill="1" applyBorder="1"/>
    <xf numFmtId="0" fontId="64" fillId="0" borderId="0" xfId="0" applyFont="1" applyFill="1" applyBorder="1" applyAlignment="1">
      <alignment horizontal="left" vertical="center" wrapText="1"/>
    </xf>
    <xf numFmtId="0" fontId="66" fillId="0" borderId="0" xfId="0" applyFont="1" applyFill="1" applyBorder="1" applyAlignment="1">
      <alignment horizontal="center" vertical="center" wrapText="1"/>
    </xf>
    <xf numFmtId="0" fontId="67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 wrapText="1"/>
    </xf>
    <xf numFmtId="0" fontId="69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/>
    </xf>
    <xf numFmtId="0" fontId="29" fillId="0" borderId="0" xfId="0" applyFont="1" applyFill="1" applyAlignment="1">
      <alignment horizontal="left"/>
    </xf>
    <xf numFmtId="0" fontId="29" fillId="0" borderId="0" xfId="0" applyFont="1" applyFill="1" applyAlignment="1">
      <alignment horizontal="center"/>
    </xf>
    <xf numFmtId="0" fontId="65" fillId="0" borderId="0" xfId="0" applyFont="1" applyFill="1" applyBorder="1" applyAlignment="1">
      <alignment vertical="center" wrapText="1"/>
    </xf>
    <xf numFmtId="0" fontId="69" fillId="0" borderId="0" xfId="0" applyFont="1" applyAlignment="1">
      <alignment vertical="center" wrapText="1"/>
    </xf>
    <xf numFmtId="0" fontId="66" fillId="0" borderId="0" xfId="0" applyFont="1" applyAlignment="1">
      <alignment horizontal="center" vertical="center" wrapText="1"/>
    </xf>
    <xf numFmtId="0" fontId="4" fillId="0" borderId="49" xfId="4" applyFont="1" applyBorder="1"/>
    <xf numFmtId="0" fontId="59" fillId="0" borderId="29" xfId="0" applyFont="1" applyBorder="1"/>
    <xf numFmtId="0" fontId="59" fillId="0" borderId="0" xfId="0" applyFont="1" applyBorder="1"/>
    <xf numFmtId="0" fontId="4" fillId="0" borderId="39" xfId="4" applyFont="1" applyBorder="1"/>
    <xf numFmtId="0" fontId="4" fillId="0" borderId="41" xfId="4" applyFont="1" applyBorder="1"/>
    <xf numFmtId="0" fontId="4" fillId="0" borderId="0" xfId="4" applyAlignment="1">
      <alignment horizontal="center" vertical="center"/>
    </xf>
    <xf numFmtId="0" fontId="4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4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26" fillId="0" borderId="21" xfId="4" quotePrefix="1" applyFont="1" applyBorder="1" applyAlignment="1">
      <alignment horizontal="left" vertical="center"/>
    </xf>
    <xf numFmtId="0" fontId="46" fillId="0" borderId="13" xfId="0" applyFont="1" applyBorder="1" applyAlignment="1">
      <alignment horizontal="left" vertical="center"/>
    </xf>
    <xf numFmtId="0" fontId="46" fillId="0" borderId="13" xfId="0" applyFont="1" applyBorder="1" applyAlignment="1">
      <alignment vertical="center"/>
    </xf>
    <xf numFmtId="0" fontId="46" fillId="0" borderId="15" xfId="0" applyFont="1" applyBorder="1" applyAlignment="1">
      <alignment vertical="center"/>
    </xf>
    <xf numFmtId="0" fontId="26" fillId="0" borderId="13" xfId="4" applyFont="1" applyBorder="1" applyAlignment="1">
      <alignment horizontal="left" vertical="center"/>
    </xf>
    <xf numFmtId="0" fontId="46" fillId="0" borderId="15" xfId="0" applyFont="1" applyBorder="1" applyAlignment="1">
      <alignment horizontal="left" vertical="center"/>
    </xf>
    <xf numFmtId="0" fontId="43" fillId="0" borderId="17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43" fillId="0" borderId="29" xfId="0" applyFont="1" applyBorder="1" applyAlignment="1">
      <alignment horizontal="center" vertical="center" wrapText="1"/>
    </xf>
    <xf numFmtId="0" fontId="43" fillId="0" borderId="25" xfId="0" applyFont="1" applyBorder="1" applyAlignment="1">
      <alignment horizontal="center" vertical="center" wrapText="1"/>
    </xf>
    <xf numFmtId="0" fontId="65" fillId="0" borderId="0" xfId="0" applyFont="1" applyFill="1" applyBorder="1" applyAlignment="1">
      <alignment vertical="center" wrapText="1"/>
    </xf>
    <xf numFmtId="9" fontId="0" fillId="0" borderId="0" xfId="0" applyNumberFormat="1"/>
    <xf numFmtId="0" fontId="25" fillId="0" borderId="0" xfId="4" applyFont="1" applyFill="1" applyAlignment="1">
      <alignment horizontal="left"/>
    </xf>
  </cellXfs>
  <cellStyles count="287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connections" Target="connection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45"/>
  <sheetViews>
    <sheetView tabSelected="1" topLeftCell="A20" workbookViewId="0">
      <selection activeCell="A45" sqref="A45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462" t="s">
        <v>1208</v>
      </c>
    </row>
    <row r="3" spans="1:2">
      <c r="A3" s="350" t="s">
        <v>1209</v>
      </c>
      <c r="B3" s="184" t="s">
        <v>1325</v>
      </c>
    </row>
    <row r="4" spans="1:2">
      <c r="A4" s="350" t="s">
        <v>1211</v>
      </c>
      <c r="B4" s="464">
        <v>42718</v>
      </c>
    </row>
    <row r="5" spans="1:2" ht="15" thickBot="1"/>
    <row r="6" spans="1:2">
      <c r="A6" s="455" t="s">
        <v>3</v>
      </c>
      <c r="B6" s="465" t="s">
        <v>0</v>
      </c>
    </row>
    <row r="7" spans="1:2">
      <c r="A7" s="443" t="s">
        <v>1279</v>
      </c>
      <c r="B7" s="445" t="s">
        <v>1280</v>
      </c>
    </row>
    <row r="8" spans="1:2" s="290" customFormat="1">
      <c r="A8" s="443" t="s">
        <v>1049</v>
      </c>
      <c r="B8" s="445" t="s">
        <v>1224</v>
      </c>
    </row>
    <row r="9" spans="1:2">
      <c r="A9" s="443" t="s">
        <v>1212</v>
      </c>
      <c r="B9" s="445" t="s">
        <v>1225</v>
      </c>
    </row>
    <row r="10" spans="1:2">
      <c r="A10" s="443" t="s">
        <v>1213</v>
      </c>
      <c r="B10" s="445" t="s">
        <v>1226</v>
      </c>
    </row>
    <row r="11" spans="1:2">
      <c r="A11" s="443" t="s">
        <v>14</v>
      </c>
      <c r="B11" s="445" t="s">
        <v>1227</v>
      </c>
    </row>
    <row r="12" spans="1:2">
      <c r="A12" s="443" t="s">
        <v>7</v>
      </c>
      <c r="B12" s="445" t="s">
        <v>1228</v>
      </c>
    </row>
    <row r="13" spans="1:2">
      <c r="A13" s="443" t="s">
        <v>22</v>
      </c>
      <c r="B13" s="445" t="s">
        <v>1229</v>
      </c>
    </row>
    <row r="14" spans="1:2">
      <c r="A14" s="443" t="s">
        <v>45</v>
      </c>
      <c r="B14" s="445" t="s">
        <v>1230</v>
      </c>
    </row>
    <row r="15" spans="1:2">
      <c r="A15" s="443" t="s">
        <v>50</v>
      </c>
      <c r="B15" s="445" t="s">
        <v>1231</v>
      </c>
    </row>
    <row r="16" spans="1:2">
      <c r="A16" s="443" t="s">
        <v>336</v>
      </c>
      <c r="B16" s="445" t="s">
        <v>1232</v>
      </c>
    </row>
    <row r="17" spans="1:4">
      <c r="A17" s="443" t="s">
        <v>74</v>
      </c>
      <c r="B17" s="445" t="s">
        <v>1233</v>
      </c>
    </row>
    <row r="18" spans="1:4">
      <c r="A18" s="443" t="s">
        <v>102</v>
      </c>
      <c r="B18" s="445" t="s">
        <v>1234</v>
      </c>
    </row>
    <row r="19" spans="1:4">
      <c r="A19" s="443" t="s">
        <v>1235</v>
      </c>
      <c r="B19" s="445" t="s">
        <v>1236</v>
      </c>
    </row>
    <row r="20" spans="1:4">
      <c r="A20" s="443" t="s">
        <v>1178</v>
      </c>
      <c r="B20" s="445" t="s">
        <v>1237</v>
      </c>
    </row>
    <row r="21" spans="1:4">
      <c r="A21" s="443" t="s">
        <v>1265</v>
      </c>
      <c r="B21" s="445" t="s">
        <v>1238</v>
      </c>
    </row>
    <row r="22" spans="1:4" ht="15" thickBot="1">
      <c r="A22" s="446" t="s">
        <v>1203</v>
      </c>
      <c r="B22" s="449" t="s">
        <v>1239</v>
      </c>
    </row>
    <row r="24" spans="1:4" ht="18">
      <c r="A24" s="374" t="s">
        <v>1214</v>
      </c>
    </row>
    <row r="25" spans="1:4">
      <c r="A25">
        <v>1</v>
      </c>
      <c r="B25" t="s">
        <v>1255</v>
      </c>
    </row>
    <row r="26" spans="1:4">
      <c r="A26">
        <v>2</v>
      </c>
      <c r="B26" t="s">
        <v>1256</v>
      </c>
    </row>
    <row r="27" spans="1:4">
      <c r="A27">
        <v>3</v>
      </c>
      <c r="B27" t="s">
        <v>1257</v>
      </c>
    </row>
    <row r="28" spans="1:4">
      <c r="A28">
        <v>4</v>
      </c>
      <c r="B28" t="s">
        <v>1258</v>
      </c>
    </row>
    <row r="29" spans="1:4" ht="18">
      <c r="A29" s="374" t="s">
        <v>1215</v>
      </c>
    </row>
    <row r="30" spans="1:4">
      <c r="A30" s="466" t="s">
        <v>1209</v>
      </c>
      <c r="B30" s="466" t="s">
        <v>0</v>
      </c>
      <c r="C30" s="466" t="s">
        <v>1211</v>
      </c>
      <c r="D30" s="466" t="s">
        <v>1216</v>
      </c>
    </row>
    <row r="31" spans="1:4">
      <c r="A31" t="s">
        <v>1210</v>
      </c>
      <c r="B31" t="s">
        <v>1259</v>
      </c>
      <c r="C31" s="463">
        <v>42465</v>
      </c>
      <c r="D31" t="s">
        <v>1217</v>
      </c>
    </row>
    <row r="32" spans="1:4">
      <c r="A32" t="s">
        <v>1278</v>
      </c>
      <c r="B32" s="436" t="s">
        <v>1287</v>
      </c>
      <c r="C32" s="521">
        <v>42585</v>
      </c>
      <c r="D32" t="s">
        <v>1281</v>
      </c>
    </row>
    <row r="33" spans="1:4">
      <c r="A33" s="290" t="s">
        <v>1293</v>
      </c>
      <c r="B33" s="436" t="s">
        <v>1294</v>
      </c>
      <c r="C33" s="521">
        <v>42605</v>
      </c>
      <c r="D33" t="s">
        <v>1217</v>
      </c>
    </row>
    <row r="34" spans="1:4">
      <c r="B34" t="s">
        <v>1295</v>
      </c>
      <c r="C34" s="521">
        <v>42710</v>
      </c>
      <c r="D34" t="s">
        <v>1281</v>
      </c>
    </row>
    <row r="35" spans="1:4">
      <c r="B35" t="s">
        <v>1317</v>
      </c>
      <c r="C35" s="521">
        <v>42710</v>
      </c>
      <c r="D35" t="s">
        <v>1281</v>
      </c>
    </row>
    <row r="36" spans="1:4">
      <c r="B36" t="s">
        <v>1322</v>
      </c>
      <c r="C36" s="521">
        <v>42711</v>
      </c>
      <c r="D36" t="s">
        <v>1281</v>
      </c>
    </row>
    <row r="37" spans="1:4">
      <c r="A37" t="s">
        <v>1325</v>
      </c>
      <c r="B37" t="s">
        <v>1324</v>
      </c>
      <c r="C37" s="521">
        <v>42717</v>
      </c>
      <c r="D37" t="s">
        <v>1281</v>
      </c>
    </row>
    <row r="38" spans="1:4">
      <c r="B38" t="s">
        <v>1333</v>
      </c>
      <c r="C38" s="521">
        <v>42723</v>
      </c>
      <c r="D38" t="s">
        <v>1281</v>
      </c>
    </row>
    <row r="39" spans="1:4">
      <c r="B39" t="s">
        <v>1334</v>
      </c>
      <c r="C39" s="521">
        <v>42723</v>
      </c>
      <c r="D39" t="s">
        <v>1281</v>
      </c>
    </row>
    <row r="40" spans="1:4">
      <c r="B40" t="s">
        <v>1339</v>
      </c>
      <c r="C40" s="521">
        <v>42723</v>
      </c>
      <c r="D40" t="s">
        <v>1281</v>
      </c>
    </row>
    <row r="41" spans="1:4">
      <c r="B41" t="s">
        <v>1341</v>
      </c>
      <c r="C41" s="521">
        <v>42723</v>
      </c>
      <c r="D41" s="290" t="s">
        <v>1281</v>
      </c>
    </row>
    <row r="42" spans="1:4">
      <c r="B42" t="s">
        <v>1342</v>
      </c>
      <c r="C42" s="521">
        <v>42723</v>
      </c>
      <c r="D42" s="290" t="s">
        <v>1281</v>
      </c>
    </row>
    <row r="43" spans="1:4">
      <c r="B43" t="s">
        <v>1345</v>
      </c>
    </row>
    <row r="44" spans="1:4">
      <c r="B44" t="s">
        <v>1346</v>
      </c>
      <c r="C44" s="521">
        <v>42739</v>
      </c>
      <c r="D44" t="s">
        <v>1281</v>
      </c>
    </row>
    <row r="45" spans="1:4">
      <c r="B45" t="s">
        <v>1414</v>
      </c>
      <c r="C45" s="521">
        <v>42753</v>
      </c>
      <c r="D45" t="s">
        <v>1281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54"/>
  <sheetViews>
    <sheetView workbookViewId="0">
      <selection activeCell="C2" sqref="C2"/>
    </sheetView>
  </sheetViews>
  <sheetFormatPr baseColWidth="10" defaultRowHeight="14" x14ac:dyDescent="0"/>
  <cols>
    <col min="2" max="2" width="2.1640625" bestFit="1" customWidth="1"/>
    <col min="6" max="6" width="2.1640625" bestFit="1" customWidth="1"/>
    <col min="9" max="9" width="12.6640625" bestFit="1" customWidth="1"/>
    <col min="10" max="10" width="2.1640625" bestFit="1" customWidth="1"/>
    <col min="11" max="11" width="13.6640625" bestFit="1" customWidth="1"/>
    <col min="12" max="12" width="15.33203125" bestFit="1" customWidth="1"/>
  </cols>
  <sheetData>
    <row r="1" spans="1:17" ht="19" thickBot="1">
      <c r="A1" s="374" t="s">
        <v>1049</v>
      </c>
      <c r="B1" s="290"/>
      <c r="C1" s="290"/>
      <c r="E1" s="290"/>
      <c r="F1" s="290"/>
      <c r="G1" s="290"/>
      <c r="H1" s="290"/>
      <c r="I1" s="290"/>
      <c r="J1" s="290"/>
      <c r="K1" s="290"/>
      <c r="L1" s="290"/>
      <c r="M1" s="290"/>
      <c r="N1" s="290"/>
      <c r="O1" s="290"/>
      <c r="P1" s="290"/>
      <c r="Q1" s="290"/>
    </row>
    <row r="2" spans="1:17" ht="15">
      <c r="A2" s="375" t="s">
        <v>892</v>
      </c>
      <c r="B2" s="371"/>
      <c r="C2" s="372" t="s">
        <v>894</v>
      </c>
      <c r="E2" s="375" t="s">
        <v>1326</v>
      </c>
      <c r="F2" s="371"/>
      <c r="G2" s="372">
        <v>4</v>
      </c>
      <c r="I2" s="350" t="s">
        <v>1048</v>
      </c>
      <c r="J2" s="290"/>
      <c r="K2" s="380" t="s">
        <v>1205</v>
      </c>
      <c r="M2" s="290"/>
    </row>
    <row r="3" spans="1:17" ht="15" thickBot="1">
      <c r="A3" s="365" t="s">
        <v>893</v>
      </c>
      <c r="B3" s="378" t="s">
        <v>1050</v>
      </c>
      <c r="C3" s="366" t="str">
        <f>IF(B3&lt;&gt;"",A3,"")</f>
        <v>Small</v>
      </c>
      <c r="E3" s="365">
        <v>0</v>
      </c>
      <c r="F3" s="378" t="s">
        <v>1050</v>
      </c>
      <c r="G3" s="366">
        <f t="shared" ref="G3:G23" si="0">IF(F3&lt;&gt;"",E3,"")</f>
        <v>0</v>
      </c>
      <c r="H3" t="s">
        <v>1328</v>
      </c>
      <c r="J3" s="290"/>
      <c r="M3" s="290"/>
    </row>
    <row r="4" spans="1:17" ht="15" thickBot="1">
      <c r="A4" s="365" t="s">
        <v>898</v>
      </c>
      <c r="B4" s="378" t="s">
        <v>1050</v>
      </c>
      <c r="C4" s="366" t="str">
        <f>IF(B4&lt;&gt;"",A4,"")</f>
        <v>Med</v>
      </c>
      <c r="E4" s="365">
        <v>1</v>
      </c>
      <c r="F4" s="378" t="s">
        <v>1050</v>
      </c>
      <c r="G4" s="366">
        <f t="shared" si="0"/>
        <v>1</v>
      </c>
      <c r="H4" t="s">
        <v>1329</v>
      </c>
      <c r="I4" s="382" t="s">
        <v>1051</v>
      </c>
      <c r="J4" s="376"/>
      <c r="K4" s="377" t="str">
        <f>D45 &amp; "_" &amp;D51 &amp; "_"</f>
        <v>1stExt_1stExt_</v>
      </c>
      <c r="M4" s="290"/>
      <c r="N4" s="290"/>
    </row>
    <row r="5" spans="1:17" ht="15" thickBot="1">
      <c r="A5" s="367" t="s">
        <v>894</v>
      </c>
      <c r="B5" s="379" t="s">
        <v>1050</v>
      </c>
      <c r="C5" s="368" t="str">
        <f>IF(B5&lt;&gt;"",A5,"")</f>
        <v>Large</v>
      </c>
      <c r="E5" s="365">
        <v>2</v>
      </c>
      <c r="F5" s="378" t="s">
        <v>1050</v>
      </c>
      <c r="G5" s="366">
        <f t="shared" si="0"/>
        <v>2</v>
      </c>
      <c r="H5" t="s">
        <v>1330</v>
      </c>
      <c r="M5" s="290"/>
      <c r="N5" s="290"/>
    </row>
    <row r="6" spans="1:17" ht="15" thickBot="1">
      <c r="E6" s="369">
        <v>3</v>
      </c>
      <c r="F6" s="378" t="s">
        <v>1050</v>
      </c>
      <c r="G6" s="366">
        <f t="shared" si="0"/>
        <v>3</v>
      </c>
      <c r="H6" t="s">
        <v>1331</v>
      </c>
      <c r="I6" s="455" t="s">
        <v>1052</v>
      </c>
      <c r="J6" s="456"/>
      <c r="K6" s="456"/>
      <c r="L6" s="457" t="s">
        <v>1047</v>
      </c>
      <c r="M6" s="290"/>
      <c r="N6" s="5"/>
    </row>
    <row r="7" spans="1:17" ht="15">
      <c r="A7" s="375" t="s">
        <v>897</v>
      </c>
      <c r="B7" s="371"/>
      <c r="C7" s="372" t="s">
        <v>898</v>
      </c>
      <c r="E7" s="369">
        <v>4</v>
      </c>
      <c r="F7" s="378" t="s">
        <v>1050</v>
      </c>
      <c r="G7" s="366">
        <f t="shared" si="0"/>
        <v>4</v>
      </c>
      <c r="H7" t="s">
        <v>1332</v>
      </c>
      <c r="I7" s="383">
        <f>InputFiles!C1</f>
        <v>1</v>
      </c>
      <c r="J7" s="378" t="s">
        <v>1050</v>
      </c>
      <c r="K7" s="20">
        <f t="shared" ref="K7:K23" si="1">IF(J7&lt;&gt;"",I7,"")</f>
        <v>1</v>
      </c>
      <c r="L7" s="458" t="str">
        <f t="shared" ref="L7:L23" si="2">IF(J7&lt;&gt;"",BaseName &amp; IF(ISNUMBER(I7),I7,LEFT(I7,1)) &amp; "_" &amp; HumControl,"")</f>
        <v>1stExt_1stExt_1_4</v>
      </c>
      <c r="M7" s="140"/>
      <c r="N7" s="5"/>
    </row>
    <row r="8" spans="1:17">
      <c r="A8" s="365" t="s">
        <v>899</v>
      </c>
      <c r="B8" s="378"/>
      <c r="C8" s="366" t="str">
        <f>IF(B8&lt;&gt;"",A8,"")</f>
        <v/>
      </c>
      <c r="E8" s="369">
        <v>5</v>
      </c>
      <c r="F8" s="378"/>
      <c r="G8" s="366" t="str">
        <f t="shared" si="0"/>
        <v/>
      </c>
      <c r="I8" s="383">
        <f>InputFiles!D1</f>
        <v>2</v>
      </c>
      <c r="J8" s="378" t="s">
        <v>1050</v>
      </c>
      <c r="K8" s="20">
        <f t="shared" si="1"/>
        <v>2</v>
      </c>
      <c r="L8" s="458" t="str">
        <f t="shared" si="2"/>
        <v>1stExt_1stExt_2_4</v>
      </c>
      <c r="M8" s="140"/>
      <c r="N8" s="5"/>
    </row>
    <row r="9" spans="1:17">
      <c r="A9" s="365" t="s">
        <v>898</v>
      </c>
      <c r="B9" s="378" t="s">
        <v>1050</v>
      </c>
      <c r="C9" s="366" t="str">
        <f>IF(B9&lt;&gt;"",A9,"")</f>
        <v>Med</v>
      </c>
      <c r="E9" s="369">
        <v>6</v>
      </c>
      <c r="F9" s="378"/>
      <c r="G9" s="366" t="str">
        <f t="shared" si="0"/>
        <v/>
      </c>
      <c r="I9" s="383">
        <f>InputFiles!E1</f>
        <v>3</v>
      </c>
      <c r="J9" s="378"/>
      <c r="K9" s="20" t="str">
        <f t="shared" si="1"/>
        <v/>
      </c>
      <c r="L9" s="458" t="str">
        <f t="shared" si="2"/>
        <v/>
      </c>
      <c r="M9" s="140"/>
      <c r="N9" s="5"/>
    </row>
    <row r="10" spans="1:17" ht="15" thickBot="1">
      <c r="A10" s="367" t="s">
        <v>900</v>
      </c>
      <c r="B10" s="379"/>
      <c r="C10" s="368" t="str">
        <f>IF(B10&lt;&gt;"",A10,"")</f>
        <v/>
      </c>
      <c r="E10" s="369">
        <v>7</v>
      </c>
      <c r="F10" s="378"/>
      <c r="G10" s="366" t="str">
        <f t="shared" si="0"/>
        <v/>
      </c>
      <c r="I10" s="383">
        <f>InputFiles!F1</f>
        <v>4</v>
      </c>
      <c r="J10" s="378"/>
      <c r="K10" s="20" t="str">
        <f t="shared" si="1"/>
        <v/>
      </c>
      <c r="L10" s="458" t="str">
        <f t="shared" si="2"/>
        <v/>
      </c>
      <c r="M10" s="140"/>
      <c r="N10" s="5"/>
    </row>
    <row r="11" spans="1:17" ht="15" thickBot="1">
      <c r="E11" s="369">
        <v>8</v>
      </c>
      <c r="F11" s="378"/>
      <c r="G11" s="366" t="str">
        <f t="shared" si="0"/>
        <v/>
      </c>
      <c r="I11" s="383">
        <f>InputFiles!G1</f>
        <v>5</v>
      </c>
      <c r="J11" s="378"/>
      <c r="K11" s="20" t="str">
        <f t="shared" si="1"/>
        <v/>
      </c>
      <c r="L11" s="458" t="str">
        <f t="shared" si="2"/>
        <v/>
      </c>
      <c r="M11" s="140"/>
      <c r="N11" s="5"/>
    </row>
    <row r="12" spans="1:17" ht="15">
      <c r="A12" s="375" t="s">
        <v>883</v>
      </c>
      <c r="B12" s="371"/>
      <c r="C12" s="372">
        <v>1</v>
      </c>
      <c r="E12" s="369">
        <v>9</v>
      </c>
      <c r="F12" s="378"/>
      <c r="G12" s="366" t="str">
        <f t="shared" si="0"/>
        <v/>
      </c>
      <c r="I12" s="383">
        <f>InputFiles!H1</f>
        <v>6</v>
      </c>
      <c r="J12" s="378"/>
      <c r="K12" s="20" t="str">
        <f t="shared" si="1"/>
        <v/>
      </c>
      <c r="L12" s="458" t="str">
        <f t="shared" si="2"/>
        <v/>
      </c>
      <c r="M12" s="140"/>
      <c r="N12" s="5"/>
    </row>
    <row r="13" spans="1:17">
      <c r="A13" s="365">
        <v>1</v>
      </c>
      <c r="B13" s="378" t="s">
        <v>1050</v>
      </c>
      <c r="C13" s="366">
        <f>IF(B13&lt;&gt;"",A13,"")</f>
        <v>1</v>
      </c>
      <c r="E13" s="369">
        <v>10</v>
      </c>
      <c r="F13" s="378"/>
      <c r="G13" s="366" t="str">
        <f t="shared" si="0"/>
        <v/>
      </c>
      <c r="I13" s="383">
        <f>InputFiles!I1</f>
        <v>7</v>
      </c>
      <c r="J13" s="378" t="s">
        <v>1050</v>
      </c>
      <c r="K13" s="20">
        <f t="shared" si="1"/>
        <v>7</v>
      </c>
      <c r="L13" s="458" t="str">
        <f t="shared" si="2"/>
        <v>1stExt_1stExt_7_4</v>
      </c>
      <c r="M13" s="140"/>
      <c r="N13" s="5"/>
    </row>
    <row r="14" spans="1:17">
      <c r="A14" s="365">
        <v>2</v>
      </c>
      <c r="B14" s="378"/>
      <c r="C14" s="366" t="str">
        <f>IF(B14&lt;&gt;"",A14,"")</f>
        <v/>
      </c>
      <c r="E14" s="369">
        <v>11</v>
      </c>
      <c r="F14" s="378"/>
      <c r="G14" s="366" t="str">
        <f t="shared" si="0"/>
        <v/>
      </c>
      <c r="I14" s="383">
        <f>InputFiles!J1</f>
        <v>8</v>
      </c>
      <c r="J14" s="378"/>
      <c r="K14" s="20" t="str">
        <f t="shared" si="1"/>
        <v/>
      </c>
      <c r="L14" s="458" t="str">
        <f t="shared" si="2"/>
        <v/>
      </c>
      <c r="M14" s="140"/>
      <c r="N14" s="5"/>
    </row>
    <row r="15" spans="1:17" ht="15" thickBot="1">
      <c r="A15" s="367"/>
      <c r="B15" s="379"/>
      <c r="C15" s="368"/>
      <c r="E15" s="369">
        <v>12</v>
      </c>
      <c r="F15" s="378"/>
      <c r="G15" s="366" t="str">
        <f t="shared" si="0"/>
        <v/>
      </c>
      <c r="I15" s="383">
        <f>InputFiles!K1</f>
        <v>9</v>
      </c>
      <c r="J15" s="378"/>
      <c r="K15" s="20" t="str">
        <f t="shared" si="1"/>
        <v/>
      </c>
      <c r="L15" s="458" t="str">
        <f t="shared" si="2"/>
        <v/>
      </c>
      <c r="M15" s="140"/>
      <c r="N15" s="5"/>
    </row>
    <row r="16" spans="1:17" ht="15" thickBot="1">
      <c r="E16" s="369">
        <v>13</v>
      </c>
      <c r="F16" s="378"/>
      <c r="G16" s="366" t="str">
        <f t="shared" si="0"/>
        <v/>
      </c>
      <c r="I16" s="383">
        <f>InputFiles!L1</f>
        <v>10</v>
      </c>
      <c r="J16" s="378"/>
      <c r="K16" s="20" t="str">
        <f t="shared" si="1"/>
        <v/>
      </c>
      <c r="L16" s="458" t="str">
        <f t="shared" si="2"/>
        <v/>
      </c>
      <c r="M16" s="140"/>
      <c r="N16" s="5"/>
    </row>
    <row r="17" spans="1:17" ht="15">
      <c r="A17" s="375" t="s">
        <v>907</v>
      </c>
      <c r="B17" s="371"/>
      <c r="C17" s="372">
        <v>1</v>
      </c>
      <c r="E17" s="369">
        <v>14</v>
      </c>
      <c r="F17" s="378"/>
      <c r="G17" s="366" t="str">
        <f t="shared" si="0"/>
        <v/>
      </c>
      <c r="I17" s="383">
        <f>InputFiles!M1</f>
        <v>11</v>
      </c>
      <c r="J17" s="378"/>
      <c r="K17" s="20" t="str">
        <f t="shared" si="1"/>
        <v/>
      </c>
      <c r="L17" s="458" t="str">
        <f t="shared" si="2"/>
        <v/>
      </c>
      <c r="M17" s="140"/>
      <c r="N17" s="5"/>
    </row>
    <row r="18" spans="1:17">
      <c r="A18" s="365">
        <v>0</v>
      </c>
      <c r="B18" s="378"/>
      <c r="C18" s="366" t="str">
        <f>IF(B18&lt;&gt;"",A18,"")</f>
        <v/>
      </c>
      <c r="E18" s="369">
        <v>15</v>
      </c>
      <c r="F18" s="378"/>
      <c r="G18" s="366" t="str">
        <f t="shared" si="0"/>
        <v/>
      </c>
      <c r="I18" s="383">
        <f>InputFiles!N1</f>
        <v>12</v>
      </c>
      <c r="J18" s="378"/>
      <c r="K18" s="20" t="str">
        <f t="shared" si="1"/>
        <v/>
      </c>
      <c r="L18" s="458" t="str">
        <f t="shared" si="2"/>
        <v/>
      </c>
      <c r="M18" s="140"/>
      <c r="N18" s="5"/>
    </row>
    <row r="19" spans="1:17">
      <c r="A19" s="365">
        <v>0.5</v>
      </c>
      <c r="B19" s="378"/>
      <c r="C19" s="366" t="str">
        <f>IF(B19&lt;&gt;"",A19,"")</f>
        <v/>
      </c>
      <c r="E19" s="369">
        <v>16</v>
      </c>
      <c r="F19" s="378"/>
      <c r="G19" s="366" t="str">
        <f t="shared" si="0"/>
        <v/>
      </c>
      <c r="I19" s="383">
        <f>InputFiles!O1</f>
        <v>13</v>
      </c>
      <c r="J19" s="378"/>
      <c r="K19" s="20" t="str">
        <f t="shared" si="1"/>
        <v/>
      </c>
      <c r="L19" s="458" t="str">
        <f t="shared" si="2"/>
        <v/>
      </c>
      <c r="M19" s="140"/>
      <c r="N19" s="5"/>
    </row>
    <row r="20" spans="1:17" ht="15" thickBot="1">
      <c r="A20" s="367">
        <v>1</v>
      </c>
      <c r="B20" s="379" t="s">
        <v>1050</v>
      </c>
      <c r="C20" s="373">
        <f>IF(B20&lt;&gt;"",A20,"")</f>
        <v>1</v>
      </c>
      <c r="E20" s="369">
        <v>17</v>
      </c>
      <c r="F20" s="378"/>
      <c r="G20" s="366" t="str">
        <f t="shared" si="0"/>
        <v/>
      </c>
      <c r="I20" s="383">
        <f>InputFiles!P1</f>
        <v>14</v>
      </c>
      <c r="J20" s="378"/>
      <c r="K20" s="20" t="str">
        <f t="shared" si="1"/>
        <v/>
      </c>
      <c r="L20" s="458" t="str">
        <f t="shared" si="2"/>
        <v/>
      </c>
      <c r="M20" s="140"/>
      <c r="N20" s="5"/>
    </row>
    <row r="21" spans="1:17" ht="15" thickBot="1">
      <c r="E21" s="369">
        <v>18</v>
      </c>
      <c r="F21" s="378"/>
      <c r="G21" s="366" t="str">
        <f t="shared" si="0"/>
        <v/>
      </c>
      <c r="I21" s="383">
        <f>InputFiles!Q1</f>
        <v>15</v>
      </c>
      <c r="J21" s="378"/>
      <c r="K21" s="20" t="str">
        <f t="shared" si="1"/>
        <v/>
      </c>
      <c r="L21" s="458" t="str">
        <f t="shared" si="2"/>
        <v/>
      </c>
      <c r="M21" s="140"/>
      <c r="N21" s="5"/>
    </row>
    <row r="22" spans="1:17" ht="15">
      <c r="A22" s="375" t="s">
        <v>1032</v>
      </c>
      <c r="B22" s="371"/>
      <c r="C22" s="372" t="s">
        <v>1204</v>
      </c>
      <c r="E22" s="369">
        <v>19</v>
      </c>
      <c r="F22" s="378"/>
      <c r="G22" s="366" t="str">
        <f t="shared" si="0"/>
        <v/>
      </c>
      <c r="I22" s="383" t="str">
        <f>InputFiles!R1</f>
        <v>Orlando</v>
      </c>
      <c r="J22" s="378"/>
      <c r="K22" s="20" t="str">
        <f t="shared" si="1"/>
        <v/>
      </c>
      <c r="L22" s="458" t="str">
        <f t="shared" si="2"/>
        <v/>
      </c>
      <c r="M22" s="140"/>
      <c r="N22" s="5"/>
    </row>
    <row r="23" spans="1:17" ht="15" thickBot="1">
      <c r="A23" s="365" t="s">
        <v>888</v>
      </c>
      <c r="B23" s="378" t="s">
        <v>1050</v>
      </c>
      <c r="C23" s="366" t="str">
        <f>IF(B23&lt;&gt;"",A23,"")</f>
        <v>new</v>
      </c>
      <c r="E23" s="370">
        <v>20</v>
      </c>
      <c r="F23" s="379"/>
      <c r="G23" s="368" t="str">
        <f t="shared" si="0"/>
        <v/>
      </c>
      <c r="I23" s="384" t="str">
        <f>InputFiles!S1</f>
        <v>Charleston</v>
      </c>
      <c r="J23" s="379"/>
      <c r="K23" s="459" t="str">
        <f t="shared" si="1"/>
        <v/>
      </c>
      <c r="L23" s="458" t="str">
        <f t="shared" si="2"/>
        <v/>
      </c>
      <c r="M23" s="140"/>
      <c r="N23" s="5"/>
    </row>
    <row r="24" spans="1:17" ht="15" thickBot="1">
      <c r="A24" s="365" t="s">
        <v>889</v>
      </c>
      <c r="B24" s="378"/>
      <c r="C24" s="366" t="str">
        <f>IF(B24&lt;&gt;"",A24,"")</f>
        <v/>
      </c>
      <c r="F24" s="140"/>
      <c r="G24" s="5"/>
      <c r="H24" s="13"/>
      <c r="J24" s="140"/>
      <c r="K24" s="2"/>
      <c r="M24" s="140"/>
      <c r="N24" s="5"/>
      <c r="P24" s="140"/>
      <c r="Q24" s="5"/>
    </row>
    <row r="25" spans="1:17" ht="15" thickBot="1">
      <c r="A25" s="367"/>
      <c r="B25" s="379"/>
      <c r="C25" s="373" t="str">
        <f>IF(B25&lt;&gt;"",A25,"")</f>
        <v/>
      </c>
      <c r="F25" s="290"/>
      <c r="I25" s="382" t="s">
        <v>1179</v>
      </c>
      <c r="J25" s="460"/>
      <c r="K25" s="461">
        <f>COUNTA(B3:B5)*COUNTA(B8:B10)*COUNTA(B13:B14)*COUNTA(B18:B20) * COUNTA(B28:B33)*COUNTA(B36:B38)*COUNTA(F3:F23)*COUNTA(J7:J23)*COUNTA(B46:B49)*COUNTA(B52:B54)</f>
        <v>540</v>
      </c>
      <c r="M25" s="290"/>
      <c r="P25" s="290"/>
    </row>
    <row r="26" spans="1:17" ht="15" thickBot="1">
      <c r="F26" s="290"/>
      <c r="J26" s="290"/>
      <c r="M26" s="290"/>
      <c r="P26" s="290"/>
    </row>
    <row r="27" spans="1:17" ht="15">
      <c r="A27" s="375" t="s">
        <v>1053</v>
      </c>
      <c r="B27" s="371"/>
      <c r="C27" s="372">
        <v>1.5</v>
      </c>
      <c r="F27" s="290"/>
      <c r="M27" s="290"/>
      <c r="P27" s="290"/>
    </row>
    <row r="28" spans="1:17">
      <c r="A28" s="365">
        <v>10</v>
      </c>
      <c r="B28" s="385"/>
      <c r="C28" s="366" t="str">
        <f t="shared" ref="C28:C33" si="3">IF(B28&lt;&gt;"",A28,"")</f>
        <v/>
      </c>
      <c r="F28" s="290"/>
      <c r="J28" s="290"/>
      <c r="M28" s="290"/>
      <c r="P28" s="290"/>
    </row>
    <row r="29" spans="1:17">
      <c r="A29" s="365">
        <v>7</v>
      </c>
      <c r="B29" s="386"/>
      <c r="C29" s="366" t="str">
        <f t="shared" si="3"/>
        <v/>
      </c>
      <c r="F29" s="290"/>
      <c r="J29" s="290"/>
      <c r="M29" s="290"/>
      <c r="P29" s="290"/>
    </row>
    <row r="30" spans="1:17">
      <c r="A30" s="365">
        <v>5</v>
      </c>
      <c r="B30" s="386"/>
      <c r="C30" s="366" t="str">
        <f t="shared" si="3"/>
        <v/>
      </c>
      <c r="F30" s="290"/>
      <c r="J30" s="290"/>
      <c r="M30" s="290"/>
      <c r="P30" s="290"/>
    </row>
    <row r="31" spans="1:17">
      <c r="A31" s="365">
        <v>3</v>
      </c>
      <c r="B31" s="386" t="s">
        <v>1050</v>
      </c>
      <c r="C31" s="366">
        <f t="shared" si="3"/>
        <v>3</v>
      </c>
      <c r="F31" s="290"/>
      <c r="J31" s="290"/>
      <c r="M31" s="290"/>
      <c r="P31" s="290"/>
    </row>
    <row r="32" spans="1:17">
      <c r="A32" s="365">
        <v>1.5</v>
      </c>
      <c r="B32" s="386"/>
      <c r="C32" s="366" t="str">
        <f t="shared" si="3"/>
        <v/>
      </c>
      <c r="F32" s="290"/>
      <c r="J32" s="290"/>
      <c r="M32" s="290"/>
      <c r="P32" s="290"/>
    </row>
    <row r="33" spans="1:16" ht="15" thickBot="1">
      <c r="A33" s="367">
        <v>0.6</v>
      </c>
      <c r="B33" s="387"/>
      <c r="C33" s="368" t="str">
        <f t="shared" si="3"/>
        <v/>
      </c>
      <c r="F33" s="290"/>
      <c r="J33" s="290"/>
      <c r="M33" s="290"/>
      <c r="P33" s="290"/>
    </row>
    <row r="34" spans="1:16" ht="15" thickBot="1"/>
    <row r="35" spans="1:16" ht="15">
      <c r="A35" s="375" t="s">
        <v>922</v>
      </c>
      <c r="B35" s="371"/>
      <c r="C35" s="372" t="s">
        <v>1340</v>
      </c>
    </row>
    <row r="36" spans="1:16">
      <c r="A36" s="365" t="s">
        <v>920</v>
      </c>
      <c r="B36" s="378"/>
      <c r="C36" s="366" t="str">
        <f>IF(B36&lt;&gt;"",A36,"")</f>
        <v/>
      </c>
    </row>
    <row r="37" spans="1:16">
      <c r="A37" s="365" t="s">
        <v>921</v>
      </c>
      <c r="B37" s="378"/>
      <c r="C37" s="366" t="str">
        <f>IF(B37&lt;&gt;"",A37,"")</f>
        <v/>
      </c>
    </row>
    <row r="38" spans="1:16" ht="15" thickBot="1">
      <c r="A38" s="367" t="s">
        <v>1340</v>
      </c>
      <c r="B38" s="379" t="s">
        <v>1050</v>
      </c>
      <c r="C38" s="368" t="str">
        <f>IF(B38&lt;&gt;"",A38,"")</f>
        <v>Simple Exhaust</v>
      </c>
    </row>
    <row r="39" spans="1:16" ht="15" thickBot="1"/>
    <row r="40" spans="1:16" ht="15">
      <c r="A40" s="375" t="s">
        <v>1203</v>
      </c>
      <c r="B40" s="371"/>
      <c r="C40" s="372" t="s">
        <v>1277</v>
      </c>
    </row>
    <row r="41" spans="1:16">
      <c r="A41" s="365" t="s">
        <v>1182</v>
      </c>
      <c r="B41" s="378"/>
      <c r="C41" s="366" t="str">
        <f>IF(B41&lt;&gt;"",A41,"")</f>
        <v/>
      </c>
    </row>
    <row r="42" spans="1:16">
      <c r="A42" s="365" t="s">
        <v>1277</v>
      </c>
      <c r="B42" s="378" t="s">
        <v>1050</v>
      </c>
      <c r="C42" s="366" t="str">
        <f>IF(B42&lt;&gt;"",A42,"")</f>
        <v>No</v>
      </c>
    </row>
    <row r="43" spans="1:16" ht="15" thickBot="1">
      <c r="A43" s="367"/>
      <c r="B43" s="379"/>
      <c r="C43" s="368" t="str">
        <f>IF(B43&lt;&gt;"",A43,"")</f>
        <v/>
      </c>
    </row>
    <row r="44" spans="1:16" ht="15" thickBot="1"/>
    <row r="45" spans="1:16" ht="15">
      <c r="A45" s="375" t="s">
        <v>1335</v>
      </c>
      <c r="B45" s="371"/>
      <c r="C45" s="372" t="s">
        <v>1349</v>
      </c>
      <c r="D45" t="str">
        <f>IF(occSchedule="occ_full.txt","Full",IF(occSchedule="occ_1stShift.txt","1st",IF(occSchedule="occ_3rdShift.txt","3rd","1stExt")))</f>
        <v>1stExt</v>
      </c>
    </row>
    <row r="46" spans="1:16">
      <c r="A46" s="365" t="s">
        <v>983</v>
      </c>
      <c r="B46" s="385" t="s">
        <v>1050</v>
      </c>
      <c r="C46" s="366" t="str">
        <f>IF(B46&lt;&gt;"",A46,"")</f>
        <v>occ_full.txt</v>
      </c>
    </row>
    <row r="47" spans="1:16">
      <c r="A47" s="365" t="s">
        <v>1336</v>
      </c>
      <c r="B47" s="386" t="s">
        <v>1050</v>
      </c>
      <c r="C47" s="366" t="str">
        <f t="shared" ref="C47:C48" si="4">IF(B47&lt;&gt;"",A47,"")</f>
        <v>occ_1stShift.txt</v>
      </c>
    </row>
    <row r="48" spans="1:16">
      <c r="A48" s="540" t="s">
        <v>1337</v>
      </c>
      <c r="B48" s="541" t="s">
        <v>1050</v>
      </c>
      <c r="C48" s="366" t="str">
        <f t="shared" si="4"/>
        <v>occ_3rdShift.txt</v>
      </c>
    </row>
    <row r="49" spans="1:4" s="290" customFormat="1">
      <c r="A49" s="20" t="s">
        <v>1349</v>
      </c>
      <c r="B49" s="541" t="s">
        <v>1050</v>
      </c>
      <c r="C49" s="366" t="str">
        <f t="shared" ref="C49" si="5">IF(B49&lt;&gt;"",A49,"")</f>
        <v>occ_1stShift_extended.txt</v>
      </c>
    </row>
    <row r="50" spans="1:4" ht="15" thickBot="1">
      <c r="A50" s="20"/>
      <c r="B50" s="542"/>
      <c r="C50" s="20"/>
    </row>
    <row r="51" spans="1:4" ht="15">
      <c r="A51" s="375" t="s">
        <v>1338</v>
      </c>
      <c r="B51" s="371"/>
      <c r="C51" s="372" t="s">
        <v>1350</v>
      </c>
      <c r="D51" t="str">
        <f>IF(fanSchedule="REGCAP_FanSchedule_1stShift.txt", "1st",IF(fanSchedule="REGCAP_FanSchedule_3rdShift.txt","3rd", "1stExt"))</f>
        <v>1stExt</v>
      </c>
    </row>
    <row r="52" spans="1:4">
      <c r="A52" s="365" t="s">
        <v>1347</v>
      </c>
      <c r="B52" s="385" t="s">
        <v>1050</v>
      </c>
      <c r="C52" s="366" t="str">
        <f>IF(B52&lt;&gt;"",A52,"")</f>
        <v>REGCAP_FanSchedule_1stShift.txt</v>
      </c>
    </row>
    <row r="53" spans="1:4">
      <c r="A53" s="540" t="s">
        <v>1348</v>
      </c>
      <c r="B53" s="541" t="s">
        <v>1050</v>
      </c>
      <c r="C53" s="366" t="str">
        <f>IF(B53&lt;&gt;"",A53,"")</f>
        <v>REGCAP_FanSchedule_3rdShift.txt</v>
      </c>
    </row>
    <row r="54" spans="1:4">
      <c r="A54" s="20" t="s">
        <v>1350</v>
      </c>
      <c r="B54" s="541" t="s">
        <v>1050</v>
      </c>
      <c r="C54" s="366" t="str">
        <f>IF(B54&lt;&gt;"",A54,"")</f>
        <v>REGCAP_FanSchedule_1stShift_ext.txt</v>
      </c>
    </row>
  </sheetData>
  <dataValidations count="11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$A$36:$A$38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0">
      <formula1>luDehumid</formula1>
    </dataValidation>
    <dataValidation type="list" allowBlank="1" showInputMessage="1" showErrorMessage="1" sqref="C45">
      <formula1>$A$46:$A$49</formula1>
    </dataValidation>
    <dataValidation type="list" allowBlank="1" showInputMessage="1" showErrorMessage="1" sqref="C51">
      <formula1>$A$52:$A$54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57"/>
  <sheetViews>
    <sheetView workbookViewId="0">
      <pane ySplit="1" topLeftCell="A99" activePane="bottomLeft" state="frozen"/>
      <selection pane="bottomLeft" activeCell="D76" sqref="D76"/>
    </sheetView>
  </sheetViews>
  <sheetFormatPr baseColWidth="10" defaultRowHeight="14" x14ac:dyDescent="0"/>
  <cols>
    <col min="1" max="1" width="16.33203125" style="290" bestFit="1" customWidth="1"/>
    <col min="2" max="2" width="18.5" bestFit="1" customWidth="1"/>
    <col min="3" max="3" width="37.3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90" bestFit="1" customWidth="1"/>
    <col min="13" max="13" width="3.6640625" customWidth="1"/>
    <col min="14" max="14" width="13.1640625" bestFit="1" customWidth="1"/>
    <col min="15" max="15" width="2" style="290" bestFit="1" customWidth="1"/>
    <col min="16" max="16" width="5" customWidth="1"/>
    <col min="18" max="18" width="2" style="290" bestFit="1" customWidth="1"/>
    <col min="20" max="20" width="16.1640625" bestFit="1" customWidth="1"/>
    <col min="21" max="21" width="2" style="290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90" bestFit="1" customWidth="1"/>
  </cols>
  <sheetData>
    <row r="1" spans="1:23" s="290" customFormat="1" ht="25" customHeight="1">
      <c r="A1" s="374" t="s">
        <v>1058</v>
      </c>
      <c r="B1" s="290" t="s">
        <v>1070</v>
      </c>
      <c r="C1" s="290" t="s">
        <v>541</v>
      </c>
      <c r="D1" s="290" t="s">
        <v>0</v>
      </c>
      <c r="E1" s="290" t="s">
        <v>1</v>
      </c>
      <c r="F1" s="290" t="s">
        <v>2</v>
      </c>
      <c r="G1" s="290" t="s">
        <v>3</v>
      </c>
    </row>
    <row r="2" spans="1:23">
      <c r="A2" s="290" t="s">
        <v>986</v>
      </c>
      <c r="B2" t="s">
        <v>1059</v>
      </c>
      <c r="C2" s="412" t="str">
        <f>Weather!B26</f>
        <v>722020TYA.CSV</v>
      </c>
      <c r="D2" t="s">
        <v>977</v>
      </c>
      <c r="G2" t="s">
        <v>1178</v>
      </c>
      <c r="I2" s="350" t="s">
        <v>1219</v>
      </c>
    </row>
    <row r="3" spans="1:23">
      <c r="B3" s="290" t="s">
        <v>973</v>
      </c>
      <c r="C3" s="411" t="str">
        <f>fanSchedule</f>
        <v>REGCAP_FanSchedule_1stShift_ext.txt</v>
      </c>
      <c r="D3" t="s">
        <v>978</v>
      </c>
      <c r="G3" t="s">
        <v>336</v>
      </c>
      <c r="I3" s="381" t="s">
        <v>1220</v>
      </c>
    </row>
    <row r="4" spans="1:23">
      <c r="B4" s="290" t="s">
        <v>974</v>
      </c>
      <c r="C4" s="381" t="s">
        <v>984</v>
      </c>
      <c r="D4" t="s">
        <v>979</v>
      </c>
      <c r="G4" t="s">
        <v>11</v>
      </c>
      <c r="I4" s="411" t="s">
        <v>1243</v>
      </c>
    </row>
    <row r="5" spans="1:23">
      <c r="B5" s="290" t="s">
        <v>975</v>
      </c>
      <c r="C5" s="381" t="str">
        <f>occSchedule</f>
        <v>occ_1stShift_extended.txt</v>
      </c>
      <c r="D5" t="s">
        <v>980</v>
      </c>
      <c r="G5" t="s">
        <v>11</v>
      </c>
      <c r="I5" s="412" t="s">
        <v>1221</v>
      </c>
    </row>
    <row r="6" spans="1:23">
      <c r="A6" s="407"/>
      <c r="B6" s="407" t="s">
        <v>976</v>
      </c>
      <c r="C6" s="381" t="s">
        <v>982</v>
      </c>
      <c r="D6" s="407" t="s">
        <v>981</v>
      </c>
      <c r="E6" s="407"/>
      <c r="F6" s="407"/>
      <c r="G6" s="407" t="s">
        <v>11</v>
      </c>
      <c r="W6" s="5"/>
    </row>
    <row r="7" spans="1:23">
      <c r="A7" s="1" t="s">
        <v>985</v>
      </c>
      <c r="B7" t="s">
        <v>1310</v>
      </c>
      <c r="C7" s="413">
        <f>Leakage!H32</f>
        <v>4.6856257812500003E-2</v>
      </c>
      <c r="D7" t="s">
        <v>1077</v>
      </c>
      <c r="E7" t="s">
        <v>5</v>
      </c>
      <c r="F7" t="s">
        <v>6</v>
      </c>
      <c r="G7" t="s">
        <v>7</v>
      </c>
      <c r="W7" s="5"/>
    </row>
    <row r="8" spans="1:23">
      <c r="B8" t="s">
        <v>1046</v>
      </c>
      <c r="C8" s="414">
        <f>n</f>
        <v>0.65</v>
      </c>
      <c r="D8" t="s">
        <v>9</v>
      </c>
      <c r="E8" t="s">
        <v>10</v>
      </c>
      <c r="G8" t="s">
        <v>7</v>
      </c>
      <c r="W8" s="5"/>
    </row>
    <row r="9" spans="1:23" s="290" customFormat="1">
      <c r="B9" s="290" t="s">
        <v>1305</v>
      </c>
      <c r="C9" s="414">
        <f>VLOOKUP(Stories, InfiltrationModelCoefficients!A3:B5, 2, FALSE)</f>
        <v>0.48</v>
      </c>
      <c r="D9" s="290" t="s">
        <v>1312</v>
      </c>
      <c r="W9" s="305"/>
    </row>
    <row r="10" spans="1:23" s="290" customFormat="1">
      <c r="B10" s="263" t="s">
        <v>1298</v>
      </c>
      <c r="C10" s="414">
        <f>IF(Nflue=0,InfiltrationModelCoefficients!C10,VLOOKUP(Stories,InfiltrationModelCoefficients!A11:C13,3,FALSE))</f>
        <v>0.5</v>
      </c>
      <c r="D10" s="263" t="s">
        <v>1313</v>
      </c>
      <c r="W10" s="305"/>
    </row>
    <row r="11" spans="1:23" s="290" customFormat="1">
      <c r="B11" s="263" t="s">
        <v>1307</v>
      </c>
      <c r="C11" s="414">
        <f>IF(Nflue=0,VLOOKUP(Stories, InfiltrationModelCoefficients!A28:C30,3,FALSE),VLOOKUP(Stories,InfiltrationModelCoefficients!A31:C33,3,FALSE))</f>
        <v>5.3999999999999999E-2</v>
      </c>
      <c r="D11" s="263" t="s">
        <v>1314</v>
      </c>
      <c r="W11" s="305"/>
    </row>
    <row r="12" spans="1:23" s="290" customFormat="1">
      <c r="B12" s="263" t="s">
        <v>1311</v>
      </c>
      <c r="C12" s="414">
        <f>IF(Nflue=0,  VLOOKUP(Stories, InfiltrationModelCoefficients!A18:D20,4, FALSE), VLOOKUP(Stories, InfiltrationModelCoefficients!A21:D23, 4, FALSE))</f>
        <v>0.128</v>
      </c>
      <c r="D12" s="263" t="s">
        <v>1315</v>
      </c>
      <c r="W12" s="305"/>
    </row>
    <row r="13" spans="1:23">
      <c r="B13" t="s">
        <v>1045</v>
      </c>
      <c r="C13" s="414">
        <f>H_soffitSI</f>
        <v>2.9499999999999997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414">
        <f>Leakage!H10</f>
        <v>0.5</v>
      </c>
      <c r="D14" t="s">
        <v>497</v>
      </c>
      <c r="E14" t="s">
        <v>17</v>
      </c>
      <c r="F14" t="s">
        <v>16</v>
      </c>
      <c r="G14" t="s">
        <v>7</v>
      </c>
      <c r="W14" s="5"/>
    </row>
    <row r="15" spans="1:23">
      <c r="A15" s="407"/>
      <c r="B15" s="407" t="s">
        <v>18</v>
      </c>
      <c r="C15" s="415">
        <f>Leakage!H11</f>
        <v>0</v>
      </c>
      <c r="D15" s="407" t="s">
        <v>498</v>
      </c>
      <c r="E15" s="407"/>
      <c r="F15" s="407" t="s">
        <v>16</v>
      </c>
      <c r="G15" s="407" t="s">
        <v>7</v>
      </c>
      <c r="W15" s="5"/>
    </row>
    <row r="16" spans="1:23">
      <c r="A16" s="290" t="s">
        <v>19</v>
      </c>
      <c r="B16" t="s">
        <v>1060</v>
      </c>
      <c r="C16" s="511">
        <f>Nflue</f>
        <v>0</v>
      </c>
      <c r="D16" t="s">
        <v>20</v>
      </c>
      <c r="G16" t="s">
        <v>22</v>
      </c>
      <c r="W16" s="5"/>
    </row>
    <row r="17" spans="1:25">
      <c r="B17" t="s">
        <v>1244</v>
      </c>
      <c r="C17" s="512">
        <f>Flue!C10</f>
        <v>1.9281086206186945E-2</v>
      </c>
      <c r="E17" t="s">
        <v>21</v>
      </c>
      <c r="F17" t="s">
        <v>16</v>
      </c>
      <c r="G17" t="s">
        <v>22</v>
      </c>
      <c r="W17" s="5"/>
    </row>
    <row r="18" spans="1:25">
      <c r="B18" t="s">
        <v>1072</v>
      </c>
      <c r="C18" s="416">
        <f>H_flueSI</f>
        <v>4.9908333333333328</v>
      </c>
      <c r="D18" t="s">
        <v>23</v>
      </c>
      <c r="G18" t="s">
        <v>24</v>
      </c>
      <c r="W18" s="5"/>
    </row>
    <row r="19" spans="1:25">
      <c r="B19" t="s">
        <v>1073</v>
      </c>
      <c r="C19" s="423">
        <f>Flue!C11</f>
        <v>-99</v>
      </c>
      <c r="D19" t="s">
        <v>455</v>
      </c>
      <c r="E19" t="s">
        <v>26</v>
      </c>
      <c r="G19" s="290" t="s">
        <v>22</v>
      </c>
      <c r="W19" s="5"/>
    </row>
    <row r="20" spans="1:25">
      <c r="B20" s="290" t="s">
        <v>1245</v>
      </c>
      <c r="C20" s="512">
        <f>Flue!D10</f>
        <v>1.9281086206186945E-2</v>
      </c>
      <c r="E20" t="s">
        <v>546</v>
      </c>
      <c r="G20" t="s">
        <v>22</v>
      </c>
      <c r="W20" s="5"/>
    </row>
    <row r="21" spans="1:25">
      <c r="B21" s="290" t="s">
        <v>1075</v>
      </c>
      <c r="C21" s="416">
        <f>H_flueSI</f>
        <v>4.9908333333333328</v>
      </c>
      <c r="D21" t="s">
        <v>23</v>
      </c>
      <c r="G21" t="s">
        <v>24</v>
      </c>
      <c r="W21" s="5"/>
    </row>
    <row r="22" spans="1:25">
      <c r="A22" s="407"/>
      <c r="B22" s="407" t="s">
        <v>1076</v>
      </c>
      <c r="C22" s="415">
        <f>Flue!D11</f>
        <v>-99</v>
      </c>
      <c r="D22" s="407" t="s">
        <v>25</v>
      </c>
      <c r="E22" s="407"/>
      <c r="F22" s="407"/>
      <c r="G22" s="407" t="s">
        <v>22</v>
      </c>
      <c r="W22" s="5"/>
    </row>
    <row r="23" spans="1:25">
      <c r="A23" s="290" t="s">
        <v>27</v>
      </c>
      <c r="B23" t="s">
        <v>1061</v>
      </c>
      <c r="C23" s="416">
        <f>Leakage!M5</f>
        <v>0.33333333333333331</v>
      </c>
      <c r="D23" t="s">
        <v>427</v>
      </c>
      <c r="E23" t="s">
        <v>29</v>
      </c>
      <c r="G23" t="s">
        <v>7</v>
      </c>
      <c r="W23" s="5"/>
    </row>
    <row r="24" spans="1:25">
      <c r="B24" t="s">
        <v>1062</v>
      </c>
      <c r="C24" s="416">
        <f>C23</f>
        <v>0.33333333333333331</v>
      </c>
      <c r="D24" t="s">
        <v>428</v>
      </c>
      <c r="G24" t="s">
        <v>7</v>
      </c>
      <c r="W24" s="5"/>
    </row>
    <row r="25" spans="1:25">
      <c r="B25" t="s">
        <v>1063</v>
      </c>
      <c r="C25" s="416">
        <f>Leakage!M6</f>
        <v>0.16666666666666666</v>
      </c>
      <c r="D25" t="s">
        <v>429</v>
      </c>
      <c r="G25" t="s">
        <v>7</v>
      </c>
      <c r="W25" s="5"/>
    </row>
    <row r="26" spans="1:25">
      <c r="B26" s="407" t="s">
        <v>1064</v>
      </c>
      <c r="C26" s="417">
        <f>C25</f>
        <v>0.16666666666666666</v>
      </c>
      <c r="D26" s="407" t="s">
        <v>430</v>
      </c>
      <c r="E26" s="407"/>
      <c r="F26" s="407"/>
      <c r="G26" s="407" t="s">
        <v>7</v>
      </c>
      <c r="W26" s="5"/>
    </row>
    <row r="27" spans="1:25">
      <c r="B27" t="s">
        <v>1065</v>
      </c>
      <c r="C27" s="416">
        <f>C23</f>
        <v>0.33333333333333331</v>
      </c>
      <c r="D27" t="s">
        <v>33</v>
      </c>
      <c r="E27" t="s">
        <v>34</v>
      </c>
      <c r="G27" t="s">
        <v>7</v>
      </c>
      <c r="W27" s="5"/>
    </row>
    <row r="28" spans="1:25">
      <c r="B28" t="s">
        <v>1066</v>
      </c>
      <c r="C28" s="416">
        <f>C24</f>
        <v>0.33333333333333331</v>
      </c>
      <c r="D28" t="s">
        <v>35</v>
      </c>
      <c r="G28" t="s">
        <v>7</v>
      </c>
      <c r="W28" s="5"/>
      <c r="Y28" s="140"/>
    </row>
    <row r="29" spans="1:25">
      <c r="B29" t="s">
        <v>1067</v>
      </c>
      <c r="C29" s="416">
        <f>C25</f>
        <v>0.16666666666666666</v>
      </c>
      <c r="D29" t="s">
        <v>36</v>
      </c>
      <c r="G29" t="s">
        <v>7</v>
      </c>
    </row>
    <row r="30" spans="1:25">
      <c r="B30" s="407" t="s">
        <v>1068</v>
      </c>
      <c r="C30" s="417">
        <f>C26</f>
        <v>0.16666666666666666</v>
      </c>
      <c r="D30" s="407" t="s">
        <v>1083</v>
      </c>
      <c r="E30" s="407"/>
      <c r="F30" s="407"/>
      <c r="G30" s="407" t="s">
        <v>7</v>
      </c>
    </row>
    <row r="31" spans="1:25">
      <c r="B31" t="s">
        <v>1069</v>
      </c>
      <c r="C31" s="408">
        <v>1</v>
      </c>
      <c r="D31" t="s">
        <v>37</v>
      </c>
      <c r="G31" t="s">
        <v>11</v>
      </c>
    </row>
    <row r="32" spans="1:25">
      <c r="A32" s="407"/>
      <c r="B32" s="407" t="s">
        <v>1078</v>
      </c>
      <c r="C32" s="403">
        <v>0</v>
      </c>
      <c r="D32" s="407" t="s">
        <v>38</v>
      </c>
      <c r="E32" s="407" t="s">
        <v>39</v>
      </c>
      <c r="F32" s="407"/>
      <c r="G32" s="407" t="s">
        <v>11</v>
      </c>
    </row>
    <row r="33" spans="1:7">
      <c r="A33" s="290" t="s">
        <v>1172</v>
      </c>
      <c r="B33" t="s">
        <v>438</v>
      </c>
      <c r="C33" s="414">
        <f>Geometry!D12</f>
        <v>0.30000000000000004</v>
      </c>
      <c r="D33" t="s">
        <v>40</v>
      </c>
      <c r="G33" t="s">
        <v>14</v>
      </c>
    </row>
    <row r="34" spans="1:7">
      <c r="B34" t="s">
        <v>1079</v>
      </c>
      <c r="C34" s="403" t="s">
        <v>884</v>
      </c>
      <c r="D34" t="s">
        <v>1218</v>
      </c>
      <c r="G34" t="s">
        <v>11</v>
      </c>
    </row>
    <row r="35" spans="1:7">
      <c r="B35" t="s">
        <v>1080</v>
      </c>
      <c r="C35" s="418">
        <f>V_houseSI</f>
        <v>749.70012499999996</v>
      </c>
      <c r="D35" t="s">
        <v>41</v>
      </c>
      <c r="G35" t="s">
        <v>14</v>
      </c>
    </row>
    <row r="36" spans="1:7">
      <c r="B36" t="s">
        <v>1081</v>
      </c>
      <c r="C36" s="418">
        <f>A_houseSI</f>
        <v>299.88004999999998</v>
      </c>
      <c r="D36" t="s">
        <v>42</v>
      </c>
      <c r="E36" t="s">
        <v>1084</v>
      </c>
      <c r="F36" t="s">
        <v>43</v>
      </c>
      <c r="G36" t="s">
        <v>14</v>
      </c>
    </row>
    <row r="37" spans="1:7">
      <c r="B37" t="s">
        <v>1082</v>
      </c>
      <c r="C37" s="418">
        <f>planareaSI</f>
        <v>299.88004999999998</v>
      </c>
      <c r="D37" t="s">
        <v>437</v>
      </c>
      <c r="G37" t="s">
        <v>14</v>
      </c>
    </row>
    <row r="38" spans="1:7">
      <c r="B38" t="s">
        <v>987</v>
      </c>
      <c r="C38" s="418">
        <f>Geometry!D13</f>
        <v>2.5</v>
      </c>
      <c r="D38" t="s">
        <v>988</v>
      </c>
      <c r="G38" s="290" t="s">
        <v>14</v>
      </c>
    </row>
    <row r="39" spans="1:7">
      <c r="B39" t="s">
        <v>1085</v>
      </c>
      <c r="C39" s="419">
        <f>UA!F11</f>
        <v>64.30235473859382</v>
      </c>
      <c r="D39" t="s">
        <v>1029</v>
      </c>
      <c r="E39" t="s">
        <v>1090</v>
      </c>
      <c r="F39" t="s">
        <v>44</v>
      </c>
      <c r="G39" t="s">
        <v>45</v>
      </c>
    </row>
    <row r="40" spans="1:7">
      <c r="B40" t="s">
        <v>1086</v>
      </c>
      <c r="C40" s="419">
        <f>UA!F13</f>
        <v>130.97837876153847</v>
      </c>
      <c r="D40" t="s">
        <v>1030</v>
      </c>
      <c r="E40" t="s">
        <v>1091</v>
      </c>
      <c r="F40" t="s">
        <v>44</v>
      </c>
      <c r="G40" t="s">
        <v>45</v>
      </c>
    </row>
    <row r="41" spans="1:7">
      <c r="A41" s="407"/>
      <c r="B41" s="407" t="s">
        <v>1087</v>
      </c>
      <c r="C41" s="420">
        <f>UA!F12</f>
        <v>136.21751391199999</v>
      </c>
      <c r="D41" s="407" t="s">
        <v>1031</v>
      </c>
      <c r="E41" s="407" t="s">
        <v>1092</v>
      </c>
      <c r="F41" s="407"/>
      <c r="G41" s="407" t="s">
        <v>45</v>
      </c>
    </row>
    <row r="42" spans="1:7">
      <c r="A42" s="290" t="s">
        <v>46</v>
      </c>
      <c r="B42" t="s">
        <v>1088</v>
      </c>
      <c r="C42" s="408">
        <v>0</v>
      </c>
      <c r="D42" t="s">
        <v>47</v>
      </c>
      <c r="G42" t="s">
        <v>11</v>
      </c>
    </row>
    <row r="43" spans="1:7">
      <c r="B43" t="s">
        <v>989</v>
      </c>
      <c r="C43" s="403">
        <v>0</v>
      </c>
    </row>
    <row r="44" spans="1:7">
      <c r="B44" t="s">
        <v>990</v>
      </c>
      <c r="C44" s="403">
        <v>0</v>
      </c>
    </row>
    <row r="45" spans="1:7">
      <c r="B45" t="s">
        <v>991</v>
      </c>
      <c r="C45" s="403">
        <v>0</v>
      </c>
    </row>
    <row r="46" spans="1:7">
      <c r="B46" t="s">
        <v>992</v>
      </c>
      <c r="C46" s="403">
        <v>0</v>
      </c>
    </row>
    <row r="47" spans="1:7">
      <c r="A47" s="407"/>
      <c r="B47" s="407" t="s">
        <v>993</v>
      </c>
      <c r="C47" s="403">
        <v>0</v>
      </c>
      <c r="D47" s="407"/>
      <c r="E47" s="407"/>
      <c r="F47" s="407"/>
      <c r="G47" s="407"/>
    </row>
    <row r="48" spans="1:7">
      <c r="A48" s="290" t="s">
        <v>48</v>
      </c>
      <c r="B48" t="s">
        <v>1089</v>
      </c>
      <c r="C48" s="408">
        <v>6</v>
      </c>
      <c r="D48" t="s">
        <v>49</v>
      </c>
      <c r="G48" t="s">
        <v>11</v>
      </c>
    </row>
    <row r="49" spans="2:7">
      <c r="B49" t="s">
        <v>1095</v>
      </c>
      <c r="C49" s="421">
        <f>Fans!B12</f>
        <v>63.521465169510464</v>
      </c>
      <c r="D49" t="s">
        <v>694</v>
      </c>
      <c r="G49" t="s">
        <v>50</v>
      </c>
    </row>
    <row r="50" spans="2:7">
      <c r="B50" t="s">
        <v>1093</v>
      </c>
      <c r="C50" s="426">
        <f>Fans!B13</f>
        <v>-0.11222873704860507</v>
      </c>
      <c r="D50" t="s">
        <v>51</v>
      </c>
      <c r="G50" t="s">
        <v>50</v>
      </c>
    </row>
    <row r="51" spans="2:7">
      <c r="B51" s="407" t="s">
        <v>1094</v>
      </c>
      <c r="C51" s="515">
        <f>Fans!B14</f>
        <v>1</v>
      </c>
      <c r="D51" s="407" t="s">
        <v>695</v>
      </c>
      <c r="E51" s="407"/>
      <c r="F51" s="407" t="s">
        <v>52</v>
      </c>
      <c r="G51" s="407" t="s">
        <v>50</v>
      </c>
    </row>
    <row r="52" spans="2:7">
      <c r="B52" s="290" t="s">
        <v>1096</v>
      </c>
      <c r="C52" s="414">
        <f>Fans!I20</f>
        <v>0</v>
      </c>
      <c r="D52" t="s">
        <v>696</v>
      </c>
      <c r="G52" t="s">
        <v>50</v>
      </c>
    </row>
    <row r="53" spans="2:7">
      <c r="B53" s="290" t="s">
        <v>1097</v>
      </c>
      <c r="C53" s="422">
        <f>Fans!C20</f>
        <v>-7.0788107597923547E-2</v>
      </c>
      <c r="D53" t="s">
        <v>53</v>
      </c>
      <c r="G53" t="s">
        <v>50</v>
      </c>
    </row>
    <row r="54" spans="2:7">
      <c r="B54" s="407" t="s">
        <v>1098</v>
      </c>
      <c r="C54" s="403">
        <v>23</v>
      </c>
      <c r="D54" s="407" t="s">
        <v>697</v>
      </c>
      <c r="E54" s="407"/>
      <c r="F54" s="407"/>
      <c r="G54" s="407"/>
    </row>
    <row r="55" spans="2:7">
      <c r="B55" s="290" t="s">
        <v>1099</v>
      </c>
      <c r="C55" s="423">
        <f>Fans!I18</f>
        <v>37.200000000000003</v>
      </c>
      <c r="D55" t="s">
        <v>698</v>
      </c>
      <c r="G55" t="s">
        <v>50</v>
      </c>
    </row>
    <row r="56" spans="2:7">
      <c r="B56" s="290" t="s">
        <v>1100</v>
      </c>
      <c r="C56" s="422">
        <f>Fans!C18</f>
        <v>-4.7192071731949031E-2</v>
      </c>
      <c r="D56" t="s">
        <v>54</v>
      </c>
      <c r="G56" t="s">
        <v>50</v>
      </c>
    </row>
    <row r="57" spans="2:7">
      <c r="B57" s="407" t="s">
        <v>1101</v>
      </c>
      <c r="C57" s="403">
        <v>24</v>
      </c>
      <c r="D57" s="407" t="s">
        <v>699</v>
      </c>
      <c r="E57" s="407"/>
      <c r="F57" s="407"/>
      <c r="G57" s="407"/>
    </row>
    <row r="58" spans="2:7">
      <c r="B58" s="290" t="s">
        <v>1102</v>
      </c>
      <c r="C58" s="414">
        <f>IF(Fans!B6&gt;0,Fans!I17,0)</f>
        <v>10.199999999999999</v>
      </c>
      <c r="D58" t="s">
        <v>700</v>
      </c>
      <c r="G58" t="s">
        <v>50</v>
      </c>
    </row>
    <row r="59" spans="2:7">
      <c r="B59" s="290" t="s">
        <v>1103</v>
      </c>
      <c r="C59" s="422">
        <f>IF(Fans!B6&gt;0,Fans!C17,0)</f>
        <v>-2.3596035865974516E-2</v>
      </c>
      <c r="D59" t="s">
        <v>56</v>
      </c>
      <c r="G59" t="s">
        <v>50</v>
      </c>
    </row>
    <row r="60" spans="2:7">
      <c r="B60" s="407" t="s">
        <v>1104</v>
      </c>
      <c r="C60" s="403">
        <v>25</v>
      </c>
      <c r="D60" s="407" t="s">
        <v>701</v>
      </c>
      <c r="E60" s="407"/>
      <c r="F60" s="407"/>
      <c r="G60" s="407"/>
    </row>
    <row r="61" spans="2:7">
      <c r="B61" s="290" t="s">
        <v>1105</v>
      </c>
      <c r="C61" s="414">
        <f>IF(Fans!B6&gt;1,Fans!I17,0)</f>
        <v>10.199999999999999</v>
      </c>
      <c r="D61" t="s">
        <v>567</v>
      </c>
      <c r="G61" s="290" t="s">
        <v>50</v>
      </c>
    </row>
    <row r="62" spans="2:7">
      <c r="B62" s="290" t="s">
        <v>1106</v>
      </c>
      <c r="C62" s="422">
        <f>IF(Fans!B6&gt;1,Fans!C17,0)</f>
        <v>-2.3596035865974516E-2</v>
      </c>
      <c r="D62" t="s">
        <v>565</v>
      </c>
      <c r="G62" s="290" t="s">
        <v>50</v>
      </c>
    </row>
    <row r="63" spans="2:7">
      <c r="B63" s="407" t="s">
        <v>1107</v>
      </c>
      <c r="C63" s="403">
        <v>26</v>
      </c>
      <c r="D63" s="407" t="s">
        <v>702</v>
      </c>
      <c r="E63" s="407"/>
      <c r="F63" s="407"/>
      <c r="G63" s="407"/>
    </row>
    <row r="64" spans="2:7">
      <c r="B64" s="290" t="s">
        <v>1108</v>
      </c>
      <c r="C64" s="414">
        <f>IF(Fans!B6&gt;2,Fans!I17,0)</f>
        <v>0</v>
      </c>
      <c r="D64" t="s">
        <v>703</v>
      </c>
      <c r="G64" s="290" t="s">
        <v>50</v>
      </c>
    </row>
    <row r="65" spans="1:7">
      <c r="B65" s="290" t="s">
        <v>1109</v>
      </c>
      <c r="C65" s="422">
        <f>IF(Fans!B6&gt;2,Fans!C17,0)</f>
        <v>0</v>
      </c>
      <c r="D65" t="s">
        <v>566</v>
      </c>
      <c r="G65" s="290" t="s">
        <v>50</v>
      </c>
    </row>
    <row r="66" spans="1:7">
      <c r="B66" s="407" t="s">
        <v>1110</v>
      </c>
      <c r="C66" s="403">
        <v>27</v>
      </c>
      <c r="D66" s="407" t="s">
        <v>704</v>
      </c>
      <c r="E66" s="407"/>
      <c r="F66" s="407"/>
      <c r="G66" s="407"/>
    </row>
    <row r="67" spans="1:7">
      <c r="B67" s="290" t="s">
        <v>1111</v>
      </c>
      <c r="C67" s="410">
        <v>0</v>
      </c>
      <c r="D67" t="s">
        <v>1177</v>
      </c>
      <c r="G67" s="290"/>
    </row>
    <row r="68" spans="1:7">
      <c r="B68" s="290" t="s">
        <v>1112</v>
      </c>
      <c r="C68" s="404">
        <v>0</v>
      </c>
      <c r="D68" t="s">
        <v>566</v>
      </c>
      <c r="G68" s="290"/>
    </row>
    <row r="69" spans="1:7">
      <c r="B69" s="407" t="s">
        <v>1113</v>
      </c>
      <c r="C69" s="403">
        <v>0</v>
      </c>
      <c r="D69" s="407" t="s">
        <v>568</v>
      </c>
      <c r="E69" s="407"/>
      <c r="F69" s="407"/>
      <c r="G69" s="407"/>
    </row>
    <row r="70" spans="1:7">
      <c r="B70" s="290" t="s">
        <v>1114</v>
      </c>
      <c r="C70" s="410">
        <v>0</v>
      </c>
      <c r="D70" t="s">
        <v>1176</v>
      </c>
      <c r="G70" s="290"/>
    </row>
    <row r="71" spans="1:7">
      <c r="B71" s="290" t="s">
        <v>1115</v>
      </c>
      <c r="C71" s="404">
        <v>0</v>
      </c>
      <c r="D71" t="s">
        <v>566</v>
      </c>
      <c r="G71" s="290"/>
    </row>
    <row r="72" spans="1:7">
      <c r="A72" s="407"/>
      <c r="B72" s="407" t="s">
        <v>1116</v>
      </c>
      <c r="C72" s="403">
        <v>0</v>
      </c>
      <c r="D72" s="407" t="s">
        <v>568</v>
      </c>
      <c r="E72" s="407"/>
      <c r="F72" s="407"/>
      <c r="G72" s="407"/>
    </row>
    <row r="73" spans="1:7">
      <c r="A73" s="290" t="s">
        <v>57</v>
      </c>
      <c r="B73" t="s">
        <v>439</v>
      </c>
      <c r="C73" s="416">
        <f>A_windowSI/4*2</f>
        <v>29.988005000000001</v>
      </c>
      <c r="D73" t="s">
        <v>58</v>
      </c>
      <c r="E73" t="s">
        <v>59</v>
      </c>
      <c r="G73" t="s">
        <v>14</v>
      </c>
    </row>
    <row r="74" spans="1:7">
      <c r="B74" t="s">
        <v>440</v>
      </c>
      <c r="C74" s="416">
        <f>A_windowSI/4</f>
        <v>14.994002500000001</v>
      </c>
      <c r="D74" t="s">
        <v>60</v>
      </c>
      <c r="E74" t="s">
        <v>61</v>
      </c>
      <c r="G74" t="s">
        <v>14</v>
      </c>
    </row>
    <row r="75" spans="1:7">
      <c r="B75" t="s">
        <v>441</v>
      </c>
      <c r="C75" s="416">
        <f>A_windowSI/4</f>
        <v>14.994002500000001</v>
      </c>
      <c r="D75" t="s">
        <v>542</v>
      </c>
      <c r="E75" t="s">
        <v>62</v>
      </c>
      <c r="G75" t="s">
        <v>14</v>
      </c>
    </row>
    <row r="76" spans="1:7">
      <c r="B76" t="s">
        <v>1117</v>
      </c>
      <c r="C76" s="426">
        <f>UA!F28</f>
        <v>0.25</v>
      </c>
      <c r="D76" t="s">
        <v>63</v>
      </c>
      <c r="F76" t="s">
        <v>64</v>
      </c>
      <c r="G76" t="s">
        <v>45</v>
      </c>
    </row>
    <row r="77" spans="1:7">
      <c r="B77" t="s">
        <v>1118</v>
      </c>
      <c r="C77" s="427">
        <f>UA!F21</f>
        <v>3.3022190912293063</v>
      </c>
      <c r="D77" t="s">
        <v>65</v>
      </c>
      <c r="F77" t="s">
        <v>64</v>
      </c>
      <c r="G77" t="s">
        <v>45</v>
      </c>
    </row>
    <row r="78" spans="1:7">
      <c r="B78" t="s">
        <v>1119</v>
      </c>
      <c r="C78" s="427">
        <f>UA!F22</f>
        <v>4.5943917791016435</v>
      </c>
      <c r="D78" t="s">
        <v>66</v>
      </c>
      <c r="G78" t="s">
        <v>45</v>
      </c>
    </row>
    <row r="79" spans="1:7">
      <c r="B79" t="s">
        <v>1120</v>
      </c>
      <c r="C79" s="424">
        <f>'Internal gains'!D12</f>
        <v>7.5231481481481474E-5</v>
      </c>
      <c r="D79" t="s">
        <v>67</v>
      </c>
      <c r="G79" t="s">
        <v>68</v>
      </c>
    </row>
    <row r="80" spans="1:7">
      <c r="A80" s="407"/>
      <c r="B80" s="407" t="s">
        <v>1121</v>
      </c>
      <c r="C80" s="425">
        <f>'Internal gains'!D6</f>
        <v>977.90662137547451</v>
      </c>
      <c r="D80" s="407" t="s">
        <v>69</v>
      </c>
      <c r="E80" s="407"/>
      <c r="F80" s="407"/>
      <c r="G80" s="407" t="s">
        <v>68</v>
      </c>
    </row>
    <row r="81" spans="1:7">
      <c r="A81" s="290" t="s">
        <v>70</v>
      </c>
      <c r="B81" t="s">
        <v>1122</v>
      </c>
      <c r="C81" s="418">
        <f>Geometry!D25</f>
        <v>306.00260102083325</v>
      </c>
      <c r="D81" t="s">
        <v>543</v>
      </c>
      <c r="G81" s="290" t="s">
        <v>14</v>
      </c>
    </row>
    <row r="82" spans="1:7">
      <c r="B82" t="s">
        <v>1123</v>
      </c>
      <c r="C82" s="416">
        <f>Attic!D15</f>
        <v>0.5660247946157696</v>
      </c>
      <c r="D82" t="s">
        <v>71</v>
      </c>
      <c r="E82" t="s">
        <v>72</v>
      </c>
      <c r="F82" t="s">
        <v>73</v>
      </c>
      <c r="G82" t="s">
        <v>74</v>
      </c>
    </row>
    <row r="83" spans="1:7">
      <c r="B83" s="407" t="s">
        <v>1124</v>
      </c>
      <c r="C83" s="417">
        <f>Attic!D14</f>
        <v>0.65</v>
      </c>
      <c r="D83" s="407" t="s">
        <v>75</v>
      </c>
      <c r="E83" s="407" t="s">
        <v>76</v>
      </c>
      <c r="F83" s="407" t="s">
        <v>73</v>
      </c>
      <c r="G83" s="407" t="s">
        <v>74</v>
      </c>
    </row>
    <row r="84" spans="1:7">
      <c r="B84" t="s">
        <v>1125</v>
      </c>
      <c r="C84" s="414">
        <f>Attic!D19</f>
        <v>0.35</v>
      </c>
      <c r="D84" t="s">
        <v>78</v>
      </c>
      <c r="E84" t="s">
        <v>28</v>
      </c>
      <c r="G84" t="s">
        <v>74</v>
      </c>
    </row>
    <row r="85" spans="1:7">
      <c r="B85" t="s">
        <v>1126</v>
      </c>
      <c r="C85" s="414">
        <f>Attic!D20</f>
        <v>0.35</v>
      </c>
      <c r="D85" t="s">
        <v>79</v>
      </c>
      <c r="E85" t="s">
        <v>30</v>
      </c>
      <c r="G85" t="s">
        <v>74</v>
      </c>
    </row>
    <row r="86" spans="1:7">
      <c r="B86" t="s">
        <v>1127</v>
      </c>
      <c r="C86" s="414">
        <f>Attic!D21</f>
        <v>0.1</v>
      </c>
      <c r="D86" t="s">
        <v>80</v>
      </c>
      <c r="E86" t="s">
        <v>31</v>
      </c>
      <c r="G86" t="s">
        <v>74</v>
      </c>
    </row>
    <row r="87" spans="1:7">
      <c r="B87" t="s">
        <v>1128</v>
      </c>
      <c r="C87" s="414">
        <f>Attic!D22</f>
        <v>0.1</v>
      </c>
      <c r="D87" t="s">
        <v>81</v>
      </c>
      <c r="E87" t="s">
        <v>32</v>
      </c>
      <c r="G87" t="s">
        <v>74</v>
      </c>
    </row>
    <row r="88" spans="1:7">
      <c r="B88" s="407" t="s">
        <v>1129</v>
      </c>
      <c r="C88" s="415">
        <f>Attic!D23</f>
        <v>0.1</v>
      </c>
      <c r="D88" s="407" t="s">
        <v>82</v>
      </c>
      <c r="E88" s="407"/>
      <c r="F88" s="407"/>
      <c r="G88" s="407" t="s">
        <v>74</v>
      </c>
    </row>
    <row r="89" spans="1:7">
      <c r="B89" t="s">
        <v>1130</v>
      </c>
      <c r="C89" s="414">
        <f>H_soffitSI</f>
        <v>2.9499999999999997</v>
      </c>
      <c r="D89" t="s">
        <v>83</v>
      </c>
      <c r="G89" t="s">
        <v>14</v>
      </c>
    </row>
    <row r="90" spans="1:7">
      <c r="B90" t="s">
        <v>1131</v>
      </c>
      <c r="C90" s="414">
        <f>H_soffitSI</f>
        <v>2.9499999999999997</v>
      </c>
      <c r="D90" t="s">
        <v>84</v>
      </c>
      <c r="G90" t="s">
        <v>14</v>
      </c>
    </row>
    <row r="91" spans="1:7">
      <c r="B91" t="s">
        <v>1132</v>
      </c>
      <c r="C91" s="414">
        <f>H_soffitSI</f>
        <v>2.9499999999999997</v>
      </c>
      <c r="D91" t="s">
        <v>85</v>
      </c>
      <c r="G91" t="s">
        <v>14</v>
      </c>
    </row>
    <row r="92" spans="1:7">
      <c r="A92" s="407"/>
      <c r="B92" s="407" t="s">
        <v>1133</v>
      </c>
      <c r="C92" s="415">
        <f>H_soffitSI</f>
        <v>2.9499999999999997</v>
      </c>
      <c r="D92" s="407" t="s">
        <v>86</v>
      </c>
      <c r="E92" s="407"/>
      <c r="F92" s="407"/>
      <c r="G92" s="407" t="s">
        <v>14</v>
      </c>
    </row>
    <row r="93" spans="1:7">
      <c r="A93" s="290" t="s">
        <v>87</v>
      </c>
      <c r="B93" t="s">
        <v>1134</v>
      </c>
      <c r="C93" s="408">
        <v>2</v>
      </c>
      <c r="D93" t="s">
        <v>88</v>
      </c>
      <c r="G93" t="s">
        <v>11</v>
      </c>
    </row>
    <row r="94" spans="1:7">
      <c r="B94" t="s">
        <v>1247</v>
      </c>
      <c r="C94" s="403">
        <v>1</v>
      </c>
      <c r="D94" t="s">
        <v>89</v>
      </c>
      <c r="G94" t="s">
        <v>74</v>
      </c>
    </row>
    <row r="95" spans="1:7">
      <c r="B95" t="s">
        <v>1248</v>
      </c>
      <c r="C95" s="416">
        <f>H_attic.ventSI</f>
        <v>3.970416666666666</v>
      </c>
      <c r="D95" t="s">
        <v>90</v>
      </c>
      <c r="G95" s="290" t="s">
        <v>14</v>
      </c>
    </row>
    <row r="96" spans="1:7">
      <c r="B96" t="s">
        <v>1249</v>
      </c>
      <c r="C96" s="416">
        <f>Attic!D12*Attic!D19*2</f>
        <v>0.27988804666666661</v>
      </c>
      <c r="D96" t="s">
        <v>91</v>
      </c>
      <c r="G96" t="s">
        <v>74</v>
      </c>
    </row>
    <row r="97" spans="1:7">
      <c r="B97" s="407" t="s">
        <v>1250</v>
      </c>
      <c r="C97" s="403">
        <v>0.5</v>
      </c>
      <c r="D97" s="407" t="s">
        <v>92</v>
      </c>
      <c r="E97" s="407"/>
      <c r="F97" s="407"/>
      <c r="G97" s="407" t="s">
        <v>11</v>
      </c>
    </row>
    <row r="98" spans="1:7">
      <c r="B98" s="290" t="s">
        <v>1251</v>
      </c>
      <c r="C98" s="408">
        <v>3</v>
      </c>
      <c r="D98" t="s">
        <v>89</v>
      </c>
      <c r="G98" t="s">
        <v>11</v>
      </c>
    </row>
    <row r="99" spans="1:7">
      <c r="B99" s="290" t="s">
        <v>1252</v>
      </c>
      <c r="C99" s="416">
        <f>H_attic.ventSI</f>
        <v>3.970416666666666</v>
      </c>
      <c r="D99" t="s">
        <v>90</v>
      </c>
      <c r="G99" s="290" t="s">
        <v>14</v>
      </c>
    </row>
    <row r="100" spans="1:7">
      <c r="B100" s="290" t="s">
        <v>1253</v>
      </c>
      <c r="C100" s="416">
        <f>Attic!D12*Attic!D21*2</f>
        <v>7.9968013333333324E-2</v>
      </c>
      <c r="D100" t="s">
        <v>91</v>
      </c>
      <c r="G100" t="s">
        <v>74</v>
      </c>
    </row>
    <row r="101" spans="1:7">
      <c r="A101" s="407"/>
      <c r="B101" s="407" t="s">
        <v>1254</v>
      </c>
      <c r="C101" s="403">
        <v>0.5</v>
      </c>
      <c r="D101" s="407" t="s">
        <v>92</v>
      </c>
      <c r="E101" s="407"/>
      <c r="F101" s="407"/>
      <c r="G101" s="407" t="s">
        <v>11</v>
      </c>
    </row>
    <row r="102" spans="1:7">
      <c r="A102" s="290" t="s">
        <v>152</v>
      </c>
      <c r="B102" t="s">
        <v>1135</v>
      </c>
      <c r="C102" s="416">
        <f>Geometry!D23</f>
        <v>18.43494882292201</v>
      </c>
      <c r="D102" s="87" t="s">
        <v>93</v>
      </c>
      <c r="E102" s="292" t="s">
        <v>94</v>
      </c>
      <c r="F102" s="305"/>
      <c r="G102" s="3" t="s">
        <v>14</v>
      </c>
    </row>
    <row r="103" spans="1:7">
      <c r="B103" t="s">
        <v>1136</v>
      </c>
      <c r="C103" s="403" t="s">
        <v>95</v>
      </c>
      <c r="D103" s="305" t="s">
        <v>96</v>
      </c>
      <c r="E103" s="305"/>
      <c r="F103" s="305"/>
      <c r="G103" s="3" t="s">
        <v>11</v>
      </c>
    </row>
    <row r="104" spans="1:7">
      <c r="B104" t="s">
        <v>1137</v>
      </c>
      <c r="C104" s="418">
        <f>H_peak</f>
        <v>4.9908333333333328</v>
      </c>
      <c r="D104" s="305" t="s">
        <v>448</v>
      </c>
      <c r="E104" s="305"/>
      <c r="F104" s="305"/>
      <c r="G104" s="3" t="s">
        <v>14</v>
      </c>
    </row>
    <row r="105" spans="1:7">
      <c r="B105" t="s">
        <v>1138</v>
      </c>
      <c r="C105" s="403">
        <v>0</v>
      </c>
      <c r="D105" s="305" t="s">
        <v>97</v>
      </c>
      <c r="E105" s="305"/>
      <c r="F105" s="305"/>
      <c r="G105" s="3" t="s">
        <v>11</v>
      </c>
    </row>
    <row r="106" spans="1:7">
      <c r="B106" t="s">
        <v>1139</v>
      </c>
    </row>
    <row r="107" spans="1:7">
      <c r="B107" t="s">
        <v>1140</v>
      </c>
    </row>
    <row r="108" spans="1:7">
      <c r="B108" t="s">
        <v>1141</v>
      </c>
    </row>
    <row r="109" spans="1:7">
      <c r="B109" t="s">
        <v>1142</v>
      </c>
      <c r="C109" s="403">
        <v>0</v>
      </c>
      <c r="D109" s="305" t="s">
        <v>98</v>
      </c>
      <c r="E109" s="305"/>
      <c r="F109" s="305"/>
      <c r="G109" s="3" t="s">
        <v>11</v>
      </c>
    </row>
    <row r="110" spans="1:7">
      <c r="A110" s="407"/>
      <c r="B110" s="407" t="s">
        <v>1143</v>
      </c>
      <c r="C110" s="403">
        <v>1</v>
      </c>
      <c r="D110" s="104" t="s">
        <v>100</v>
      </c>
      <c r="E110" s="104"/>
      <c r="F110" s="104"/>
      <c r="G110" s="409" t="s">
        <v>11</v>
      </c>
    </row>
    <row r="111" spans="1:7">
      <c r="A111" s="290" t="s">
        <v>99</v>
      </c>
      <c r="B111" t="s">
        <v>1144</v>
      </c>
      <c r="C111" s="408">
        <v>1</v>
      </c>
      <c r="D111" s="305" t="s">
        <v>571</v>
      </c>
      <c r="E111" s="305"/>
      <c r="F111" s="305"/>
      <c r="G111" s="3" t="s">
        <v>11</v>
      </c>
    </row>
    <row r="112" spans="1:7">
      <c r="B112" t="s">
        <v>1145</v>
      </c>
      <c r="C112" s="426">
        <f>Ducts!I14</f>
        <v>0.05</v>
      </c>
      <c r="D112" s="305" t="s">
        <v>101</v>
      </c>
      <c r="E112" s="305"/>
      <c r="F112" s="305"/>
      <c r="G112" s="3" t="s">
        <v>102</v>
      </c>
    </row>
    <row r="113" spans="1:7">
      <c r="B113" t="s">
        <v>1146</v>
      </c>
      <c r="C113" s="426">
        <f>Ducts!I14</f>
        <v>0.05</v>
      </c>
      <c r="D113" s="305" t="s">
        <v>103</v>
      </c>
      <c r="E113" s="305"/>
      <c r="F113" s="305"/>
      <c r="G113" s="3" t="s">
        <v>102</v>
      </c>
    </row>
    <row r="114" spans="1:7">
      <c r="B114" t="s">
        <v>104</v>
      </c>
      <c r="C114" s="426">
        <f>Ducts!I16</f>
        <v>1.5322296583303978</v>
      </c>
      <c r="D114" s="305" t="s">
        <v>105</v>
      </c>
      <c r="E114" s="305"/>
      <c r="F114" s="305"/>
      <c r="G114" s="3" t="s">
        <v>102</v>
      </c>
    </row>
    <row r="115" spans="1:7">
      <c r="B115" t="s">
        <v>106</v>
      </c>
      <c r="C115" s="426">
        <f>Ducts!I16</f>
        <v>1.5322296583303978</v>
      </c>
      <c r="D115" s="305" t="s">
        <v>107</v>
      </c>
      <c r="E115" s="305"/>
      <c r="F115" s="305"/>
      <c r="G115" s="3" t="s">
        <v>102</v>
      </c>
    </row>
    <row r="116" spans="1:7">
      <c r="B116" t="s">
        <v>1282</v>
      </c>
      <c r="C116" s="423">
        <f>Ducts!D18</f>
        <v>0</v>
      </c>
      <c r="D116" s="313" t="s">
        <v>1284</v>
      </c>
      <c r="E116" s="305"/>
      <c r="F116" s="305"/>
      <c r="G116" s="3" t="s">
        <v>102</v>
      </c>
    </row>
    <row r="117" spans="1:7">
      <c r="B117" t="s">
        <v>1283</v>
      </c>
      <c r="C117" s="423">
        <f>Ducts!D19</f>
        <v>0</v>
      </c>
      <c r="D117" s="313" t="s">
        <v>1285</v>
      </c>
      <c r="E117" s="305"/>
      <c r="F117" s="305"/>
      <c r="G117" s="3" t="s">
        <v>102</v>
      </c>
    </row>
    <row r="118" spans="1:7">
      <c r="B118" t="s">
        <v>1147</v>
      </c>
      <c r="C118" s="418">
        <f>Ducts!D16</f>
        <v>103.09454084025489</v>
      </c>
      <c r="D118" s="305" t="s">
        <v>108</v>
      </c>
      <c r="E118" s="305"/>
      <c r="F118" s="305"/>
      <c r="G118" s="3" t="s">
        <v>102</v>
      </c>
    </row>
    <row r="119" spans="1:7">
      <c r="B119" t="s">
        <v>1148</v>
      </c>
      <c r="C119" s="418">
        <f>Ducts!D17</f>
        <v>10.606434242824577</v>
      </c>
      <c r="D119" s="305" t="s">
        <v>109</v>
      </c>
      <c r="E119" s="305"/>
      <c r="F119" s="305"/>
      <c r="G119" s="3" t="s">
        <v>102</v>
      </c>
    </row>
    <row r="120" spans="1:7">
      <c r="B120" t="s">
        <v>1149</v>
      </c>
      <c r="C120" s="414">
        <f>Ducts!D12</f>
        <v>0.25</v>
      </c>
      <c r="D120" s="305" t="s">
        <v>110</v>
      </c>
      <c r="E120" s="305"/>
      <c r="F120" s="305"/>
      <c r="G120" s="3" t="s">
        <v>102</v>
      </c>
    </row>
    <row r="121" spans="1:7">
      <c r="B121" t="s">
        <v>1150</v>
      </c>
      <c r="C121" s="414">
        <f>Ducts!D13</f>
        <v>0.45</v>
      </c>
      <c r="D121" s="305" t="s">
        <v>544</v>
      </c>
      <c r="E121" s="305"/>
      <c r="F121" s="305"/>
      <c r="G121" s="3" t="s">
        <v>102</v>
      </c>
    </row>
    <row r="122" spans="1:7">
      <c r="B122" t="s">
        <v>1151</v>
      </c>
      <c r="C122" s="426">
        <f>HVAC!C27</f>
        <v>0.41908932956160005</v>
      </c>
      <c r="D122" s="305" t="s">
        <v>732</v>
      </c>
      <c r="E122" s="305" t="str">
        <f>"q=" &amp;TEXT(Inputs!C122/0.3048^3*60,"0")&amp; " CFM"</f>
        <v>q=888 CFM</v>
      </c>
      <c r="F122" s="305"/>
      <c r="G122" s="3" t="s">
        <v>111</v>
      </c>
    </row>
    <row r="123" spans="1:7">
      <c r="B123" t="s">
        <v>1152</v>
      </c>
      <c r="C123" s="426">
        <f>HVAC!C28</f>
        <v>0.39641340254837187</v>
      </c>
      <c r="D123" s="305" t="s">
        <v>112</v>
      </c>
      <c r="E123" s="305" t="str">
        <f>"q=" &amp;TEXT(Inputs!C123/0.3048^3*60,"0")&amp; " CFM"</f>
        <v>q=840 CFM</v>
      </c>
      <c r="F123" s="305"/>
      <c r="G123" s="3" t="s">
        <v>111</v>
      </c>
    </row>
    <row r="124" spans="1:7">
      <c r="B124" t="s">
        <v>113</v>
      </c>
      <c r="C124" s="414">
        <f>Ducts!D20</f>
        <v>0.6</v>
      </c>
      <c r="D124" s="305" t="s">
        <v>114</v>
      </c>
      <c r="E124" s="305"/>
      <c r="F124" s="305"/>
      <c r="G124" s="3" t="s">
        <v>102</v>
      </c>
    </row>
    <row r="125" spans="1:7">
      <c r="B125" t="s">
        <v>115</v>
      </c>
      <c r="C125" s="414">
        <f>Ducts!D21</f>
        <v>0.6</v>
      </c>
      <c r="D125" s="305" t="s">
        <v>116</v>
      </c>
      <c r="E125" s="305"/>
      <c r="F125" s="305"/>
      <c r="G125" s="3" t="s">
        <v>102</v>
      </c>
    </row>
    <row r="126" spans="1:7">
      <c r="B126" t="s">
        <v>117</v>
      </c>
      <c r="C126" s="428">
        <f>HVAC!C31</f>
        <v>0</v>
      </c>
      <c r="D126" s="305" t="s">
        <v>118</v>
      </c>
      <c r="E126" s="305"/>
      <c r="F126" s="305"/>
      <c r="G126" s="3" t="s">
        <v>111</v>
      </c>
    </row>
    <row r="127" spans="1:7">
      <c r="A127" s="407"/>
      <c r="B127" s="407" t="s">
        <v>119</v>
      </c>
      <c r="C127" s="429">
        <f>HVAC!C32</f>
        <v>0</v>
      </c>
      <c r="D127" s="104" t="s">
        <v>120</v>
      </c>
      <c r="E127" s="104"/>
      <c r="F127" s="104"/>
      <c r="G127" s="409" t="s">
        <v>111</v>
      </c>
    </row>
    <row r="128" spans="1:7">
      <c r="A128" s="290" t="s">
        <v>545</v>
      </c>
      <c r="B128" t="s">
        <v>443</v>
      </c>
      <c r="C128" s="430">
        <f>HVAC!C24</f>
        <v>2.5</v>
      </c>
      <c r="D128" s="305" t="s">
        <v>121</v>
      </c>
      <c r="E128" s="305" t="str">
        <f>"= "&amp;TEXT(Inputs!C128*12*1055/1000,"0.0")&amp;"kJ"</f>
        <v>= 31.7kJ</v>
      </c>
      <c r="F128" s="305"/>
      <c r="G128" s="3" t="s">
        <v>111</v>
      </c>
    </row>
    <row r="129" spans="1:7">
      <c r="B129" t="s">
        <v>444</v>
      </c>
      <c r="C129" s="430">
        <f>HVAC!C25</f>
        <v>30</v>
      </c>
      <c r="D129" s="305" t="s">
        <v>122</v>
      </c>
      <c r="E129" s="305" t="str">
        <f>"= "&amp;TEXT(Inputs!C129*1055*1000/(3600)/1000,"0.0")&amp;"kW"</f>
        <v>= 8.8kW</v>
      </c>
      <c r="F129" s="305"/>
      <c r="G129" s="3" t="s">
        <v>111</v>
      </c>
    </row>
    <row r="130" spans="1:7">
      <c r="B130" t="s">
        <v>442</v>
      </c>
      <c r="C130" s="427">
        <f>HVAC!C10</f>
        <v>15.2</v>
      </c>
      <c r="D130" s="305" t="s">
        <v>123</v>
      </c>
      <c r="E130" s="305" t="s">
        <v>124</v>
      </c>
      <c r="F130" s="305"/>
      <c r="G130" s="3" t="s">
        <v>111</v>
      </c>
    </row>
    <row r="131" spans="1:7">
      <c r="B131" t="s">
        <v>1153</v>
      </c>
      <c r="C131" s="427">
        <f>HVAC!C26</f>
        <v>50</v>
      </c>
      <c r="D131" s="305" t="s">
        <v>125</v>
      </c>
      <c r="E131" s="305" t="str">
        <f>"= "&amp;TEXT(Inputs!C131*1055*1000/(3600)/1000,"0.0")&amp;"kW"</f>
        <v>= 14.7kW</v>
      </c>
      <c r="F131" s="305"/>
      <c r="G131" s="3" t="s">
        <v>111</v>
      </c>
    </row>
    <row r="132" spans="1:7">
      <c r="B132" t="s">
        <v>1154</v>
      </c>
      <c r="C132" s="427">
        <f>HVAC!C30</f>
        <v>140.28</v>
      </c>
      <c r="D132" s="305" t="s">
        <v>494</v>
      </c>
      <c r="E132" s="305"/>
      <c r="F132" s="305"/>
      <c r="G132" s="3" t="s">
        <v>111</v>
      </c>
    </row>
    <row r="133" spans="1:7">
      <c r="B133" t="s">
        <v>1155</v>
      </c>
      <c r="C133" s="427">
        <f>HVAC!C29</f>
        <v>148.3043983199521</v>
      </c>
      <c r="D133" s="305" t="s">
        <v>495</v>
      </c>
      <c r="E133" s="305"/>
      <c r="F133" s="305"/>
      <c r="G133" s="3" t="s">
        <v>111</v>
      </c>
    </row>
    <row r="134" spans="1:7">
      <c r="B134" t="s">
        <v>445</v>
      </c>
      <c r="C134" s="403">
        <v>1</v>
      </c>
      <c r="D134" s="87" t="s">
        <v>496</v>
      </c>
      <c r="E134" s="305"/>
      <c r="F134" s="305"/>
      <c r="G134" s="3" t="s">
        <v>11</v>
      </c>
    </row>
    <row r="135" spans="1:7">
      <c r="A135" s="407"/>
      <c r="B135" s="407" t="s">
        <v>405</v>
      </c>
      <c r="C135" s="431">
        <f>HVAC!C14</f>
        <v>0.8</v>
      </c>
      <c r="D135" s="134" t="s">
        <v>493</v>
      </c>
      <c r="E135" s="104"/>
      <c r="F135" s="104"/>
      <c r="G135" s="409" t="s">
        <v>111</v>
      </c>
    </row>
    <row r="136" spans="1:7">
      <c r="A136" s="290" t="s">
        <v>1173</v>
      </c>
      <c r="B136" t="s">
        <v>1156</v>
      </c>
      <c r="C136" s="433">
        <f>Nbedrooms</f>
        <v>3</v>
      </c>
      <c r="D136" t="s">
        <v>672</v>
      </c>
      <c r="G136" s="406" t="s">
        <v>336</v>
      </c>
    </row>
    <row r="137" spans="1:7">
      <c r="B137" t="s">
        <v>1157</v>
      </c>
      <c r="C137" s="434">
        <f>Stories</f>
        <v>1</v>
      </c>
      <c r="D137" t="s">
        <v>739</v>
      </c>
      <c r="G137" s="406" t="s">
        <v>1160</v>
      </c>
    </row>
    <row r="138" spans="1:7">
      <c r="B138" t="s">
        <v>673</v>
      </c>
      <c r="C138" s="432">
        <f>Weather!B25</f>
        <v>0.41</v>
      </c>
      <c r="D138" t="s">
        <v>674</v>
      </c>
      <c r="G138" s="406" t="s">
        <v>1178</v>
      </c>
    </row>
    <row r="139" spans="1:7">
      <c r="B139" t="s">
        <v>994</v>
      </c>
      <c r="C139" s="403">
        <v>2</v>
      </c>
      <c r="D139" t="s">
        <v>1003</v>
      </c>
      <c r="E139" t="s">
        <v>1012</v>
      </c>
    </row>
    <row r="140" spans="1:7">
      <c r="B140" t="s">
        <v>1318</v>
      </c>
      <c r="C140" s="403">
        <f>Qtot/1000*3600/V_houseSI</f>
        <v>0.28322687954733899</v>
      </c>
      <c r="D140" t="s">
        <v>1319</v>
      </c>
    </row>
    <row r="141" spans="1:7" s="290" customFormat="1">
      <c r="B141" s="290" t="s">
        <v>1320</v>
      </c>
      <c r="C141" s="403">
        <v>0</v>
      </c>
      <c r="D141" s="290" t="s">
        <v>1323</v>
      </c>
      <c r="E141" s="290" t="s">
        <v>1321</v>
      </c>
    </row>
    <row r="142" spans="1:7">
      <c r="A142" s="407"/>
      <c r="B142" s="407" t="s">
        <v>995</v>
      </c>
      <c r="C142" s="403">
        <v>1</v>
      </c>
      <c r="D142" s="407" t="s">
        <v>1004</v>
      </c>
      <c r="E142" s="407" t="s">
        <v>1013</v>
      </c>
      <c r="F142" s="407"/>
      <c r="G142" s="407"/>
    </row>
    <row r="143" spans="1:7">
      <c r="A143" s="290" t="s">
        <v>1174</v>
      </c>
      <c r="B143" t="s">
        <v>996</v>
      </c>
      <c r="C143" s="408">
        <v>0.82</v>
      </c>
      <c r="D143" t="s">
        <v>1005</v>
      </c>
    </row>
    <row r="144" spans="1:7">
      <c r="B144" t="s">
        <v>997</v>
      </c>
      <c r="C144" s="403">
        <v>0.63</v>
      </c>
      <c r="D144" t="s">
        <v>1006</v>
      </c>
      <c r="E144" t="s">
        <v>1014</v>
      </c>
    </row>
    <row r="145" spans="1:7">
      <c r="B145" t="s">
        <v>998</v>
      </c>
      <c r="C145" s="403">
        <v>0.51</v>
      </c>
      <c r="D145" t="s">
        <v>1007</v>
      </c>
      <c r="E145" t="s">
        <v>1014</v>
      </c>
    </row>
    <row r="146" spans="1:7">
      <c r="B146" t="s">
        <v>999</v>
      </c>
      <c r="C146" s="403">
        <v>0</v>
      </c>
      <c r="D146" t="s">
        <v>1008</v>
      </c>
      <c r="E146" t="s">
        <v>1015</v>
      </c>
    </row>
    <row r="147" spans="1:7">
      <c r="B147" t="s">
        <v>1000</v>
      </c>
      <c r="C147" s="403">
        <v>8</v>
      </c>
      <c r="D147" t="s">
        <v>1009</v>
      </c>
      <c r="E147" t="s">
        <v>1016</v>
      </c>
    </row>
    <row r="148" spans="1:7">
      <c r="B148" t="s">
        <v>1001</v>
      </c>
      <c r="C148" s="403">
        <v>0</v>
      </c>
      <c r="D148" t="s">
        <v>1010</v>
      </c>
      <c r="E148" t="s">
        <v>1017</v>
      </c>
    </row>
    <row r="149" spans="1:7">
      <c r="A149" s="407"/>
      <c r="B149" s="407" t="s">
        <v>1002</v>
      </c>
      <c r="C149" s="403">
        <v>1</v>
      </c>
      <c r="D149" s="407" t="s">
        <v>1011</v>
      </c>
      <c r="E149" s="407" t="s">
        <v>1018</v>
      </c>
      <c r="F149" s="407"/>
      <c r="G149" s="407"/>
    </row>
    <row r="150" spans="1:7">
      <c r="A150" s="290" t="s">
        <v>879</v>
      </c>
      <c r="B150" t="s">
        <v>928</v>
      </c>
      <c r="C150" s="435">
        <f>IF(HumControl=0,0,1)</f>
        <v>1</v>
      </c>
      <c r="D150" t="s">
        <v>931</v>
      </c>
      <c r="E150" t="s">
        <v>882</v>
      </c>
    </row>
    <row r="151" spans="1:7">
      <c r="B151" t="s">
        <v>1326</v>
      </c>
      <c r="C151" s="435">
        <f>HumControl</f>
        <v>4</v>
      </c>
      <c r="D151" t="s">
        <v>1327</v>
      </c>
      <c r="G151" t="s">
        <v>1171</v>
      </c>
    </row>
    <row r="152" spans="1:7" s="290" customFormat="1">
      <c r="B152" s="290" t="s">
        <v>1343</v>
      </c>
      <c r="C152" s="435">
        <f>IF(OR(HumControl=2, HumControl=4),1,0)</f>
        <v>1</v>
      </c>
      <c r="D152" s="290" t="s">
        <v>1344</v>
      </c>
    </row>
    <row r="153" spans="1:7">
      <c r="A153" s="290" t="s">
        <v>1175</v>
      </c>
      <c r="B153" t="s">
        <v>1161</v>
      </c>
      <c r="C153" s="454">
        <f>Dehumidifier!B8</f>
        <v>0</v>
      </c>
      <c r="D153" t="s">
        <v>1167</v>
      </c>
      <c r="E153" t="s">
        <v>1162</v>
      </c>
      <c r="G153" t="s">
        <v>1203</v>
      </c>
    </row>
    <row r="154" spans="1:7">
      <c r="B154" t="s">
        <v>1163</v>
      </c>
      <c r="C154" s="452">
        <f>Dehumidifier!B9</f>
        <v>1.85</v>
      </c>
      <c r="D154" t="s">
        <v>1168</v>
      </c>
      <c r="G154" t="s">
        <v>1203</v>
      </c>
    </row>
    <row r="155" spans="1:7">
      <c r="B155" t="s">
        <v>1164</v>
      </c>
      <c r="C155" s="451">
        <f>Dehumidifier!B10</f>
        <v>55</v>
      </c>
      <c r="D155" t="s">
        <v>1169</v>
      </c>
      <c r="G155" s="290" t="s">
        <v>1203</v>
      </c>
    </row>
    <row r="156" spans="1:7">
      <c r="B156" t="s">
        <v>1165</v>
      </c>
      <c r="C156" s="453">
        <f>Dehumidifier!B11</f>
        <v>2.5</v>
      </c>
      <c r="D156" t="s">
        <v>1170</v>
      </c>
      <c r="E156" t="s">
        <v>1166</v>
      </c>
      <c r="G156" s="290" t="s">
        <v>1203</v>
      </c>
    </row>
    <row r="157" spans="1:7">
      <c r="A157" s="305" t="s">
        <v>1206</v>
      </c>
      <c r="B157" t="s">
        <v>1223</v>
      </c>
      <c r="C157" s="403" t="s">
        <v>1207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Z159"/>
  <sheetViews>
    <sheetView zoomScale="85" zoomScaleNormal="85" zoomScalePageLayoutView="85" workbookViewId="0">
      <pane xSplit="2" ySplit="1" topLeftCell="C22" activePane="bottomRight" state="frozen"/>
      <selection pane="topRight" activeCell="C1" sqref="C1"/>
      <selection pane="bottomLeft" activeCell="A2" sqref="A2"/>
      <selection pane="bottomRight" activeCell="C37" sqref="C37"/>
    </sheetView>
  </sheetViews>
  <sheetFormatPr baseColWidth="10" defaultColWidth="8.6640625" defaultRowHeight="15" customHeight="1" outlineLevelCol="1" x14ac:dyDescent="0"/>
  <cols>
    <col min="1" max="1" width="16.5" style="305" bestFit="1" customWidth="1"/>
    <col min="2" max="2" width="17.83203125" style="305" bestFit="1" customWidth="1"/>
    <col min="3" max="3" width="12.83203125" style="13" customWidth="1" outlineLevel="1"/>
    <col min="4" max="13" width="13.33203125" style="13" bestFit="1" customWidth="1" outlineLevel="1"/>
    <col min="14" max="19" width="13.33203125" style="179" bestFit="1" customWidth="1" outlineLevel="1"/>
    <col min="20" max="20" width="17.1640625" style="69" customWidth="1" outlineLevel="1"/>
    <col min="21" max="21" width="9.5" style="5" customWidth="1" outlineLevel="1"/>
    <col min="22" max="16384" width="8.6640625" style="5"/>
  </cols>
  <sheetData>
    <row r="1" spans="1:26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42" t="s">
        <v>910</v>
      </c>
      <c r="S1" s="242" t="s">
        <v>909</v>
      </c>
      <c r="V1" s="5"/>
    </row>
    <row r="2" spans="1:26" s="140" customFormat="1" ht="14">
      <c r="A2" s="140" t="s">
        <v>986</v>
      </c>
      <c r="B2" s="140" t="s">
        <v>1059</v>
      </c>
      <c r="C2" s="57" t="str">
        <f>Weather!B26</f>
        <v>722020TYA.CSV</v>
      </c>
      <c r="D2" s="57" t="str">
        <f>Weather!C26</f>
        <v>722430TYA.CSV</v>
      </c>
      <c r="E2" s="57" t="str">
        <f>Weather!D26</f>
        <v>722780TYA.CSV</v>
      </c>
      <c r="F2" s="57" t="str">
        <f>Weather!E26</f>
        <v>723340TYA.CSV</v>
      </c>
      <c r="G2" s="57" t="str">
        <f>Weather!F26</f>
        <v>722700TYA.CSV</v>
      </c>
      <c r="H2" s="57" t="str">
        <f>Weather!G26</f>
        <v>724940TYA.CSV</v>
      </c>
      <c r="I2" s="57" t="str">
        <f>Weather!H26</f>
        <v>724060TYA.CSV</v>
      </c>
      <c r="J2" s="57" t="str">
        <f>Weather!I26</f>
        <v>723650TYA.CSV</v>
      </c>
      <c r="K2" s="57" t="str">
        <f>Weather!J26</f>
        <v>726940TYA.CSV</v>
      </c>
      <c r="L2" s="57" t="str">
        <f>Weather!K26</f>
        <v>725300TYA.CSV</v>
      </c>
      <c r="M2" s="57" t="str">
        <f>Weather!L26</f>
        <v>726810TYA.CSV</v>
      </c>
      <c r="N2" s="57" t="str">
        <f>Weather!M26</f>
        <v>726170TYA.CSV</v>
      </c>
      <c r="O2" s="57" t="str">
        <f>Weather!N26</f>
        <v>727720TYA.CSV</v>
      </c>
      <c r="P2" s="57" t="str">
        <f>Weather!O26</f>
        <v>727450TYA.CSV</v>
      </c>
      <c r="Q2" s="57" t="str">
        <f>Weather!P26</f>
        <v>702610TYA.CSV</v>
      </c>
      <c r="R2" s="57" t="str">
        <f>Weather!Q26</f>
        <v>722050TYA.CSV</v>
      </c>
      <c r="S2" s="57" t="str">
        <f>Weather!R26</f>
        <v>722080TYA.CSV</v>
      </c>
      <c r="Z2" s="1"/>
    </row>
    <row r="3" spans="1:26" s="140" customFormat="1" ht="14">
      <c r="B3" s="140" t="s">
        <v>973</v>
      </c>
      <c r="C3" s="57" t="str">
        <f>Inputs!$C$3</f>
        <v>REGCAP_FanSchedule_1stShift_ext.txt</v>
      </c>
      <c r="D3" s="57" t="str">
        <f>Inputs!$C$3</f>
        <v>REGCAP_FanSchedule_1stShift_ext.txt</v>
      </c>
      <c r="E3" s="57" t="str">
        <f>Inputs!$C$3</f>
        <v>REGCAP_FanSchedule_1stShift_ext.txt</v>
      </c>
      <c r="F3" s="57" t="str">
        <f>Inputs!$C$3</f>
        <v>REGCAP_FanSchedule_1stShift_ext.txt</v>
      </c>
      <c r="G3" s="57" t="str">
        <f>Inputs!$C$3</f>
        <v>REGCAP_FanSchedule_1stShift_ext.txt</v>
      </c>
      <c r="H3" s="57" t="str">
        <f>Inputs!$C$3</f>
        <v>REGCAP_FanSchedule_1stShift_ext.txt</v>
      </c>
      <c r="I3" s="57" t="str">
        <f>Inputs!$C$3</f>
        <v>REGCAP_FanSchedule_1stShift_ext.txt</v>
      </c>
      <c r="J3" s="57" t="str">
        <f>Inputs!$C$3</f>
        <v>REGCAP_FanSchedule_1stShift_ext.txt</v>
      </c>
      <c r="K3" s="57" t="str">
        <f>Inputs!$C$3</f>
        <v>REGCAP_FanSchedule_1stShift_ext.txt</v>
      </c>
      <c r="L3" s="57" t="str">
        <f>Inputs!$C$3</f>
        <v>REGCAP_FanSchedule_1stShift_ext.txt</v>
      </c>
      <c r="M3" s="57" t="str">
        <f>Inputs!$C$3</f>
        <v>REGCAP_FanSchedule_1stShift_ext.txt</v>
      </c>
      <c r="N3" s="57" t="str">
        <f>Inputs!$C$3</f>
        <v>REGCAP_FanSchedule_1stShift_ext.txt</v>
      </c>
      <c r="O3" s="57" t="str">
        <f>Inputs!$C$3</f>
        <v>REGCAP_FanSchedule_1stShift_ext.txt</v>
      </c>
      <c r="P3" s="57" t="str">
        <f>Inputs!$C$3</f>
        <v>REGCAP_FanSchedule_1stShift_ext.txt</v>
      </c>
      <c r="Q3" s="57" t="str">
        <f>Inputs!$C$3</f>
        <v>REGCAP_FanSchedule_1stShift_ext.txt</v>
      </c>
      <c r="R3" s="57" t="str">
        <f>Inputs!$C$3</f>
        <v>REGCAP_FanSchedule_1stShift_ext.txt</v>
      </c>
      <c r="S3" s="57" t="str">
        <f>Inputs!$C$3</f>
        <v>REGCAP_FanSchedule_1stShift_ext.txt</v>
      </c>
      <c r="Z3" s="1"/>
    </row>
    <row r="4" spans="1:26" s="140" customFormat="1" ht="14">
      <c r="B4" s="140" t="s">
        <v>974</v>
      </c>
      <c r="C4" s="57" t="str">
        <f>Inputs!$C$4</f>
        <v>tstat_std.txt</v>
      </c>
      <c r="D4" s="57" t="str">
        <f>Inputs!$C$4</f>
        <v>tstat_std.txt</v>
      </c>
      <c r="E4" s="57" t="str">
        <f>Inputs!$C$4</f>
        <v>tstat_std.txt</v>
      </c>
      <c r="F4" s="57" t="str">
        <f>Inputs!$C$4</f>
        <v>tstat_std.txt</v>
      </c>
      <c r="G4" s="57" t="str">
        <f>Inputs!$C$4</f>
        <v>tstat_std.txt</v>
      </c>
      <c r="H4" s="57" t="str">
        <f>Inputs!$C$4</f>
        <v>tstat_std.txt</v>
      </c>
      <c r="I4" s="57" t="str">
        <f>Inputs!$C$4</f>
        <v>tstat_std.txt</v>
      </c>
      <c r="J4" s="57" t="str">
        <f>Inputs!$C$4</f>
        <v>tstat_std.txt</v>
      </c>
      <c r="K4" s="57" t="str">
        <f>Inputs!$C$4</f>
        <v>tstat_std.txt</v>
      </c>
      <c r="L4" s="57" t="str">
        <f>Inputs!$C$4</f>
        <v>tstat_std.txt</v>
      </c>
      <c r="M4" s="57" t="str">
        <f>Inputs!$C$4</f>
        <v>tstat_std.txt</v>
      </c>
      <c r="N4" s="57" t="str">
        <f>Inputs!$C$4</f>
        <v>tstat_std.txt</v>
      </c>
      <c r="O4" s="57" t="str">
        <f>Inputs!$C$4</f>
        <v>tstat_std.txt</v>
      </c>
      <c r="P4" s="57" t="str">
        <f>Inputs!$C$4</f>
        <v>tstat_std.txt</v>
      </c>
      <c r="Q4" s="57" t="str">
        <f>Inputs!$C$4</f>
        <v>tstat_std.txt</v>
      </c>
      <c r="R4" s="57" t="str">
        <f>Inputs!$C$4</f>
        <v>tstat_std.txt</v>
      </c>
      <c r="S4" s="57" t="str">
        <f>Inputs!$C$4</f>
        <v>tstat_std.txt</v>
      </c>
      <c r="Z4" s="1"/>
    </row>
    <row r="5" spans="1:26" s="140" customFormat="1" ht="14">
      <c r="B5" s="140" t="s">
        <v>975</v>
      </c>
      <c r="C5" s="57" t="str">
        <f>Inputs!$C$5</f>
        <v>occ_1stShift_extended.txt</v>
      </c>
      <c r="D5" s="57" t="str">
        <f>Inputs!$C$5</f>
        <v>occ_1stShift_extended.txt</v>
      </c>
      <c r="E5" s="57" t="str">
        <f>Inputs!$C$5</f>
        <v>occ_1stShift_extended.txt</v>
      </c>
      <c r="F5" s="57" t="str">
        <f>Inputs!$C$5</f>
        <v>occ_1stShift_extended.txt</v>
      </c>
      <c r="G5" s="57" t="str">
        <f>Inputs!$C$5</f>
        <v>occ_1stShift_extended.txt</v>
      </c>
      <c r="H5" s="57" t="str">
        <f>Inputs!$C$5</f>
        <v>occ_1stShift_extended.txt</v>
      </c>
      <c r="I5" s="57" t="str">
        <f>Inputs!$C$5</f>
        <v>occ_1stShift_extended.txt</v>
      </c>
      <c r="J5" s="57" t="str">
        <f>Inputs!$C$5</f>
        <v>occ_1stShift_extended.txt</v>
      </c>
      <c r="K5" s="57" t="str">
        <f>Inputs!$C$5</f>
        <v>occ_1stShift_extended.txt</v>
      </c>
      <c r="L5" s="57" t="str">
        <f>Inputs!$C$5</f>
        <v>occ_1stShift_extended.txt</v>
      </c>
      <c r="M5" s="57" t="str">
        <f>Inputs!$C$5</f>
        <v>occ_1stShift_extended.txt</v>
      </c>
      <c r="N5" s="57" t="str">
        <f>Inputs!$C$5</f>
        <v>occ_1stShift_extended.txt</v>
      </c>
      <c r="O5" s="57" t="str">
        <f>Inputs!$C$5</f>
        <v>occ_1stShift_extended.txt</v>
      </c>
      <c r="P5" s="57" t="str">
        <f>Inputs!$C$5</f>
        <v>occ_1stShift_extended.txt</v>
      </c>
      <c r="Q5" s="57" t="str">
        <f>Inputs!$C$5</f>
        <v>occ_1stShift_extended.txt</v>
      </c>
      <c r="R5" s="57" t="str">
        <f>Inputs!$C$5</f>
        <v>occ_1stShift_extended.txt</v>
      </c>
      <c r="S5" s="57" t="str">
        <f>Inputs!$C$5</f>
        <v>occ_1stShift_extended.txt</v>
      </c>
      <c r="Z5" s="1"/>
    </row>
    <row r="6" spans="1:26" s="140" customFormat="1" ht="14">
      <c r="B6" s="140" t="s">
        <v>976</v>
      </c>
      <c r="C6" s="57" t="str">
        <f>Inputs!$C$6</f>
        <v>bshelter.dat</v>
      </c>
      <c r="D6" s="57" t="str">
        <f>Inputs!$C$6</f>
        <v>bshelter.dat</v>
      </c>
      <c r="E6" s="57" t="str">
        <f>Inputs!$C$6</f>
        <v>bshelter.dat</v>
      </c>
      <c r="F6" s="57" t="str">
        <f>Inputs!$C$6</f>
        <v>bshelter.dat</v>
      </c>
      <c r="G6" s="57" t="str">
        <f>Inputs!$C$6</f>
        <v>bshelter.dat</v>
      </c>
      <c r="H6" s="57" t="str">
        <f>Inputs!$C$6</f>
        <v>bshelter.dat</v>
      </c>
      <c r="I6" s="57" t="str">
        <f>Inputs!$C$6</f>
        <v>bshelter.dat</v>
      </c>
      <c r="J6" s="57" t="str">
        <f>Inputs!$C$6</f>
        <v>bshelter.dat</v>
      </c>
      <c r="K6" s="57" t="str">
        <f>Inputs!$C$6</f>
        <v>bshelter.dat</v>
      </c>
      <c r="L6" s="57" t="str">
        <f>Inputs!$C$6</f>
        <v>bshelter.dat</v>
      </c>
      <c r="M6" s="57" t="str">
        <f>Inputs!$C$6</f>
        <v>bshelter.dat</v>
      </c>
      <c r="N6" s="57" t="str">
        <f>Inputs!$C$6</f>
        <v>bshelter.dat</v>
      </c>
      <c r="O6" s="57" t="str">
        <f>Inputs!$C$6</f>
        <v>bshelter.dat</v>
      </c>
      <c r="P6" s="57" t="str">
        <f>Inputs!$C$6</f>
        <v>bshelter.dat</v>
      </c>
      <c r="Q6" s="57" t="str">
        <f>Inputs!$C$6</f>
        <v>bshelter.dat</v>
      </c>
      <c r="R6" s="57" t="str">
        <f>Inputs!$C$6</f>
        <v>bshelter.dat</v>
      </c>
      <c r="S6" s="57" t="str">
        <f>Inputs!$C$6</f>
        <v>bshelter.dat</v>
      </c>
      <c r="Z6" s="1"/>
    </row>
    <row r="7" spans="1:26" ht="15" customHeight="1">
      <c r="A7" s="305" t="s">
        <v>985</v>
      </c>
      <c r="B7" s="305" t="s">
        <v>1310</v>
      </c>
      <c r="C7" s="6">
        <f>Leakage!H32</f>
        <v>4.6856257812500003E-2</v>
      </c>
      <c r="D7" s="6">
        <f>Leakage!I32</f>
        <v>4.6856257812500003E-2</v>
      </c>
      <c r="E7" s="6">
        <f>Leakage!J32</f>
        <v>4.6856257812500003E-2</v>
      </c>
      <c r="F7" s="6">
        <f>Leakage!K32</f>
        <v>3.9046881510416666E-2</v>
      </c>
      <c r="G7" s="6">
        <f>Leakage!L32</f>
        <v>3.9046881510416666E-2</v>
      </c>
      <c r="H7" s="6">
        <f>Leakage!M32</f>
        <v>3.9046881510416666E-2</v>
      </c>
      <c r="I7" s="6">
        <f>Leakage!N32</f>
        <v>3.9046881510416666E-2</v>
      </c>
      <c r="J7" s="6">
        <f>Leakage!O32</f>
        <v>3.9046881510416666E-2</v>
      </c>
      <c r="K7" s="6">
        <f>Leakage!P32</f>
        <v>3.9046881510416666E-2</v>
      </c>
      <c r="L7" s="6">
        <f>Leakage!Q32</f>
        <v>3.1237505208333332E-2</v>
      </c>
      <c r="M7" s="6">
        <f>Leakage!R32</f>
        <v>3.1237505208333332E-2</v>
      </c>
      <c r="N7" s="6">
        <f>Leakage!S32</f>
        <v>3.1237505208333332E-2</v>
      </c>
      <c r="O7" s="6">
        <f>Leakage!T32</f>
        <v>3.1237505208333332E-2</v>
      </c>
      <c r="P7" s="6">
        <f>Leakage!U32</f>
        <v>3.1237505208333332E-2</v>
      </c>
      <c r="Q7" s="6">
        <f>Leakage!V32</f>
        <v>2.3428128906250002E-2</v>
      </c>
      <c r="R7" s="6">
        <f>Leakage!W32</f>
        <v>4.6856257812500003E-2</v>
      </c>
      <c r="S7" s="6">
        <f>Leakage!X32</f>
        <v>3.9046881510416666E-2</v>
      </c>
      <c r="T7" s="67"/>
    </row>
    <row r="8" spans="1:26" ht="15" customHeight="1">
      <c r="B8" s="305" t="s">
        <v>1046</v>
      </c>
      <c r="C8" s="169">
        <f>Leakage!H33</f>
        <v>0.65</v>
      </c>
      <c r="D8" s="169">
        <f>Leakage!I33</f>
        <v>0.65</v>
      </c>
      <c r="E8" s="169">
        <f>Leakage!J33</f>
        <v>0.65</v>
      </c>
      <c r="F8" s="169">
        <f>Leakage!K33</f>
        <v>0.65</v>
      </c>
      <c r="G8" s="169">
        <f>Leakage!L33</f>
        <v>0.65</v>
      </c>
      <c r="H8" s="169">
        <f>Leakage!M33</f>
        <v>0.65</v>
      </c>
      <c r="I8" s="169">
        <f>Leakage!N33</f>
        <v>0.65</v>
      </c>
      <c r="J8" s="169">
        <f>Leakage!O33</f>
        <v>0.65</v>
      </c>
      <c r="K8" s="169">
        <f>Leakage!P33</f>
        <v>0.65</v>
      </c>
      <c r="L8" s="169">
        <f>Leakage!Q33</f>
        <v>0.65</v>
      </c>
      <c r="M8" s="169">
        <f>Leakage!R33</f>
        <v>0.65</v>
      </c>
      <c r="N8" s="169">
        <f>Leakage!S33</f>
        <v>0.65</v>
      </c>
      <c r="O8" s="169">
        <f>Leakage!T33</f>
        <v>0.65</v>
      </c>
      <c r="P8" s="169">
        <f>Leakage!U33</f>
        <v>0.65</v>
      </c>
      <c r="Q8" s="169">
        <f>Leakage!V33</f>
        <v>0.65</v>
      </c>
      <c r="R8" s="169">
        <f>Leakage!W33</f>
        <v>0.65</v>
      </c>
      <c r="S8" s="169">
        <f>Leakage!X33</f>
        <v>0.65</v>
      </c>
      <c r="T8" s="67"/>
    </row>
    <row r="9" spans="1:26" s="305" customFormat="1" ht="15" customHeight="1">
      <c r="B9" s="305" t="s">
        <v>1305</v>
      </c>
      <c r="C9" s="169">
        <f>Inputs!C9</f>
        <v>0.48</v>
      </c>
      <c r="D9" s="169">
        <f>C9</f>
        <v>0.48</v>
      </c>
      <c r="E9" s="169">
        <f t="shared" ref="E9:S9" si="0">D9</f>
        <v>0.48</v>
      </c>
      <c r="F9" s="169">
        <f t="shared" si="0"/>
        <v>0.48</v>
      </c>
      <c r="G9" s="169">
        <f t="shared" si="0"/>
        <v>0.48</v>
      </c>
      <c r="H9" s="169">
        <f t="shared" si="0"/>
        <v>0.48</v>
      </c>
      <c r="I9" s="169">
        <f t="shared" si="0"/>
        <v>0.48</v>
      </c>
      <c r="J9" s="169">
        <f t="shared" si="0"/>
        <v>0.48</v>
      </c>
      <c r="K9" s="169">
        <f t="shared" si="0"/>
        <v>0.48</v>
      </c>
      <c r="L9" s="169">
        <f t="shared" si="0"/>
        <v>0.48</v>
      </c>
      <c r="M9" s="169">
        <f t="shared" si="0"/>
        <v>0.48</v>
      </c>
      <c r="N9" s="169">
        <f t="shared" si="0"/>
        <v>0.48</v>
      </c>
      <c r="O9" s="169">
        <f t="shared" si="0"/>
        <v>0.48</v>
      </c>
      <c r="P9" s="169">
        <f t="shared" si="0"/>
        <v>0.48</v>
      </c>
      <c r="Q9" s="169">
        <f t="shared" si="0"/>
        <v>0.48</v>
      </c>
      <c r="R9" s="169">
        <f t="shared" si="0"/>
        <v>0.48</v>
      </c>
      <c r="S9" s="169">
        <f t="shared" si="0"/>
        <v>0.48</v>
      </c>
      <c r="T9" s="67"/>
    </row>
    <row r="10" spans="1:26" s="305" customFormat="1" ht="15" customHeight="1">
      <c r="B10" s="305" t="s">
        <v>1298</v>
      </c>
      <c r="C10" s="169">
        <f>Inputs!C10</f>
        <v>0.5</v>
      </c>
      <c r="D10" s="169">
        <f t="shared" ref="D10:S12" si="1">C10</f>
        <v>0.5</v>
      </c>
      <c r="E10" s="169">
        <f t="shared" si="1"/>
        <v>0.5</v>
      </c>
      <c r="F10" s="169">
        <f t="shared" si="1"/>
        <v>0.5</v>
      </c>
      <c r="G10" s="169">
        <f t="shared" si="1"/>
        <v>0.5</v>
      </c>
      <c r="H10" s="169">
        <f t="shared" si="1"/>
        <v>0.5</v>
      </c>
      <c r="I10" s="169">
        <f t="shared" si="1"/>
        <v>0.5</v>
      </c>
      <c r="J10" s="169">
        <f t="shared" si="1"/>
        <v>0.5</v>
      </c>
      <c r="K10" s="169">
        <f t="shared" si="1"/>
        <v>0.5</v>
      </c>
      <c r="L10" s="169">
        <f t="shared" si="1"/>
        <v>0.5</v>
      </c>
      <c r="M10" s="169">
        <f t="shared" si="1"/>
        <v>0.5</v>
      </c>
      <c r="N10" s="169">
        <f t="shared" si="1"/>
        <v>0.5</v>
      </c>
      <c r="O10" s="169">
        <f t="shared" si="1"/>
        <v>0.5</v>
      </c>
      <c r="P10" s="169">
        <f t="shared" si="1"/>
        <v>0.5</v>
      </c>
      <c r="Q10" s="169">
        <f t="shared" si="1"/>
        <v>0.5</v>
      </c>
      <c r="R10" s="169">
        <f t="shared" si="1"/>
        <v>0.5</v>
      </c>
      <c r="S10" s="169">
        <f t="shared" si="1"/>
        <v>0.5</v>
      </c>
      <c r="T10" s="67"/>
    </row>
    <row r="11" spans="1:26" s="305" customFormat="1" ht="15" customHeight="1">
      <c r="B11" s="305" t="s">
        <v>1307</v>
      </c>
      <c r="C11" s="169">
        <f>Inputs!C11</f>
        <v>5.3999999999999999E-2</v>
      </c>
      <c r="D11" s="169">
        <f t="shared" si="1"/>
        <v>5.3999999999999999E-2</v>
      </c>
      <c r="E11" s="169">
        <f t="shared" si="1"/>
        <v>5.3999999999999999E-2</v>
      </c>
      <c r="F11" s="169">
        <f t="shared" si="1"/>
        <v>5.3999999999999999E-2</v>
      </c>
      <c r="G11" s="169">
        <f t="shared" si="1"/>
        <v>5.3999999999999999E-2</v>
      </c>
      <c r="H11" s="169">
        <f t="shared" si="1"/>
        <v>5.3999999999999999E-2</v>
      </c>
      <c r="I11" s="169">
        <f t="shared" si="1"/>
        <v>5.3999999999999999E-2</v>
      </c>
      <c r="J11" s="169">
        <f t="shared" si="1"/>
        <v>5.3999999999999999E-2</v>
      </c>
      <c r="K11" s="169">
        <f t="shared" si="1"/>
        <v>5.3999999999999999E-2</v>
      </c>
      <c r="L11" s="169">
        <f t="shared" si="1"/>
        <v>5.3999999999999999E-2</v>
      </c>
      <c r="M11" s="169">
        <f t="shared" si="1"/>
        <v>5.3999999999999999E-2</v>
      </c>
      <c r="N11" s="169">
        <f t="shared" si="1"/>
        <v>5.3999999999999999E-2</v>
      </c>
      <c r="O11" s="169">
        <f t="shared" si="1"/>
        <v>5.3999999999999999E-2</v>
      </c>
      <c r="P11" s="169">
        <f t="shared" si="1"/>
        <v>5.3999999999999999E-2</v>
      </c>
      <c r="Q11" s="169">
        <f t="shared" si="1"/>
        <v>5.3999999999999999E-2</v>
      </c>
      <c r="R11" s="169">
        <f t="shared" si="1"/>
        <v>5.3999999999999999E-2</v>
      </c>
      <c r="S11" s="169">
        <f t="shared" si="1"/>
        <v>5.3999999999999999E-2</v>
      </c>
      <c r="T11" s="67"/>
    </row>
    <row r="12" spans="1:26" s="305" customFormat="1" ht="15" customHeight="1">
      <c r="B12" s="305" t="s">
        <v>1311</v>
      </c>
      <c r="C12" s="169">
        <f>Inputs!C12</f>
        <v>0.128</v>
      </c>
      <c r="D12" s="169">
        <f t="shared" si="1"/>
        <v>0.128</v>
      </c>
      <c r="E12" s="169">
        <f t="shared" si="1"/>
        <v>0.128</v>
      </c>
      <c r="F12" s="169">
        <f t="shared" si="1"/>
        <v>0.128</v>
      </c>
      <c r="G12" s="169">
        <f t="shared" si="1"/>
        <v>0.128</v>
      </c>
      <c r="H12" s="169">
        <f t="shared" si="1"/>
        <v>0.128</v>
      </c>
      <c r="I12" s="169">
        <f t="shared" si="1"/>
        <v>0.128</v>
      </c>
      <c r="J12" s="169">
        <f t="shared" si="1"/>
        <v>0.128</v>
      </c>
      <c r="K12" s="169">
        <f t="shared" si="1"/>
        <v>0.128</v>
      </c>
      <c r="L12" s="169">
        <f t="shared" si="1"/>
        <v>0.128</v>
      </c>
      <c r="M12" s="169">
        <f t="shared" si="1"/>
        <v>0.128</v>
      </c>
      <c r="N12" s="169">
        <f t="shared" si="1"/>
        <v>0.128</v>
      </c>
      <c r="O12" s="169">
        <f t="shared" si="1"/>
        <v>0.128</v>
      </c>
      <c r="P12" s="169">
        <f t="shared" si="1"/>
        <v>0.128</v>
      </c>
      <c r="Q12" s="169">
        <f t="shared" si="1"/>
        <v>0.128</v>
      </c>
      <c r="R12" s="169">
        <f t="shared" si="1"/>
        <v>0.128</v>
      </c>
      <c r="S12" s="169">
        <f t="shared" si="1"/>
        <v>0.128</v>
      </c>
      <c r="T12" s="67"/>
    </row>
    <row r="13" spans="1:26" ht="15" customHeight="1">
      <c r="B13" s="305" t="s">
        <v>1045</v>
      </c>
      <c r="C13" s="169">
        <f>Inputs!C13</f>
        <v>2.9499999999999997</v>
      </c>
      <c r="D13" s="169">
        <f t="shared" ref="D13:S26" si="2">C13</f>
        <v>2.9499999999999997</v>
      </c>
      <c r="E13" s="169">
        <f t="shared" si="2"/>
        <v>2.9499999999999997</v>
      </c>
      <c r="F13" s="169">
        <f t="shared" si="2"/>
        <v>2.9499999999999997</v>
      </c>
      <c r="G13" s="169">
        <f t="shared" si="2"/>
        <v>2.9499999999999997</v>
      </c>
      <c r="H13" s="169">
        <f t="shared" si="2"/>
        <v>2.9499999999999997</v>
      </c>
      <c r="I13" s="169">
        <f t="shared" si="2"/>
        <v>2.9499999999999997</v>
      </c>
      <c r="J13" s="169">
        <f t="shared" si="2"/>
        <v>2.9499999999999997</v>
      </c>
      <c r="K13" s="169">
        <f t="shared" si="2"/>
        <v>2.9499999999999997</v>
      </c>
      <c r="L13" s="169">
        <f t="shared" si="2"/>
        <v>2.9499999999999997</v>
      </c>
      <c r="M13" s="169">
        <f t="shared" si="2"/>
        <v>2.9499999999999997</v>
      </c>
      <c r="N13" s="169">
        <f t="shared" si="2"/>
        <v>2.9499999999999997</v>
      </c>
      <c r="O13" s="169">
        <f t="shared" si="2"/>
        <v>2.9499999999999997</v>
      </c>
      <c r="P13" s="169">
        <f t="shared" si="2"/>
        <v>2.9499999999999997</v>
      </c>
      <c r="Q13" s="169">
        <f t="shared" si="2"/>
        <v>2.9499999999999997</v>
      </c>
      <c r="R13" s="169">
        <f t="shared" si="2"/>
        <v>2.9499999999999997</v>
      </c>
      <c r="S13" s="169">
        <f t="shared" si="2"/>
        <v>2.9499999999999997</v>
      </c>
      <c r="T13" s="67"/>
    </row>
    <row r="14" spans="1:26" ht="15" customHeight="1">
      <c r="B14" s="305" t="s">
        <v>15</v>
      </c>
      <c r="C14" s="169">
        <f>Inputs!C14</f>
        <v>0.5</v>
      </c>
      <c r="D14" s="169">
        <f t="shared" si="2"/>
        <v>0.5</v>
      </c>
      <c r="E14" s="169">
        <f t="shared" si="2"/>
        <v>0.5</v>
      </c>
      <c r="F14" s="169">
        <f t="shared" si="2"/>
        <v>0.5</v>
      </c>
      <c r="G14" s="169">
        <f t="shared" si="2"/>
        <v>0.5</v>
      </c>
      <c r="H14" s="169">
        <f t="shared" si="2"/>
        <v>0.5</v>
      </c>
      <c r="I14" s="169">
        <f t="shared" si="2"/>
        <v>0.5</v>
      </c>
      <c r="J14" s="169">
        <f t="shared" si="2"/>
        <v>0.5</v>
      </c>
      <c r="K14" s="169">
        <f t="shared" si="2"/>
        <v>0.5</v>
      </c>
      <c r="L14" s="169">
        <f t="shared" si="2"/>
        <v>0.5</v>
      </c>
      <c r="M14" s="169">
        <f t="shared" si="2"/>
        <v>0.5</v>
      </c>
      <c r="N14" s="169">
        <f t="shared" si="2"/>
        <v>0.5</v>
      </c>
      <c r="O14" s="169">
        <f t="shared" si="2"/>
        <v>0.5</v>
      </c>
      <c r="P14" s="169">
        <f t="shared" si="2"/>
        <v>0.5</v>
      </c>
      <c r="Q14" s="169">
        <f t="shared" si="2"/>
        <v>0.5</v>
      </c>
      <c r="R14" s="169">
        <f t="shared" si="2"/>
        <v>0.5</v>
      </c>
      <c r="S14" s="169">
        <f t="shared" si="2"/>
        <v>0.5</v>
      </c>
      <c r="T14" s="67"/>
    </row>
    <row r="15" spans="1:26" ht="15" customHeight="1">
      <c r="B15" s="305" t="s">
        <v>18</v>
      </c>
      <c r="C15" s="169">
        <f>Inputs!C15</f>
        <v>0</v>
      </c>
      <c r="D15" s="169">
        <f t="shared" si="2"/>
        <v>0</v>
      </c>
      <c r="E15" s="169">
        <f t="shared" si="2"/>
        <v>0</v>
      </c>
      <c r="F15" s="169">
        <f t="shared" si="2"/>
        <v>0</v>
      </c>
      <c r="G15" s="169">
        <f t="shared" si="2"/>
        <v>0</v>
      </c>
      <c r="H15" s="169">
        <f t="shared" si="2"/>
        <v>0</v>
      </c>
      <c r="I15" s="169">
        <f t="shared" si="2"/>
        <v>0</v>
      </c>
      <c r="J15" s="169">
        <f t="shared" si="2"/>
        <v>0</v>
      </c>
      <c r="K15" s="169">
        <f t="shared" si="2"/>
        <v>0</v>
      </c>
      <c r="L15" s="169">
        <f t="shared" si="2"/>
        <v>0</v>
      </c>
      <c r="M15" s="169">
        <f t="shared" si="2"/>
        <v>0</v>
      </c>
      <c r="N15" s="169">
        <f t="shared" si="2"/>
        <v>0</v>
      </c>
      <c r="O15" s="169">
        <f t="shared" si="2"/>
        <v>0</v>
      </c>
      <c r="P15" s="169">
        <f t="shared" si="2"/>
        <v>0</v>
      </c>
      <c r="Q15" s="169">
        <f t="shared" si="2"/>
        <v>0</v>
      </c>
      <c r="R15" s="169">
        <f t="shared" si="2"/>
        <v>0</v>
      </c>
      <c r="S15" s="169">
        <f t="shared" si="2"/>
        <v>0</v>
      </c>
      <c r="T15" s="67"/>
    </row>
    <row r="16" spans="1:26" ht="15" customHeight="1">
      <c r="A16" s="305" t="s">
        <v>19</v>
      </c>
      <c r="B16" s="305" t="s">
        <v>1060</v>
      </c>
      <c r="C16" s="144">
        <f>Inputs!C16</f>
        <v>0</v>
      </c>
      <c r="D16" s="144">
        <f t="shared" si="2"/>
        <v>0</v>
      </c>
      <c r="E16" s="144">
        <f t="shared" si="2"/>
        <v>0</v>
      </c>
      <c r="F16" s="144">
        <f t="shared" si="2"/>
        <v>0</v>
      </c>
      <c r="G16" s="144">
        <f t="shared" si="2"/>
        <v>0</v>
      </c>
      <c r="H16" s="144">
        <f t="shared" si="2"/>
        <v>0</v>
      </c>
      <c r="I16" s="144">
        <f t="shared" si="2"/>
        <v>0</v>
      </c>
      <c r="J16" s="144">
        <f t="shared" si="2"/>
        <v>0</v>
      </c>
      <c r="K16" s="144">
        <f t="shared" si="2"/>
        <v>0</v>
      </c>
      <c r="L16" s="144">
        <f t="shared" si="2"/>
        <v>0</v>
      </c>
      <c r="M16" s="144">
        <f t="shared" si="2"/>
        <v>0</v>
      </c>
      <c r="N16" s="144">
        <f t="shared" si="2"/>
        <v>0</v>
      </c>
      <c r="O16" s="144">
        <f t="shared" si="2"/>
        <v>0</v>
      </c>
      <c r="P16" s="144">
        <f t="shared" si="2"/>
        <v>0</v>
      </c>
      <c r="Q16" s="144">
        <f t="shared" si="2"/>
        <v>0</v>
      </c>
      <c r="R16" s="144">
        <f t="shared" si="2"/>
        <v>0</v>
      </c>
      <c r="S16" s="144">
        <f t="shared" si="2"/>
        <v>0</v>
      </c>
      <c r="T16" s="67"/>
    </row>
    <row r="17" spans="1:21" ht="15" customHeight="1">
      <c r="B17" s="305" t="s">
        <v>1071</v>
      </c>
      <c r="C17" s="224">
        <f>Inputs!C17</f>
        <v>1.9281086206186945E-2</v>
      </c>
      <c r="D17" s="224">
        <f t="shared" si="2"/>
        <v>1.9281086206186945E-2</v>
      </c>
      <c r="E17" s="224">
        <f t="shared" si="2"/>
        <v>1.9281086206186945E-2</v>
      </c>
      <c r="F17" s="224">
        <f t="shared" si="2"/>
        <v>1.9281086206186945E-2</v>
      </c>
      <c r="G17" s="224">
        <f t="shared" si="2"/>
        <v>1.9281086206186945E-2</v>
      </c>
      <c r="H17" s="224">
        <f t="shared" si="2"/>
        <v>1.9281086206186945E-2</v>
      </c>
      <c r="I17" s="224">
        <f t="shared" si="2"/>
        <v>1.9281086206186945E-2</v>
      </c>
      <c r="J17" s="224">
        <f t="shared" si="2"/>
        <v>1.9281086206186945E-2</v>
      </c>
      <c r="K17" s="224">
        <f t="shared" si="2"/>
        <v>1.9281086206186945E-2</v>
      </c>
      <c r="L17" s="224">
        <f t="shared" si="2"/>
        <v>1.9281086206186945E-2</v>
      </c>
      <c r="M17" s="224">
        <f t="shared" si="2"/>
        <v>1.9281086206186945E-2</v>
      </c>
      <c r="N17" s="224">
        <f t="shared" si="2"/>
        <v>1.9281086206186945E-2</v>
      </c>
      <c r="O17" s="224">
        <f t="shared" si="2"/>
        <v>1.9281086206186945E-2</v>
      </c>
      <c r="P17" s="224">
        <f t="shared" si="2"/>
        <v>1.9281086206186945E-2</v>
      </c>
      <c r="Q17" s="224">
        <f t="shared" si="2"/>
        <v>1.9281086206186945E-2</v>
      </c>
      <c r="R17" s="224">
        <f t="shared" si="2"/>
        <v>1.9281086206186945E-2</v>
      </c>
      <c r="S17" s="224">
        <f t="shared" si="2"/>
        <v>1.9281086206186945E-2</v>
      </c>
      <c r="T17" s="67"/>
    </row>
    <row r="18" spans="1:21" ht="15" customHeight="1">
      <c r="B18" s="305" t="s">
        <v>1072</v>
      </c>
      <c r="C18" s="169">
        <f>Inputs!C18</f>
        <v>4.9908333333333328</v>
      </c>
      <c r="D18" s="169">
        <f t="shared" si="2"/>
        <v>4.9908333333333328</v>
      </c>
      <c r="E18" s="169">
        <f t="shared" si="2"/>
        <v>4.9908333333333328</v>
      </c>
      <c r="F18" s="169">
        <f t="shared" si="2"/>
        <v>4.9908333333333328</v>
      </c>
      <c r="G18" s="169">
        <f t="shared" si="2"/>
        <v>4.9908333333333328</v>
      </c>
      <c r="H18" s="169">
        <f t="shared" si="2"/>
        <v>4.9908333333333328</v>
      </c>
      <c r="I18" s="169">
        <f t="shared" si="2"/>
        <v>4.9908333333333328</v>
      </c>
      <c r="J18" s="169">
        <f t="shared" si="2"/>
        <v>4.9908333333333328</v>
      </c>
      <c r="K18" s="169">
        <f t="shared" si="2"/>
        <v>4.9908333333333328</v>
      </c>
      <c r="L18" s="169">
        <f t="shared" si="2"/>
        <v>4.9908333333333328</v>
      </c>
      <c r="M18" s="169">
        <f t="shared" si="2"/>
        <v>4.9908333333333328</v>
      </c>
      <c r="N18" s="169">
        <f t="shared" si="2"/>
        <v>4.9908333333333328</v>
      </c>
      <c r="O18" s="169">
        <f t="shared" si="2"/>
        <v>4.9908333333333328</v>
      </c>
      <c r="P18" s="169">
        <f t="shared" si="2"/>
        <v>4.9908333333333328</v>
      </c>
      <c r="Q18" s="169">
        <f t="shared" si="2"/>
        <v>4.9908333333333328</v>
      </c>
      <c r="R18" s="169">
        <f t="shared" si="2"/>
        <v>4.9908333333333328</v>
      </c>
      <c r="S18" s="169">
        <f t="shared" si="2"/>
        <v>4.9908333333333328</v>
      </c>
      <c r="T18" s="67"/>
      <c r="U18" s="305"/>
    </row>
    <row r="19" spans="1:21" ht="15" customHeight="1">
      <c r="B19" s="305" t="s">
        <v>1073</v>
      </c>
      <c r="C19" s="144">
        <f>Inputs!C19</f>
        <v>-99</v>
      </c>
      <c r="D19" s="144">
        <f t="shared" si="2"/>
        <v>-99</v>
      </c>
      <c r="E19" s="144">
        <f t="shared" si="2"/>
        <v>-99</v>
      </c>
      <c r="F19" s="144">
        <f t="shared" si="2"/>
        <v>-99</v>
      </c>
      <c r="G19" s="144">
        <f t="shared" si="2"/>
        <v>-99</v>
      </c>
      <c r="H19" s="144">
        <f t="shared" si="2"/>
        <v>-99</v>
      </c>
      <c r="I19" s="144">
        <f t="shared" si="2"/>
        <v>-99</v>
      </c>
      <c r="J19" s="144">
        <f t="shared" si="2"/>
        <v>-99</v>
      </c>
      <c r="K19" s="144">
        <f t="shared" si="2"/>
        <v>-99</v>
      </c>
      <c r="L19" s="144">
        <f t="shared" si="2"/>
        <v>-99</v>
      </c>
      <c r="M19" s="144">
        <f t="shared" si="2"/>
        <v>-99</v>
      </c>
      <c r="N19" s="144">
        <f t="shared" si="2"/>
        <v>-99</v>
      </c>
      <c r="O19" s="144">
        <f t="shared" si="2"/>
        <v>-99</v>
      </c>
      <c r="P19" s="144">
        <f t="shared" si="2"/>
        <v>-99</v>
      </c>
      <c r="Q19" s="144">
        <f t="shared" si="2"/>
        <v>-99</v>
      </c>
      <c r="R19" s="144">
        <f t="shared" si="2"/>
        <v>-99</v>
      </c>
      <c r="S19" s="144">
        <f t="shared" si="2"/>
        <v>-99</v>
      </c>
      <c r="T19" s="67"/>
      <c r="U19" s="305"/>
    </row>
    <row r="20" spans="1:21" ht="15" customHeight="1">
      <c r="B20" s="305" t="s">
        <v>1074</v>
      </c>
      <c r="C20" s="6">
        <f>Inputs!C20</f>
        <v>1.9281086206186945E-2</v>
      </c>
      <c r="D20" s="169">
        <f t="shared" si="2"/>
        <v>1.9281086206186945E-2</v>
      </c>
      <c r="E20" s="169">
        <f t="shared" si="2"/>
        <v>1.9281086206186945E-2</v>
      </c>
      <c r="F20" s="169">
        <f t="shared" si="2"/>
        <v>1.9281086206186945E-2</v>
      </c>
      <c r="G20" s="169">
        <f t="shared" si="2"/>
        <v>1.9281086206186945E-2</v>
      </c>
      <c r="H20" s="169">
        <f t="shared" si="2"/>
        <v>1.9281086206186945E-2</v>
      </c>
      <c r="I20" s="169">
        <f t="shared" si="2"/>
        <v>1.9281086206186945E-2</v>
      </c>
      <c r="J20" s="169">
        <f t="shared" si="2"/>
        <v>1.9281086206186945E-2</v>
      </c>
      <c r="K20" s="169">
        <f t="shared" si="2"/>
        <v>1.9281086206186945E-2</v>
      </c>
      <c r="L20" s="169">
        <f t="shared" si="2"/>
        <v>1.9281086206186945E-2</v>
      </c>
      <c r="M20" s="169">
        <f t="shared" si="2"/>
        <v>1.9281086206186945E-2</v>
      </c>
      <c r="N20" s="169">
        <f t="shared" si="2"/>
        <v>1.9281086206186945E-2</v>
      </c>
      <c r="O20" s="169">
        <f t="shared" si="2"/>
        <v>1.9281086206186945E-2</v>
      </c>
      <c r="P20" s="169">
        <f t="shared" si="2"/>
        <v>1.9281086206186945E-2</v>
      </c>
      <c r="Q20" s="169">
        <f t="shared" si="2"/>
        <v>1.9281086206186945E-2</v>
      </c>
      <c r="R20" s="169">
        <f t="shared" si="2"/>
        <v>1.9281086206186945E-2</v>
      </c>
      <c r="S20" s="169">
        <f t="shared" si="2"/>
        <v>1.9281086206186945E-2</v>
      </c>
      <c r="T20" s="67"/>
    </row>
    <row r="21" spans="1:21" ht="15" customHeight="1">
      <c r="B21" s="305" t="s">
        <v>1075</v>
      </c>
      <c r="C21" s="169">
        <f>Inputs!C21</f>
        <v>4.9908333333333328</v>
      </c>
      <c r="D21" s="169">
        <f t="shared" si="2"/>
        <v>4.9908333333333328</v>
      </c>
      <c r="E21" s="169">
        <f t="shared" si="2"/>
        <v>4.9908333333333328</v>
      </c>
      <c r="F21" s="169">
        <f t="shared" si="2"/>
        <v>4.9908333333333328</v>
      </c>
      <c r="G21" s="169">
        <f t="shared" si="2"/>
        <v>4.9908333333333328</v>
      </c>
      <c r="H21" s="169">
        <f t="shared" si="2"/>
        <v>4.9908333333333328</v>
      </c>
      <c r="I21" s="169">
        <f t="shared" si="2"/>
        <v>4.9908333333333328</v>
      </c>
      <c r="J21" s="169">
        <f t="shared" si="2"/>
        <v>4.9908333333333328</v>
      </c>
      <c r="K21" s="169">
        <f t="shared" si="2"/>
        <v>4.9908333333333328</v>
      </c>
      <c r="L21" s="169">
        <f t="shared" si="2"/>
        <v>4.9908333333333328</v>
      </c>
      <c r="M21" s="169">
        <f t="shared" si="2"/>
        <v>4.9908333333333328</v>
      </c>
      <c r="N21" s="169">
        <f t="shared" si="2"/>
        <v>4.9908333333333328</v>
      </c>
      <c r="O21" s="169">
        <f t="shared" si="2"/>
        <v>4.9908333333333328</v>
      </c>
      <c r="P21" s="169">
        <f t="shared" si="2"/>
        <v>4.9908333333333328</v>
      </c>
      <c r="Q21" s="169">
        <f t="shared" si="2"/>
        <v>4.9908333333333328</v>
      </c>
      <c r="R21" s="169">
        <f t="shared" si="2"/>
        <v>4.9908333333333328</v>
      </c>
      <c r="S21" s="169">
        <f t="shared" si="2"/>
        <v>4.9908333333333328</v>
      </c>
    </row>
    <row r="22" spans="1:21" ht="15" customHeight="1">
      <c r="B22" s="305" t="s">
        <v>1076</v>
      </c>
      <c r="C22" s="144">
        <f>Inputs!C22</f>
        <v>-99</v>
      </c>
      <c r="D22" s="144">
        <f t="shared" si="2"/>
        <v>-99</v>
      </c>
      <c r="E22" s="144">
        <f t="shared" si="2"/>
        <v>-99</v>
      </c>
      <c r="F22" s="144">
        <f t="shared" si="2"/>
        <v>-99</v>
      </c>
      <c r="G22" s="144">
        <f t="shared" si="2"/>
        <v>-99</v>
      </c>
      <c r="H22" s="144">
        <f t="shared" si="2"/>
        <v>-99</v>
      </c>
      <c r="I22" s="144">
        <f t="shared" si="2"/>
        <v>-99</v>
      </c>
      <c r="J22" s="144">
        <f t="shared" si="2"/>
        <v>-99</v>
      </c>
      <c r="K22" s="144">
        <f t="shared" si="2"/>
        <v>-99</v>
      </c>
      <c r="L22" s="144">
        <f t="shared" si="2"/>
        <v>-99</v>
      </c>
      <c r="M22" s="144">
        <f t="shared" si="2"/>
        <v>-99</v>
      </c>
      <c r="N22" s="144">
        <f t="shared" si="2"/>
        <v>-99</v>
      </c>
      <c r="O22" s="144">
        <f t="shared" si="2"/>
        <v>-99</v>
      </c>
      <c r="P22" s="144">
        <f t="shared" si="2"/>
        <v>-99</v>
      </c>
      <c r="Q22" s="144">
        <f t="shared" si="2"/>
        <v>-99</v>
      </c>
      <c r="R22" s="144">
        <f t="shared" si="2"/>
        <v>-99</v>
      </c>
      <c r="S22" s="144">
        <f t="shared" si="2"/>
        <v>-99</v>
      </c>
      <c r="T22" s="67"/>
      <c r="U22" s="305"/>
    </row>
    <row r="23" spans="1:21" ht="15" customHeight="1">
      <c r="A23" s="305" t="s">
        <v>27</v>
      </c>
      <c r="B23" s="305" t="s">
        <v>1061</v>
      </c>
      <c r="C23" s="169">
        <f>Inputs!C23</f>
        <v>0.33333333333333331</v>
      </c>
      <c r="D23" s="169">
        <f t="shared" si="2"/>
        <v>0.33333333333333331</v>
      </c>
      <c r="E23" s="169">
        <f t="shared" si="2"/>
        <v>0.33333333333333331</v>
      </c>
      <c r="F23" s="169">
        <f t="shared" si="2"/>
        <v>0.33333333333333331</v>
      </c>
      <c r="G23" s="169">
        <f t="shared" si="2"/>
        <v>0.33333333333333331</v>
      </c>
      <c r="H23" s="169">
        <f t="shared" si="2"/>
        <v>0.33333333333333331</v>
      </c>
      <c r="I23" s="169">
        <f t="shared" si="2"/>
        <v>0.33333333333333331</v>
      </c>
      <c r="J23" s="169">
        <f t="shared" si="2"/>
        <v>0.33333333333333331</v>
      </c>
      <c r="K23" s="169">
        <f t="shared" si="2"/>
        <v>0.33333333333333331</v>
      </c>
      <c r="L23" s="169">
        <f t="shared" si="2"/>
        <v>0.33333333333333331</v>
      </c>
      <c r="M23" s="169">
        <f t="shared" si="2"/>
        <v>0.33333333333333331</v>
      </c>
      <c r="N23" s="169">
        <f t="shared" si="2"/>
        <v>0.33333333333333331</v>
      </c>
      <c r="O23" s="169">
        <f t="shared" si="2"/>
        <v>0.33333333333333331</v>
      </c>
      <c r="P23" s="169">
        <f t="shared" si="2"/>
        <v>0.33333333333333331</v>
      </c>
      <c r="Q23" s="169">
        <f t="shared" si="2"/>
        <v>0.33333333333333331</v>
      </c>
      <c r="R23" s="169">
        <f t="shared" si="2"/>
        <v>0.33333333333333331</v>
      </c>
      <c r="S23" s="169">
        <f t="shared" si="2"/>
        <v>0.33333333333333331</v>
      </c>
      <c r="T23" s="67"/>
      <c r="U23" s="305"/>
    </row>
    <row r="24" spans="1:21" ht="15" customHeight="1">
      <c r="B24" s="305" t="s">
        <v>1062</v>
      </c>
      <c r="C24" s="169">
        <f>Inputs!C24</f>
        <v>0.33333333333333331</v>
      </c>
      <c r="D24" s="169">
        <f t="shared" si="2"/>
        <v>0.33333333333333331</v>
      </c>
      <c r="E24" s="169">
        <f t="shared" si="2"/>
        <v>0.33333333333333331</v>
      </c>
      <c r="F24" s="169">
        <f t="shared" si="2"/>
        <v>0.33333333333333331</v>
      </c>
      <c r="G24" s="169">
        <f t="shared" si="2"/>
        <v>0.33333333333333331</v>
      </c>
      <c r="H24" s="169">
        <f t="shared" si="2"/>
        <v>0.33333333333333331</v>
      </c>
      <c r="I24" s="169">
        <f t="shared" si="2"/>
        <v>0.33333333333333331</v>
      </c>
      <c r="J24" s="169">
        <f t="shared" si="2"/>
        <v>0.33333333333333331</v>
      </c>
      <c r="K24" s="169">
        <f t="shared" si="2"/>
        <v>0.33333333333333331</v>
      </c>
      <c r="L24" s="169">
        <f t="shared" si="2"/>
        <v>0.33333333333333331</v>
      </c>
      <c r="M24" s="169">
        <f t="shared" si="2"/>
        <v>0.33333333333333331</v>
      </c>
      <c r="N24" s="169">
        <f t="shared" si="2"/>
        <v>0.33333333333333331</v>
      </c>
      <c r="O24" s="169">
        <f t="shared" si="2"/>
        <v>0.33333333333333331</v>
      </c>
      <c r="P24" s="169">
        <f t="shared" si="2"/>
        <v>0.33333333333333331</v>
      </c>
      <c r="Q24" s="169">
        <f t="shared" si="2"/>
        <v>0.33333333333333331</v>
      </c>
      <c r="R24" s="169">
        <f t="shared" si="2"/>
        <v>0.33333333333333331</v>
      </c>
      <c r="S24" s="169">
        <f t="shared" si="2"/>
        <v>0.33333333333333331</v>
      </c>
      <c r="T24" s="67"/>
    </row>
    <row r="25" spans="1:21" ht="15" customHeight="1">
      <c r="B25" s="305" t="s">
        <v>1063</v>
      </c>
      <c r="C25" s="169">
        <f>Inputs!C25</f>
        <v>0.16666666666666666</v>
      </c>
      <c r="D25" s="169">
        <f t="shared" si="2"/>
        <v>0.16666666666666666</v>
      </c>
      <c r="E25" s="169">
        <f t="shared" si="2"/>
        <v>0.16666666666666666</v>
      </c>
      <c r="F25" s="169">
        <f t="shared" si="2"/>
        <v>0.16666666666666666</v>
      </c>
      <c r="G25" s="169">
        <f t="shared" si="2"/>
        <v>0.16666666666666666</v>
      </c>
      <c r="H25" s="169">
        <f t="shared" si="2"/>
        <v>0.16666666666666666</v>
      </c>
      <c r="I25" s="169">
        <f t="shared" si="2"/>
        <v>0.16666666666666666</v>
      </c>
      <c r="J25" s="169">
        <f t="shared" si="2"/>
        <v>0.16666666666666666</v>
      </c>
      <c r="K25" s="169">
        <f t="shared" si="2"/>
        <v>0.16666666666666666</v>
      </c>
      <c r="L25" s="169">
        <f t="shared" si="2"/>
        <v>0.16666666666666666</v>
      </c>
      <c r="M25" s="169">
        <f t="shared" si="2"/>
        <v>0.16666666666666666</v>
      </c>
      <c r="N25" s="169">
        <f t="shared" si="2"/>
        <v>0.16666666666666666</v>
      </c>
      <c r="O25" s="169">
        <f t="shared" si="2"/>
        <v>0.16666666666666666</v>
      </c>
      <c r="P25" s="169">
        <f t="shared" si="2"/>
        <v>0.16666666666666666</v>
      </c>
      <c r="Q25" s="169">
        <f t="shared" si="2"/>
        <v>0.16666666666666666</v>
      </c>
      <c r="R25" s="169">
        <f t="shared" si="2"/>
        <v>0.16666666666666666</v>
      </c>
      <c r="S25" s="169">
        <f t="shared" si="2"/>
        <v>0.16666666666666666</v>
      </c>
      <c r="T25" s="67"/>
      <c r="U25" s="305"/>
    </row>
    <row r="26" spans="1:21" ht="15" customHeight="1">
      <c r="B26" s="305" t="s">
        <v>1064</v>
      </c>
      <c r="C26" s="169">
        <f>Inputs!C26</f>
        <v>0.16666666666666666</v>
      </c>
      <c r="D26" s="169">
        <f t="shared" si="2"/>
        <v>0.16666666666666666</v>
      </c>
      <c r="E26" s="169">
        <f t="shared" si="2"/>
        <v>0.16666666666666666</v>
      </c>
      <c r="F26" s="169">
        <f t="shared" si="2"/>
        <v>0.16666666666666666</v>
      </c>
      <c r="G26" s="169">
        <f t="shared" si="2"/>
        <v>0.16666666666666666</v>
      </c>
      <c r="H26" s="169">
        <f t="shared" si="2"/>
        <v>0.16666666666666666</v>
      </c>
      <c r="I26" s="169">
        <f t="shared" si="2"/>
        <v>0.16666666666666666</v>
      </c>
      <c r="J26" s="169">
        <f t="shared" si="2"/>
        <v>0.16666666666666666</v>
      </c>
      <c r="K26" s="169">
        <f t="shared" si="2"/>
        <v>0.16666666666666666</v>
      </c>
      <c r="L26" s="169">
        <f t="shared" si="2"/>
        <v>0.16666666666666666</v>
      </c>
      <c r="M26" s="169">
        <f t="shared" si="2"/>
        <v>0.16666666666666666</v>
      </c>
      <c r="N26" s="169">
        <f t="shared" si="2"/>
        <v>0.16666666666666666</v>
      </c>
      <c r="O26" s="169">
        <f t="shared" si="2"/>
        <v>0.16666666666666666</v>
      </c>
      <c r="P26" s="169">
        <f t="shared" si="2"/>
        <v>0.16666666666666666</v>
      </c>
      <c r="Q26" s="169">
        <f t="shared" si="2"/>
        <v>0.16666666666666666</v>
      </c>
      <c r="R26" s="169">
        <f t="shared" si="2"/>
        <v>0.16666666666666666</v>
      </c>
      <c r="S26" s="169">
        <f t="shared" si="2"/>
        <v>0.16666666666666666</v>
      </c>
      <c r="T26" s="67"/>
      <c r="U26" s="305"/>
    </row>
    <row r="27" spans="1:21" ht="15" customHeight="1">
      <c r="B27" s="305" t="s">
        <v>1065</v>
      </c>
      <c r="C27" s="169">
        <f>Inputs!C27</f>
        <v>0.33333333333333331</v>
      </c>
      <c r="D27" s="169">
        <f t="shared" ref="D27:S38" si="3">C27</f>
        <v>0.33333333333333331</v>
      </c>
      <c r="E27" s="169">
        <f t="shared" si="3"/>
        <v>0.33333333333333331</v>
      </c>
      <c r="F27" s="169">
        <f t="shared" si="3"/>
        <v>0.33333333333333331</v>
      </c>
      <c r="G27" s="169">
        <f t="shared" si="3"/>
        <v>0.33333333333333331</v>
      </c>
      <c r="H27" s="169">
        <f t="shared" si="3"/>
        <v>0.33333333333333331</v>
      </c>
      <c r="I27" s="169">
        <f t="shared" si="3"/>
        <v>0.33333333333333331</v>
      </c>
      <c r="J27" s="169">
        <f t="shared" si="3"/>
        <v>0.33333333333333331</v>
      </c>
      <c r="K27" s="169">
        <f t="shared" si="3"/>
        <v>0.33333333333333331</v>
      </c>
      <c r="L27" s="169">
        <f t="shared" si="3"/>
        <v>0.33333333333333331</v>
      </c>
      <c r="M27" s="169">
        <f t="shared" si="3"/>
        <v>0.33333333333333331</v>
      </c>
      <c r="N27" s="169">
        <f t="shared" si="3"/>
        <v>0.33333333333333331</v>
      </c>
      <c r="O27" s="169">
        <f t="shared" si="3"/>
        <v>0.33333333333333331</v>
      </c>
      <c r="P27" s="169">
        <f t="shared" si="3"/>
        <v>0.33333333333333331</v>
      </c>
      <c r="Q27" s="169">
        <f t="shared" si="3"/>
        <v>0.33333333333333331</v>
      </c>
      <c r="R27" s="169">
        <f t="shared" si="3"/>
        <v>0.33333333333333331</v>
      </c>
      <c r="S27" s="169">
        <f t="shared" si="3"/>
        <v>0.33333333333333331</v>
      </c>
      <c r="T27" s="67"/>
    </row>
    <row r="28" spans="1:21" ht="15" customHeight="1">
      <c r="B28" s="305" t="s">
        <v>1066</v>
      </c>
      <c r="C28" s="169">
        <f>Inputs!C28</f>
        <v>0.33333333333333331</v>
      </c>
      <c r="D28" s="169">
        <f t="shared" si="3"/>
        <v>0.33333333333333331</v>
      </c>
      <c r="E28" s="169">
        <f t="shared" si="3"/>
        <v>0.33333333333333331</v>
      </c>
      <c r="F28" s="169">
        <f t="shared" si="3"/>
        <v>0.33333333333333331</v>
      </c>
      <c r="G28" s="169">
        <f t="shared" si="3"/>
        <v>0.33333333333333331</v>
      </c>
      <c r="H28" s="169">
        <f t="shared" si="3"/>
        <v>0.33333333333333331</v>
      </c>
      <c r="I28" s="169">
        <f t="shared" si="3"/>
        <v>0.33333333333333331</v>
      </c>
      <c r="J28" s="169">
        <f t="shared" si="3"/>
        <v>0.33333333333333331</v>
      </c>
      <c r="K28" s="169">
        <f t="shared" si="3"/>
        <v>0.33333333333333331</v>
      </c>
      <c r="L28" s="169">
        <f t="shared" si="3"/>
        <v>0.33333333333333331</v>
      </c>
      <c r="M28" s="169">
        <f t="shared" si="3"/>
        <v>0.33333333333333331</v>
      </c>
      <c r="N28" s="169">
        <f t="shared" si="3"/>
        <v>0.33333333333333331</v>
      </c>
      <c r="O28" s="169">
        <f t="shared" si="3"/>
        <v>0.33333333333333331</v>
      </c>
      <c r="P28" s="169">
        <f t="shared" si="3"/>
        <v>0.33333333333333331</v>
      </c>
      <c r="Q28" s="169">
        <f t="shared" si="3"/>
        <v>0.33333333333333331</v>
      </c>
      <c r="R28" s="169">
        <f t="shared" si="3"/>
        <v>0.33333333333333331</v>
      </c>
      <c r="S28" s="169">
        <f t="shared" si="3"/>
        <v>0.33333333333333331</v>
      </c>
      <c r="T28" s="67"/>
      <c r="U28" s="305"/>
    </row>
    <row r="29" spans="1:21" ht="15" customHeight="1">
      <c r="B29" s="305" t="s">
        <v>1067</v>
      </c>
      <c r="C29" s="169">
        <f>Inputs!C29</f>
        <v>0.16666666666666666</v>
      </c>
      <c r="D29" s="169">
        <f t="shared" si="3"/>
        <v>0.16666666666666666</v>
      </c>
      <c r="E29" s="169">
        <f t="shared" si="3"/>
        <v>0.16666666666666666</v>
      </c>
      <c r="F29" s="169">
        <f t="shared" si="3"/>
        <v>0.16666666666666666</v>
      </c>
      <c r="G29" s="169">
        <f t="shared" si="3"/>
        <v>0.16666666666666666</v>
      </c>
      <c r="H29" s="169">
        <f t="shared" si="3"/>
        <v>0.16666666666666666</v>
      </c>
      <c r="I29" s="169">
        <f t="shared" si="3"/>
        <v>0.16666666666666666</v>
      </c>
      <c r="J29" s="169">
        <f t="shared" si="3"/>
        <v>0.16666666666666666</v>
      </c>
      <c r="K29" s="169">
        <f t="shared" si="3"/>
        <v>0.16666666666666666</v>
      </c>
      <c r="L29" s="169">
        <f t="shared" si="3"/>
        <v>0.16666666666666666</v>
      </c>
      <c r="M29" s="169">
        <f t="shared" si="3"/>
        <v>0.16666666666666666</v>
      </c>
      <c r="N29" s="169">
        <f t="shared" si="3"/>
        <v>0.16666666666666666</v>
      </c>
      <c r="O29" s="169">
        <f t="shared" si="3"/>
        <v>0.16666666666666666</v>
      </c>
      <c r="P29" s="169">
        <f t="shared" si="3"/>
        <v>0.16666666666666666</v>
      </c>
      <c r="Q29" s="169">
        <f t="shared" si="3"/>
        <v>0.16666666666666666</v>
      </c>
      <c r="R29" s="169">
        <f t="shared" si="3"/>
        <v>0.16666666666666666</v>
      </c>
      <c r="S29" s="169">
        <f t="shared" si="3"/>
        <v>0.16666666666666666</v>
      </c>
      <c r="T29" s="67"/>
      <c r="U29" s="305"/>
    </row>
    <row r="30" spans="1:21" ht="15" customHeight="1">
      <c r="B30" s="305" t="s">
        <v>1068</v>
      </c>
      <c r="C30" s="169">
        <f>Inputs!C30</f>
        <v>0.16666666666666666</v>
      </c>
      <c r="D30" s="169">
        <f t="shared" si="3"/>
        <v>0.16666666666666666</v>
      </c>
      <c r="E30" s="169">
        <f t="shared" si="3"/>
        <v>0.16666666666666666</v>
      </c>
      <c r="F30" s="169">
        <f t="shared" si="3"/>
        <v>0.16666666666666666</v>
      </c>
      <c r="G30" s="169">
        <f t="shared" si="3"/>
        <v>0.16666666666666666</v>
      </c>
      <c r="H30" s="169">
        <f t="shared" si="3"/>
        <v>0.16666666666666666</v>
      </c>
      <c r="I30" s="169">
        <f t="shared" si="3"/>
        <v>0.16666666666666666</v>
      </c>
      <c r="J30" s="169">
        <f t="shared" si="3"/>
        <v>0.16666666666666666</v>
      </c>
      <c r="K30" s="169">
        <f t="shared" si="3"/>
        <v>0.16666666666666666</v>
      </c>
      <c r="L30" s="169">
        <f t="shared" si="3"/>
        <v>0.16666666666666666</v>
      </c>
      <c r="M30" s="169">
        <f t="shared" si="3"/>
        <v>0.16666666666666666</v>
      </c>
      <c r="N30" s="169">
        <f t="shared" si="3"/>
        <v>0.16666666666666666</v>
      </c>
      <c r="O30" s="169">
        <f t="shared" si="3"/>
        <v>0.16666666666666666</v>
      </c>
      <c r="P30" s="169">
        <f t="shared" si="3"/>
        <v>0.16666666666666666</v>
      </c>
      <c r="Q30" s="169">
        <f t="shared" si="3"/>
        <v>0.16666666666666666</v>
      </c>
      <c r="R30" s="169">
        <f t="shared" si="3"/>
        <v>0.16666666666666666</v>
      </c>
      <c r="S30" s="169">
        <f t="shared" si="3"/>
        <v>0.16666666666666666</v>
      </c>
      <c r="T30" s="67"/>
    </row>
    <row r="31" spans="1:21" ht="15" customHeight="1">
      <c r="B31" s="305" t="s">
        <v>1069</v>
      </c>
      <c r="C31" s="144">
        <f>Inputs!C31</f>
        <v>1</v>
      </c>
      <c r="D31" s="144">
        <f t="shared" si="3"/>
        <v>1</v>
      </c>
      <c r="E31" s="144">
        <f t="shared" si="3"/>
        <v>1</v>
      </c>
      <c r="F31" s="144">
        <f t="shared" si="3"/>
        <v>1</v>
      </c>
      <c r="G31" s="144">
        <f t="shared" si="3"/>
        <v>1</v>
      </c>
      <c r="H31" s="144">
        <f t="shared" si="3"/>
        <v>1</v>
      </c>
      <c r="I31" s="144">
        <f t="shared" si="3"/>
        <v>1</v>
      </c>
      <c r="J31" s="144">
        <f t="shared" si="3"/>
        <v>1</v>
      </c>
      <c r="K31" s="144">
        <f t="shared" si="3"/>
        <v>1</v>
      </c>
      <c r="L31" s="144">
        <f t="shared" si="3"/>
        <v>1</v>
      </c>
      <c r="M31" s="144">
        <f t="shared" si="3"/>
        <v>1</v>
      </c>
      <c r="N31" s="144">
        <f t="shared" si="3"/>
        <v>1</v>
      </c>
      <c r="O31" s="144">
        <f t="shared" si="3"/>
        <v>1</v>
      </c>
      <c r="P31" s="144">
        <f t="shared" si="3"/>
        <v>1</v>
      </c>
      <c r="Q31" s="144">
        <f t="shared" si="3"/>
        <v>1</v>
      </c>
      <c r="R31" s="144">
        <f t="shared" si="3"/>
        <v>1</v>
      </c>
      <c r="S31" s="144">
        <f t="shared" si="3"/>
        <v>1</v>
      </c>
      <c r="T31" s="67"/>
      <c r="U31" s="305"/>
    </row>
    <row r="32" spans="1:21" ht="15" customHeight="1">
      <c r="B32" s="305" t="s">
        <v>1078</v>
      </c>
      <c r="C32" s="144">
        <f>Inputs!C32</f>
        <v>0</v>
      </c>
      <c r="D32" s="144">
        <f t="shared" si="3"/>
        <v>0</v>
      </c>
      <c r="E32" s="144">
        <f t="shared" si="3"/>
        <v>0</v>
      </c>
      <c r="F32" s="144">
        <f t="shared" si="3"/>
        <v>0</v>
      </c>
      <c r="G32" s="144">
        <f t="shared" si="3"/>
        <v>0</v>
      </c>
      <c r="H32" s="144">
        <f t="shared" si="3"/>
        <v>0</v>
      </c>
      <c r="I32" s="144">
        <f t="shared" si="3"/>
        <v>0</v>
      </c>
      <c r="J32" s="144">
        <f t="shared" si="3"/>
        <v>0</v>
      </c>
      <c r="K32" s="144">
        <f t="shared" si="3"/>
        <v>0</v>
      </c>
      <c r="L32" s="144">
        <f t="shared" si="3"/>
        <v>0</v>
      </c>
      <c r="M32" s="144">
        <f t="shared" si="3"/>
        <v>0</v>
      </c>
      <c r="N32" s="144">
        <f t="shared" si="3"/>
        <v>0</v>
      </c>
      <c r="O32" s="144">
        <f t="shared" si="3"/>
        <v>0</v>
      </c>
      <c r="P32" s="144">
        <f t="shared" si="3"/>
        <v>0</v>
      </c>
      <c r="Q32" s="144">
        <f t="shared" si="3"/>
        <v>0</v>
      </c>
      <c r="R32" s="144">
        <f t="shared" si="3"/>
        <v>0</v>
      </c>
      <c r="S32" s="144">
        <f t="shared" si="3"/>
        <v>0</v>
      </c>
      <c r="T32" s="67"/>
      <c r="U32" s="305"/>
    </row>
    <row r="33" spans="1:22" ht="15" customHeight="1">
      <c r="A33" s="305" t="s">
        <v>1172</v>
      </c>
      <c r="B33" s="305" t="s">
        <v>438</v>
      </c>
      <c r="C33" s="8">
        <f>Inputs!C33</f>
        <v>0.30000000000000004</v>
      </c>
      <c r="D33" s="8">
        <f t="shared" si="3"/>
        <v>0.30000000000000004</v>
      </c>
      <c r="E33" s="8">
        <f t="shared" si="3"/>
        <v>0.30000000000000004</v>
      </c>
      <c r="F33" s="8">
        <f t="shared" si="3"/>
        <v>0.30000000000000004</v>
      </c>
      <c r="G33" s="8">
        <f t="shared" si="3"/>
        <v>0.30000000000000004</v>
      </c>
      <c r="H33" s="8">
        <f t="shared" si="3"/>
        <v>0.30000000000000004</v>
      </c>
      <c r="I33" s="8">
        <f t="shared" si="3"/>
        <v>0.30000000000000004</v>
      </c>
      <c r="J33" s="8">
        <f t="shared" si="3"/>
        <v>0.30000000000000004</v>
      </c>
      <c r="K33" s="8">
        <f t="shared" si="3"/>
        <v>0.30000000000000004</v>
      </c>
      <c r="L33" s="8">
        <f t="shared" si="3"/>
        <v>0.30000000000000004</v>
      </c>
      <c r="M33" s="8">
        <f t="shared" si="3"/>
        <v>0.30000000000000004</v>
      </c>
      <c r="N33" s="8">
        <f t="shared" si="3"/>
        <v>0.30000000000000004</v>
      </c>
      <c r="O33" s="8">
        <f t="shared" si="3"/>
        <v>0.30000000000000004</v>
      </c>
      <c r="P33" s="8">
        <f t="shared" si="3"/>
        <v>0.30000000000000004</v>
      </c>
      <c r="Q33" s="8">
        <f t="shared" si="3"/>
        <v>0.30000000000000004</v>
      </c>
      <c r="R33" s="8">
        <f t="shared" si="3"/>
        <v>0.30000000000000004</v>
      </c>
      <c r="S33" s="276">
        <f t="shared" si="3"/>
        <v>0.30000000000000004</v>
      </c>
      <c r="T33" s="343"/>
    </row>
    <row r="34" spans="1:22" ht="15" customHeight="1">
      <c r="B34" s="305" t="s">
        <v>1079</v>
      </c>
      <c r="C34" s="6" t="str">
        <f>Inputs!C34</f>
        <v>I</v>
      </c>
      <c r="D34" s="6" t="str">
        <f t="shared" si="3"/>
        <v>I</v>
      </c>
      <c r="E34" s="6" t="str">
        <f t="shared" si="3"/>
        <v>I</v>
      </c>
      <c r="F34" s="6" t="str">
        <f t="shared" si="3"/>
        <v>I</v>
      </c>
      <c r="G34" s="6" t="str">
        <f t="shared" si="3"/>
        <v>I</v>
      </c>
      <c r="H34" s="6" t="str">
        <f t="shared" si="3"/>
        <v>I</v>
      </c>
      <c r="I34" s="6" t="str">
        <f t="shared" si="3"/>
        <v>I</v>
      </c>
      <c r="J34" s="6" t="str">
        <f t="shared" si="3"/>
        <v>I</v>
      </c>
      <c r="K34" s="6" t="str">
        <f t="shared" si="3"/>
        <v>I</v>
      </c>
      <c r="L34" s="6" t="str">
        <f t="shared" si="3"/>
        <v>I</v>
      </c>
      <c r="M34" s="6" t="str">
        <f t="shared" si="3"/>
        <v>I</v>
      </c>
      <c r="N34" s="6" t="str">
        <f t="shared" si="3"/>
        <v>I</v>
      </c>
      <c r="O34" s="6" t="str">
        <f t="shared" si="3"/>
        <v>I</v>
      </c>
      <c r="P34" s="6" t="str">
        <f t="shared" si="3"/>
        <v>I</v>
      </c>
      <c r="Q34" s="6" t="str">
        <f t="shared" si="3"/>
        <v>I</v>
      </c>
      <c r="R34" s="6" t="str">
        <f t="shared" si="3"/>
        <v>I</v>
      </c>
      <c r="S34" s="6" t="str">
        <f t="shared" si="3"/>
        <v>I</v>
      </c>
      <c r="T34" s="343"/>
    </row>
    <row r="35" spans="1:22" ht="15" customHeight="1">
      <c r="B35" s="305" t="s">
        <v>1080</v>
      </c>
      <c r="C35" s="8">
        <f>Inputs!C35</f>
        <v>749.70012499999996</v>
      </c>
      <c r="D35" s="8">
        <f t="shared" si="3"/>
        <v>749.70012499999996</v>
      </c>
      <c r="E35" s="8">
        <f t="shared" si="3"/>
        <v>749.70012499999996</v>
      </c>
      <c r="F35" s="8">
        <f t="shared" si="3"/>
        <v>749.70012499999996</v>
      </c>
      <c r="G35" s="8">
        <f t="shared" si="3"/>
        <v>749.70012499999996</v>
      </c>
      <c r="H35" s="8">
        <f t="shared" si="3"/>
        <v>749.70012499999996</v>
      </c>
      <c r="I35" s="8">
        <f t="shared" si="3"/>
        <v>749.70012499999996</v>
      </c>
      <c r="J35" s="8">
        <f t="shared" si="3"/>
        <v>749.70012499999996</v>
      </c>
      <c r="K35" s="8">
        <f t="shared" si="3"/>
        <v>749.70012499999996</v>
      </c>
      <c r="L35" s="8">
        <f t="shared" si="3"/>
        <v>749.70012499999996</v>
      </c>
      <c r="M35" s="8">
        <f t="shared" si="3"/>
        <v>749.70012499999996</v>
      </c>
      <c r="N35" s="8">
        <f t="shared" si="3"/>
        <v>749.70012499999996</v>
      </c>
      <c r="O35" s="8">
        <f t="shared" si="3"/>
        <v>749.70012499999996</v>
      </c>
      <c r="P35" s="8">
        <f t="shared" si="3"/>
        <v>749.70012499999996</v>
      </c>
      <c r="Q35" s="8">
        <f t="shared" si="3"/>
        <v>749.70012499999996</v>
      </c>
      <c r="R35" s="8">
        <f t="shared" si="3"/>
        <v>749.70012499999996</v>
      </c>
      <c r="S35" s="276">
        <f t="shared" si="3"/>
        <v>749.70012499999996</v>
      </c>
      <c r="T35" s="343"/>
    </row>
    <row r="36" spans="1:22" ht="15" customHeight="1">
      <c r="B36" s="305" t="s">
        <v>1081</v>
      </c>
      <c r="C36" s="8">
        <f>Inputs!C36</f>
        <v>299.88004999999998</v>
      </c>
      <c r="D36" s="8">
        <f>C36</f>
        <v>299.88004999999998</v>
      </c>
      <c r="E36" s="8">
        <f t="shared" si="3"/>
        <v>299.88004999999998</v>
      </c>
      <c r="F36" s="8">
        <f t="shared" si="3"/>
        <v>299.88004999999998</v>
      </c>
      <c r="G36" s="8">
        <f t="shared" si="3"/>
        <v>299.88004999999998</v>
      </c>
      <c r="H36" s="8">
        <f t="shared" si="3"/>
        <v>299.88004999999998</v>
      </c>
      <c r="I36" s="8">
        <f t="shared" si="3"/>
        <v>299.88004999999998</v>
      </c>
      <c r="J36" s="8">
        <f t="shared" si="3"/>
        <v>299.88004999999998</v>
      </c>
      <c r="K36" s="8">
        <f t="shared" si="3"/>
        <v>299.88004999999998</v>
      </c>
      <c r="L36" s="8">
        <f t="shared" si="3"/>
        <v>299.88004999999998</v>
      </c>
      <c r="M36" s="8">
        <f t="shared" si="3"/>
        <v>299.88004999999998</v>
      </c>
      <c r="N36" s="8">
        <f t="shared" si="3"/>
        <v>299.88004999999998</v>
      </c>
      <c r="O36" s="8">
        <f t="shared" si="3"/>
        <v>299.88004999999998</v>
      </c>
      <c r="P36" s="8">
        <f t="shared" si="3"/>
        <v>299.88004999999998</v>
      </c>
      <c r="Q36" s="8">
        <f t="shared" si="3"/>
        <v>299.88004999999998</v>
      </c>
      <c r="R36" s="8">
        <f t="shared" si="3"/>
        <v>299.88004999999998</v>
      </c>
      <c r="S36" s="276">
        <f t="shared" si="3"/>
        <v>299.88004999999998</v>
      </c>
      <c r="T36" s="343"/>
    </row>
    <row r="37" spans="1:22" ht="15" customHeight="1">
      <c r="B37" s="305" t="s">
        <v>1082</v>
      </c>
      <c r="C37" s="8">
        <f>Inputs!C37</f>
        <v>299.88004999999998</v>
      </c>
      <c r="D37" s="8">
        <f>C37</f>
        <v>299.88004999999998</v>
      </c>
      <c r="E37" s="8">
        <f t="shared" si="3"/>
        <v>299.88004999999998</v>
      </c>
      <c r="F37" s="8">
        <f t="shared" si="3"/>
        <v>299.88004999999998</v>
      </c>
      <c r="G37" s="8">
        <f t="shared" si="3"/>
        <v>299.88004999999998</v>
      </c>
      <c r="H37" s="8">
        <f t="shared" si="3"/>
        <v>299.88004999999998</v>
      </c>
      <c r="I37" s="8">
        <f t="shared" si="3"/>
        <v>299.88004999999998</v>
      </c>
      <c r="J37" s="8">
        <f t="shared" si="3"/>
        <v>299.88004999999998</v>
      </c>
      <c r="K37" s="8">
        <f t="shared" si="3"/>
        <v>299.88004999999998</v>
      </c>
      <c r="L37" s="8">
        <f t="shared" si="3"/>
        <v>299.88004999999998</v>
      </c>
      <c r="M37" s="8">
        <f t="shared" si="3"/>
        <v>299.88004999999998</v>
      </c>
      <c r="N37" s="8">
        <f t="shared" si="3"/>
        <v>299.88004999999998</v>
      </c>
      <c r="O37" s="8">
        <f t="shared" si="3"/>
        <v>299.88004999999998</v>
      </c>
      <c r="P37" s="8">
        <f t="shared" si="3"/>
        <v>299.88004999999998</v>
      </c>
      <c r="Q37" s="8">
        <f t="shared" si="3"/>
        <v>299.88004999999998</v>
      </c>
      <c r="R37" s="8">
        <f t="shared" si="3"/>
        <v>299.88004999999998</v>
      </c>
      <c r="S37" s="276">
        <f t="shared" si="3"/>
        <v>299.88004999999998</v>
      </c>
      <c r="T37" s="343"/>
    </row>
    <row r="38" spans="1:22" s="305" customFormat="1" ht="15" customHeight="1">
      <c r="B38" s="305" t="s">
        <v>987</v>
      </c>
      <c r="C38" s="276">
        <f>Inputs!C38</f>
        <v>2.5</v>
      </c>
      <c r="D38" s="276">
        <f>C38</f>
        <v>2.5</v>
      </c>
      <c r="E38" s="276">
        <f t="shared" si="3"/>
        <v>2.5</v>
      </c>
      <c r="F38" s="276">
        <f t="shared" si="3"/>
        <v>2.5</v>
      </c>
      <c r="G38" s="276">
        <f t="shared" si="3"/>
        <v>2.5</v>
      </c>
      <c r="H38" s="276">
        <f t="shared" si="3"/>
        <v>2.5</v>
      </c>
      <c r="I38" s="276">
        <f t="shared" si="3"/>
        <v>2.5</v>
      </c>
      <c r="J38" s="276">
        <f t="shared" si="3"/>
        <v>2.5</v>
      </c>
      <c r="K38" s="276">
        <f t="shared" si="3"/>
        <v>2.5</v>
      </c>
      <c r="L38" s="276">
        <f t="shared" si="3"/>
        <v>2.5</v>
      </c>
      <c r="M38" s="276">
        <f t="shared" si="3"/>
        <v>2.5</v>
      </c>
      <c r="N38" s="276">
        <f t="shared" si="3"/>
        <v>2.5</v>
      </c>
      <c r="O38" s="276">
        <f t="shared" si="3"/>
        <v>2.5</v>
      </c>
      <c r="P38" s="276">
        <f t="shared" si="3"/>
        <v>2.5</v>
      </c>
      <c r="Q38" s="276">
        <f t="shared" si="3"/>
        <v>2.5</v>
      </c>
      <c r="R38" s="276">
        <f t="shared" si="3"/>
        <v>2.5</v>
      </c>
      <c r="S38" s="276">
        <f t="shared" si="3"/>
        <v>2.5</v>
      </c>
      <c r="T38" s="343"/>
    </row>
    <row r="39" spans="1:22" ht="15" customHeight="1">
      <c r="B39" s="305" t="s">
        <v>1085</v>
      </c>
      <c r="C39" s="9">
        <f>UA!F11</f>
        <v>64.30235473859382</v>
      </c>
      <c r="D39" s="9">
        <f>UA!G11</f>
        <v>64.30235473859382</v>
      </c>
      <c r="E39" s="9">
        <f>UA!H11</f>
        <v>64.30235473859382</v>
      </c>
      <c r="F39" s="9">
        <f>UA!I11</f>
        <v>43.273540430205983</v>
      </c>
      <c r="G39" s="9">
        <f>UA!J11</f>
        <v>43.273540430205983</v>
      </c>
      <c r="H39" s="9">
        <f>UA!K11</f>
        <v>43.273540430205983</v>
      </c>
      <c r="I39" s="9">
        <f>UA!L11</f>
        <v>43.273540430205983</v>
      </c>
      <c r="J39" s="9">
        <f>UA!M11</f>
        <v>43.273540430205983</v>
      </c>
      <c r="K39" s="9">
        <f>UA!N11</f>
        <v>43.273540430205983</v>
      </c>
      <c r="L39" s="9">
        <f>UA!O11</f>
        <v>43.273540430205983</v>
      </c>
      <c r="M39" s="9">
        <f>UA!P11</f>
        <v>43.273540430205983</v>
      </c>
      <c r="N39" s="9">
        <f>UA!Q11</f>
        <v>35.462837972804785</v>
      </c>
      <c r="O39" s="9">
        <f>UA!R11</f>
        <v>35.462837972804785</v>
      </c>
      <c r="P39" s="9">
        <f>UA!S11</f>
        <v>35.462837972804785</v>
      </c>
      <c r="Q39" s="9">
        <f>UA!T11</f>
        <v>35.462837972804785</v>
      </c>
      <c r="R39" s="9">
        <f>UA!U11</f>
        <v>64.30235473859382</v>
      </c>
      <c r="S39" s="9">
        <f>UA!V11</f>
        <v>43.273540430205983</v>
      </c>
      <c r="T39" s="343"/>
      <c r="V39" s="305"/>
    </row>
    <row r="40" spans="1:22" ht="15" customHeight="1">
      <c r="B40" s="305" t="s">
        <v>1086</v>
      </c>
      <c r="C40" s="9">
        <f>UA!F13</f>
        <v>130.97837876153847</v>
      </c>
      <c r="D40" s="9">
        <f>UA!G13</f>
        <v>130.97837876153847</v>
      </c>
      <c r="E40" s="9">
        <f>UA!H13</f>
        <v>130.97837876153847</v>
      </c>
      <c r="F40" s="9">
        <f>UA!I13</f>
        <v>89.616785468421028</v>
      </c>
      <c r="G40" s="9">
        <f>UA!J13</f>
        <v>89.616785468421028</v>
      </c>
      <c r="H40" s="9">
        <f>UA!K13</f>
        <v>89.616785468421028</v>
      </c>
      <c r="I40" s="9">
        <f>UA!L13</f>
        <v>89.616785468421028</v>
      </c>
      <c r="J40" s="9">
        <f>UA!M13</f>
        <v>89.616785468421028</v>
      </c>
      <c r="K40" s="9">
        <f>UA!N13</f>
        <v>56.75729746333333</v>
      </c>
      <c r="L40" s="9">
        <f>UA!O13</f>
        <v>56.75729746333333</v>
      </c>
      <c r="M40" s="9">
        <f>UA!P13</f>
        <v>56.75729746333333</v>
      </c>
      <c r="N40" s="9">
        <f>UA!Q13</f>
        <v>56.75729746333333</v>
      </c>
      <c r="O40" s="9">
        <f>UA!R13</f>
        <v>56.75729746333333</v>
      </c>
      <c r="P40" s="9">
        <f>UA!S13</f>
        <v>44.808392734210514</v>
      </c>
      <c r="Q40" s="9">
        <f>UA!T13</f>
        <v>44.808392734210514</v>
      </c>
      <c r="R40" s="9">
        <f>UA!U13</f>
        <v>130.97837876153847</v>
      </c>
      <c r="S40" s="9">
        <f>UA!V13</f>
        <v>89.616785468421028</v>
      </c>
      <c r="T40" s="343"/>
    </row>
    <row r="41" spans="1:22" s="305" customFormat="1" ht="15" customHeight="1">
      <c r="B41" s="305" t="s">
        <v>1087</v>
      </c>
      <c r="C41" s="9">
        <f>UA!F12</f>
        <v>136.21751391199999</v>
      </c>
      <c r="D41" s="9">
        <f>UA!G12</f>
        <v>136.21751391199999</v>
      </c>
      <c r="E41" s="9">
        <f>UA!H12</f>
        <v>136.21751391199999</v>
      </c>
      <c r="F41" s="9">
        <f>UA!I12</f>
        <v>102.16313543400001</v>
      </c>
      <c r="G41" s="9">
        <f>UA!J12</f>
        <v>102.16313543400001</v>
      </c>
      <c r="H41" s="9">
        <f>UA!K12</f>
        <v>102.16313543400001</v>
      </c>
      <c r="I41" s="9">
        <f>UA!L12</f>
        <v>102.16313543400001</v>
      </c>
      <c r="J41" s="9">
        <f>UA!M12</f>
        <v>102.16313543400001</v>
      </c>
      <c r="K41" s="9">
        <f>UA!N12</f>
        <v>91.946821890600006</v>
      </c>
      <c r="L41" s="9">
        <f>UA!O12</f>
        <v>91.946821890600006</v>
      </c>
      <c r="M41" s="9">
        <f>UA!P12</f>
        <v>91.946821890600006</v>
      </c>
      <c r="N41" s="9">
        <f>UA!Q12</f>
        <v>91.946821890600006</v>
      </c>
      <c r="O41" s="9">
        <f>UA!R12</f>
        <v>91.946821890600006</v>
      </c>
      <c r="P41" s="9">
        <f>UA!S12</f>
        <v>91.946821890600006</v>
      </c>
      <c r="Q41" s="9">
        <f>UA!T12</f>
        <v>91.946821890600006</v>
      </c>
      <c r="R41" s="9">
        <f>UA!U12</f>
        <v>136.21751391199999</v>
      </c>
      <c r="S41" s="9">
        <f>UA!V12</f>
        <v>102.16313543400001</v>
      </c>
      <c r="T41" s="343"/>
    </row>
    <row r="42" spans="1:22" ht="15" customHeight="1">
      <c r="A42" s="305" t="s">
        <v>46</v>
      </c>
      <c r="B42" s="305" t="s">
        <v>1088</v>
      </c>
      <c r="C42" s="6">
        <f>Inputs!C42</f>
        <v>0</v>
      </c>
      <c r="D42" s="6">
        <f t="shared" ref="D42:S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6">
        <f t="shared" si="4"/>
        <v>0</v>
      </c>
      <c r="T42" s="343"/>
    </row>
    <row r="43" spans="1:22" s="305" customFormat="1" ht="15" customHeight="1">
      <c r="B43" s="305" t="s">
        <v>989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6">
        <f t="shared" ref="S43:S47" si="20">R43</f>
        <v>0</v>
      </c>
      <c r="T43" s="343"/>
    </row>
    <row r="44" spans="1:22" s="305" customFormat="1" ht="15" customHeight="1">
      <c r="B44" s="305" t="s">
        <v>990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6">
        <f t="shared" si="20"/>
        <v>0</v>
      </c>
      <c r="T44" s="343"/>
    </row>
    <row r="45" spans="1:22" s="305" customFormat="1" ht="15" customHeight="1">
      <c r="B45" s="305" t="s">
        <v>991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6">
        <f t="shared" si="20"/>
        <v>0</v>
      </c>
      <c r="T45" s="343"/>
    </row>
    <row r="46" spans="1:22" s="305" customFormat="1" ht="15" customHeight="1">
      <c r="B46" s="305" t="s">
        <v>992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6">
        <f t="shared" si="20"/>
        <v>0</v>
      </c>
      <c r="T46" s="343"/>
    </row>
    <row r="47" spans="1:22" s="305" customFormat="1" ht="15" customHeight="1">
      <c r="B47" s="305" t="s">
        <v>993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6">
        <f t="shared" si="20"/>
        <v>0</v>
      </c>
      <c r="T47" s="343"/>
    </row>
    <row r="48" spans="1:22" ht="15" customHeight="1">
      <c r="A48" s="305" t="s">
        <v>48</v>
      </c>
      <c r="B48" s="305" t="s">
        <v>1089</v>
      </c>
      <c r="C48" s="144">
        <f>Inputs!C48</f>
        <v>6</v>
      </c>
      <c r="D48" s="144">
        <f t="shared" ref="D48:S48" si="21">C48</f>
        <v>6</v>
      </c>
      <c r="E48" s="144">
        <f t="shared" si="21"/>
        <v>6</v>
      </c>
      <c r="F48" s="144">
        <f t="shared" si="21"/>
        <v>6</v>
      </c>
      <c r="G48" s="144">
        <f t="shared" si="21"/>
        <v>6</v>
      </c>
      <c r="H48" s="144">
        <f t="shared" si="21"/>
        <v>6</v>
      </c>
      <c r="I48" s="144">
        <f t="shared" si="21"/>
        <v>6</v>
      </c>
      <c r="J48" s="144">
        <f t="shared" si="21"/>
        <v>6</v>
      </c>
      <c r="K48" s="144">
        <f t="shared" si="21"/>
        <v>6</v>
      </c>
      <c r="L48" s="144">
        <f t="shared" si="21"/>
        <v>6</v>
      </c>
      <c r="M48" s="144">
        <f t="shared" si="21"/>
        <v>6</v>
      </c>
      <c r="N48" s="144">
        <f t="shared" si="21"/>
        <v>6</v>
      </c>
      <c r="O48" s="144">
        <f t="shared" si="21"/>
        <v>6</v>
      </c>
      <c r="P48" s="144">
        <f t="shared" si="21"/>
        <v>6</v>
      </c>
      <c r="Q48" s="144">
        <f t="shared" si="21"/>
        <v>6</v>
      </c>
      <c r="R48" s="144">
        <f t="shared" si="21"/>
        <v>6</v>
      </c>
      <c r="S48" s="144">
        <f t="shared" si="21"/>
        <v>6</v>
      </c>
      <c r="T48" s="343"/>
    </row>
    <row r="49" spans="2:20" ht="15" customHeight="1">
      <c r="B49" s="305" t="s">
        <v>1095</v>
      </c>
      <c r="C49" s="401">
        <f>Fans!B12</f>
        <v>63.521465169510464</v>
      </c>
      <c r="D49" s="401">
        <f>Fans!C12</f>
        <v>63.36118445112816</v>
      </c>
      <c r="E49" s="401">
        <f>Fans!D12</f>
        <v>63.197041546760772</v>
      </c>
      <c r="F49" s="401">
        <f>Fans!E12</f>
        <v>63.929998620380459</v>
      </c>
      <c r="G49" s="401">
        <f>Fans!F12</f>
        <v>63.677883701907632</v>
      </c>
      <c r="H49" s="401">
        <f>Fans!G12</f>
        <v>61.939900008605683</v>
      </c>
      <c r="I49" s="401">
        <f>Fans!H12</f>
        <v>63.415040489031725</v>
      </c>
      <c r="J49" s="401">
        <f>Fans!I12</f>
        <v>62.857169180070599</v>
      </c>
      <c r="K49" s="401">
        <f>Fans!J12</f>
        <v>62.710996168828387</v>
      </c>
      <c r="L49" s="401">
        <f>Fans!K12</f>
        <v>63.677883701907646</v>
      </c>
      <c r="M49" s="401">
        <f>Fans!L12</f>
        <v>64.076117990150664</v>
      </c>
      <c r="N49" s="401">
        <f>Fans!M12</f>
        <v>63.574033812085638</v>
      </c>
      <c r="O49" s="401">
        <f>Fans!N12</f>
        <v>63.36118445112816</v>
      </c>
      <c r="P49" s="401">
        <f>Fans!O12</f>
        <v>62.562141083985402</v>
      </c>
      <c r="Q49" s="401">
        <f>Fans!P12</f>
        <v>64.402043574116789</v>
      </c>
      <c r="R49" s="401">
        <f>Fans!Q12</f>
        <v>63.979134208746636</v>
      </c>
      <c r="S49" s="401">
        <f>Fans!R12</f>
        <v>64.28805544608386</v>
      </c>
      <c r="T49" s="343"/>
    </row>
    <row r="50" spans="2:20" ht="15" customHeight="1">
      <c r="B50" s="305" t="s">
        <v>1093</v>
      </c>
      <c r="C50" s="214">
        <f>Fans!B13</f>
        <v>-0.11222873704860507</v>
      </c>
      <c r="D50" s="214">
        <f>Fans!C13</f>
        <v>-0.11194555556736427</v>
      </c>
      <c r="E50" s="214">
        <f>Fans!D13</f>
        <v>-0.1116555504359731</v>
      </c>
      <c r="F50" s="214">
        <f>Fans!E13</f>
        <v>-0.11295052759784534</v>
      </c>
      <c r="G50" s="214">
        <f>Fans!F13</f>
        <v>-0.11250509487969548</v>
      </c>
      <c r="H50" s="214">
        <f>Fans!G13</f>
        <v>-0.10943445231202419</v>
      </c>
      <c r="I50" s="214">
        <f>Fans!H13</f>
        <v>-0.11204070757779458</v>
      </c>
      <c r="J50" s="214">
        <f>Fans!I13</f>
        <v>-0.11105506922273958</v>
      </c>
      <c r="K50" s="214">
        <f>Fans!J13</f>
        <v>-0.11079681301913144</v>
      </c>
      <c r="L50" s="214">
        <f>Fans!K13</f>
        <v>-0.1125050948796955</v>
      </c>
      <c r="M50" s="214">
        <f>Fans!L13</f>
        <v>-0.11320868902853473</v>
      </c>
      <c r="N50" s="214">
        <f>Fans!M13</f>
        <v>-0.11232161450898524</v>
      </c>
      <c r="O50" s="214">
        <f>Fans!N13</f>
        <v>-0.11194555556736427</v>
      </c>
      <c r="P50" s="214">
        <f>Fans!O13</f>
        <v>-0.11053381816958553</v>
      </c>
      <c r="Q50" s="214">
        <f>Fans!P13</f>
        <v>-0.11378452928289186</v>
      </c>
      <c r="R50" s="214">
        <f>Fans!Q13</f>
        <v>-0.11303733959142516</v>
      </c>
      <c r="S50" s="214">
        <f>Fans!R13</f>
        <v>-0.11358313683053688</v>
      </c>
      <c r="T50" s="343"/>
    </row>
    <row r="51" spans="2:20" ht="15" customHeight="1">
      <c r="B51" s="305" t="s">
        <v>1094</v>
      </c>
      <c r="C51" s="213">
        <f>Fans!B14</f>
        <v>1</v>
      </c>
      <c r="D51" s="213">
        <f>Fans!C14</f>
        <v>1</v>
      </c>
      <c r="E51" s="213">
        <f>Fans!D14</f>
        <v>1</v>
      </c>
      <c r="F51" s="213">
        <f>Fans!E14</f>
        <v>1</v>
      </c>
      <c r="G51" s="213">
        <f>Fans!F14</f>
        <v>1</v>
      </c>
      <c r="H51" s="213">
        <f>Fans!G14</f>
        <v>1</v>
      </c>
      <c r="I51" s="213">
        <f>Fans!H14</f>
        <v>1</v>
      </c>
      <c r="J51" s="213">
        <f>Fans!I14</f>
        <v>1</v>
      </c>
      <c r="K51" s="213">
        <f>Fans!J14</f>
        <v>1</v>
      </c>
      <c r="L51" s="213">
        <f>Fans!K14</f>
        <v>1</v>
      </c>
      <c r="M51" s="213">
        <f>Fans!L14</f>
        <v>1</v>
      </c>
      <c r="N51" s="213">
        <f>Fans!M14</f>
        <v>1</v>
      </c>
      <c r="O51" s="213">
        <f>Fans!N14</f>
        <v>1</v>
      </c>
      <c r="P51" s="213">
        <f>Fans!O14</f>
        <v>1</v>
      </c>
      <c r="Q51" s="213">
        <f>Fans!P14</f>
        <v>1</v>
      </c>
      <c r="R51" s="213">
        <f>Fans!Q14</f>
        <v>1</v>
      </c>
      <c r="S51" s="213">
        <f>Fans!R14</f>
        <v>1</v>
      </c>
      <c r="T51" s="343"/>
    </row>
    <row r="52" spans="2:20" ht="15" customHeight="1">
      <c r="B52" s="305" t="s">
        <v>1096</v>
      </c>
      <c r="C52" s="8">
        <f>Inputs!C52</f>
        <v>0</v>
      </c>
      <c r="D52" s="8">
        <f t="shared" ref="D52:S52" si="22">C52</f>
        <v>0</v>
      </c>
      <c r="E52" s="8">
        <f t="shared" si="22"/>
        <v>0</v>
      </c>
      <c r="F52" s="8">
        <f t="shared" si="22"/>
        <v>0</v>
      </c>
      <c r="G52" s="8">
        <f t="shared" si="22"/>
        <v>0</v>
      </c>
      <c r="H52" s="8">
        <f t="shared" si="22"/>
        <v>0</v>
      </c>
      <c r="I52" s="8">
        <f t="shared" si="22"/>
        <v>0</v>
      </c>
      <c r="J52" s="8">
        <f t="shared" si="22"/>
        <v>0</v>
      </c>
      <c r="K52" s="8">
        <f t="shared" si="22"/>
        <v>0</v>
      </c>
      <c r="L52" s="8">
        <f t="shared" si="22"/>
        <v>0</v>
      </c>
      <c r="M52" s="8">
        <f t="shared" si="22"/>
        <v>0</v>
      </c>
      <c r="N52" s="8">
        <f t="shared" si="22"/>
        <v>0</v>
      </c>
      <c r="O52" s="8">
        <f t="shared" si="22"/>
        <v>0</v>
      </c>
      <c r="P52" s="8">
        <f t="shared" si="22"/>
        <v>0</v>
      </c>
      <c r="Q52" s="8">
        <f t="shared" si="22"/>
        <v>0</v>
      </c>
      <c r="R52" s="8">
        <f t="shared" si="22"/>
        <v>0</v>
      </c>
      <c r="S52" s="276">
        <f t="shared" si="22"/>
        <v>0</v>
      </c>
      <c r="T52" s="343"/>
    </row>
    <row r="53" spans="2:20" ht="15" customHeight="1">
      <c r="B53" s="305" t="s">
        <v>1097</v>
      </c>
      <c r="C53" s="6">
        <f>Inputs!C53</f>
        <v>-7.0788107597923547E-2</v>
      </c>
      <c r="D53" s="6">
        <f t="shared" ref="D53:S53" si="23">C53</f>
        <v>-7.0788107597923547E-2</v>
      </c>
      <c r="E53" s="6">
        <f t="shared" si="23"/>
        <v>-7.0788107597923547E-2</v>
      </c>
      <c r="F53" s="6">
        <f t="shared" si="23"/>
        <v>-7.0788107597923547E-2</v>
      </c>
      <c r="G53" s="6">
        <f t="shared" si="23"/>
        <v>-7.0788107597923547E-2</v>
      </c>
      <c r="H53" s="6">
        <f t="shared" si="23"/>
        <v>-7.0788107597923547E-2</v>
      </c>
      <c r="I53" s="6">
        <f t="shared" si="23"/>
        <v>-7.0788107597923547E-2</v>
      </c>
      <c r="J53" s="6">
        <f t="shared" si="23"/>
        <v>-7.0788107597923547E-2</v>
      </c>
      <c r="K53" s="6">
        <f t="shared" si="23"/>
        <v>-7.0788107597923547E-2</v>
      </c>
      <c r="L53" s="6">
        <f t="shared" si="23"/>
        <v>-7.0788107597923547E-2</v>
      </c>
      <c r="M53" s="6">
        <f t="shared" si="23"/>
        <v>-7.0788107597923547E-2</v>
      </c>
      <c r="N53" s="6">
        <f t="shared" si="23"/>
        <v>-7.0788107597923547E-2</v>
      </c>
      <c r="O53" s="6">
        <f t="shared" si="23"/>
        <v>-7.0788107597923547E-2</v>
      </c>
      <c r="P53" s="6">
        <f t="shared" si="23"/>
        <v>-7.0788107597923547E-2</v>
      </c>
      <c r="Q53" s="6">
        <f t="shared" si="23"/>
        <v>-7.0788107597923547E-2</v>
      </c>
      <c r="R53" s="6">
        <f t="shared" si="23"/>
        <v>-7.0788107597923547E-2</v>
      </c>
      <c r="S53" s="6">
        <f t="shared" si="23"/>
        <v>-7.0788107597923547E-2</v>
      </c>
      <c r="T53" s="343"/>
    </row>
    <row r="54" spans="2:20" ht="15" customHeight="1">
      <c r="B54" s="305" t="s">
        <v>1098</v>
      </c>
      <c r="C54" s="144">
        <f>Inputs!C54</f>
        <v>23</v>
      </c>
      <c r="D54" s="144">
        <f t="shared" ref="D54:S54" si="24">C54</f>
        <v>23</v>
      </c>
      <c r="E54" s="144">
        <f t="shared" si="24"/>
        <v>23</v>
      </c>
      <c r="F54" s="144">
        <f t="shared" si="24"/>
        <v>23</v>
      </c>
      <c r="G54" s="144">
        <f t="shared" si="24"/>
        <v>23</v>
      </c>
      <c r="H54" s="144">
        <f t="shared" si="24"/>
        <v>23</v>
      </c>
      <c r="I54" s="144">
        <f t="shared" si="24"/>
        <v>23</v>
      </c>
      <c r="J54" s="144">
        <f t="shared" si="24"/>
        <v>23</v>
      </c>
      <c r="K54" s="144">
        <f t="shared" si="24"/>
        <v>23</v>
      </c>
      <c r="L54" s="144">
        <f t="shared" si="24"/>
        <v>23</v>
      </c>
      <c r="M54" s="144">
        <f t="shared" si="24"/>
        <v>23</v>
      </c>
      <c r="N54" s="144">
        <f t="shared" si="24"/>
        <v>23</v>
      </c>
      <c r="O54" s="144">
        <f t="shared" si="24"/>
        <v>23</v>
      </c>
      <c r="P54" s="144">
        <f t="shared" si="24"/>
        <v>23</v>
      </c>
      <c r="Q54" s="144">
        <f t="shared" si="24"/>
        <v>23</v>
      </c>
      <c r="R54" s="144">
        <f t="shared" si="24"/>
        <v>23</v>
      </c>
      <c r="S54" s="144">
        <f t="shared" si="24"/>
        <v>23</v>
      </c>
      <c r="T54" s="343"/>
    </row>
    <row r="55" spans="2:20" ht="15" customHeight="1">
      <c r="B55" s="305" t="s">
        <v>1099</v>
      </c>
      <c r="C55" s="218">
        <f>Inputs!C55</f>
        <v>37.200000000000003</v>
      </c>
      <c r="D55" s="218">
        <f t="shared" ref="D55:S55" si="25">C55</f>
        <v>37.200000000000003</v>
      </c>
      <c r="E55" s="218">
        <f t="shared" si="25"/>
        <v>37.200000000000003</v>
      </c>
      <c r="F55" s="218">
        <f t="shared" si="25"/>
        <v>37.200000000000003</v>
      </c>
      <c r="G55" s="218">
        <f t="shared" si="25"/>
        <v>37.200000000000003</v>
      </c>
      <c r="H55" s="218">
        <f t="shared" si="25"/>
        <v>37.200000000000003</v>
      </c>
      <c r="I55" s="218">
        <f t="shared" si="25"/>
        <v>37.200000000000003</v>
      </c>
      <c r="J55" s="218">
        <f t="shared" si="25"/>
        <v>37.200000000000003</v>
      </c>
      <c r="K55" s="218">
        <f t="shared" si="25"/>
        <v>37.200000000000003</v>
      </c>
      <c r="L55" s="218">
        <f t="shared" si="25"/>
        <v>37.200000000000003</v>
      </c>
      <c r="M55" s="218">
        <f t="shared" si="25"/>
        <v>37.200000000000003</v>
      </c>
      <c r="N55" s="218">
        <f t="shared" si="25"/>
        <v>37.200000000000003</v>
      </c>
      <c r="O55" s="218">
        <f t="shared" si="25"/>
        <v>37.200000000000003</v>
      </c>
      <c r="P55" s="218">
        <f t="shared" si="25"/>
        <v>37.200000000000003</v>
      </c>
      <c r="Q55" s="218">
        <f t="shared" si="25"/>
        <v>37.200000000000003</v>
      </c>
      <c r="R55" s="218">
        <f t="shared" si="25"/>
        <v>37.200000000000003</v>
      </c>
      <c r="S55" s="218">
        <f t="shared" si="25"/>
        <v>37.200000000000003</v>
      </c>
      <c r="T55" s="343"/>
    </row>
    <row r="56" spans="2:20" ht="15" customHeight="1">
      <c r="B56" s="305" t="s">
        <v>1100</v>
      </c>
      <c r="C56" s="214">
        <f>Inputs!C56</f>
        <v>-4.7192071731949031E-2</v>
      </c>
      <c r="D56" s="214">
        <f t="shared" ref="D56:S56" si="26">C56</f>
        <v>-4.7192071731949031E-2</v>
      </c>
      <c r="E56" s="214">
        <f t="shared" si="26"/>
        <v>-4.7192071731949031E-2</v>
      </c>
      <c r="F56" s="214">
        <f t="shared" si="26"/>
        <v>-4.7192071731949031E-2</v>
      </c>
      <c r="G56" s="214">
        <f t="shared" si="26"/>
        <v>-4.7192071731949031E-2</v>
      </c>
      <c r="H56" s="214">
        <f t="shared" si="26"/>
        <v>-4.7192071731949031E-2</v>
      </c>
      <c r="I56" s="214">
        <f t="shared" si="26"/>
        <v>-4.7192071731949031E-2</v>
      </c>
      <c r="J56" s="214">
        <f t="shared" si="26"/>
        <v>-4.7192071731949031E-2</v>
      </c>
      <c r="K56" s="214">
        <f t="shared" si="26"/>
        <v>-4.7192071731949031E-2</v>
      </c>
      <c r="L56" s="214">
        <f t="shared" si="26"/>
        <v>-4.7192071731949031E-2</v>
      </c>
      <c r="M56" s="214">
        <f t="shared" si="26"/>
        <v>-4.7192071731949031E-2</v>
      </c>
      <c r="N56" s="214">
        <f t="shared" si="26"/>
        <v>-4.7192071731949031E-2</v>
      </c>
      <c r="O56" s="214">
        <f t="shared" si="26"/>
        <v>-4.7192071731949031E-2</v>
      </c>
      <c r="P56" s="214">
        <f t="shared" si="26"/>
        <v>-4.7192071731949031E-2</v>
      </c>
      <c r="Q56" s="214">
        <f t="shared" si="26"/>
        <v>-4.7192071731949031E-2</v>
      </c>
      <c r="R56" s="214">
        <f t="shared" si="26"/>
        <v>-4.7192071731949031E-2</v>
      </c>
      <c r="S56" s="214">
        <f t="shared" si="26"/>
        <v>-4.7192071731949031E-2</v>
      </c>
      <c r="T56" s="343"/>
    </row>
    <row r="57" spans="2:20" ht="15" customHeight="1">
      <c r="B57" s="305" t="s">
        <v>1101</v>
      </c>
      <c r="C57" s="213">
        <f>Inputs!C57</f>
        <v>24</v>
      </c>
      <c r="D57" s="213">
        <f t="shared" ref="D57:S57" si="27">C57</f>
        <v>24</v>
      </c>
      <c r="E57" s="213">
        <f t="shared" si="27"/>
        <v>24</v>
      </c>
      <c r="F57" s="213">
        <f t="shared" si="27"/>
        <v>24</v>
      </c>
      <c r="G57" s="213">
        <f t="shared" si="27"/>
        <v>24</v>
      </c>
      <c r="H57" s="213">
        <f t="shared" si="27"/>
        <v>24</v>
      </c>
      <c r="I57" s="213">
        <f t="shared" si="27"/>
        <v>24</v>
      </c>
      <c r="J57" s="213">
        <f t="shared" si="27"/>
        <v>24</v>
      </c>
      <c r="K57" s="213">
        <f t="shared" si="27"/>
        <v>24</v>
      </c>
      <c r="L57" s="213">
        <f t="shared" si="27"/>
        <v>24</v>
      </c>
      <c r="M57" s="213">
        <f t="shared" si="27"/>
        <v>24</v>
      </c>
      <c r="N57" s="213">
        <f t="shared" si="27"/>
        <v>24</v>
      </c>
      <c r="O57" s="213">
        <f t="shared" si="27"/>
        <v>24</v>
      </c>
      <c r="P57" s="213">
        <f t="shared" si="27"/>
        <v>24</v>
      </c>
      <c r="Q57" s="213">
        <f t="shared" si="27"/>
        <v>24</v>
      </c>
      <c r="R57" s="213">
        <f t="shared" si="27"/>
        <v>24</v>
      </c>
      <c r="S57" s="213">
        <f t="shared" si="27"/>
        <v>24</v>
      </c>
      <c r="T57" s="343"/>
    </row>
    <row r="58" spans="2:20" ht="15" customHeight="1">
      <c r="B58" s="305" t="s">
        <v>1102</v>
      </c>
      <c r="C58" s="8">
        <f>Inputs!C58</f>
        <v>10.199999999999999</v>
      </c>
      <c r="D58" s="8">
        <f t="shared" ref="D58:S58" si="28">C58</f>
        <v>10.199999999999999</v>
      </c>
      <c r="E58" s="8">
        <f t="shared" si="28"/>
        <v>10.199999999999999</v>
      </c>
      <c r="F58" s="8">
        <f t="shared" si="28"/>
        <v>10.199999999999999</v>
      </c>
      <c r="G58" s="8">
        <f t="shared" si="28"/>
        <v>10.199999999999999</v>
      </c>
      <c r="H58" s="8">
        <f t="shared" si="28"/>
        <v>10.199999999999999</v>
      </c>
      <c r="I58" s="8">
        <f t="shared" si="28"/>
        <v>10.199999999999999</v>
      </c>
      <c r="J58" s="8">
        <f t="shared" si="28"/>
        <v>10.199999999999999</v>
      </c>
      <c r="K58" s="8">
        <f t="shared" si="28"/>
        <v>10.199999999999999</v>
      </c>
      <c r="L58" s="8">
        <f t="shared" si="28"/>
        <v>10.199999999999999</v>
      </c>
      <c r="M58" s="8">
        <f t="shared" si="28"/>
        <v>10.199999999999999</v>
      </c>
      <c r="N58" s="8">
        <f t="shared" si="28"/>
        <v>10.199999999999999</v>
      </c>
      <c r="O58" s="8">
        <f t="shared" si="28"/>
        <v>10.199999999999999</v>
      </c>
      <c r="P58" s="8">
        <f t="shared" si="28"/>
        <v>10.199999999999999</v>
      </c>
      <c r="Q58" s="8">
        <f t="shared" si="28"/>
        <v>10.199999999999999</v>
      </c>
      <c r="R58" s="8">
        <f t="shared" si="28"/>
        <v>10.199999999999999</v>
      </c>
      <c r="S58" s="276">
        <f t="shared" si="28"/>
        <v>10.199999999999999</v>
      </c>
      <c r="T58" s="343"/>
    </row>
    <row r="59" spans="2:20" ht="15" customHeight="1">
      <c r="B59" s="305" t="s">
        <v>1103</v>
      </c>
      <c r="C59" s="6">
        <f>Inputs!C59</f>
        <v>-2.3596035865974516E-2</v>
      </c>
      <c r="D59" s="6">
        <f t="shared" ref="D59:S59" si="29">C59</f>
        <v>-2.3596035865974516E-2</v>
      </c>
      <c r="E59" s="6">
        <f t="shared" si="29"/>
        <v>-2.3596035865974516E-2</v>
      </c>
      <c r="F59" s="6">
        <f t="shared" si="29"/>
        <v>-2.3596035865974516E-2</v>
      </c>
      <c r="G59" s="6">
        <f t="shared" si="29"/>
        <v>-2.3596035865974516E-2</v>
      </c>
      <c r="H59" s="6">
        <f t="shared" si="29"/>
        <v>-2.3596035865974516E-2</v>
      </c>
      <c r="I59" s="6">
        <f t="shared" si="29"/>
        <v>-2.3596035865974516E-2</v>
      </c>
      <c r="J59" s="6">
        <f t="shared" si="29"/>
        <v>-2.3596035865974516E-2</v>
      </c>
      <c r="K59" s="6">
        <f t="shared" si="29"/>
        <v>-2.3596035865974516E-2</v>
      </c>
      <c r="L59" s="6">
        <f t="shared" si="29"/>
        <v>-2.3596035865974516E-2</v>
      </c>
      <c r="M59" s="6">
        <f t="shared" si="29"/>
        <v>-2.3596035865974516E-2</v>
      </c>
      <c r="N59" s="6">
        <f t="shared" si="29"/>
        <v>-2.3596035865974516E-2</v>
      </c>
      <c r="O59" s="6">
        <f t="shared" si="29"/>
        <v>-2.3596035865974516E-2</v>
      </c>
      <c r="P59" s="6">
        <f t="shared" si="29"/>
        <v>-2.3596035865974516E-2</v>
      </c>
      <c r="Q59" s="6">
        <f t="shared" si="29"/>
        <v>-2.3596035865974516E-2</v>
      </c>
      <c r="R59" s="6">
        <f t="shared" si="29"/>
        <v>-2.3596035865974516E-2</v>
      </c>
      <c r="S59" s="6">
        <f t="shared" si="29"/>
        <v>-2.3596035865974516E-2</v>
      </c>
      <c r="T59" s="343"/>
    </row>
    <row r="60" spans="2:20" ht="15" customHeight="1">
      <c r="B60" s="305" t="s">
        <v>1104</v>
      </c>
      <c r="C60" s="144">
        <f>Inputs!C60</f>
        <v>25</v>
      </c>
      <c r="D60" s="144">
        <f t="shared" ref="D60:S60" si="30">C60</f>
        <v>25</v>
      </c>
      <c r="E60" s="144">
        <f t="shared" si="30"/>
        <v>25</v>
      </c>
      <c r="F60" s="144">
        <f t="shared" si="30"/>
        <v>25</v>
      </c>
      <c r="G60" s="144">
        <f t="shared" si="30"/>
        <v>25</v>
      </c>
      <c r="H60" s="144">
        <f t="shared" si="30"/>
        <v>25</v>
      </c>
      <c r="I60" s="144">
        <f t="shared" si="30"/>
        <v>25</v>
      </c>
      <c r="J60" s="144">
        <f t="shared" si="30"/>
        <v>25</v>
      </c>
      <c r="K60" s="144">
        <f t="shared" si="30"/>
        <v>25</v>
      </c>
      <c r="L60" s="144">
        <f t="shared" si="30"/>
        <v>25</v>
      </c>
      <c r="M60" s="144">
        <f t="shared" si="30"/>
        <v>25</v>
      </c>
      <c r="N60" s="144">
        <f t="shared" si="30"/>
        <v>25</v>
      </c>
      <c r="O60" s="144">
        <f t="shared" si="30"/>
        <v>25</v>
      </c>
      <c r="P60" s="144">
        <f t="shared" si="30"/>
        <v>25</v>
      </c>
      <c r="Q60" s="144">
        <f t="shared" si="30"/>
        <v>25</v>
      </c>
      <c r="R60" s="144">
        <f t="shared" si="30"/>
        <v>25</v>
      </c>
      <c r="S60" s="144">
        <f t="shared" si="30"/>
        <v>25</v>
      </c>
      <c r="T60" s="343"/>
    </row>
    <row r="61" spans="2:20" ht="15" customHeight="1">
      <c r="B61" s="305" t="s">
        <v>1105</v>
      </c>
      <c r="C61" s="218">
        <f>Inputs!C61</f>
        <v>10.199999999999999</v>
      </c>
      <c r="D61" s="218">
        <f t="shared" ref="D61:S61" si="31">C61</f>
        <v>10.199999999999999</v>
      </c>
      <c r="E61" s="218">
        <f t="shared" si="31"/>
        <v>10.199999999999999</v>
      </c>
      <c r="F61" s="218">
        <f t="shared" si="31"/>
        <v>10.199999999999999</v>
      </c>
      <c r="G61" s="218">
        <f t="shared" si="31"/>
        <v>10.199999999999999</v>
      </c>
      <c r="H61" s="218">
        <f t="shared" si="31"/>
        <v>10.199999999999999</v>
      </c>
      <c r="I61" s="218">
        <f t="shared" si="31"/>
        <v>10.199999999999999</v>
      </c>
      <c r="J61" s="218">
        <f t="shared" si="31"/>
        <v>10.199999999999999</v>
      </c>
      <c r="K61" s="218">
        <f t="shared" si="31"/>
        <v>10.199999999999999</v>
      </c>
      <c r="L61" s="218">
        <f t="shared" si="31"/>
        <v>10.199999999999999</v>
      </c>
      <c r="M61" s="218">
        <f t="shared" si="31"/>
        <v>10.199999999999999</v>
      </c>
      <c r="N61" s="218">
        <f t="shared" si="31"/>
        <v>10.199999999999999</v>
      </c>
      <c r="O61" s="218">
        <f t="shared" si="31"/>
        <v>10.199999999999999</v>
      </c>
      <c r="P61" s="218">
        <f t="shared" si="31"/>
        <v>10.199999999999999</v>
      </c>
      <c r="Q61" s="218">
        <f t="shared" si="31"/>
        <v>10.199999999999999</v>
      </c>
      <c r="R61" s="218">
        <f t="shared" si="31"/>
        <v>10.199999999999999</v>
      </c>
      <c r="S61" s="218">
        <f t="shared" si="31"/>
        <v>10.199999999999999</v>
      </c>
      <c r="T61" s="343"/>
    </row>
    <row r="62" spans="2:20" ht="15" customHeight="1">
      <c r="B62" s="305" t="s">
        <v>1106</v>
      </c>
      <c r="C62" s="214">
        <f>Inputs!C62</f>
        <v>-2.3596035865974516E-2</v>
      </c>
      <c r="D62" s="214">
        <f t="shared" ref="D62:S62" si="32">C62</f>
        <v>-2.3596035865974516E-2</v>
      </c>
      <c r="E62" s="214">
        <f t="shared" si="32"/>
        <v>-2.3596035865974516E-2</v>
      </c>
      <c r="F62" s="214">
        <f t="shared" si="32"/>
        <v>-2.3596035865974516E-2</v>
      </c>
      <c r="G62" s="214">
        <f t="shared" si="32"/>
        <v>-2.3596035865974516E-2</v>
      </c>
      <c r="H62" s="214">
        <f t="shared" si="32"/>
        <v>-2.3596035865974516E-2</v>
      </c>
      <c r="I62" s="214">
        <f t="shared" si="32"/>
        <v>-2.3596035865974516E-2</v>
      </c>
      <c r="J62" s="214">
        <f t="shared" si="32"/>
        <v>-2.3596035865974516E-2</v>
      </c>
      <c r="K62" s="214">
        <f t="shared" si="32"/>
        <v>-2.3596035865974516E-2</v>
      </c>
      <c r="L62" s="214">
        <f t="shared" si="32"/>
        <v>-2.3596035865974516E-2</v>
      </c>
      <c r="M62" s="214">
        <f t="shared" si="32"/>
        <v>-2.3596035865974516E-2</v>
      </c>
      <c r="N62" s="214">
        <f t="shared" si="32"/>
        <v>-2.3596035865974516E-2</v>
      </c>
      <c r="O62" s="214">
        <f t="shared" si="32"/>
        <v>-2.3596035865974516E-2</v>
      </c>
      <c r="P62" s="214">
        <f t="shared" si="32"/>
        <v>-2.3596035865974516E-2</v>
      </c>
      <c r="Q62" s="214">
        <f t="shared" si="32"/>
        <v>-2.3596035865974516E-2</v>
      </c>
      <c r="R62" s="214">
        <f t="shared" si="32"/>
        <v>-2.3596035865974516E-2</v>
      </c>
      <c r="S62" s="214">
        <f t="shared" si="32"/>
        <v>-2.3596035865974516E-2</v>
      </c>
    </row>
    <row r="63" spans="2:20" ht="15" customHeight="1">
      <c r="B63" s="305" t="s">
        <v>1107</v>
      </c>
      <c r="C63" s="213">
        <f>Inputs!C63</f>
        <v>26</v>
      </c>
      <c r="D63" s="213">
        <f t="shared" ref="D63:S72" si="33">C63</f>
        <v>26</v>
      </c>
      <c r="E63" s="213">
        <f t="shared" si="33"/>
        <v>26</v>
      </c>
      <c r="F63" s="213">
        <f t="shared" si="33"/>
        <v>26</v>
      </c>
      <c r="G63" s="213">
        <f t="shared" si="33"/>
        <v>26</v>
      </c>
      <c r="H63" s="213">
        <f t="shared" si="33"/>
        <v>26</v>
      </c>
      <c r="I63" s="213">
        <f t="shared" si="33"/>
        <v>26</v>
      </c>
      <c r="J63" s="213">
        <f t="shared" si="33"/>
        <v>26</v>
      </c>
      <c r="K63" s="213">
        <f t="shared" si="33"/>
        <v>26</v>
      </c>
      <c r="L63" s="213">
        <f t="shared" si="33"/>
        <v>26</v>
      </c>
      <c r="M63" s="213">
        <f t="shared" si="33"/>
        <v>26</v>
      </c>
      <c r="N63" s="213">
        <f t="shared" si="33"/>
        <v>26</v>
      </c>
      <c r="O63" s="213">
        <f t="shared" si="33"/>
        <v>26</v>
      </c>
      <c r="P63" s="213">
        <f t="shared" si="33"/>
        <v>26</v>
      </c>
      <c r="Q63" s="213">
        <f t="shared" si="33"/>
        <v>26</v>
      </c>
      <c r="R63" s="213">
        <f t="shared" si="33"/>
        <v>26</v>
      </c>
      <c r="S63" s="213">
        <f t="shared" si="33"/>
        <v>26</v>
      </c>
    </row>
    <row r="64" spans="2:20" ht="15" customHeight="1">
      <c r="B64" s="305" t="s">
        <v>1108</v>
      </c>
      <c r="C64" s="8">
        <f>Inputs!C64</f>
        <v>0</v>
      </c>
      <c r="D64" s="8">
        <f t="shared" si="33"/>
        <v>0</v>
      </c>
      <c r="E64" s="8">
        <f t="shared" si="33"/>
        <v>0</v>
      </c>
      <c r="F64" s="8">
        <f t="shared" si="33"/>
        <v>0</v>
      </c>
      <c r="G64" s="8">
        <f t="shared" si="33"/>
        <v>0</v>
      </c>
      <c r="H64" s="8">
        <f t="shared" si="33"/>
        <v>0</v>
      </c>
      <c r="I64" s="8">
        <f t="shared" si="33"/>
        <v>0</v>
      </c>
      <c r="J64" s="8">
        <f t="shared" si="33"/>
        <v>0</v>
      </c>
      <c r="K64" s="8">
        <f t="shared" si="33"/>
        <v>0</v>
      </c>
      <c r="L64" s="8">
        <f t="shared" si="33"/>
        <v>0</v>
      </c>
      <c r="M64" s="8">
        <f t="shared" si="33"/>
        <v>0</v>
      </c>
      <c r="N64" s="8">
        <f t="shared" si="33"/>
        <v>0</v>
      </c>
      <c r="O64" s="8">
        <f t="shared" si="33"/>
        <v>0</v>
      </c>
      <c r="P64" s="8">
        <f t="shared" si="33"/>
        <v>0</v>
      </c>
      <c r="Q64" s="8">
        <f t="shared" si="33"/>
        <v>0</v>
      </c>
      <c r="R64" s="8">
        <f t="shared" si="33"/>
        <v>0</v>
      </c>
      <c r="S64" s="276">
        <f t="shared" si="33"/>
        <v>0</v>
      </c>
    </row>
    <row r="65" spans="1:20" ht="15" customHeight="1">
      <c r="B65" s="305" t="s">
        <v>1109</v>
      </c>
      <c r="C65" s="6">
        <f>Inputs!C65</f>
        <v>0</v>
      </c>
      <c r="D65" s="6">
        <f t="shared" si="33"/>
        <v>0</v>
      </c>
      <c r="E65" s="6">
        <f t="shared" si="33"/>
        <v>0</v>
      </c>
      <c r="F65" s="6">
        <f t="shared" si="33"/>
        <v>0</v>
      </c>
      <c r="G65" s="6">
        <f t="shared" si="33"/>
        <v>0</v>
      </c>
      <c r="H65" s="6">
        <f t="shared" si="33"/>
        <v>0</v>
      </c>
      <c r="I65" s="6">
        <f t="shared" si="33"/>
        <v>0</v>
      </c>
      <c r="J65" s="6">
        <f t="shared" si="33"/>
        <v>0</v>
      </c>
      <c r="K65" s="6">
        <f t="shared" si="33"/>
        <v>0</v>
      </c>
      <c r="L65" s="6">
        <f t="shared" si="33"/>
        <v>0</v>
      </c>
      <c r="M65" s="6">
        <f t="shared" si="33"/>
        <v>0</v>
      </c>
      <c r="N65" s="6">
        <f t="shared" si="33"/>
        <v>0</v>
      </c>
      <c r="O65" s="6">
        <f t="shared" si="33"/>
        <v>0</v>
      </c>
      <c r="P65" s="6">
        <f t="shared" si="33"/>
        <v>0</v>
      </c>
      <c r="Q65" s="6">
        <f t="shared" si="33"/>
        <v>0</v>
      </c>
      <c r="R65" s="6">
        <f t="shared" si="33"/>
        <v>0</v>
      </c>
      <c r="S65" s="6">
        <f t="shared" si="33"/>
        <v>0</v>
      </c>
    </row>
    <row r="66" spans="1:20" ht="15" customHeight="1">
      <c r="B66" s="305" t="s">
        <v>1110</v>
      </c>
      <c r="C66" s="144">
        <f>Inputs!C66</f>
        <v>27</v>
      </c>
      <c r="D66" s="144">
        <f t="shared" si="33"/>
        <v>27</v>
      </c>
      <c r="E66" s="144">
        <f t="shared" si="33"/>
        <v>27</v>
      </c>
      <c r="F66" s="144">
        <f t="shared" si="33"/>
        <v>27</v>
      </c>
      <c r="G66" s="144">
        <f t="shared" si="33"/>
        <v>27</v>
      </c>
      <c r="H66" s="144">
        <f t="shared" si="33"/>
        <v>27</v>
      </c>
      <c r="I66" s="144">
        <f t="shared" si="33"/>
        <v>27</v>
      </c>
      <c r="J66" s="144">
        <f t="shared" si="33"/>
        <v>27</v>
      </c>
      <c r="K66" s="144">
        <f t="shared" si="33"/>
        <v>27</v>
      </c>
      <c r="L66" s="144">
        <f t="shared" si="33"/>
        <v>27</v>
      </c>
      <c r="M66" s="144">
        <f t="shared" si="33"/>
        <v>27</v>
      </c>
      <c r="N66" s="144">
        <f t="shared" si="33"/>
        <v>27</v>
      </c>
      <c r="O66" s="144">
        <f t="shared" si="33"/>
        <v>27</v>
      </c>
      <c r="P66" s="144">
        <f t="shared" si="33"/>
        <v>27</v>
      </c>
      <c r="Q66" s="144">
        <f t="shared" si="33"/>
        <v>27</v>
      </c>
      <c r="R66" s="144">
        <f t="shared" si="33"/>
        <v>27</v>
      </c>
      <c r="S66" s="144">
        <f t="shared" si="33"/>
        <v>27</v>
      </c>
    </row>
    <row r="67" spans="1:20" s="139" customFormat="1" ht="15" customHeight="1">
      <c r="A67" s="305"/>
      <c r="B67" s="305" t="s">
        <v>1111</v>
      </c>
      <c r="C67" s="246">
        <f>IF(C132&lt;C133,C132,C133)</f>
        <v>140.28</v>
      </c>
      <c r="D67" s="246">
        <f t="shared" ref="D67:R67" si="34">IF(D132&lt;D133,D132,D133)</f>
        <v>112.224</v>
      </c>
      <c r="E67" s="246" t="e">
        <f t="shared" si="34"/>
        <v>#N/A</v>
      </c>
      <c r="F67" s="246">
        <f t="shared" si="34"/>
        <v>140.28</v>
      </c>
      <c r="G67" s="246" t="e">
        <f t="shared" si="34"/>
        <v>#N/A</v>
      </c>
      <c r="H67" s="246" t="e">
        <f t="shared" si="34"/>
        <v>#N/A</v>
      </c>
      <c r="I67" s="246">
        <f t="shared" si="34"/>
        <v>112.224</v>
      </c>
      <c r="J67" s="246" t="e">
        <f t="shared" si="34"/>
        <v>#N/A</v>
      </c>
      <c r="K67" s="246" t="e">
        <f t="shared" si="34"/>
        <v>#N/A</v>
      </c>
      <c r="L67" s="246" t="e">
        <f t="shared" si="34"/>
        <v>#N/A</v>
      </c>
      <c r="M67" s="246" t="e">
        <f t="shared" si="34"/>
        <v>#N/A</v>
      </c>
      <c r="N67" s="246" t="e">
        <f t="shared" si="34"/>
        <v>#N/A</v>
      </c>
      <c r="O67" s="246" t="e">
        <f t="shared" si="34"/>
        <v>#N/A</v>
      </c>
      <c r="P67" s="246" t="e">
        <f t="shared" si="34"/>
        <v>#N/A</v>
      </c>
      <c r="Q67" s="246" t="e">
        <f t="shared" si="34"/>
        <v>#N/A</v>
      </c>
      <c r="R67" s="246">
        <f t="shared" si="34"/>
        <v>112.224</v>
      </c>
      <c r="S67" s="246">
        <f>IF(S132&lt;S133,S132,S133)</f>
        <v>140.28</v>
      </c>
      <c r="T67" s="69"/>
    </row>
    <row r="68" spans="1:20" s="139" customFormat="1" ht="15" customHeight="1">
      <c r="A68" s="305"/>
      <c r="B68" s="305" t="s">
        <v>1112</v>
      </c>
      <c r="C68" s="321">
        <f>IF(C122&lt;C123,C122,C123)</f>
        <v>0.39641340254837187</v>
      </c>
      <c r="D68" s="321">
        <f t="shared" ref="D68:R68" si="35">IF(D122&lt;D123,D122,D123)</f>
        <v>0.31713072203869752</v>
      </c>
      <c r="E68" s="321" t="e">
        <f t="shared" si="35"/>
        <v>#N/A</v>
      </c>
      <c r="F68" s="321">
        <f t="shared" si="35"/>
        <v>0.39641340254837187</v>
      </c>
      <c r="G68" s="321" t="e">
        <f t="shared" si="35"/>
        <v>#N/A</v>
      </c>
      <c r="H68" s="321" t="e">
        <f t="shared" si="35"/>
        <v>#N/A</v>
      </c>
      <c r="I68" s="321">
        <f t="shared" si="35"/>
        <v>0.31713072203869752</v>
      </c>
      <c r="J68" s="321" t="e">
        <f t="shared" si="35"/>
        <v>#N/A</v>
      </c>
      <c r="K68" s="321" t="e">
        <f t="shared" si="35"/>
        <v>#N/A</v>
      </c>
      <c r="L68" s="321" t="e">
        <f t="shared" si="35"/>
        <v>#N/A</v>
      </c>
      <c r="M68" s="321" t="e">
        <f t="shared" si="35"/>
        <v>#N/A</v>
      </c>
      <c r="N68" s="321" t="e">
        <f t="shared" si="35"/>
        <v>#N/A</v>
      </c>
      <c r="O68" s="321" t="e">
        <f t="shared" si="35"/>
        <v>#N/A</v>
      </c>
      <c r="P68" s="321" t="e">
        <f t="shared" si="35"/>
        <v>#N/A</v>
      </c>
      <c r="Q68" s="321" t="e">
        <f t="shared" si="35"/>
        <v>#N/A</v>
      </c>
      <c r="R68" s="214">
        <f t="shared" si="35"/>
        <v>0.31713072203869752</v>
      </c>
      <c r="S68" s="214">
        <f>IF(S122&lt;S123,S122,S123)</f>
        <v>0.39641340254837187</v>
      </c>
      <c r="T68" s="69"/>
    </row>
    <row r="69" spans="1:20" s="139" customFormat="1" ht="15" customHeight="1">
      <c r="A69" s="305"/>
      <c r="B69" s="305" t="s">
        <v>1113</v>
      </c>
      <c r="C69" s="213">
        <f>Inputs!C69</f>
        <v>0</v>
      </c>
      <c r="D69" s="213">
        <f t="shared" si="33"/>
        <v>0</v>
      </c>
      <c r="E69" s="213">
        <f t="shared" si="33"/>
        <v>0</v>
      </c>
      <c r="F69" s="213">
        <f t="shared" si="33"/>
        <v>0</v>
      </c>
      <c r="G69" s="213">
        <f t="shared" si="33"/>
        <v>0</v>
      </c>
      <c r="H69" s="213">
        <f t="shared" si="33"/>
        <v>0</v>
      </c>
      <c r="I69" s="213">
        <f t="shared" si="33"/>
        <v>0</v>
      </c>
      <c r="J69" s="213">
        <f t="shared" si="33"/>
        <v>0</v>
      </c>
      <c r="K69" s="213">
        <f t="shared" si="33"/>
        <v>0</v>
      </c>
      <c r="L69" s="213">
        <f t="shared" si="33"/>
        <v>0</v>
      </c>
      <c r="M69" s="213">
        <f t="shared" si="33"/>
        <v>0</v>
      </c>
      <c r="N69" s="213">
        <f t="shared" si="33"/>
        <v>0</v>
      </c>
      <c r="O69" s="213">
        <f t="shared" si="33"/>
        <v>0</v>
      </c>
      <c r="P69" s="213">
        <f t="shared" si="33"/>
        <v>0</v>
      </c>
      <c r="Q69" s="213">
        <f t="shared" si="33"/>
        <v>0</v>
      </c>
      <c r="R69" s="213">
        <f t="shared" si="33"/>
        <v>0</v>
      </c>
      <c r="S69" s="213">
        <f t="shared" si="33"/>
        <v>0</v>
      </c>
      <c r="T69" s="69"/>
    </row>
    <row r="70" spans="1:20" s="139" customFormat="1" ht="15" customHeight="1">
      <c r="A70" s="305"/>
      <c r="B70" s="305" t="s">
        <v>1114</v>
      </c>
      <c r="C70" s="218">
        <f>Inputs!C70</f>
        <v>0</v>
      </c>
      <c r="D70" s="218">
        <f t="shared" si="33"/>
        <v>0</v>
      </c>
      <c r="E70" s="218">
        <f t="shared" ref="E70:Q70" si="36">D70</f>
        <v>0</v>
      </c>
      <c r="F70" s="218">
        <f t="shared" si="36"/>
        <v>0</v>
      </c>
      <c r="G70" s="218">
        <f t="shared" si="36"/>
        <v>0</v>
      </c>
      <c r="H70" s="218">
        <f t="shared" si="36"/>
        <v>0</v>
      </c>
      <c r="I70" s="218">
        <f t="shared" si="36"/>
        <v>0</v>
      </c>
      <c r="J70" s="218">
        <f t="shared" si="36"/>
        <v>0</v>
      </c>
      <c r="K70" s="218">
        <f t="shared" si="36"/>
        <v>0</v>
      </c>
      <c r="L70" s="218">
        <f t="shared" si="36"/>
        <v>0</v>
      </c>
      <c r="M70" s="218">
        <f t="shared" si="36"/>
        <v>0</v>
      </c>
      <c r="N70" s="218">
        <f t="shared" si="36"/>
        <v>0</v>
      </c>
      <c r="O70" s="218">
        <f t="shared" si="36"/>
        <v>0</v>
      </c>
      <c r="P70" s="218">
        <f t="shared" si="36"/>
        <v>0</v>
      </c>
      <c r="Q70" s="218">
        <f t="shared" si="36"/>
        <v>0</v>
      </c>
      <c r="R70" s="218">
        <f t="shared" ref="R70:S72" si="37">Q70</f>
        <v>0</v>
      </c>
      <c r="S70" s="218">
        <f t="shared" si="37"/>
        <v>0</v>
      </c>
      <c r="T70" s="69"/>
    </row>
    <row r="71" spans="1:20" s="139" customFormat="1" ht="15" customHeight="1">
      <c r="A71" s="305"/>
      <c r="B71" s="305" t="s">
        <v>1115</v>
      </c>
      <c r="C71" s="214">
        <f>Inputs!C71</f>
        <v>0</v>
      </c>
      <c r="D71" s="214">
        <f t="shared" si="33"/>
        <v>0</v>
      </c>
      <c r="E71" s="214">
        <f t="shared" si="33"/>
        <v>0</v>
      </c>
      <c r="F71" s="214">
        <f t="shared" si="33"/>
        <v>0</v>
      </c>
      <c r="G71" s="214">
        <f t="shared" si="33"/>
        <v>0</v>
      </c>
      <c r="H71" s="214">
        <f t="shared" si="33"/>
        <v>0</v>
      </c>
      <c r="I71" s="214">
        <f t="shared" si="33"/>
        <v>0</v>
      </c>
      <c r="J71" s="214">
        <f t="shared" si="33"/>
        <v>0</v>
      </c>
      <c r="K71" s="214">
        <f t="shared" si="33"/>
        <v>0</v>
      </c>
      <c r="L71" s="214">
        <f t="shared" si="33"/>
        <v>0</v>
      </c>
      <c r="M71" s="214">
        <f t="shared" si="33"/>
        <v>0</v>
      </c>
      <c r="N71" s="214">
        <f t="shared" si="33"/>
        <v>0</v>
      </c>
      <c r="O71" s="214">
        <f t="shared" si="33"/>
        <v>0</v>
      </c>
      <c r="P71" s="214">
        <f t="shared" si="33"/>
        <v>0</v>
      </c>
      <c r="Q71" s="214">
        <f t="shared" si="33"/>
        <v>0</v>
      </c>
      <c r="R71" s="214">
        <f t="shared" si="37"/>
        <v>0</v>
      </c>
      <c r="S71" s="214">
        <f t="shared" si="37"/>
        <v>0</v>
      </c>
      <c r="T71" s="69"/>
    </row>
    <row r="72" spans="1:20" s="139" customFormat="1" ht="15" customHeight="1">
      <c r="A72" s="305"/>
      <c r="B72" s="305" t="s">
        <v>1116</v>
      </c>
      <c r="C72" s="213">
        <f>Inputs!C72</f>
        <v>0</v>
      </c>
      <c r="D72" s="213">
        <f t="shared" si="33"/>
        <v>0</v>
      </c>
      <c r="E72" s="213">
        <f t="shared" si="33"/>
        <v>0</v>
      </c>
      <c r="F72" s="213">
        <f t="shared" si="33"/>
        <v>0</v>
      </c>
      <c r="G72" s="213">
        <f t="shared" si="33"/>
        <v>0</v>
      </c>
      <c r="H72" s="213">
        <f t="shared" si="33"/>
        <v>0</v>
      </c>
      <c r="I72" s="213">
        <f t="shared" si="33"/>
        <v>0</v>
      </c>
      <c r="J72" s="213">
        <f t="shared" si="33"/>
        <v>0</v>
      </c>
      <c r="K72" s="213">
        <f t="shared" si="33"/>
        <v>0</v>
      </c>
      <c r="L72" s="213">
        <f t="shared" si="33"/>
        <v>0</v>
      </c>
      <c r="M72" s="213">
        <f t="shared" si="33"/>
        <v>0</v>
      </c>
      <c r="N72" s="213">
        <f t="shared" si="33"/>
        <v>0</v>
      </c>
      <c r="O72" s="213">
        <f t="shared" si="33"/>
        <v>0</v>
      </c>
      <c r="P72" s="213">
        <f t="shared" si="33"/>
        <v>0</v>
      </c>
      <c r="Q72" s="213">
        <f t="shared" si="33"/>
        <v>0</v>
      </c>
      <c r="R72" s="213">
        <f t="shared" si="37"/>
        <v>0</v>
      </c>
      <c r="S72" s="213">
        <f t="shared" si="37"/>
        <v>0</v>
      </c>
      <c r="T72" s="69"/>
    </row>
    <row r="73" spans="1:20" ht="15" customHeight="1">
      <c r="A73" s="305" t="s">
        <v>57</v>
      </c>
      <c r="B73" s="305" t="s">
        <v>439</v>
      </c>
      <c r="C73" s="169">
        <f>Inputs!C73</f>
        <v>29.988005000000001</v>
      </c>
      <c r="D73" s="169">
        <f t="shared" ref="D73:S73" si="38">C73</f>
        <v>29.988005000000001</v>
      </c>
      <c r="E73" s="169">
        <f t="shared" si="38"/>
        <v>29.988005000000001</v>
      </c>
      <c r="F73" s="169">
        <f t="shared" si="38"/>
        <v>29.988005000000001</v>
      </c>
      <c r="G73" s="169">
        <f t="shared" si="38"/>
        <v>29.988005000000001</v>
      </c>
      <c r="H73" s="169">
        <f t="shared" si="38"/>
        <v>29.988005000000001</v>
      </c>
      <c r="I73" s="169">
        <f t="shared" si="38"/>
        <v>29.988005000000001</v>
      </c>
      <c r="J73" s="169">
        <f t="shared" si="38"/>
        <v>29.988005000000001</v>
      </c>
      <c r="K73" s="169">
        <f t="shared" si="38"/>
        <v>29.988005000000001</v>
      </c>
      <c r="L73" s="169">
        <f t="shared" si="38"/>
        <v>29.988005000000001</v>
      </c>
      <c r="M73" s="169">
        <f t="shared" si="38"/>
        <v>29.988005000000001</v>
      </c>
      <c r="N73" s="169">
        <f t="shared" si="38"/>
        <v>29.988005000000001</v>
      </c>
      <c r="O73" s="169">
        <f t="shared" si="38"/>
        <v>29.988005000000001</v>
      </c>
      <c r="P73" s="169">
        <f t="shared" si="38"/>
        <v>29.988005000000001</v>
      </c>
      <c r="Q73" s="169">
        <f t="shared" si="38"/>
        <v>29.988005000000001</v>
      </c>
      <c r="R73" s="169">
        <f t="shared" si="38"/>
        <v>29.988005000000001</v>
      </c>
      <c r="S73" s="169">
        <f t="shared" si="38"/>
        <v>29.988005000000001</v>
      </c>
    </row>
    <row r="74" spans="1:20" ht="15" customHeight="1">
      <c r="B74" s="305" t="s">
        <v>440</v>
      </c>
      <c r="C74" s="169">
        <f>Inputs!C74</f>
        <v>14.994002500000001</v>
      </c>
      <c r="D74" s="169">
        <f t="shared" ref="D74:S74" si="39">C74</f>
        <v>14.994002500000001</v>
      </c>
      <c r="E74" s="169">
        <f t="shared" si="39"/>
        <v>14.994002500000001</v>
      </c>
      <c r="F74" s="169">
        <f t="shared" si="39"/>
        <v>14.994002500000001</v>
      </c>
      <c r="G74" s="169">
        <f t="shared" si="39"/>
        <v>14.994002500000001</v>
      </c>
      <c r="H74" s="169">
        <f t="shared" si="39"/>
        <v>14.994002500000001</v>
      </c>
      <c r="I74" s="169">
        <f t="shared" si="39"/>
        <v>14.994002500000001</v>
      </c>
      <c r="J74" s="169">
        <f t="shared" si="39"/>
        <v>14.994002500000001</v>
      </c>
      <c r="K74" s="169">
        <f t="shared" si="39"/>
        <v>14.994002500000001</v>
      </c>
      <c r="L74" s="169">
        <f t="shared" si="39"/>
        <v>14.994002500000001</v>
      </c>
      <c r="M74" s="169">
        <f t="shared" si="39"/>
        <v>14.994002500000001</v>
      </c>
      <c r="N74" s="169">
        <f t="shared" si="39"/>
        <v>14.994002500000001</v>
      </c>
      <c r="O74" s="169">
        <f t="shared" si="39"/>
        <v>14.994002500000001</v>
      </c>
      <c r="P74" s="169">
        <f t="shared" si="39"/>
        <v>14.994002500000001</v>
      </c>
      <c r="Q74" s="169">
        <f t="shared" si="39"/>
        <v>14.994002500000001</v>
      </c>
      <c r="R74" s="169">
        <f t="shared" si="39"/>
        <v>14.994002500000001</v>
      </c>
      <c r="S74" s="169">
        <f t="shared" si="39"/>
        <v>14.994002500000001</v>
      </c>
    </row>
    <row r="75" spans="1:20" ht="15" customHeight="1">
      <c r="B75" s="305" t="s">
        <v>441</v>
      </c>
      <c r="C75" s="169">
        <f>Inputs!C75</f>
        <v>14.994002500000001</v>
      </c>
      <c r="D75" s="169">
        <f t="shared" ref="D75:S91" si="40">C75</f>
        <v>14.994002500000001</v>
      </c>
      <c r="E75" s="169">
        <f t="shared" si="40"/>
        <v>14.994002500000001</v>
      </c>
      <c r="F75" s="169">
        <f t="shared" si="40"/>
        <v>14.994002500000001</v>
      </c>
      <c r="G75" s="169">
        <f t="shared" si="40"/>
        <v>14.994002500000001</v>
      </c>
      <c r="H75" s="169">
        <f t="shared" si="40"/>
        <v>14.994002500000001</v>
      </c>
      <c r="I75" s="169">
        <f t="shared" si="40"/>
        <v>14.994002500000001</v>
      </c>
      <c r="J75" s="169">
        <f t="shared" si="40"/>
        <v>14.994002500000001</v>
      </c>
      <c r="K75" s="169">
        <f t="shared" si="40"/>
        <v>14.994002500000001</v>
      </c>
      <c r="L75" s="169">
        <f t="shared" si="40"/>
        <v>14.994002500000001</v>
      </c>
      <c r="M75" s="169">
        <f t="shared" si="40"/>
        <v>14.994002500000001</v>
      </c>
      <c r="N75" s="169">
        <f t="shared" si="40"/>
        <v>14.994002500000001</v>
      </c>
      <c r="O75" s="169">
        <f t="shared" si="40"/>
        <v>14.994002500000001</v>
      </c>
      <c r="P75" s="169">
        <f t="shared" si="40"/>
        <v>14.994002500000001</v>
      </c>
      <c r="Q75" s="169">
        <f t="shared" si="40"/>
        <v>14.994002500000001</v>
      </c>
      <c r="R75" s="169">
        <f t="shared" si="40"/>
        <v>14.994002500000001</v>
      </c>
      <c r="S75" s="169">
        <f t="shared" si="40"/>
        <v>14.994002500000001</v>
      </c>
    </row>
    <row r="76" spans="1:20" ht="15" customHeight="1">
      <c r="B76" s="305" t="s">
        <v>1117</v>
      </c>
      <c r="C76" s="182">
        <f>UA!F28</f>
        <v>0.25</v>
      </c>
      <c r="D76" s="182">
        <f>UA!G28</f>
        <v>0.25</v>
      </c>
      <c r="E76" s="182">
        <f>UA!H28</f>
        <v>0.25</v>
      </c>
      <c r="F76" s="182">
        <f>UA!I28</f>
        <v>0.27</v>
      </c>
      <c r="G76" s="182">
        <f>UA!J28</f>
        <v>0.27</v>
      </c>
      <c r="H76" s="182">
        <f>UA!K28</f>
        <v>0.27</v>
      </c>
      <c r="I76" s="182">
        <f>UA!L28</f>
        <v>0.27</v>
      </c>
      <c r="J76" s="182">
        <f>UA!M28</f>
        <v>0.27</v>
      </c>
      <c r="K76" s="182">
        <f>UA!N28</f>
        <v>0.3</v>
      </c>
      <c r="L76" s="182">
        <f>UA!O28</f>
        <v>0.3</v>
      </c>
      <c r="M76" s="182">
        <f>UA!P28</f>
        <v>0.3</v>
      </c>
      <c r="N76" s="182">
        <f>UA!Q28</f>
        <v>0.3</v>
      </c>
      <c r="O76" s="182">
        <f>UA!R28</f>
        <v>0.3</v>
      </c>
      <c r="P76" s="182">
        <f>UA!S28</f>
        <v>0.3</v>
      </c>
      <c r="Q76" s="182">
        <f>UA!T28</f>
        <v>0.35</v>
      </c>
      <c r="R76" s="182">
        <f>UA!U28</f>
        <v>0.25</v>
      </c>
      <c r="S76" s="182">
        <f>UA!V28</f>
        <v>0.27</v>
      </c>
    </row>
    <row r="77" spans="1:20" ht="15" customHeight="1">
      <c r="B77" s="305" t="s">
        <v>1118</v>
      </c>
      <c r="C77" s="10">
        <f>UA!F21</f>
        <v>3.3022190912293063</v>
      </c>
      <c r="D77" s="10">
        <f>UA!G21</f>
        <v>3.8025553171731401</v>
      </c>
      <c r="E77" s="10">
        <f>UA!H21</f>
        <v>3.8025553171731401</v>
      </c>
      <c r="F77" s="10">
        <f>UA!I21</f>
        <v>3.8025553171731401</v>
      </c>
      <c r="G77" s="10">
        <f>UA!J21</f>
        <v>3.8025553171731401</v>
      </c>
      <c r="H77" s="10">
        <f>UA!K21</f>
        <v>3.8025553171731401</v>
      </c>
      <c r="I77" s="10">
        <f>UA!L21</f>
        <v>4.358484457110734</v>
      </c>
      <c r="J77" s="10">
        <f>UA!M21</f>
        <v>4.358484457110734</v>
      </c>
      <c r="K77" s="10">
        <f>UA!N21</f>
        <v>4.358484457110734</v>
      </c>
      <c r="L77" s="10">
        <f>UA!O21</f>
        <v>4.358484457110734</v>
      </c>
      <c r="M77" s="10">
        <f>UA!P21</f>
        <v>4.358484457110734</v>
      </c>
      <c r="N77" s="10">
        <f>UA!Q21</f>
        <v>4.358484457110734</v>
      </c>
      <c r="O77" s="10">
        <f>UA!R21</f>
        <v>4.358484457110734</v>
      </c>
      <c r="P77" s="10">
        <f>UA!S21</f>
        <v>4.358484457110734</v>
      </c>
      <c r="Q77" s="10">
        <f>UA!T21</f>
        <v>4.358484457110734</v>
      </c>
      <c r="R77" s="10">
        <f>UA!U21</f>
        <v>3.8025553171731401</v>
      </c>
      <c r="S77" s="10">
        <f>UA!V21</f>
        <v>3.8025553171731401</v>
      </c>
    </row>
    <row r="78" spans="1:20" ht="15" customHeight="1">
      <c r="B78" s="305" t="s">
        <v>1119</v>
      </c>
      <c r="C78" s="10">
        <f>UA!F22</f>
        <v>4.5943917791016435</v>
      </c>
      <c r="D78" s="10">
        <f>UA!G22</f>
        <v>5.6239473598527123</v>
      </c>
      <c r="E78" s="10">
        <f>UA!H22</f>
        <v>5.6239473598527123</v>
      </c>
      <c r="F78" s="10">
        <f>UA!I22</f>
        <v>5.6239473598527123</v>
      </c>
      <c r="G78" s="10">
        <f>UA!J22</f>
        <v>5.6239473598527123</v>
      </c>
      <c r="H78" s="10">
        <f>UA!K22</f>
        <v>5.6239473598527123</v>
      </c>
      <c r="I78" s="10">
        <f>UA!L22</f>
        <v>6.931565642633938</v>
      </c>
      <c r="J78" s="10">
        <f>UA!M22</f>
        <v>6.931565642633938</v>
      </c>
      <c r="K78" s="10">
        <f>UA!N22</f>
        <v>6.931565642633938</v>
      </c>
      <c r="L78" s="10">
        <f>UA!O22</f>
        <v>6.931565642633938</v>
      </c>
      <c r="M78" s="10">
        <f>UA!P22</f>
        <v>6.931565642633938</v>
      </c>
      <c r="N78" s="10">
        <f>UA!Q22</f>
        <v>6.931565642633938</v>
      </c>
      <c r="O78" s="10">
        <f>UA!R22</f>
        <v>6.931565642633938</v>
      </c>
      <c r="P78" s="10">
        <f>UA!S22</f>
        <v>6.931565642633938</v>
      </c>
      <c r="Q78" s="10">
        <f>UA!T22</f>
        <v>6.931565642633938</v>
      </c>
      <c r="R78" s="10">
        <f>UA!U22</f>
        <v>5.6239473598527123</v>
      </c>
      <c r="S78" s="10">
        <f>UA!V22</f>
        <v>5.6239473598527123</v>
      </c>
    </row>
    <row r="79" spans="1:20" ht="15" customHeight="1">
      <c r="B79" s="305" t="s">
        <v>1120</v>
      </c>
      <c r="C79" s="217">
        <f>Inputs!C79</f>
        <v>7.5231481481481474E-5</v>
      </c>
      <c r="D79" s="217">
        <f t="shared" ref="D79:D95" si="41">C79</f>
        <v>7.5231481481481474E-5</v>
      </c>
      <c r="E79" s="217">
        <f t="shared" si="40"/>
        <v>7.5231481481481474E-5</v>
      </c>
      <c r="F79" s="217">
        <f t="shared" si="40"/>
        <v>7.5231481481481474E-5</v>
      </c>
      <c r="G79" s="217">
        <f t="shared" si="40"/>
        <v>7.5231481481481474E-5</v>
      </c>
      <c r="H79" s="217">
        <f t="shared" si="40"/>
        <v>7.5231481481481474E-5</v>
      </c>
      <c r="I79" s="217">
        <f t="shared" si="40"/>
        <v>7.5231481481481474E-5</v>
      </c>
      <c r="J79" s="217">
        <f t="shared" si="40"/>
        <v>7.5231481481481474E-5</v>
      </c>
      <c r="K79" s="217">
        <f t="shared" si="40"/>
        <v>7.5231481481481474E-5</v>
      </c>
      <c r="L79" s="217">
        <f t="shared" si="40"/>
        <v>7.5231481481481474E-5</v>
      </c>
      <c r="M79" s="217">
        <f t="shared" si="40"/>
        <v>7.5231481481481474E-5</v>
      </c>
      <c r="N79" s="217">
        <f t="shared" si="40"/>
        <v>7.5231481481481474E-5</v>
      </c>
      <c r="O79" s="217">
        <f t="shared" si="40"/>
        <v>7.5231481481481474E-5</v>
      </c>
      <c r="P79" s="217">
        <f t="shared" si="40"/>
        <v>7.5231481481481474E-5</v>
      </c>
      <c r="Q79" s="217">
        <f t="shared" si="40"/>
        <v>7.5231481481481474E-5</v>
      </c>
      <c r="R79" s="217">
        <f t="shared" si="40"/>
        <v>7.5231481481481474E-5</v>
      </c>
      <c r="S79" s="217">
        <f t="shared" si="40"/>
        <v>7.5231481481481474E-5</v>
      </c>
    </row>
    <row r="80" spans="1:20" ht="15" customHeight="1">
      <c r="B80" s="305" t="s">
        <v>1121</v>
      </c>
      <c r="C80" s="8">
        <f>Inputs!C80</f>
        <v>977.90662137547451</v>
      </c>
      <c r="D80" s="8">
        <f t="shared" si="41"/>
        <v>977.90662137547451</v>
      </c>
      <c r="E80" s="8">
        <f t="shared" si="40"/>
        <v>977.90662137547451</v>
      </c>
      <c r="F80" s="8">
        <f t="shared" si="40"/>
        <v>977.90662137547451</v>
      </c>
      <c r="G80" s="8">
        <f t="shared" si="40"/>
        <v>977.90662137547451</v>
      </c>
      <c r="H80" s="8">
        <f t="shared" si="40"/>
        <v>977.90662137547451</v>
      </c>
      <c r="I80" s="8">
        <f t="shared" si="40"/>
        <v>977.90662137547451</v>
      </c>
      <c r="J80" s="8">
        <f t="shared" si="40"/>
        <v>977.90662137547451</v>
      </c>
      <c r="K80" s="8">
        <f t="shared" si="40"/>
        <v>977.90662137547451</v>
      </c>
      <c r="L80" s="8">
        <f t="shared" si="40"/>
        <v>977.90662137547451</v>
      </c>
      <c r="M80" s="8">
        <f t="shared" si="40"/>
        <v>977.90662137547451</v>
      </c>
      <c r="N80" s="8">
        <f t="shared" si="40"/>
        <v>977.90662137547451</v>
      </c>
      <c r="O80" s="8">
        <f t="shared" si="40"/>
        <v>977.90662137547451</v>
      </c>
      <c r="P80" s="8">
        <f t="shared" si="40"/>
        <v>977.90662137547451</v>
      </c>
      <c r="Q80" s="8">
        <f t="shared" si="40"/>
        <v>977.90662137547451</v>
      </c>
      <c r="R80" s="8">
        <f t="shared" si="40"/>
        <v>977.90662137547451</v>
      </c>
      <c r="S80" s="276">
        <f t="shared" si="40"/>
        <v>977.90662137547451</v>
      </c>
    </row>
    <row r="81" spans="1:19" ht="15" customHeight="1">
      <c r="A81" s="305" t="s">
        <v>70</v>
      </c>
      <c r="B81" s="305" t="s">
        <v>1122</v>
      </c>
      <c r="C81" s="8">
        <f>Inputs!C81</f>
        <v>306.00260102083325</v>
      </c>
      <c r="D81" s="8">
        <f t="shared" si="41"/>
        <v>306.00260102083325</v>
      </c>
      <c r="E81" s="8">
        <f t="shared" si="40"/>
        <v>306.00260102083325</v>
      </c>
      <c r="F81" s="8">
        <f t="shared" si="40"/>
        <v>306.00260102083325</v>
      </c>
      <c r="G81" s="8">
        <f t="shared" si="40"/>
        <v>306.00260102083325</v>
      </c>
      <c r="H81" s="8">
        <f t="shared" si="40"/>
        <v>306.00260102083325</v>
      </c>
      <c r="I81" s="8">
        <f t="shared" si="40"/>
        <v>306.00260102083325</v>
      </c>
      <c r="J81" s="8">
        <f t="shared" si="40"/>
        <v>306.00260102083325</v>
      </c>
      <c r="K81" s="8">
        <f t="shared" si="40"/>
        <v>306.00260102083325</v>
      </c>
      <c r="L81" s="8">
        <f t="shared" si="40"/>
        <v>306.00260102083325</v>
      </c>
      <c r="M81" s="8">
        <f t="shared" si="40"/>
        <v>306.00260102083325</v>
      </c>
      <c r="N81" s="8">
        <f t="shared" si="40"/>
        <v>306.00260102083325</v>
      </c>
      <c r="O81" s="8">
        <f t="shared" si="40"/>
        <v>306.00260102083325</v>
      </c>
      <c r="P81" s="8">
        <f t="shared" si="40"/>
        <v>306.00260102083325</v>
      </c>
      <c r="Q81" s="8">
        <f t="shared" si="40"/>
        <v>306.00260102083325</v>
      </c>
      <c r="R81" s="8">
        <f t="shared" si="40"/>
        <v>306.00260102083325</v>
      </c>
      <c r="S81" s="276">
        <f t="shared" si="40"/>
        <v>306.00260102083325</v>
      </c>
    </row>
    <row r="82" spans="1:19" ht="15" customHeight="1">
      <c r="B82" s="305" t="s">
        <v>1123</v>
      </c>
      <c r="C82" s="169">
        <f>Inputs!C82</f>
        <v>0.5660247946157696</v>
      </c>
      <c r="D82" s="169">
        <f t="shared" si="41"/>
        <v>0.5660247946157696</v>
      </c>
      <c r="E82" s="169">
        <f t="shared" si="40"/>
        <v>0.5660247946157696</v>
      </c>
      <c r="F82" s="169">
        <f t="shared" si="40"/>
        <v>0.5660247946157696</v>
      </c>
      <c r="G82" s="169">
        <f t="shared" si="40"/>
        <v>0.5660247946157696</v>
      </c>
      <c r="H82" s="169">
        <f t="shared" si="40"/>
        <v>0.5660247946157696</v>
      </c>
      <c r="I82" s="169">
        <f t="shared" si="40"/>
        <v>0.5660247946157696</v>
      </c>
      <c r="J82" s="169">
        <f t="shared" si="40"/>
        <v>0.5660247946157696</v>
      </c>
      <c r="K82" s="169">
        <f t="shared" si="40"/>
        <v>0.5660247946157696</v>
      </c>
      <c r="L82" s="169">
        <f t="shared" si="40"/>
        <v>0.5660247946157696</v>
      </c>
      <c r="M82" s="169">
        <f t="shared" si="40"/>
        <v>0.5660247946157696</v>
      </c>
      <c r="N82" s="169">
        <f t="shared" si="40"/>
        <v>0.5660247946157696</v>
      </c>
      <c r="O82" s="169">
        <f t="shared" si="40"/>
        <v>0.5660247946157696</v>
      </c>
      <c r="P82" s="169">
        <f t="shared" si="40"/>
        <v>0.5660247946157696</v>
      </c>
      <c r="Q82" s="169">
        <f t="shared" si="40"/>
        <v>0.5660247946157696</v>
      </c>
      <c r="R82" s="169">
        <f t="shared" si="40"/>
        <v>0.5660247946157696</v>
      </c>
      <c r="S82" s="169">
        <f t="shared" si="40"/>
        <v>0.5660247946157696</v>
      </c>
    </row>
    <row r="83" spans="1:19" ht="15" customHeight="1">
      <c r="B83" s="305" t="s">
        <v>1124</v>
      </c>
      <c r="C83" s="169">
        <f>Inputs!C83</f>
        <v>0.65</v>
      </c>
      <c r="D83" s="169">
        <f t="shared" si="41"/>
        <v>0.65</v>
      </c>
      <c r="E83" s="169">
        <f t="shared" si="40"/>
        <v>0.65</v>
      </c>
      <c r="F83" s="169">
        <f t="shared" si="40"/>
        <v>0.65</v>
      </c>
      <c r="G83" s="169">
        <f t="shared" si="40"/>
        <v>0.65</v>
      </c>
      <c r="H83" s="169">
        <f t="shared" si="40"/>
        <v>0.65</v>
      </c>
      <c r="I83" s="169">
        <f t="shared" si="40"/>
        <v>0.65</v>
      </c>
      <c r="J83" s="169">
        <f t="shared" si="40"/>
        <v>0.65</v>
      </c>
      <c r="K83" s="169">
        <f t="shared" si="40"/>
        <v>0.65</v>
      </c>
      <c r="L83" s="169">
        <f t="shared" si="40"/>
        <v>0.65</v>
      </c>
      <c r="M83" s="169">
        <f t="shared" si="40"/>
        <v>0.65</v>
      </c>
      <c r="N83" s="169">
        <f t="shared" si="40"/>
        <v>0.65</v>
      </c>
      <c r="O83" s="169">
        <f t="shared" si="40"/>
        <v>0.65</v>
      </c>
      <c r="P83" s="169">
        <f t="shared" si="40"/>
        <v>0.65</v>
      </c>
      <c r="Q83" s="169">
        <f t="shared" si="40"/>
        <v>0.65</v>
      </c>
      <c r="R83" s="169">
        <f t="shared" si="40"/>
        <v>0.65</v>
      </c>
      <c r="S83" s="169">
        <f t="shared" si="40"/>
        <v>0.65</v>
      </c>
    </row>
    <row r="84" spans="1:19" ht="15" customHeight="1">
      <c r="B84" s="305" t="s">
        <v>1125</v>
      </c>
      <c r="C84" s="169">
        <f>Inputs!C84</f>
        <v>0.35</v>
      </c>
      <c r="D84" s="169">
        <f t="shared" si="41"/>
        <v>0.35</v>
      </c>
      <c r="E84" s="169">
        <f t="shared" si="40"/>
        <v>0.35</v>
      </c>
      <c r="F84" s="169">
        <f t="shared" si="40"/>
        <v>0.35</v>
      </c>
      <c r="G84" s="169">
        <f t="shared" si="40"/>
        <v>0.35</v>
      </c>
      <c r="H84" s="169">
        <f t="shared" si="40"/>
        <v>0.35</v>
      </c>
      <c r="I84" s="169">
        <f t="shared" si="40"/>
        <v>0.35</v>
      </c>
      <c r="J84" s="169">
        <f t="shared" si="40"/>
        <v>0.35</v>
      </c>
      <c r="K84" s="169">
        <f t="shared" si="40"/>
        <v>0.35</v>
      </c>
      <c r="L84" s="169">
        <f t="shared" si="40"/>
        <v>0.35</v>
      </c>
      <c r="M84" s="169">
        <f t="shared" si="40"/>
        <v>0.35</v>
      </c>
      <c r="N84" s="169">
        <f t="shared" si="40"/>
        <v>0.35</v>
      </c>
      <c r="O84" s="169">
        <f t="shared" si="40"/>
        <v>0.35</v>
      </c>
      <c r="P84" s="169">
        <f t="shared" si="40"/>
        <v>0.35</v>
      </c>
      <c r="Q84" s="169">
        <f t="shared" si="40"/>
        <v>0.35</v>
      </c>
      <c r="R84" s="169">
        <f t="shared" si="40"/>
        <v>0.35</v>
      </c>
      <c r="S84" s="169">
        <f t="shared" si="40"/>
        <v>0.35</v>
      </c>
    </row>
    <row r="85" spans="1:19" ht="15.75" customHeight="1">
      <c r="B85" s="305" t="s">
        <v>1126</v>
      </c>
      <c r="C85" s="169">
        <f>Inputs!C85</f>
        <v>0.35</v>
      </c>
      <c r="D85" s="169">
        <f t="shared" si="41"/>
        <v>0.35</v>
      </c>
      <c r="E85" s="169">
        <f t="shared" si="40"/>
        <v>0.35</v>
      </c>
      <c r="F85" s="169">
        <f t="shared" si="40"/>
        <v>0.35</v>
      </c>
      <c r="G85" s="169">
        <f t="shared" si="40"/>
        <v>0.35</v>
      </c>
      <c r="H85" s="169">
        <f t="shared" si="40"/>
        <v>0.35</v>
      </c>
      <c r="I85" s="169">
        <f t="shared" si="40"/>
        <v>0.35</v>
      </c>
      <c r="J85" s="169">
        <f t="shared" si="40"/>
        <v>0.35</v>
      </c>
      <c r="K85" s="169">
        <f t="shared" si="40"/>
        <v>0.35</v>
      </c>
      <c r="L85" s="169">
        <f t="shared" si="40"/>
        <v>0.35</v>
      </c>
      <c r="M85" s="169">
        <f t="shared" si="40"/>
        <v>0.35</v>
      </c>
      <c r="N85" s="169">
        <f t="shared" si="40"/>
        <v>0.35</v>
      </c>
      <c r="O85" s="169">
        <f t="shared" si="40"/>
        <v>0.35</v>
      </c>
      <c r="P85" s="169">
        <f t="shared" si="40"/>
        <v>0.35</v>
      </c>
      <c r="Q85" s="169">
        <f t="shared" si="40"/>
        <v>0.35</v>
      </c>
      <c r="R85" s="169">
        <f t="shared" si="40"/>
        <v>0.35</v>
      </c>
      <c r="S85" s="169">
        <f t="shared" si="40"/>
        <v>0.35</v>
      </c>
    </row>
    <row r="86" spans="1:19" ht="15" customHeight="1">
      <c r="B86" s="305" t="s">
        <v>1127</v>
      </c>
      <c r="C86" s="169">
        <f>Inputs!C86</f>
        <v>0.1</v>
      </c>
      <c r="D86" s="169">
        <f t="shared" si="41"/>
        <v>0.1</v>
      </c>
      <c r="E86" s="169">
        <f t="shared" si="40"/>
        <v>0.1</v>
      </c>
      <c r="F86" s="169">
        <f t="shared" si="40"/>
        <v>0.1</v>
      </c>
      <c r="G86" s="169">
        <f t="shared" si="40"/>
        <v>0.1</v>
      </c>
      <c r="H86" s="169">
        <f t="shared" si="40"/>
        <v>0.1</v>
      </c>
      <c r="I86" s="169">
        <f t="shared" si="40"/>
        <v>0.1</v>
      </c>
      <c r="J86" s="169">
        <f t="shared" si="40"/>
        <v>0.1</v>
      </c>
      <c r="K86" s="169">
        <f t="shared" si="40"/>
        <v>0.1</v>
      </c>
      <c r="L86" s="169">
        <f t="shared" si="40"/>
        <v>0.1</v>
      </c>
      <c r="M86" s="169">
        <f t="shared" si="40"/>
        <v>0.1</v>
      </c>
      <c r="N86" s="169">
        <f t="shared" si="40"/>
        <v>0.1</v>
      </c>
      <c r="O86" s="169">
        <f t="shared" si="40"/>
        <v>0.1</v>
      </c>
      <c r="P86" s="169">
        <f t="shared" si="40"/>
        <v>0.1</v>
      </c>
      <c r="Q86" s="169">
        <f t="shared" si="40"/>
        <v>0.1</v>
      </c>
      <c r="R86" s="169">
        <f t="shared" si="40"/>
        <v>0.1</v>
      </c>
      <c r="S86" s="169">
        <f t="shared" si="40"/>
        <v>0.1</v>
      </c>
    </row>
    <row r="87" spans="1:19" ht="15" customHeight="1">
      <c r="B87" s="305" t="s">
        <v>1128</v>
      </c>
      <c r="C87" s="169">
        <f>Inputs!C87</f>
        <v>0.1</v>
      </c>
      <c r="D87" s="169">
        <f t="shared" si="41"/>
        <v>0.1</v>
      </c>
      <c r="E87" s="169">
        <f t="shared" si="40"/>
        <v>0.1</v>
      </c>
      <c r="F87" s="169">
        <f t="shared" si="40"/>
        <v>0.1</v>
      </c>
      <c r="G87" s="169">
        <f t="shared" si="40"/>
        <v>0.1</v>
      </c>
      <c r="H87" s="169">
        <f t="shared" si="40"/>
        <v>0.1</v>
      </c>
      <c r="I87" s="169">
        <f t="shared" si="40"/>
        <v>0.1</v>
      </c>
      <c r="J87" s="169">
        <f t="shared" si="40"/>
        <v>0.1</v>
      </c>
      <c r="K87" s="169">
        <f t="shared" si="40"/>
        <v>0.1</v>
      </c>
      <c r="L87" s="169">
        <f t="shared" si="40"/>
        <v>0.1</v>
      </c>
      <c r="M87" s="169">
        <f t="shared" si="40"/>
        <v>0.1</v>
      </c>
      <c r="N87" s="169">
        <f t="shared" si="40"/>
        <v>0.1</v>
      </c>
      <c r="O87" s="169">
        <f t="shared" si="40"/>
        <v>0.1</v>
      </c>
      <c r="P87" s="169">
        <f t="shared" si="40"/>
        <v>0.1</v>
      </c>
      <c r="Q87" s="169">
        <f t="shared" si="40"/>
        <v>0.1</v>
      </c>
      <c r="R87" s="169">
        <f t="shared" si="40"/>
        <v>0.1</v>
      </c>
      <c r="S87" s="169">
        <f t="shared" si="40"/>
        <v>0.1</v>
      </c>
    </row>
    <row r="88" spans="1:19" ht="15" customHeight="1">
      <c r="B88" s="305" t="s">
        <v>1129</v>
      </c>
      <c r="C88" s="169">
        <f>Inputs!C88</f>
        <v>0.1</v>
      </c>
      <c r="D88" s="169">
        <f t="shared" si="41"/>
        <v>0.1</v>
      </c>
      <c r="E88" s="169">
        <f t="shared" si="40"/>
        <v>0.1</v>
      </c>
      <c r="F88" s="169">
        <f t="shared" si="40"/>
        <v>0.1</v>
      </c>
      <c r="G88" s="169">
        <f t="shared" si="40"/>
        <v>0.1</v>
      </c>
      <c r="H88" s="169">
        <f t="shared" si="40"/>
        <v>0.1</v>
      </c>
      <c r="I88" s="169">
        <f t="shared" si="40"/>
        <v>0.1</v>
      </c>
      <c r="J88" s="169">
        <f t="shared" si="40"/>
        <v>0.1</v>
      </c>
      <c r="K88" s="169">
        <f t="shared" si="40"/>
        <v>0.1</v>
      </c>
      <c r="L88" s="169">
        <f t="shared" si="40"/>
        <v>0.1</v>
      </c>
      <c r="M88" s="169">
        <f t="shared" si="40"/>
        <v>0.1</v>
      </c>
      <c r="N88" s="169">
        <f t="shared" si="40"/>
        <v>0.1</v>
      </c>
      <c r="O88" s="169">
        <f t="shared" si="40"/>
        <v>0.1</v>
      </c>
      <c r="P88" s="169">
        <f t="shared" si="40"/>
        <v>0.1</v>
      </c>
      <c r="Q88" s="169">
        <f t="shared" si="40"/>
        <v>0.1</v>
      </c>
      <c r="R88" s="169">
        <f t="shared" si="40"/>
        <v>0.1</v>
      </c>
      <c r="S88" s="169">
        <f t="shared" si="40"/>
        <v>0.1</v>
      </c>
    </row>
    <row r="89" spans="1:19" ht="15" customHeight="1">
      <c r="B89" s="305" t="s">
        <v>1130</v>
      </c>
      <c r="C89" s="169">
        <f>Inputs!C89</f>
        <v>2.9499999999999997</v>
      </c>
      <c r="D89" s="169">
        <f t="shared" si="41"/>
        <v>2.9499999999999997</v>
      </c>
      <c r="E89" s="169">
        <f t="shared" si="40"/>
        <v>2.9499999999999997</v>
      </c>
      <c r="F89" s="169">
        <f t="shared" si="40"/>
        <v>2.9499999999999997</v>
      </c>
      <c r="G89" s="169">
        <f t="shared" si="40"/>
        <v>2.9499999999999997</v>
      </c>
      <c r="H89" s="169">
        <f t="shared" si="40"/>
        <v>2.9499999999999997</v>
      </c>
      <c r="I89" s="169">
        <f t="shared" si="40"/>
        <v>2.9499999999999997</v>
      </c>
      <c r="J89" s="169">
        <f t="shared" si="40"/>
        <v>2.9499999999999997</v>
      </c>
      <c r="K89" s="169">
        <f t="shared" si="40"/>
        <v>2.9499999999999997</v>
      </c>
      <c r="L89" s="169">
        <f t="shared" si="40"/>
        <v>2.9499999999999997</v>
      </c>
      <c r="M89" s="169">
        <f t="shared" si="40"/>
        <v>2.9499999999999997</v>
      </c>
      <c r="N89" s="169">
        <f t="shared" si="40"/>
        <v>2.9499999999999997</v>
      </c>
      <c r="O89" s="169">
        <f t="shared" si="40"/>
        <v>2.9499999999999997</v>
      </c>
      <c r="P89" s="169">
        <f t="shared" si="40"/>
        <v>2.9499999999999997</v>
      </c>
      <c r="Q89" s="169">
        <f t="shared" si="40"/>
        <v>2.9499999999999997</v>
      </c>
      <c r="R89" s="169">
        <f t="shared" si="40"/>
        <v>2.9499999999999997</v>
      </c>
      <c r="S89" s="169">
        <f t="shared" si="40"/>
        <v>2.9499999999999997</v>
      </c>
    </row>
    <row r="90" spans="1:19" ht="15" customHeight="1">
      <c r="B90" s="305" t="s">
        <v>1131</v>
      </c>
      <c r="C90" s="169">
        <f>Inputs!C90</f>
        <v>2.9499999999999997</v>
      </c>
      <c r="D90" s="169">
        <f t="shared" si="41"/>
        <v>2.9499999999999997</v>
      </c>
      <c r="E90" s="169">
        <f t="shared" si="40"/>
        <v>2.9499999999999997</v>
      </c>
      <c r="F90" s="169">
        <f t="shared" si="40"/>
        <v>2.9499999999999997</v>
      </c>
      <c r="G90" s="169">
        <f t="shared" si="40"/>
        <v>2.9499999999999997</v>
      </c>
      <c r="H90" s="169">
        <f t="shared" si="40"/>
        <v>2.9499999999999997</v>
      </c>
      <c r="I90" s="169">
        <f t="shared" si="40"/>
        <v>2.9499999999999997</v>
      </c>
      <c r="J90" s="169">
        <f t="shared" si="40"/>
        <v>2.9499999999999997</v>
      </c>
      <c r="K90" s="169">
        <f t="shared" si="40"/>
        <v>2.9499999999999997</v>
      </c>
      <c r="L90" s="169">
        <f t="shared" si="40"/>
        <v>2.9499999999999997</v>
      </c>
      <c r="M90" s="169">
        <f t="shared" si="40"/>
        <v>2.9499999999999997</v>
      </c>
      <c r="N90" s="169">
        <f t="shared" si="40"/>
        <v>2.9499999999999997</v>
      </c>
      <c r="O90" s="169">
        <f t="shared" si="40"/>
        <v>2.9499999999999997</v>
      </c>
      <c r="P90" s="169">
        <f t="shared" si="40"/>
        <v>2.9499999999999997</v>
      </c>
      <c r="Q90" s="169">
        <f t="shared" si="40"/>
        <v>2.9499999999999997</v>
      </c>
      <c r="R90" s="169">
        <f t="shared" si="40"/>
        <v>2.9499999999999997</v>
      </c>
      <c r="S90" s="169">
        <f t="shared" si="40"/>
        <v>2.9499999999999997</v>
      </c>
    </row>
    <row r="91" spans="1:19" ht="15" customHeight="1">
      <c r="B91" s="305" t="s">
        <v>1132</v>
      </c>
      <c r="C91" s="169">
        <f>Inputs!C91</f>
        <v>2.9499999999999997</v>
      </c>
      <c r="D91" s="169">
        <f t="shared" si="41"/>
        <v>2.9499999999999997</v>
      </c>
      <c r="E91" s="169">
        <f t="shared" si="40"/>
        <v>2.9499999999999997</v>
      </c>
      <c r="F91" s="169">
        <f t="shared" si="40"/>
        <v>2.9499999999999997</v>
      </c>
      <c r="G91" s="169">
        <f t="shared" si="40"/>
        <v>2.9499999999999997</v>
      </c>
      <c r="H91" s="169">
        <f t="shared" si="40"/>
        <v>2.9499999999999997</v>
      </c>
      <c r="I91" s="169">
        <f t="shared" si="40"/>
        <v>2.9499999999999997</v>
      </c>
      <c r="J91" s="169">
        <f t="shared" si="40"/>
        <v>2.9499999999999997</v>
      </c>
      <c r="K91" s="169">
        <f t="shared" si="40"/>
        <v>2.9499999999999997</v>
      </c>
      <c r="L91" s="169">
        <f t="shared" si="40"/>
        <v>2.9499999999999997</v>
      </c>
      <c r="M91" s="169">
        <f t="shared" si="40"/>
        <v>2.9499999999999997</v>
      </c>
      <c r="N91" s="169">
        <f t="shared" si="40"/>
        <v>2.9499999999999997</v>
      </c>
      <c r="O91" s="169">
        <f t="shared" si="40"/>
        <v>2.9499999999999997</v>
      </c>
      <c r="P91" s="169">
        <f t="shared" si="40"/>
        <v>2.9499999999999997</v>
      </c>
      <c r="Q91" s="169">
        <f t="shared" si="40"/>
        <v>2.9499999999999997</v>
      </c>
      <c r="R91" s="169">
        <f t="shared" si="40"/>
        <v>2.9499999999999997</v>
      </c>
      <c r="S91" s="169">
        <f t="shared" si="40"/>
        <v>2.9499999999999997</v>
      </c>
    </row>
    <row r="92" spans="1:19" ht="15" customHeight="1">
      <c r="B92" s="305" t="s">
        <v>1133</v>
      </c>
      <c r="C92" s="169">
        <f>Inputs!C92</f>
        <v>2.9499999999999997</v>
      </c>
      <c r="D92" s="169">
        <f t="shared" si="41"/>
        <v>2.9499999999999997</v>
      </c>
      <c r="E92" s="169">
        <f t="shared" ref="E92:S92" si="42">D92</f>
        <v>2.9499999999999997</v>
      </c>
      <c r="F92" s="169">
        <f t="shared" si="42"/>
        <v>2.9499999999999997</v>
      </c>
      <c r="G92" s="169">
        <f t="shared" si="42"/>
        <v>2.9499999999999997</v>
      </c>
      <c r="H92" s="169">
        <f t="shared" si="42"/>
        <v>2.9499999999999997</v>
      </c>
      <c r="I92" s="169">
        <f t="shared" si="42"/>
        <v>2.9499999999999997</v>
      </c>
      <c r="J92" s="169">
        <f t="shared" si="42"/>
        <v>2.9499999999999997</v>
      </c>
      <c r="K92" s="169">
        <f t="shared" si="42"/>
        <v>2.9499999999999997</v>
      </c>
      <c r="L92" s="169">
        <f t="shared" si="42"/>
        <v>2.9499999999999997</v>
      </c>
      <c r="M92" s="169">
        <f t="shared" si="42"/>
        <v>2.9499999999999997</v>
      </c>
      <c r="N92" s="169">
        <f t="shared" si="42"/>
        <v>2.9499999999999997</v>
      </c>
      <c r="O92" s="169">
        <f t="shared" si="42"/>
        <v>2.9499999999999997</v>
      </c>
      <c r="P92" s="169">
        <f t="shared" si="42"/>
        <v>2.9499999999999997</v>
      </c>
      <c r="Q92" s="169">
        <f t="shared" si="42"/>
        <v>2.9499999999999997</v>
      </c>
      <c r="R92" s="169">
        <f t="shared" si="42"/>
        <v>2.9499999999999997</v>
      </c>
      <c r="S92" s="169">
        <f t="shared" si="42"/>
        <v>2.9499999999999997</v>
      </c>
    </row>
    <row r="93" spans="1:19" ht="15" customHeight="1">
      <c r="A93" s="305" t="s">
        <v>87</v>
      </c>
      <c r="B93" s="305" t="s">
        <v>1134</v>
      </c>
      <c r="C93" s="144">
        <f>Inputs!C93</f>
        <v>2</v>
      </c>
      <c r="D93" s="144">
        <f t="shared" si="41"/>
        <v>2</v>
      </c>
      <c r="E93" s="144">
        <f t="shared" ref="E93:S93" si="43">D93</f>
        <v>2</v>
      </c>
      <c r="F93" s="144">
        <f t="shared" si="43"/>
        <v>2</v>
      </c>
      <c r="G93" s="144">
        <f t="shared" si="43"/>
        <v>2</v>
      </c>
      <c r="H93" s="144">
        <f t="shared" si="43"/>
        <v>2</v>
      </c>
      <c r="I93" s="144">
        <f t="shared" si="43"/>
        <v>2</v>
      </c>
      <c r="J93" s="144">
        <f t="shared" si="43"/>
        <v>2</v>
      </c>
      <c r="K93" s="144">
        <f t="shared" si="43"/>
        <v>2</v>
      </c>
      <c r="L93" s="144">
        <f t="shared" si="43"/>
        <v>2</v>
      </c>
      <c r="M93" s="144">
        <f t="shared" si="43"/>
        <v>2</v>
      </c>
      <c r="N93" s="144">
        <f t="shared" si="43"/>
        <v>2</v>
      </c>
      <c r="O93" s="144">
        <f t="shared" si="43"/>
        <v>2</v>
      </c>
      <c r="P93" s="144">
        <f t="shared" si="43"/>
        <v>2</v>
      </c>
      <c r="Q93" s="144">
        <f t="shared" si="43"/>
        <v>2</v>
      </c>
      <c r="R93" s="144">
        <f t="shared" si="43"/>
        <v>2</v>
      </c>
      <c r="S93" s="144">
        <f t="shared" si="43"/>
        <v>2</v>
      </c>
    </row>
    <row r="94" spans="1:19" ht="15" customHeight="1">
      <c r="B94" s="305" t="s">
        <v>1247</v>
      </c>
      <c r="C94" s="6">
        <f>Inputs!C94</f>
        <v>1</v>
      </c>
      <c r="D94" s="6">
        <f t="shared" si="41"/>
        <v>1</v>
      </c>
      <c r="E94" s="6">
        <f t="shared" ref="E94:S94" si="44">D94</f>
        <v>1</v>
      </c>
      <c r="F94" s="6">
        <f t="shared" si="44"/>
        <v>1</v>
      </c>
      <c r="G94" s="6">
        <f t="shared" si="44"/>
        <v>1</v>
      </c>
      <c r="H94" s="6">
        <f t="shared" si="44"/>
        <v>1</v>
      </c>
      <c r="I94" s="6">
        <f t="shared" si="44"/>
        <v>1</v>
      </c>
      <c r="J94" s="6">
        <f t="shared" si="44"/>
        <v>1</v>
      </c>
      <c r="K94" s="6">
        <f t="shared" si="44"/>
        <v>1</v>
      </c>
      <c r="L94" s="6">
        <f t="shared" si="44"/>
        <v>1</v>
      </c>
      <c r="M94" s="6">
        <f t="shared" si="44"/>
        <v>1</v>
      </c>
      <c r="N94" s="6">
        <f t="shared" si="44"/>
        <v>1</v>
      </c>
      <c r="O94" s="6">
        <f t="shared" si="44"/>
        <v>1</v>
      </c>
      <c r="P94" s="6">
        <f t="shared" si="44"/>
        <v>1</v>
      </c>
      <c r="Q94" s="6">
        <f t="shared" si="44"/>
        <v>1</v>
      </c>
      <c r="R94" s="6">
        <f t="shared" si="44"/>
        <v>1</v>
      </c>
      <c r="S94" s="6">
        <f t="shared" si="44"/>
        <v>1</v>
      </c>
    </row>
    <row r="95" spans="1:19" ht="15" customHeight="1">
      <c r="B95" s="305" t="s">
        <v>1248</v>
      </c>
      <c r="C95" s="6">
        <f>Inputs!C95</f>
        <v>3.970416666666666</v>
      </c>
      <c r="D95" s="6">
        <f t="shared" si="41"/>
        <v>3.970416666666666</v>
      </c>
      <c r="E95" s="6">
        <f t="shared" ref="E95:S95" si="45">D95</f>
        <v>3.970416666666666</v>
      </c>
      <c r="F95" s="6">
        <f t="shared" si="45"/>
        <v>3.970416666666666</v>
      </c>
      <c r="G95" s="6">
        <f t="shared" si="45"/>
        <v>3.970416666666666</v>
      </c>
      <c r="H95" s="6">
        <f t="shared" si="45"/>
        <v>3.970416666666666</v>
      </c>
      <c r="I95" s="6">
        <f t="shared" si="45"/>
        <v>3.970416666666666</v>
      </c>
      <c r="J95" s="6">
        <f t="shared" si="45"/>
        <v>3.970416666666666</v>
      </c>
      <c r="K95" s="6">
        <f t="shared" si="45"/>
        <v>3.970416666666666</v>
      </c>
      <c r="L95" s="6">
        <f t="shared" si="45"/>
        <v>3.970416666666666</v>
      </c>
      <c r="M95" s="6">
        <f t="shared" si="45"/>
        <v>3.970416666666666</v>
      </c>
      <c r="N95" s="6">
        <f t="shared" si="45"/>
        <v>3.970416666666666</v>
      </c>
      <c r="O95" s="6">
        <f t="shared" si="45"/>
        <v>3.970416666666666</v>
      </c>
      <c r="P95" s="6">
        <f t="shared" si="45"/>
        <v>3.970416666666666</v>
      </c>
      <c r="Q95" s="6">
        <f t="shared" si="45"/>
        <v>3.970416666666666</v>
      </c>
      <c r="R95" s="6">
        <f t="shared" si="45"/>
        <v>3.970416666666666</v>
      </c>
      <c r="S95" s="6">
        <f t="shared" si="45"/>
        <v>3.970416666666666</v>
      </c>
    </row>
    <row r="96" spans="1:19" ht="15" customHeight="1">
      <c r="B96" s="305" t="s">
        <v>1249</v>
      </c>
      <c r="C96" s="6">
        <f>Inputs!C96</f>
        <v>0.27988804666666661</v>
      </c>
      <c r="D96" s="6">
        <f t="shared" ref="D96:S111" si="46">C96</f>
        <v>0.27988804666666661</v>
      </c>
      <c r="E96" s="6">
        <f t="shared" si="46"/>
        <v>0.27988804666666661</v>
      </c>
      <c r="F96" s="6">
        <f t="shared" si="46"/>
        <v>0.27988804666666661</v>
      </c>
      <c r="G96" s="6">
        <f t="shared" si="46"/>
        <v>0.27988804666666661</v>
      </c>
      <c r="H96" s="6">
        <f t="shared" si="46"/>
        <v>0.27988804666666661</v>
      </c>
      <c r="I96" s="6">
        <f t="shared" si="46"/>
        <v>0.27988804666666661</v>
      </c>
      <c r="J96" s="6">
        <f t="shared" si="46"/>
        <v>0.27988804666666661</v>
      </c>
      <c r="K96" s="6">
        <f t="shared" si="46"/>
        <v>0.27988804666666661</v>
      </c>
      <c r="L96" s="6">
        <f t="shared" si="46"/>
        <v>0.27988804666666661</v>
      </c>
      <c r="M96" s="6">
        <f t="shared" si="46"/>
        <v>0.27988804666666661</v>
      </c>
      <c r="N96" s="6">
        <f t="shared" si="46"/>
        <v>0.27988804666666661</v>
      </c>
      <c r="O96" s="6">
        <f t="shared" si="46"/>
        <v>0.27988804666666661</v>
      </c>
      <c r="P96" s="6">
        <f t="shared" si="46"/>
        <v>0.27988804666666661</v>
      </c>
      <c r="Q96" s="6">
        <f t="shared" si="46"/>
        <v>0.27988804666666661</v>
      </c>
      <c r="R96" s="6">
        <f t="shared" si="46"/>
        <v>0.27988804666666661</v>
      </c>
      <c r="S96" s="6">
        <f t="shared" si="46"/>
        <v>0.27988804666666661</v>
      </c>
    </row>
    <row r="97" spans="1:19" ht="15" customHeight="1">
      <c r="B97" s="305" t="s">
        <v>1250</v>
      </c>
      <c r="C97" s="6">
        <f>Inputs!C97</f>
        <v>0.5</v>
      </c>
      <c r="D97" s="6">
        <f t="shared" si="46"/>
        <v>0.5</v>
      </c>
      <c r="E97" s="6">
        <f t="shared" si="46"/>
        <v>0.5</v>
      </c>
      <c r="F97" s="6">
        <f t="shared" si="46"/>
        <v>0.5</v>
      </c>
      <c r="G97" s="6">
        <f t="shared" si="46"/>
        <v>0.5</v>
      </c>
      <c r="H97" s="6">
        <f t="shared" si="46"/>
        <v>0.5</v>
      </c>
      <c r="I97" s="6">
        <f t="shared" si="46"/>
        <v>0.5</v>
      </c>
      <c r="J97" s="6">
        <f t="shared" si="46"/>
        <v>0.5</v>
      </c>
      <c r="K97" s="6">
        <f t="shared" si="46"/>
        <v>0.5</v>
      </c>
      <c r="L97" s="6">
        <f t="shared" si="46"/>
        <v>0.5</v>
      </c>
      <c r="M97" s="6">
        <f t="shared" si="46"/>
        <v>0.5</v>
      </c>
      <c r="N97" s="6">
        <f t="shared" si="46"/>
        <v>0.5</v>
      </c>
      <c r="O97" s="6">
        <f t="shared" si="46"/>
        <v>0.5</v>
      </c>
      <c r="P97" s="6">
        <f t="shared" si="46"/>
        <v>0.5</v>
      </c>
      <c r="Q97" s="6">
        <f t="shared" si="46"/>
        <v>0.5</v>
      </c>
      <c r="R97" s="6">
        <f t="shared" si="46"/>
        <v>0.5</v>
      </c>
      <c r="S97" s="6">
        <f t="shared" si="46"/>
        <v>0.5</v>
      </c>
    </row>
    <row r="98" spans="1:19" ht="15" customHeight="1">
      <c r="B98" s="305" t="s">
        <v>1251</v>
      </c>
      <c r="C98" s="144">
        <f>Inputs!C98</f>
        <v>3</v>
      </c>
      <c r="D98" s="144">
        <f t="shared" si="46"/>
        <v>3</v>
      </c>
      <c r="E98" s="144">
        <f t="shared" si="46"/>
        <v>3</v>
      </c>
      <c r="F98" s="144">
        <f t="shared" si="46"/>
        <v>3</v>
      </c>
      <c r="G98" s="144">
        <f t="shared" si="46"/>
        <v>3</v>
      </c>
      <c r="H98" s="144">
        <f t="shared" si="46"/>
        <v>3</v>
      </c>
      <c r="I98" s="144">
        <f t="shared" si="46"/>
        <v>3</v>
      </c>
      <c r="J98" s="144">
        <f t="shared" si="46"/>
        <v>3</v>
      </c>
      <c r="K98" s="144">
        <f t="shared" si="46"/>
        <v>3</v>
      </c>
      <c r="L98" s="144">
        <f t="shared" si="46"/>
        <v>3</v>
      </c>
      <c r="M98" s="144">
        <f t="shared" si="46"/>
        <v>3</v>
      </c>
      <c r="N98" s="144">
        <f t="shared" si="46"/>
        <v>3</v>
      </c>
      <c r="O98" s="144">
        <f t="shared" si="46"/>
        <v>3</v>
      </c>
      <c r="P98" s="144">
        <f t="shared" si="46"/>
        <v>3</v>
      </c>
      <c r="Q98" s="144">
        <f t="shared" si="46"/>
        <v>3</v>
      </c>
      <c r="R98" s="144">
        <f t="shared" si="46"/>
        <v>3</v>
      </c>
      <c r="S98" s="144">
        <f t="shared" si="46"/>
        <v>3</v>
      </c>
    </row>
    <row r="99" spans="1:19" ht="15" customHeight="1">
      <c r="B99" s="305" t="s">
        <v>1252</v>
      </c>
      <c r="C99" s="169">
        <f>Inputs!C99</f>
        <v>3.970416666666666</v>
      </c>
      <c r="D99" s="169">
        <f t="shared" si="46"/>
        <v>3.970416666666666</v>
      </c>
      <c r="E99" s="169">
        <f t="shared" si="46"/>
        <v>3.970416666666666</v>
      </c>
      <c r="F99" s="169">
        <f t="shared" si="46"/>
        <v>3.970416666666666</v>
      </c>
      <c r="G99" s="169">
        <f t="shared" si="46"/>
        <v>3.970416666666666</v>
      </c>
      <c r="H99" s="169">
        <f t="shared" si="46"/>
        <v>3.970416666666666</v>
      </c>
      <c r="I99" s="169">
        <f t="shared" si="46"/>
        <v>3.970416666666666</v>
      </c>
      <c r="J99" s="169">
        <f t="shared" si="46"/>
        <v>3.970416666666666</v>
      </c>
      <c r="K99" s="169">
        <f t="shared" si="46"/>
        <v>3.970416666666666</v>
      </c>
      <c r="L99" s="169">
        <f t="shared" si="46"/>
        <v>3.970416666666666</v>
      </c>
      <c r="M99" s="169">
        <f t="shared" si="46"/>
        <v>3.970416666666666</v>
      </c>
      <c r="N99" s="169">
        <f t="shared" si="46"/>
        <v>3.970416666666666</v>
      </c>
      <c r="O99" s="169">
        <f t="shared" si="46"/>
        <v>3.970416666666666</v>
      </c>
      <c r="P99" s="169">
        <f t="shared" si="46"/>
        <v>3.970416666666666</v>
      </c>
      <c r="Q99" s="169">
        <f t="shared" si="46"/>
        <v>3.970416666666666</v>
      </c>
      <c r="R99" s="169">
        <f t="shared" si="46"/>
        <v>3.970416666666666</v>
      </c>
      <c r="S99" s="169">
        <f t="shared" si="46"/>
        <v>3.970416666666666</v>
      </c>
    </row>
    <row r="100" spans="1:19" ht="15" customHeight="1">
      <c r="B100" s="305" t="s">
        <v>1253</v>
      </c>
      <c r="C100" s="169">
        <f>Inputs!C100</f>
        <v>7.9968013333333324E-2</v>
      </c>
      <c r="D100" s="169">
        <f t="shared" si="46"/>
        <v>7.9968013333333324E-2</v>
      </c>
      <c r="E100" s="169">
        <f t="shared" si="46"/>
        <v>7.9968013333333324E-2</v>
      </c>
      <c r="F100" s="169">
        <f t="shared" si="46"/>
        <v>7.9968013333333324E-2</v>
      </c>
      <c r="G100" s="169">
        <f t="shared" si="46"/>
        <v>7.9968013333333324E-2</v>
      </c>
      <c r="H100" s="169">
        <f t="shared" si="46"/>
        <v>7.9968013333333324E-2</v>
      </c>
      <c r="I100" s="169">
        <f t="shared" si="46"/>
        <v>7.9968013333333324E-2</v>
      </c>
      <c r="J100" s="169">
        <f t="shared" si="46"/>
        <v>7.9968013333333324E-2</v>
      </c>
      <c r="K100" s="169">
        <f t="shared" si="46"/>
        <v>7.9968013333333324E-2</v>
      </c>
      <c r="L100" s="169">
        <f t="shared" si="46"/>
        <v>7.9968013333333324E-2</v>
      </c>
      <c r="M100" s="169">
        <f t="shared" si="46"/>
        <v>7.9968013333333324E-2</v>
      </c>
      <c r="N100" s="169">
        <f t="shared" si="46"/>
        <v>7.9968013333333324E-2</v>
      </c>
      <c r="O100" s="169">
        <f t="shared" si="46"/>
        <v>7.9968013333333324E-2</v>
      </c>
      <c r="P100" s="169">
        <f t="shared" si="46"/>
        <v>7.9968013333333324E-2</v>
      </c>
      <c r="Q100" s="169">
        <f t="shared" si="46"/>
        <v>7.9968013333333324E-2</v>
      </c>
      <c r="R100" s="169">
        <f t="shared" si="46"/>
        <v>7.9968013333333324E-2</v>
      </c>
      <c r="S100" s="169">
        <f t="shared" si="46"/>
        <v>7.9968013333333324E-2</v>
      </c>
    </row>
    <row r="101" spans="1:19" ht="15" customHeight="1">
      <c r="B101" s="305" t="s">
        <v>1254</v>
      </c>
      <c r="C101" s="8">
        <f>Inputs!C101</f>
        <v>0.5</v>
      </c>
      <c r="D101" s="8">
        <f t="shared" si="46"/>
        <v>0.5</v>
      </c>
      <c r="E101" s="8">
        <f t="shared" si="46"/>
        <v>0.5</v>
      </c>
      <c r="F101" s="8">
        <f t="shared" si="46"/>
        <v>0.5</v>
      </c>
      <c r="G101" s="8">
        <f t="shared" si="46"/>
        <v>0.5</v>
      </c>
      <c r="H101" s="8">
        <f t="shared" si="46"/>
        <v>0.5</v>
      </c>
      <c r="I101" s="8">
        <f t="shared" si="46"/>
        <v>0.5</v>
      </c>
      <c r="J101" s="8">
        <f t="shared" si="46"/>
        <v>0.5</v>
      </c>
      <c r="K101" s="8">
        <f t="shared" si="46"/>
        <v>0.5</v>
      </c>
      <c r="L101" s="8">
        <f t="shared" si="46"/>
        <v>0.5</v>
      </c>
      <c r="M101" s="8">
        <f t="shared" si="46"/>
        <v>0.5</v>
      </c>
      <c r="N101" s="8">
        <f t="shared" si="46"/>
        <v>0.5</v>
      </c>
      <c r="O101" s="8">
        <f t="shared" si="46"/>
        <v>0.5</v>
      </c>
      <c r="P101" s="8">
        <f t="shared" si="46"/>
        <v>0.5</v>
      </c>
      <c r="Q101" s="8">
        <f t="shared" si="46"/>
        <v>0.5</v>
      </c>
      <c r="R101" s="8">
        <f t="shared" si="46"/>
        <v>0.5</v>
      </c>
      <c r="S101" s="276">
        <f t="shared" si="46"/>
        <v>0.5</v>
      </c>
    </row>
    <row r="102" spans="1:19" ht="15" customHeight="1">
      <c r="A102" s="305" t="s">
        <v>152</v>
      </c>
      <c r="B102" s="305" t="s">
        <v>1135</v>
      </c>
      <c r="C102" s="169">
        <f>Inputs!C102</f>
        <v>18.43494882292201</v>
      </c>
      <c r="D102" s="169">
        <f t="shared" si="46"/>
        <v>18.43494882292201</v>
      </c>
      <c r="E102" s="169">
        <f t="shared" si="46"/>
        <v>18.43494882292201</v>
      </c>
      <c r="F102" s="169">
        <f t="shared" si="46"/>
        <v>18.43494882292201</v>
      </c>
      <c r="G102" s="169">
        <f t="shared" si="46"/>
        <v>18.43494882292201</v>
      </c>
      <c r="H102" s="169">
        <f t="shared" si="46"/>
        <v>18.43494882292201</v>
      </c>
      <c r="I102" s="169">
        <f t="shared" si="46"/>
        <v>18.43494882292201</v>
      </c>
      <c r="J102" s="169">
        <f t="shared" si="46"/>
        <v>18.43494882292201</v>
      </c>
      <c r="K102" s="169">
        <f t="shared" si="46"/>
        <v>18.43494882292201</v>
      </c>
      <c r="L102" s="169">
        <f t="shared" si="46"/>
        <v>18.43494882292201</v>
      </c>
      <c r="M102" s="169">
        <f t="shared" si="46"/>
        <v>18.43494882292201</v>
      </c>
      <c r="N102" s="169">
        <f t="shared" si="46"/>
        <v>18.43494882292201</v>
      </c>
      <c r="O102" s="169">
        <f t="shared" si="46"/>
        <v>18.43494882292201</v>
      </c>
      <c r="P102" s="169">
        <f t="shared" si="46"/>
        <v>18.43494882292201</v>
      </c>
      <c r="Q102" s="169">
        <f t="shared" si="46"/>
        <v>18.43494882292201</v>
      </c>
      <c r="R102" s="169">
        <f t="shared" si="46"/>
        <v>18.43494882292201</v>
      </c>
      <c r="S102" s="169">
        <f t="shared" si="46"/>
        <v>18.43494882292201</v>
      </c>
    </row>
    <row r="103" spans="1:19" ht="15" customHeight="1">
      <c r="B103" s="305" t="s">
        <v>1136</v>
      </c>
      <c r="C103" s="6" t="str">
        <f>Inputs!C103</f>
        <v>P</v>
      </c>
      <c r="D103" s="6" t="str">
        <f t="shared" si="46"/>
        <v>P</v>
      </c>
      <c r="E103" s="6" t="str">
        <f t="shared" si="46"/>
        <v>P</v>
      </c>
      <c r="F103" s="6" t="str">
        <f t="shared" si="46"/>
        <v>P</v>
      </c>
      <c r="G103" s="6" t="str">
        <f t="shared" si="46"/>
        <v>P</v>
      </c>
      <c r="H103" s="6" t="str">
        <f t="shared" si="46"/>
        <v>P</v>
      </c>
      <c r="I103" s="6" t="str">
        <f t="shared" si="46"/>
        <v>P</v>
      </c>
      <c r="J103" s="6" t="str">
        <f t="shared" si="46"/>
        <v>P</v>
      </c>
      <c r="K103" s="6" t="str">
        <f t="shared" si="46"/>
        <v>P</v>
      </c>
      <c r="L103" s="6" t="str">
        <f t="shared" si="46"/>
        <v>P</v>
      </c>
      <c r="M103" s="6" t="str">
        <f t="shared" si="46"/>
        <v>P</v>
      </c>
      <c r="N103" s="6" t="str">
        <f t="shared" si="46"/>
        <v>P</v>
      </c>
      <c r="O103" s="6" t="str">
        <f t="shared" si="46"/>
        <v>P</v>
      </c>
      <c r="P103" s="6" t="str">
        <f t="shared" si="46"/>
        <v>P</v>
      </c>
      <c r="Q103" s="6" t="str">
        <f t="shared" si="46"/>
        <v>P</v>
      </c>
      <c r="R103" s="6" t="str">
        <f t="shared" si="46"/>
        <v>P</v>
      </c>
      <c r="S103" s="6" t="str">
        <f t="shared" si="46"/>
        <v>P</v>
      </c>
    </row>
    <row r="104" spans="1:19" ht="15" customHeight="1">
      <c r="B104" s="305" t="s">
        <v>1137</v>
      </c>
      <c r="C104" s="8">
        <f>Inputs!C104</f>
        <v>4.9908333333333328</v>
      </c>
      <c r="D104" s="8">
        <f>C104</f>
        <v>4.9908333333333328</v>
      </c>
      <c r="E104" s="8">
        <f t="shared" si="46"/>
        <v>4.9908333333333328</v>
      </c>
      <c r="F104" s="8">
        <f t="shared" si="46"/>
        <v>4.9908333333333328</v>
      </c>
      <c r="G104" s="8">
        <f t="shared" si="46"/>
        <v>4.9908333333333328</v>
      </c>
      <c r="H104" s="8">
        <f t="shared" si="46"/>
        <v>4.9908333333333328</v>
      </c>
      <c r="I104" s="8">
        <f t="shared" si="46"/>
        <v>4.9908333333333328</v>
      </c>
      <c r="J104" s="8">
        <f t="shared" si="46"/>
        <v>4.9908333333333328</v>
      </c>
      <c r="K104" s="8">
        <f t="shared" si="46"/>
        <v>4.9908333333333328</v>
      </c>
      <c r="L104" s="8">
        <f t="shared" si="46"/>
        <v>4.9908333333333328</v>
      </c>
      <c r="M104" s="8">
        <f t="shared" si="46"/>
        <v>4.9908333333333328</v>
      </c>
      <c r="N104" s="8">
        <f t="shared" si="46"/>
        <v>4.9908333333333328</v>
      </c>
      <c r="O104" s="8">
        <f t="shared" si="46"/>
        <v>4.9908333333333328</v>
      </c>
      <c r="P104" s="8">
        <f t="shared" si="46"/>
        <v>4.9908333333333328</v>
      </c>
      <c r="Q104" s="8">
        <f t="shared" si="46"/>
        <v>4.9908333333333328</v>
      </c>
      <c r="R104" s="8">
        <f t="shared" si="46"/>
        <v>4.9908333333333328</v>
      </c>
      <c r="S104" s="276">
        <f t="shared" si="46"/>
        <v>4.9908333333333328</v>
      </c>
    </row>
    <row r="105" spans="1:19" ht="15" customHeight="1">
      <c r="B105" s="305" t="s">
        <v>1138</v>
      </c>
      <c r="C105" s="144">
        <f>Inputs!C105</f>
        <v>0</v>
      </c>
      <c r="D105" s="144">
        <f t="shared" si="46"/>
        <v>0</v>
      </c>
      <c r="E105" s="144">
        <f t="shared" si="46"/>
        <v>0</v>
      </c>
      <c r="F105" s="144">
        <f t="shared" si="46"/>
        <v>0</v>
      </c>
      <c r="G105" s="144">
        <f t="shared" si="46"/>
        <v>0</v>
      </c>
      <c r="H105" s="144">
        <f t="shared" si="46"/>
        <v>0</v>
      </c>
      <c r="I105" s="144">
        <f t="shared" si="46"/>
        <v>0</v>
      </c>
      <c r="J105" s="144">
        <f t="shared" si="46"/>
        <v>0</v>
      </c>
      <c r="K105" s="144">
        <f t="shared" si="46"/>
        <v>0</v>
      </c>
      <c r="L105" s="144">
        <f t="shared" si="46"/>
        <v>0</v>
      </c>
      <c r="M105" s="144">
        <f t="shared" si="46"/>
        <v>0</v>
      </c>
      <c r="N105" s="144">
        <f t="shared" si="46"/>
        <v>0</v>
      </c>
      <c r="O105" s="144">
        <f t="shared" si="46"/>
        <v>0</v>
      </c>
      <c r="P105" s="144">
        <f t="shared" si="46"/>
        <v>0</v>
      </c>
      <c r="Q105" s="144">
        <f t="shared" si="46"/>
        <v>0</v>
      </c>
      <c r="R105" s="144">
        <f t="shared" si="46"/>
        <v>0</v>
      </c>
      <c r="S105" s="144">
        <f t="shared" si="46"/>
        <v>0</v>
      </c>
    </row>
    <row r="106" spans="1:19" ht="15" customHeight="1">
      <c r="B106" s="305" t="s">
        <v>1139</v>
      </c>
      <c r="C106" s="144"/>
      <c r="D106" s="144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</row>
    <row r="107" spans="1:19" ht="15" customHeight="1">
      <c r="B107" s="305" t="s">
        <v>1140</v>
      </c>
      <c r="C107" s="144"/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</row>
    <row r="108" spans="1:19" ht="15" customHeight="1">
      <c r="B108" s="305" t="s">
        <v>1141</v>
      </c>
      <c r="C108" s="144"/>
      <c r="D108" s="144"/>
      <c r="E108" s="144"/>
      <c r="F108" s="144"/>
      <c r="G108" s="144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</row>
    <row r="109" spans="1:19" ht="15" customHeight="1">
      <c r="B109" s="305" t="s">
        <v>1142</v>
      </c>
      <c r="C109" s="144">
        <f>Inputs!C109</f>
        <v>0</v>
      </c>
      <c r="D109" s="144">
        <f t="shared" si="46"/>
        <v>0</v>
      </c>
      <c r="E109" s="144">
        <f t="shared" si="46"/>
        <v>0</v>
      </c>
      <c r="F109" s="144">
        <f t="shared" si="46"/>
        <v>0</v>
      </c>
      <c r="G109" s="144">
        <f t="shared" si="46"/>
        <v>0</v>
      </c>
      <c r="H109" s="144">
        <f t="shared" si="46"/>
        <v>0</v>
      </c>
      <c r="I109" s="144">
        <f t="shared" si="46"/>
        <v>0</v>
      </c>
      <c r="J109" s="144">
        <f t="shared" si="46"/>
        <v>0</v>
      </c>
      <c r="K109" s="144">
        <f t="shared" si="46"/>
        <v>0</v>
      </c>
      <c r="L109" s="144">
        <f t="shared" si="46"/>
        <v>0</v>
      </c>
      <c r="M109" s="144">
        <f t="shared" si="46"/>
        <v>0</v>
      </c>
      <c r="N109" s="144">
        <f t="shared" si="46"/>
        <v>0</v>
      </c>
      <c r="O109" s="144">
        <f t="shared" si="46"/>
        <v>0</v>
      </c>
      <c r="P109" s="144">
        <f t="shared" si="46"/>
        <v>0</v>
      </c>
      <c r="Q109" s="144">
        <f t="shared" si="46"/>
        <v>0</v>
      </c>
      <c r="R109" s="144">
        <f t="shared" si="46"/>
        <v>0</v>
      </c>
      <c r="S109" s="144">
        <f t="shared" si="46"/>
        <v>0</v>
      </c>
    </row>
    <row r="110" spans="1:19" ht="15" customHeight="1">
      <c r="B110" s="305" t="s">
        <v>1143</v>
      </c>
      <c r="C110" s="144">
        <f>Inputs!C110</f>
        <v>1</v>
      </c>
      <c r="D110" s="144">
        <f t="shared" si="46"/>
        <v>1</v>
      </c>
      <c r="E110" s="144">
        <f t="shared" si="46"/>
        <v>1</v>
      </c>
      <c r="F110" s="144">
        <f t="shared" si="46"/>
        <v>1</v>
      </c>
      <c r="G110" s="144">
        <f t="shared" si="46"/>
        <v>1</v>
      </c>
      <c r="H110" s="144">
        <f t="shared" si="46"/>
        <v>1</v>
      </c>
      <c r="I110" s="144">
        <f t="shared" si="46"/>
        <v>1</v>
      </c>
      <c r="J110" s="144">
        <f t="shared" si="46"/>
        <v>1</v>
      </c>
      <c r="K110" s="144">
        <f t="shared" si="46"/>
        <v>1</v>
      </c>
      <c r="L110" s="144">
        <f t="shared" si="46"/>
        <v>1</v>
      </c>
      <c r="M110" s="144">
        <f t="shared" si="46"/>
        <v>1</v>
      </c>
      <c r="N110" s="144">
        <f t="shared" si="46"/>
        <v>1</v>
      </c>
      <c r="O110" s="144">
        <f t="shared" si="46"/>
        <v>1</v>
      </c>
      <c r="P110" s="144">
        <f t="shared" si="46"/>
        <v>1</v>
      </c>
      <c r="Q110" s="144">
        <f t="shared" si="46"/>
        <v>1</v>
      </c>
      <c r="R110" s="144">
        <f t="shared" si="46"/>
        <v>1</v>
      </c>
      <c r="S110" s="144">
        <f t="shared" si="46"/>
        <v>1</v>
      </c>
    </row>
    <row r="111" spans="1:19" ht="15" customHeight="1">
      <c r="A111" s="305" t="s">
        <v>99</v>
      </c>
      <c r="B111" s="305" t="s">
        <v>1144</v>
      </c>
      <c r="C111" s="144">
        <f>Inputs!C111</f>
        <v>1</v>
      </c>
      <c r="D111" s="144">
        <f t="shared" si="46"/>
        <v>1</v>
      </c>
      <c r="E111" s="144">
        <f t="shared" si="46"/>
        <v>1</v>
      </c>
      <c r="F111" s="144">
        <f t="shared" si="46"/>
        <v>1</v>
      </c>
      <c r="G111" s="144">
        <f t="shared" si="46"/>
        <v>1</v>
      </c>
      <c r="H111" s="144">
        <f t="shared" si="46"/>
        <v>1</v>
      </c>
      <c r="I111" s="144">
        <f t="shared" si="46"/>
        <v>1</v>
      </c>
      <c r="J111" s="144">
        <f t="shared" si="46"/>
        <v>1</v>
      </c>
      <c r="K111" s="144">
        <f t="shared" si="46"/>
        <v>1</v>
      </c>
      <c r="L111" s="144">
        <f t="shared" si="46"/>
        <v>1</v>
      </c>
      <c r="M111" s="144">
        <f t="shared" si="46"/>
        <v>1</v>
      </c>
      <c r="N111" s="144">
        <f t="shared" si="46"/>
        <v>1</v>
      </c>
      <c r="O111" s="144">
        <f t="shared" si="46"/>
        <v>1</v>
      </c>
      <c r="P111" s="144">
        <f t="shared" si="46"/>
        <v>1</v>
      </c>
      <c r="Q111" s="144">
        <f t="shared" si="46"/>
        <v>1</v>
      </c>
      <c r="R111" s="144">
        <f t="shared" si="46"/>
        <v>1</v>
      </c>
      <c r="S111" s="144">
        <f t="shared" si="46"/>
        <v>1</v>
      </c>
    </row>
    <row r="112" spans="1:19" ht="15" customHeight="1">
      <c r="B112" s="305" t="s">
        <v>1145</v>
      </c>
      <c r="C112" s="11">
        <f>Ducts!I14</f>
        <v>0.05</v>
      </c>
      <c r="D112" s="11">
        <f>Ducts!J14</f>
        <v>0.05</v>
      </c>
      <c r="E112" s="11">
        <f>Ducts!K14</f>
        <v>0.05</v>
      </c>
      <c r="F112" s="11">
        <f>Ducts!L14</f>
        <v>0.05</v>
      </c>
      <c r="G112" s="11">
        <f>Ducts!M14</f>
        <v>0.05</v>
      </c>
      <c r="H112" s="11">
        <f>Ducts!N14</f>
        <v>0.05</v>
      </c>
      <c r="I112" s="11">
        <f>Ducts!O14</f>
        <v>0.05</v>
      </c>
      <c r="J112" s="11">
        <f>Ducts!P14</f>
        <v>0.05</v>
      </c>
      <c r="K112" s="11">
        <f>Ducts!Q14</f>
        <v>0.05</v>
      </c>
      <c r="L112" s="11">
        <f>Ducts!R14</f>
        <v>0.05</v>
      </c>
      <c r="M112" s="11">
        <f>Ducts!S14</f>
        <v>0.05</v>
      </c>
      <c r="N112" s="11">
        <f>Ducts!T14</f>
        <v>0.05</v>
      </c>
      <c r="O112" s="11">
        <f>Ducts!U14</f>
        <v>0.05</v>
      </c>
      <c r="P112" s="11">
        <f>Ducts!V14</f>
        <v>0.05</v>
      </c>
      <c r="Q112" s="11">
        <f>Ducts!W14</f>
        <v>0.05</v>
      </c>
      <c r="R112" s="11">
        <f>Ducts!X14</f>
        <v>0.05</v>
      </c>
      <c r="S112" s="11">
        <f>Ducts!Y14</f>
        <v>0.05</v>
      </c>
    </row>
    <row r="113" spans="1:19" ht="15" customHeight="1">
      <c r="B113" s="305" t="s">
        <v>1146</v>
      </c>
      <c r="C113" s="11">
        <f>Ducts!I14</f>
        <v>0.05</v>
      </c>
      <c r="D113" s="11">
        <f>Ducts!J14</f>
        <v>0.05</v>
      </c>
      <c r="E113" s="11">
        <f>Ducts!K14</f>
        <v>0.05</v>
      </c>
      <c r="F113" s="11">
        <f>Ducts!L14</f>
        <v>0.05</v>
      </c>
      <c r="G113" s="11">
        <f>Ducts!M14</f>
        <v>0.05</v>
      </c>
      <c r="H113" s="11">
        <f>Ducts!N14</f>
        <v>0.05</v>
      </c>
      <c r="I113" s="11">
        <f>Ducts!O14</f>
        <v>0.05</v>
      </c>
      <c r="J113" s="11">
        <f>Ducts!P14</f>
        <v>0.05</v>
      </c>
      <c r="K113" s="11">
        <f>Ducts!Q14</f>
        <v>0.05</v>
      </c>
      <c r="L113" s="11">
        <f>Ducts!R14</f>
        <v>0.05</v>
      </c>
      <c r="M113" s="11">
        <f>Ducts!S14</f>
        <v>0.05</v>
      </c>
      <c r="N113" s="11">
        <f>Ducts!T14</f>
        <v>0.05</v>
      </c>
      <c r="O113" s="11">
        <f>Ducts!U14</f>
        <v>0.05</v>
      </c>
      <c r="P113" s="11">
        <f>Ducts!V14</f>
        <v>0.05</v>
      </c>
      <c r="Q113" s="11">
        <f>Ducts!W14</f>
        <v>0.05</v>
      </c>
      <c r="R113" s="11">
        <f>Ducts!X14</f>
        <v>0.05</v>
      </c>
      <c r="S113" s="11">
        <f>Ducts!Y14</f>
        <v>0.05</v>
      </c>
    </row>
    <row r="114" spans="1:19" ht="15" customHeight="1">
      <c r="B114" s="305" t="s">
        <v>104</v>
      </c>
      <c r="C114" s="11">
        <f>Ducts!I16</f>
        <v>1.5322296583303978</v>
      </c>
      <c r="D114" s="11">
        <f>Ducts!J16</f>
        <v>1.5322296583303978</v>
      </c>
      <c r="E114" s="11">
        <f>Ducts!K16</f>
        <v>1.5322296583303978</v>
      </c>
      <c r="F114" s="11">
        <f>Ducts!L16</f>
        <v>1.5322296583303978</v>
      </c>
      <c r="G114" s="11">
        <f>Ducts!M16</f>
        <v>1.5322296583303978</v>
      </c>
      <c r="H114" s="11">
        <f>Ducts!N16</f>
        <v>1.5322296583303978</v>
      </c>
      <c r="I114" s="11">
        <f>Ducts!O16</f>
        <v>1.5322296583303978</v>
      </c>
      <c r="J114" s="11">
        <f>Ducts!P16</f>
        <v>1.5322296583303978</v>
      </c>
      <c r="K114" s="11">
        <f>Ducts!Q16</f>
        <v>1.5322296583303978</v>
      </c>
      <c r="L114" s="11">
        <f>Ducts!R16</f>
        <v>1.5322296583303978</v>
      </c>
      <c r="M114" s="11">
        <f>Ducts!S16</f>
        <v>1.5322296583303978</v>
      </c>
      <c r="N114" s="11">
        <f>Ducts!T16</f>
        <v>1.5322296583303978</v>
      </c>
      <c r="O114" s="11">
        <f>Ducts!U16</f>
        <v>1.5322296583303978</v>
      </c>
      <c r="P114" s="11">
        <f>Ducts!V16</f>
        <v>1.5322296583303978</v>
      </c>
      <c r="Q114" s="11">
        <f>Ducts!W16</f>
        <v>1.5322296583303978</v>
      </c>
      <c r="R114" s="11">
        <f>Ducts!X16</f>
        <v>1.5322296583303978</v>
      </c>
      <c r="S114" s="11">
        <f>Ducts!Y16</f>
        <v>1.5322296583303978</v>
      </c>
    </row>
    <row r="115" spans="1:19" ht="15" customHeight="1">
      <c r="B115" s="305" t="s">
        <v>106</v>
      </c>
      <c r="C115" s="11">
        <f>Ducts!I16</f>
        <v>1.5322296583303978</v>
      </c>
      <c r="D115" s="11">
        <f>Ducts!J16</f>
        <v>1.5322296583303978</v>
      </c>
      <c r="E115" s="11">
        <f>Ducts!K16</f>
        <v>1.5322296583303978</v>
      </c>
      <c r="F115" s="11">
        <f>Ducts!L16</f>
        <v>1.5322296583303978</v>
      </c>
      <c r="G115" s="11">
        <f>Ducts!M16</f>
        <v>1.5322296583303978</v>
      </c>
      <c r="H115" s="11">
        <f>Ducts!N16</f>
        <v>1.5322296583303978</v>
      </c>
      <c r="I115" s="11">
        <f>Ducts!O16</f>
        <v>1.5322296583303978</v>
      </c>
      <c r="J115" s="11">
        <f>Ducts!P16</f>
        <v>1.5322296583303978</v>
      </c>
      <c r="K115" s="11">
        <f>Ducts!Q16</f>
        <v>1.5322296583303978</v>
      </c>
      <c r="L115" s="11">
        <f>Ducts!R16</f>
        <v>1.5322296583303978</v>
      </c>
      <c r="M115" s="11">
        <f>Ducts!S16</f>
        <v>1.5322296583303978</v>
      </c>
      <c r="N115" s="11">
        <f>Ducts!T16</f>
        <v>1.5322296583303978</v>
      </c>
      <c r="O115" s="11">
        <f>Ducts!U16</f>
        <v>1.5322296583303978</v>
      </c>
      <c r="P115" s="11">
        <f>Ducts!V16</f>
        <v>1.5322296583303978</v>
      </c>
      <c r="Q115" s="11">
        <f>Ducts!W16</f>
        <v>1.5322296583303978</v>
      </c>
      <c r="R115" s="11">
        <f>Ducts!X16</f>
        <v>1.5322296583303978</v>
      </c>
      <c r="S115" s="11">
        <f>Ducts!Y16</f>
        <v>1.5322296583303978</v>
      </c>
    </row>
    <row r="116" spans="1:19" ht="15" customHeight="1">
      <c r="B116" s="305" t="s">
        <v>1282</v>
      </c>
      <c r="C116" s="169">
        <f>Inputs!C116</f>
        <v>0</v>
      </c>
      <c r="D116" s="169">
        <f t="shared" ref="D116:S125" si="47">C116</f>
        <v>0</v>
      </c>
      <c r="E116" s="169">
        <f t="shared" si="47"/>
        <v>0</v>
      </c>
      <c r="F116" s="169">
        <f t="shared" si="47"/>
        <v>0</v>
      </c>
      <c r="G116" s="169">
        <f t="shared" si="47"/>
        <v>0</v>
      </c>
      <c r="H116" s="169">
        <f t="shared" si="47"/>
        <v>0</v>
      </c>
      <c r="I116" s="169">
        <f t="shared" si="47"/>
        <v>0</v>
      </c>
      <c r="J116" s="169">
        <f t="shared" si="47"/>
        <v>0</v>
      </c>
      <c r="K116" s="169">
        <f t="shared" si="47"/>
        <v>0</v>
      </c>
      <c r="L116" s="169">
        <f t="shared" si="47"/>
        <v>0</v>
      </c>
      <c r="M116" s="169">
        <f t="shared" si="47"/>
        <v>0</v>
      </c>
      <c r="N116" s="169">
        <f t="shared" si="47"/>
        <v>0</v>
      </c>
      <c r="O116" s="169">
        <f t="shared" si="47"/>
        <v>0</v>
      </c>
      <c r="P116" s="169">
        <f t="shared" si="47"/>
        <v>0</v>
      </c>
      <c r="Q116" s="169">
        <f t="shared" si="47"/>
        <v>0</v>
      </c>
      <c r="R116" s="169">
        <f t="shared" si="47"/>
        <v>0</v>
      </c>
      <c r="S116" s="169">
        <f t="shared" si="47"/>
        <v>0</v>
      </c>
    </row>
    <row r="117" spans="1:19" ht="15" customHeight="1">
      <c r="B117" s="305" t="s">
        <v>1283</v>
      </c>
      <c r="C117" s="169">
        <f>Inputs!C117</f>
        <v>0</v>
      </c>
      <c r="D117" s="169">
        <f t="shared" si="47"/>
        <v>0</v>
      </c>
      <c r="E117" s="169">
        <f t="shared" si="47"/>
        <v>0</v>
      </c>
      <c r="F117" s="169">
        <f t="shared" si="47"/>
        <v>0</v>
      </c>
      <c r="G117" s="169">
        <f t="shared" si="47"/>
        <v>0</v>
      </c>
      <c r="H117" s="169">
        <f t="shared" si="47"/>
        <v>0</v>
      </c>
      <c r="I117" s="169">
        <f t="shared" si="47"/>
        <v>0</v>
      </c>
      <c r="J117" s="169">
        <f t="shared" si="47"/>
        <v>0</v>
      </c>
      <c r="K117" s="169">
        <f t="shared" si="47"/>
        <v>0</v>
      </c>
      <c r="L117" s="169">
        <f t="shared" si="47"/>
        <v>0</v>
      </c>
      <c r="M117" s="169">
        <f t="shared" si="47"/>
        <v>0</v>
      </c>
      <c r="N117" s="169">
        <f t="shared" si="47"/>
        <v>0</v>
      </c>
      <c r="O117" s="169">
        <f t="shared" si="47"/>
        <v>0</v>
      </c>
      <c r="P117" s="169">
        <f t="shared" si="47"/>
        <v>0</v>
      </c>
      <c r="Q117" s="169">
        <f t="shared" si="47"/>
        <v>0</v>
      </c>
      <c r="R117" s="169">
        <f t="shared" si="47"/>
        <v>0</v>
      </c>
      <c r="S117" s="169">
        <f t="shared" si="47"/>
        <v>0</v>
      </c>
    </row>
    <row r="118" spans="1:19" ht="15" customHeight="1">
      <c r="B118" s="305" t="s">
        <v>1147</v>
      </c>
      <c r="C118" s="8">
        <f>Inputs!C118</f>
        <v>103.09454084025489</v>
      </c>
      <c r="D118" s="8">
        <f t="shared" si="47"/>
        <v>103.09454084025489</v>
      </c>
      <c r="E118" s="8">
        <f t="shared" si="47"/>
        <v>103.09454084025489</v>
      </c>
      <c r="F118" s="8">
        <f t="shared" si="47"/>
        <v>103.09454084025489</v>
      </c>
      <c r="G118" s="8">
        <f t="shared" si="47"/>
        <v>103.09454084025489</v>
      </c>
      <c r="H118" s="8">
        <f t="shared" si="47"/>
        <v>103.09454084025489</v>
      </c>
      <c r="I118" s="8">
        <f t="shared" si="47"/>
        <v>103.09454084025489</v>
      </c>
      <c r="J118" s="8">
        <f t="shared" si="47"/>
        <v>103.09454084025489</v>
      </c>
      <c r="K118" s="8">
        <f t="shared" si="47"/>
        <v>103.09454084025489</v>
      </c>
      <c r="L118" s="8">
        <f t="shared" si="47"/>
        <v>103.09454084025489</v>
      </c>
      <c r="M118" s="8">
        <f t="shared" si="47"/>
        <v>103.09454084025489</v>
      </c>
      <c r="N118" s="8">
        <f t="shared" si="47"/>
        <v>103.09454084025489</v>
      </c>
      <c r="O118" s="8">
        <f t="shared" si="47"/>
        <v>103.09454084025489</v>
      </c>
      <c r="P118" s="8">
        <f t="shared" si="47"/>
        <v>103.09454084025489</v>
      </c>
      <c r="Q118" s="8">
        <f t="shared" si="47"/>
        <v>103.09454084025489</v>
      </c>
      <c r="R118" s="8">
        <f t="shared" si="47"/>
        <v>103.09454084025489</v>
      </c>
      <c r="S118" s="276">
        <f t="shared" si="47"/>
        <v>103.09454084025489</v>
      </c>
    </row>
    <row r="119" spans="1:19" ht="15" customHeight="1">
      <c r="B119" s="305" t="s">
        <v>1148</v>
      </c>
      <c r="C119" s="8">
        <f>Inputs!C119</f>
        <v>10.606434242824577</v>
      </c>
      <c r="D119" s="8">
        <f t="shared" si="47"/>
        <v>10.606434242824577</v>
      </c>
      <c r="E119" s="8">
        <f t="shared" si="47"/>
        <v>10.606434242824577</v>
      </c>
      <c r="F119" s="8">
        <f t="shared" si="47"/>
        <v>10.606434242824577</v>
      </c>
      <c r="G119" s="8">
        <f t="shared" si="47"/>
        <v>10.606434242824577</v>
      </c>
      <c r="H119" s="8">
        <f t="shared" si="47"/>
        <v>10.606434242824577</v>
      </c>
      <c r="I119" s="8">
        <f t="shared" si="47"/>
        <v>10.606434242824577</v>
      </c>
      <c r="J119" s="8">
        <f t="shared" si="47"/>
        <v>10.606434242824577</v>
      </c>
      <c r="K119" s="8">
        <f t="shared" si="47"/>
        <v>10.606434242824577</v>
      </c>
      <c r="L119" s="8">
        <f t="shared" si="47"/>
        <v>10.606434242824577</v>
      </c>
      <c r="M119" s="8">
        <f t="shared" si="47"/>
        <v>10.606434242824577</v>
      </c>
      <c r="N119" s="8">
        <f t="shared" si="47"/>
        <v>10.606434242824577</v>
      </c>
      <c r="O119" s="8">
        <f t="shared" si="47"/>
        <v>10.606434242824577</v>
      </c>
      <c r="P119" s="8">
        <f t="shared" si="47"/>
        <v>10.606434242824577</v>
      </c>
      <c r="Q119" s="8">
        <f t="shared" si="47"/>
        <v>10.606434242824577</v>
      </c>
      <c r="R119" s="8">
        <f t="shared" si="47"/>
        <v>10.606434242824577</v>
      </c>
      <c r="S119" s="276">
        <f t="shared" si="47"/>
        <v>10.606434242824577</v>
      </c>
    </row>
    <row r="120" spans="1:19" ht="15" customHeight="1">
      <c r="B120" s="305" t="s">
        <v>1149</v>
      </c>
      <c r="C120" s="6">
        <f>Inputs!C120</f>
        <v>0.25</v>
      </c>
      <c r="D120" s="6">
        <f t="shared" si="47"/>
        <v>0.25</v>
      </c>
      <c r="E120" s="6">
        <f t="shared" si="47"/>
        <v>0.25</v>
      </c>
      <c r="F120" s="6">
        <f t="shared" si="47"/>
        <v>0.25</v>
      </c>
      <c r="G120" s="6">
        <f t="shared" si="47"/>
        <v>0.25</v>
      </c>
      <c r="H120" s="6">
        <f t="shared" si="47"/>
        <v>0.25</v>
      </c>
      <c r="I120" s="6">
        <f t="shared" si="47"/>
        <v>0.25</v>
      </c>
      <c r="J120" s="6">
        <f t="shared" si="47"/>
        <v>0.25</v>
      </c>
      <c r="K120" s="6">
        <f t="shared" si="47"/>
        <v>0.25</v>
      </c>
      <c r="L120" s="6">
        <f t="shared" si="47"/>
        <v>0.25</v>
      </c>
      <c r="M120" s="6">
        <f t="shared" si="47"/>
        <v>0.25</v>
      </c>
      <c r="N120" s="6">
        <f t="shared" si="47"/>
        <v>0.25</v>
      </c>
      <c r="O120" s="6">
        <f t="shared" si="47"/>
        <v>0.25</v>
      </c>
      <c r="P120" s="6">
        <f t="shared" si="47"/>
        <v>0.25</v>
      </c>
      <c r="Q120" s="6">
        <f t="shared" si="47"/>
        <v>0.25</v>
      </c>
      <c r="R120" s="6">
        <f t="shared" si="47"/>
        <v>0.25</v>
      </c>
      <c r="S120" s="6">
        <f t="shared" si="47"/>
        <v>0.25</v>
      </c>
    </row>
    <row r="121" spans="1:19" ht="15" customHeight="1">
      <c r="B121" s="305" t="s">
        <v>1150</v>
      </c>
      <c r="C121" s="6">
        <f>Inputs!C121</f>
        <v>0.45</v>
      </c>
      <c r="D121" s="6">
        <f t="shared" si="47"/>
        <v>0.45</v>
      </c>
      <c r="E121" s="6">
        <f t="shared" si="47"/>
        <v>0.45</v>
      </c>
      <c r="F121" s="6">
        <f t="shared" si="47"/>
        <v>0.45</v>
      </c>
      <c r="G121" s="6">
        <f t="shared" si="47"/>
        <v>0.45</v>
      </c>
      <c r="H121" s="6">
        <f t="shared" si="47"/>
        <v>0.45</v>
      </c>
      <c r="I121" s="6">
        <f t="shared" si="47"/>
        <v>0.45</v>
      </c>
      <c r="J121" s="6">
        <f t="shared" si="47"/>
        <v>0.45</v>
      </c>
      <c r="K121" s="6">
        <f t="shared" si="47"/>
        <v>0.45</v>
      </c>
      <c r="L121" s="6">
        <f t="shared" si="47"/>
        <v>0.45</v>
      </c>
      <c r="M121" s="6">
        <f t="shared" si="47"/>
        <v>0.45</v>
      </c>
      <c r="N121" s="6">
        <f t="shared" si="47"/>
        <v>0.45</v>
      </c>
      <c r="O121" s="6">
        <f t="shared" si="47"/>
        <v>0.45</v>
      </c>
      <c r="P121" s="6">
        <f t="shared" si="47"/>
        <v>0.45</v>
      </c>
      <c r="Q121" s="6">
        <f t="shared" si="47"/>
        <v>0.45</v>
      </c>
      <c r="R121" s="6">
        <f t="shared" si="47"/>
        <v>0.45</v>
      </c>
      <c r="S121" s="6">
        <f t="shared" si="47"/>
        <v>0.45</v>
      </c>
    </row>
    <row r="122" spans="1:19" ht="15" customHeight="1">
      <c r="B122" s="305" t="s">
        <v>1151</v>
      </c>
      <c r="C122" s="324">
        <f>HVAC!C27</f>
        <v>0.41908932956160005</v>
      </c>
      <c r="D122" s="324">
        <f>HVAC!D27</f>
        <v>0.41908932956160005</v>
      </c>
      <c r="E122" s="324" t="e">
        <f>HVAC!E27</f>
        <v>#N/A</v>
      </c>
      <c r="F122" s="324">
        <f>HVAC!F27</f>
        <v>0.45554726954880009</v>
      </c>
      <c r="G122" s="324" t="e">
        <f>HVAC!G27</f>
        <v>#N/A</v>
      </c>
      <c r="H122" s="324" t="e">
        <f>HVAC!H27</f>
        <v>#N/A</v>
      </c>
      <c r="I122" s="324">
        <f>HVAC!I27</f>
        <v>0.45554726954880009</v>
      </c>
      <c r="J122" s="324" t="e">
        <f>HVAC!J27</f>
        <v>#N/A</v>
      </c>
      <c r="K122" s="324" t="e">
        <f>HVAC!K27</f>
        <v>#N/A</v>
      </c>
      <c r="L122" s="324" t="e">
        <f>HVAC!L27</f>
        <v>#N/A</v>
      </c>
      <c r="M122" s="324" t="e">
        <f>HVAC!M27</f>
        <v>#N/A</v>
      </c>
      <c r="N122" s="324" t="e">
        <f>HVAC!N27</f>
        <v>#N/A</v>
      </c>
      <c r="O122" s="324" t="e">
        <f>HVAC!O27</f>
        <v>#N/A</v>
      </c>
      <c r="P122" s="324" t="e">
        <f>HVAC!P27</f>
        <v>#N/A</v>
      </c>
      <c r="Q122" s="324" t="e">
        <f>HVAC!Q27</f>
        <v>#N/A</v>
      </c>
      <c r="R122" s="324">
        <f>HVAC!R27</f>
        <v>0.41908932956160005</v>
      </c>
      <c r="S122" s="324">
        <f>HVAC!S27</f>
        <v>0.45554726954880009</v>
      </c>
    </row>
    <row r="123" spans="1:19" ht="15" customHeight="1">
      <c r="B123" s="305" t="s">
        <v>1152</v>
      </c>
      <c r="C123" s="325">
        <f>HVAC!C28</f>
        <v>0.39641340254837187</v>
      </c>
      <c r="D123" s="325">
        <f>HVAC!D28</f>
        <v>0.31713072203869752</v>
      </c>
      <c r="E123" s="325" t="e">
        <f>HVAC!E28</f>
        <v>#N/A</v>
      </c>
      <c r="F123" s="325">
        <f>HVAC!F28</f>
        <v>0.39641340254837187</v>
      </c>
      <c r="G123" s="325" t="e">
        <f>HVAC!G28</f>
        <v>#N/A</v>
      </c>
      <c r="H123" s="325" t="e">
        <f>HVAC!H28</f>
        <v>#N/A</v>
      </c>
      <c r="I123" s="325">
        <f>HVAC!I28</f>
        <v>0.31713072203869752</v>
      </c>
      <c r="J123" s="325" t="e">
        <f>HVAC!J28</f>
        <v>#N/A</v>
      </c>
      <c r="K123" s="325" t="e">
        <f>HVAC!K28</f>
        <v>#N/A</v>
      </c>
      <c r="L123" s="325" t="e">
        <f>HVAC!L28</f>
        <v>#N/A</v>
      </c>
      <c r="M123" s="325" t="e">
        <f>HVAC!M28</f>
        <v>#N/A</v>
      </c>
      <c r="N123" s="325" t="e">
        <f>HVAC!N28</f>
        <v>#N/A</v>
      </c>
      <c r="O123" s="325" t="e">
        <f>HVAC!O28</f>
        <v>#N/A</v>
      </c>
      <c r="P123" s="325" t="e">
        <f>HVAC!P28</f>
        <v>#N/A</v>
      </c>
      <c r="Q123" s="325" t="e">
        <f>HVAC!Q28</f>
        <v>#N/A</v>
      </c>
      <c r="R123" s="325">
        <f>HVAC!R28</f>
        <v>0.31713072203869752</v>
      </c>
      <c r="S123" s="325">
        <f>HVAC!S28</f>
        <v>0.39641340254837187</v>
      </c>
    </row>
    <row r="124" spans="1:19" ht="15" customHeight="1">
      <c r="B124" s="305" t="s">
        <v>113</v>
      </c>
      <c r="C124" s="8">
        <f>Inputs!C124</f>
        <v>0.6</v>
      </c>
      <c r="D124" s="8">
        <f>C124</f>
        <v>0.6</v>
      </c>
      <c r="E124" s="8">
        <f t="shared" si="47"/>
        <v>0.6</v>
      </c>
      <c r="F124" s="8">
        <f t="shared" si="47"/>
        <v>0.6</v>
      </c>
      <c r="G124" s="8">
        <f t="shared" si="47"/>
        <v>0.6</v>
      </c>
      <c r="H124" s="8">
        <f t="shared" si="47"/>
        <v>0.6</v>
      </c>
      <c r="I124" s="8">
        <f t="shared" si="47"/>
        <v>0.6</v>
      </c>
      <c r="J124" s="8">
        <f t="shared" si="47"/>
        <v>0.6</v>
      </c>
      <c r="K124" s="8">
        <f t="shared" si="47"/>
        <v>0.6</v>
      </c>
      <c r="L124" s="8">
        <f t="shared" si="47"/>
        <v>0.6</v>
      </c>
      <c r="M124" s="8">
        <f t="shared" si="47"/>
        <v>0.6</v>
      </c>
      <c r="N124" s="8">
        <f t="shared" si="47"/>
        <v>0.6</v>
      </c>
      <c r="O124" s="8">
        <f t="shared" si="47"/>
        <v>0.6</v>
      </c>
      <c r="P124" s="8">
        <f t="shared" si="47"/>
        <v>0.6</v>
      </c>
      <c r="Q124" s="8">
        <f t="shared" si="47"/>
        <v>0.6</v>
      </c>
      <c r="R124" s="8">
        <f t="shared" si="47"/>
        <v>0.6</v>
      </c>
      <c r="S124" s="276">
        <f t="shared" si="47"/>
        <v>0.6</v>
      </c>
    </row>
    <row r="125" spans="1:19" ht="15" customHeight="1">
      <c r="B125" s="305" t="s">
        <v>115</v>
      </c>
      <c r="C125" s="8">
        <f>Inputs!C125</f>
        <v>0.6</v>
      </c>
      <c r="D125" s="8">
        <f>C125</f>
        <v>0.6</v>
      </c>
      <c r="E125" s="8">
        <f t="shared" si="47"/>
        <v>0.6</v>
      </c>
      <c r="F125" s="8">
        <f t="shared" si="47"/>
        <v>0.6</v>
      </c>
      <c r="G125" s="8">
        <f t="shared" si="47"/>
        <v>0.6</v>
      </c>
      <c r="H125" s="8">
        <f t="shared" si="47"/>
        <v>0.6</v>
      </c>
      <c r="I125" s="8">
        <f t="shared" si="47"/>
        <v>0.6</v>
      </c>
      <c r="J125" s="8">
        <f t="shared" si="47"/>
        <v>0.6</v>
      </c>
      <c r="K125" s="8">
        <f t="shared" si="47"/>
        <v>0.6</v>
      </c>
      <c r="L125" s="8">
        <f t="shared" si="47"/>
        <v>0.6</v>
      </c>
      <c r="M125" s="8">
        <f t="shared" si="47"/>
        <v>0.6</v>
      </c>
      <c r="N125" s="8">
        <f t="shared" si="47"/>
        <v>0.6</v>
      </c>
      <c r="O125" s="8">
        <f t="shared" si="47"/>
        <v>0.6</v>
      </c>
      <c r="P125" s="8">
        <f t="shared" si="47"/>
        <v>0.6</v>
      </c>
      <c r="Q125" s="8">
        <f t="shared" si="47"/>
        <v>0.6</v>
      </c>
      <c r="R125" s="8">
        <f t="shared" si="47"/>
        <v>0.6</v>
      </c>
      <c r="S125" s="276">
        <f t="shared" si="47"/>
        <v>0.6</v>
      </c>
    </row>
    <row r="126" spans="1:19" ht="15" customHeight="1">
      <c r="B126" s="305" t="s">
        <v>117</v>
      </c>
      <c r="C126" s="12">
        <f>HVAC!C31</f>
        <v>0</v>
      </c>
      <c r="D126" s="12">
        <f>HVAC!D31</f>
        <v>0</v>
      </c>
      <c r="E126" s="12" t="e">
        <f>HVAC!E31</f>
        <v>#N/A</v>
      </c>
      <c r="F126" s="12">
        <f>HVAC!F31</f>
        <v>0</v>
      </c>
      <c r="G126" s="12" t="e">
        <f>HVAC!G31</f>
        <v>#N/A</v>
      </c>
      <c r="H126" s="12" t="e">
        <f>HVAC!H31</f>
        <v>#N/A</v>
      </c>
      <c r="I126" s="12">
        <f>HVAC!I31</f>
        <v>0</v>
      </c>
      <c r="J126" s="12" t="e">
        <f>HVAC!J31</f>
        <v>#N/A</v>
      </c>
      <c r="K126" s="12" t="e">
        <f>HVAC!K31</f>
        <v>#N/A</v>
      </c>
      <c r="L126" s="12" t="e">
        <f>HVAC!L31</f>
        <v>#N/A</v>
      </c>
      <c r="M126" s="12" t="e">
        <f>HVAC!M31</f>
        <v>#N/A</v>
      </c>
      <c r="N126" s="12" t="e">
        <f>HVAC!N31</f>
        <v>#N/A</v>
      </c>
      <c r="O126" s="12" t="e">
        <f>HVAC!O31</f>
        <v>#N/A</v>
      </c>
      <c r="P126" s="12" t="e">
        <f>HVAC!P31</f>
        <v>#N/A</v>
      </c>
      <c r="Q126" s="12" t="e">
        <f>HVAC!Q31</f>
        <v>#N/A</v>
      </c>
      <c r="R126" s="12">
        <f>HVAC!R31</f>
        <v>0</v>
      </c>
      <c r="S126" s="12">
        <f>HVAC!S31</f>
        <v>0</v>
      </c>
    </row>
    <row r="127" spans="1:19" ht="15" customHeight="1">
      <c r="B127" s="305" t="s">
        <v>119</v>
      </c>
      <c r="C127" s="12">
        <f>HVAC!C32</f>
        <v>0</v>
      </c>
      <c r="D127" s="12">
        <f>HVAC!D32</f>
        <v>0</v>
      </c>
      <c r="E127" s="12" t="e">
        <f>HVAC!E32</f>
        <v>#N/A</v>
      </c>
      <c r="F127" s="12">
        <f>HVAC!F32</f>
        <v>0</v>
      </c>
      <c r="G127" s="12" t="e">
        <f>HVAC!G32</f>
        <v>#N/A</v>
      </c>
      <c r="H127" s="12" t="e">
        <f>HVAC!H32</f>
        <v>#N/A</v>
      </c>
      <c r="I127" s="12">
        <f>HVAC!I32</f>
        <v>0</v>
      </c>
      <c r="J127" s="12" t="e">
        <f>HVAC!J32</f>
        <v>#N/A</v>
      </c>
      <c r="K127" s="12" t="e">
        <f>HVAC!K32</f>
        <v>#N/A</v>
      </c>
      <c r="L127" s="12" t="e">
        <f>HVAC!L32</f>
        <v>#N/A</v>
      </c>
      <c r="M127" s="12" t="e">
        <f>HVAC!M32</f>
        <v>#N/A</v>
      </c>
      <c r="N127" s="12" t="e">
        <f>HVAC!N32</f>
        <v>#N/A</v>
      </c>
      <c r="O127" s="12" t="e">
        <f>HVAC!O32</f>
        <v>#N/A</v>
      </c>
      <c r="P127" s="12" t="e">
        <f>HVAC!P32</f>
        <v>#N/A</v>
      </c>
      <c r="Q127" s="12" t="e">
        <f>HVAC!Q32</f>
        <v>#N/A</v>
      </c>
      <c r="R127" s="12">
        <f>HVAC!R32</f>
        <v>0</v>
      </c>
      <c r="S127" s="12">
        <f>HVAC!S32</f>
        <v>0</v>
      </c>
    </row>
    <row r="128" spans="1:19" ht="15" customHeight="1">
      <c r="A128" s="305" t="s">
        <v>545</v>
      </c>
      <c r="B128" s="305" t="s">
        <v>443</v>
      </c>
      <c r="C128" s="10">
        <f>HVAC!C24</f>
        <v>2.5</v>
      </c>
      <c r="D128" s="10">
        <f>HVAC!D24</f>
        <v>2.5</v>
      </c>
      <c r="E128" s="10" t="e">
        <f>HVAC!E24</f>
        <v>#N/A</v>
      </c>
      <c r="F128" s="10">
        <f>HVAC!F24</f>
        <v>2.5</v>
      </c>
      <c r="G128" s="10" t="e">
        <f>HVAC!G24</f>
        <v>#N/A</v>
      </c>
      <c r="H128" s="10" t="e">
        <f>HVAC!H24</f>
        <v>#N/A</v>
      </c>
      <c r="I128" s="10">
        <f>HVAC!I24</f>
        <v>2.5</v>
      </c>
      <c r="J128" s="10" t="e">
        <f>HVAC!J24</f>
        <v>#N/A</v>
      </c>
      <c r="K128" s="10" t="e">
        <f>HVAC!K24</f>
        <v>#N/A</v>
      </c>
      <c r="L128" s="10" t="e">
        <f>HVAC!L24</f>
        <v>#N/A</v>
      </c>
      <c r="M128" s="10" t="e">
        <f>HVAC!M24</f>
        <v>#N/A</v>
      </c>
      <c r="N128" s="10" t="e">
        <f>HVAC!N24</f>
        <v>#N/A</v>
      </c>
      <c r="O128" s="10" t="e">
        <f>HVAC!O24</f>
        <v>#N/A</v>
      </c>
      <c r="P128" s="10" t="e">
        <f>HVAC!P24</f>
        <v>#N/A</v>
      </c>
      <c r="Q128" s="10" t="e">
        <f>HVAC!Q24</f>
        <v>#N/A</v>
      </c>
      <c r="R128" s="10">
        <f>HVAC!R24</f>
        <v>2.5</v>
      </c>
      <c r="S128" s="10">
        <f>HVAC!S24</f>
        <v>2.5</v>
      </c>
    </row>
    <row r="129" spans="1:20" ht="15" customHeight="1">
      <c r="B129" s="305" t="s">
        <v>444</v>
      </c>
      <c r="C129" s="9">
        <f>HVAC!C25</f>
        <v>30</v>
      </c>
      <c r="D129" s="9">
        <f>HVAC!D25</f>
        <v>30</v>
      </c>
      <c r="E129" s="9" t="e">
        <f>HVAC!E25</f>
        <v>#N/A</v>
      </c>
      <c r="F129" s="9">
        <f>HVAC!F25</f>
        <v>30</v>
      </c>
      <c r="G129" s="9" t="e">
        <f>HVAC!G25</f>
        <v>#N/A</v>
      </c>
      <c r="H129" s="9" t="e">
        <f>HVAC!H25</f>
        <v>#N/A</v>
      </c>
      <c r="I129" s="9">
        <f>HVAC!I25</f>
        <v>30</v>
      </c>
      <c r="J129" s="9" t="e">
        <f>HVAC!J25</f>
        <v>#N/A</v>
      </c>
      <c r="K129" s="9" t="e">
        <f>HVAC!K25</f>
        <v>#N/A</v>
      </c>
      <c r="L129" s="9" t="e">
        <f>HVAC!L25</f>
        <v>#N/A</v>
      </c>
      <c r="M129" s="9" t="e">
        <f>HVAC!M25</f>
        <v>#N/A</v>
      </c>
      <c r="N129" s="9" t="e">
        <f>HVAC!N25</f>
        <v>#N/A</v>
      </c>
      <c r="O129" s="9" t="e">
        <f>HVAC!O25</f>
        <v>#N/A</v>
      </c>
      <c r="P129" s="9" t="e">
        <f>HVAC!P25</f>
        <v>#N/A</v>
      </c>
      <c r="Q129" s="9" t="e">
        <f>HVAC!Q25</f>
        <v>#N/A</v>
      </c>
      <c r="R129" s="9">
        <f>HVAC!R25</f>
        <v>30</v>
      </c>
      <c r="S129" s="9">
        <f>HVAC!S25</f>
        <v>30</v>
      </c>
    </row>
    <row r="130" spans="1:20" ht="15" customHeight="1">
      <c r="B130" s="305" t="s">
        <v>442</v>
      </c>
      <c r="C130" s="276">
        <f>HVAC!C10</f>
        <v>15.2</v>
      </c>
      <c r="D130" s="276">
        <f>HVAC!D10</f>
        <v>15.2</v>
      </c>
      <c r="E130" s="276">
        <f>HVAC!E10</f>
        <v>15.2</v>
      </c>
      <c r="F130" s="276">
        <f>HVAC!F10</f>
        <v>13</v>
      </c>
      <c r="G130" s="276">
        <f>HVAC!G10</f>
        <v>13</v>
      </c>
      <c r="H130" s="276">
        <f>HVAC!H10</f>
        <v>13</v>
      </c>
      <c r="I130" s="276">
        <f>HVAC!I10</f>
        <v>13</v>
      </c>
      <c r="J130" s="276">
        <f>HVAC!J10</f>
        <v>13</v>
      </c>
      <c r="K130" s="276">
        <f>HVAC!K10</f>
        <v>11.1</v>
      </c>
      <c r="L130" s="276">
        <f>HVAC!L10</f>
        <v>11.1</v>
      </c>
      <c r="M130" s="276">
        <f>HVAC!M10</f>
        <v>11.1</v>
      </c>
      <c r="N130" s="276">
        <f>HVAC!N10</f>
        <v>11.1</v>
      </c>
      <c r="O130" s="276">
        <f>HVAC!O10</f>
        <v>11.1</v>
      </c>
      <c r="P130" s="276">
        <f>HVAC!P10</f>
        <v>11.1</v>
      </c>
      <c r="Q130" s="276">
        <f>HVAC!Q10</f>
        <v>11.1</v>
      </c>
      <c r="R130" s="276">
        <f>HVAC!R10</f>
        <v>15.2</v>
      </c>
      <c r="S130" s="276">
        <f>HVAC!S10</f>
        <v>13</v>
      </c>
    </row>
    <row r="131" spans="1:20" ht="15" customHeight="1">
      <c r="B131" s="305" t="s">
        <v>1153</v>
      </c>
      <c r="C131" s="10">
        <f>HVAC!C26</f>
        <v>50</v>
      </c>
      <c r="D131" s="10">
        <f>HVAC!D26</f>
        <v>40</v>
      </c>
      <c r="E131" s="10" t="e">
        <f>HVAC!E26</f>
        <v>#N/A</v>
      </c>
      <c r="F131" s="10">
        <f>HVAC!F26</f>
        <v>50</v>
      </c>
      <c r="G131" s="10" t="e">
        <f>HVAC!G26</f>
        <v>#N/A</v>
      </c>
      <c r="H131" s="10" t="e">
        <f>HVAC!H26</f>
        <v>#N/A</v>
      </c>
      <c r="I131" s="10">
        <f>HVAC!I26</f>
        <v>40</v>
      </c>
      <c r="J131" s="10" t="e">
        <f>HVAC!J26</f>
        <v>#N/A</v>
      </c>
      <c r="K131" s="10" t="e">
        <f>HVAC!K26</f>
        <v>#N/A</v>
      </c>
      <c r="L131" s="10" t="e">
        <f>HVAC!L26</f>
        <v>#N/A</v>
      </c>
      <c r="M131" s="10" t="e">
        <f>HVAC!M26</f>
        <v>#N/A</v>
      </c>
      <c r="N131" s="10" t="e">
        <f>HVAC!N26</f>
        <v>#N/A</v>
      </c>
      <c r="O131" s="10" t="e">
        <f>HVAC!O26</f>
        <v>#N/A</v>
      </c>
      <c r="P131" s="10" t="e">
        <f>HVAC!P26</f>
        <v>#N/A</v>
      </c>
      <c r="Q131" s="10" t="e">
        <f>HVAC!Q26</f>
        <v>#N/A</v>
      </c>
      <c r="R131" s="10">
        <f>HVAC!R26</f>
        <v>40</v>
      </c>
      <c r="S131" s="10">
        <f>HVAC!S26</f>
        <v>50</v>
      </c>
    </row>
    <row r="132" spans="1:20" ht="15" customHeight="1">
      <c r="B132" s="305" t="s">
        <v>1154</v>
      </c>
      <c r="C132" s="322">
        <f>HVAC!C30</f>
        <v>140.28</v>
      </c>
      <c r="D132" s="322">
        <f>HVAC!D30</f>
        <v>112.224</v>
      </c>
      <c r="E132" s="322" t="e">
        <f>HVAC!E30</f>
        <v>#N/A</v>
      </c>
      <c r="F132" s="322">
        <f>HVAC!F30</f>
        <v>140.28</v>
      </c>
      <c r="G132" s="322" t="e">
        <f>HVAC!G30</f>
        <v>#N/A</v>
      </c>
      <c r="H132" s="322" t="e">
        <f>HVAC!H30</f>
        <v>#N/A</v>
      </c>
      <c r="I132" s="322">
        <f>HVAC!I30</f>
        <v>112.224</v>
      </c>
      <c r="J132" s="322" t="e">
        <f>HVAC!J30</f>
        <v>#N/A</v>
      </c>
      <c r="K132" s="322" t="e">
        <f>HVAC!K30</f>
        <v>#N/A</v>
      </c>
      <c r="L132" s="322" t="e">
        <f>HVAC!L30</f>
        <v>#N/A</v>
      </c>
      <c r="M132" s="322" t="e">
        <f>HVAC!M30</f>
        <v>#N/A</v>
      </c>
      <c r="N132" s="322" t="e">
        <f>HVAC!N30</f>
        <v>#N/A</v>
      </c>
      <c r="O132" s="322" t="e">
        <f>HVAC!O30</f>
        <v>#N/A</v>
      </c>
      <c r="P132" s="322" t="e">
        <f>HVAC!P30</f>
        <v>#N/A</v>
      </c>
      <c r="Q132" s="322" t="e">
        <f>HVAC!Q30</f>
        <v>#N/A</v>
      </c>
      <c r="R132" s="322">
        <f>HVAC!R30</f>
        <v>112.224</v>
      </c>
      <c r="S132" s="322">
        <f>HVAC!S30</f>
        <v>140.28</v>
      </c>
    </row>
    <row r="133" spans="1:20" ht="15" customHeight="1">
      <c r="B133" s="305" t="s">
        <v>1155</v>
      </c>
      <c r="C133" s="323">
        <f>HVAC!C29</f>
        <v>148.3043983199521</v>
      </c>
      <c r="D133" s="323">
        <f>HVAC!D29</f>
        <v>148.3043983199521</v>
      </c>
      <c r="E133" s="323" t="e">
        <f>HVAC!E29</f>
        <v>#N/A</v>
      </c>
      <c r="F133" s="323">
        <f>HVAC!F29</f>
        <v>161.20587891704255</v>
      </c>
      <c r="G133" s="323" t="e">
        <f>HVAC!G29</f>
        <v>#N/A</v>
      </c>
      <c r="H133" s="323" t="e">
        <f>HVAC!H29</f>
        <v>#N/A</v>
      </c>
      <c r="I133" s="323">
        <f>HVAC!I29</f>
        <v>161.20587891704255</v>
      </c>
      <c r="J133" s="323" t="e">
        <f>HVAC!J29</f>
        <v>#N/A</v>
      </c>
      <c r="K133" s="323" t="e">
        <f>HVAC!K29</f>
        <v>#N/A</v>
      </c>
      <c r="L133" s="323" t="e">
        <f>HVAC!L29</f>
        <v>#N/A</v>
      </c>
      <c r="M133" s="323" t="e">
        <f>HVAC!M29</f>
        <v>#N/A</v>
      </c>
      <c r="N133" s="323" t="e">
        <f>HVAC!N29</f>
        <v>#N/A</v>
      </c>
      <c r="O133" s="323" t="e">
        <f>HVAC!O29</f>
        <v>#N/A</v>
      </c>
      <c r="P133" s="323" t="e">
        <f>HVAC!P29</f>
        <v>#N/A</v>
      </c>
      <c r="Q133" s="323" t="e">
        <f>HVAC!Q29</f>
        <v>#N/A</v>
      </c>
      <c r="R133" s="323">
        <f>HVAC!R29</f>
        <v>148.3043983199521</v>
      </c>
      <c r="S133" s="323">
        <f>HVAC!S29</f>
        <v>161.20587891704255</v>
      </c>
    </row>
    <row r="134" spans="1:20" ht="15" customHeight="1">
      <c r="B134" s="305" t="s">
        <v>445</v>
      </c>
      <c r="C134" s="8">
        <f>Inputs!C134</f>
        <v>1</v>
      </c>
      <c r="D134" s="8">
        <f t="shared" ref="D134:S134" si="48">C134</f>
        <v>1</v>
      </c>
      <c r="E134" s="8">
        <f t="shared" si="48"/>
        <v>1</v>
      </c>
      <c r="F134" s="8">
        <f t="shared" si="48"/>
        <v>1</v>
      </c>
      <c r="G134" s="8">
        <f t="shared" si="48"/>
        <v>1</v>
      </c>
      <c r="H134" s="8">
        <f t="shared" si="48"/>
        <v>1</v>
      </c>
      <c r="I134" s="8">
        <f t="shared" si="48"/>
        <v>1</v>
      </c>
      <c r="J134" s="8">
        <f t="shared" si="48"/>
        <v>1</v>
      </c>
      <c r="K134" s="8">
        <f t="shared" si="48"/>
        <v>1</v>
      </c>
      <c r="L134" s="8">
        <f t="shared" si="48"/>
        <v>1</v>
      </c>
      <c r="M134" s="8">
        <f t="shared" si="48"/>
        <v>1</v>
      </c>
      <c r="N134" s="8">
        <f t="shared" si="48"/>
        <v>1</v>
      </c>
      <c r="O134" s="8">
        <f t="shared" si="48"/>
        <v>1</v>
      </c>
      <c r="P134" s="8">
        <f t="shared" si="48"/>
        <v>1</v>
      </c>
      <c r="Q134" s="8">
        <f t="shared" si="48"/>
        <v>1</v>
      </c>
      <c r="R134" s="8">
        <f t="shared" si="48"/>
        <v>1</v>
      </c>
      <c r="S134" s="276">
        <f t="shared" si="48"/>
        <v>1</v>
      </c>
    </row>
    <row r="135" spans="1:20" ht="15" customHeight="1">
      <c r="B135" s="305" t="s">
        <v>405</v>
      </c>
      <c r="C135" s="169">
        <f>HVAC!C14</f>
        <v>0.8</v>
      </c>
      <c r="D135" s="169">
        <f>HVAC!D14</f>
        <v>0.8</v>
      </c>
      <c r="E135" s="169">
        <f>HVAC!E14</f>
        <v>0.8</v>
      </c>
      <c r="F135" s="169">
        <f>HVAC!F14</f>
        <v>0.9</v>
      </c>
      <c r="G135" s="169">
        <f>HVAC!G14</f>
        <v>0.9</v>
      </c>
      <c r="H135" s="169">
        <f>HVAC!H14</f>
        <v>0.9</v>
      </c>
      <c r="I135" s="169">
        <f>HVAC!I14</f>
        <v>0.9</v>
      </c>
      <c r="J135" s="169">
        <f>HVAC!J14</f>
        <v>0.9</v>
      </c>
      <c r="K135" s="169">
        <f>HVAC!K14</f>
        <v>0.94</v>
      </c>
      <c r="L135" s="169">
        <f>HVAC!L14</f>
        <v>0.94</v>
      </c>
      <c r="M135" s="169">
        <f>HVAC!M14</f>
        <v>0.94</v>
      </c>
      <c r="N135" s="169">
        <f>HVAC!N14</f>
        <v>0.94</v>
      </c>
      <c r="O135" s="169">
        <f>HVAC!O14</f>
        <v>0.94</v>
      </c>
      <c r="P135" s="169">
        <f>HVAC!P14</f>
        <v>0.94</v>
      </c>
      <c r="Q135" s="169">
        <f>HVAC!Q14</f>
        <v>0.94</v>
      </c>
      <c r="R135" s="169">
        <f>HVAC!R14</f>
        <v>0.8</v>
      </c>
      <c r="S135" s="169">
        <f>HVAC!S14</f>
        <v>0.9</v>
      </c>
    </row>
    <row r="136" spans="1:20" s="305" customFormat="1" ht="15" customHeight="1">
      <c r="A136" s="305" t="s">
        <v>1173</v>
      </c>
      <c r="B136" s="305" t="s">
        <v>1156</v>
      </c>
      <c r="C136" s="144">
        <f>Inputs!C136</f>
        <v>3</v>
      </c>
      <c r="D136" s="144">
        <f>C136</f>
        <v>3</v>
      </c>
      <c r="E136" s="144">
        <f t="shared" ref="E136:S136" si="49">D136</f>
        <v>3</v>
      </c>
      <c r="F136" s="144">
        <f t="shared" si="49"/>
        <v>3</v>
      </c>
      <c r="G136" s="144">
        <f t="shared" si="49"/>
        <v>3</v>
      </c>
      <c r="H136" s="144">
        <f t="shared" si="49"/>
        <v>3</v>
      </c>
      <c r="I136" s="144">
        <f t="shared" si="49"/>
        <v>3</v>
      </c>
      <c r="J136" s="144">
        <f t="shared" si="49"/>
        <v>3</v>
      </c>
      <c r="K136" s="144">
        <f t="shared" si="49"/>
        <v>3</v>
      </c>
      <c r="L136" s="144">
        <f t="shared" si="49"/>
        <v>3</v>
      </c>
      <c r="M136" s="144">
        <f t="shared" si="49"/>
        <v>3</v>
      </c>
      <c r="N136" s="144">
        <f t="shared" si="49"/>
        <v>3</v>
      </c>
      <c r="O136" s="144">
        <f t="shared" si="49"/>
        <v>3</v>
      </c>
      <c r="P136" s="144">
        <f t="shared" si="49"/>
        <v>3</v>
      </c>
      <c r="Q136" s="144">
        <f t="shared" si="49"/>
        <v>3</v>
      </c>
      <c r="R136" s="144">
        <f t="shared" si="49"/>
        <v>3</v>
      </c>
      <c r="S136" s="144">
        <f t="shared" si="49"/>
        <v>3</v>
      </c>
      <c r="T136" s="69"/>
    </row>
    <row r="137" spans="1:20" s="305" customFormat="1" ht="15" customHeight="1">
      <c r="B137" s="305" t="s">
        <v>1157</v>
      </c>
      <c r="C137" s="144">
        <f>Inputs!C137</f>
        <v>1</v>
      </c>
      <c r="D137" s="144">
        <f>C137</f>
        <v>1</v>
      </c>
      <c r="E137" s="144">
        <f t="shared" ref="E137:S137" si="50">D137</f>
        <v>1</v>
      </c>
      <c r="F137" s="144">
        <f t="shared" si="50"/>
        <v>1</v>
      </c>
      <c r="G137" s="144">
        <f t="shared" si="50"/>
        <v>1</v>
      </c>
      <c r="H137" s="144">
        <f t="shared" si="50"/>
        <v>1</v>
      </c>
      <c r="I137" s="144">
        <f t="shared" si="50"/>
        <v>1</v>
      </c>
      <c r="J137" s="144">
        <f t="shared" si="50"/>
        <v>1</v>
      </c>
      <c r="K137" s="144">
        <f t="shared" si="50"/>
        <v>1</v>
      </c>
      <c r="L137" s="144">
        <f t="shared" si="50"/>
        <v>1</v>
      </c>
      <c r="M137" s="144">
        <f t="shared" si="50"/>
        <v>1</v>
      </c>
      <c r="N137" s="144">
        <f t="shared" si="50"/>
        <v>1</v>
      </c>
      <c r="O137" s="144">
        <f t="shared" si="50"/>
        <v>1</v>
      </c>
      <c r="P137" s="144">
        <f t="shared" si="50"/>
        <v>1</v>
      </c>
      <c r="Q137" s="144">
        <f t="shared" si="50"/>
        <v>1</v>
      </c>
      <c r="R137" s="144">
        <f t="shared" si="50"/>
        <v>1</v>
      </c>
      <c r="S137" s="144">
        <f t="shared" si="50"/>
        <v>1</v>
      </c>
      <c r="T137" s="69"/>
    </row>
    <row r="138" spans="1:20" s="305" customFormat="1" ht="15" customHeight="1">
      <c r="B138" s="305" t="s">
        <v>673</v>
      </c>
      <c r="C138" s="169">
        <f>Weather!B25</f>
        <v>0.41</v>
      </c>
      <c r="D138" s="169">
        <f>Weather!C25</f>
        <v>0.42</v>
      </c>
      <c r="E138" s="169">
        <f>Weather!D25</f>
        <v>0.43</v>
      </c>
      <c r="F138" s="169">
        <f>Weather!E25</f>
        <v>0.46</v>
      </c>
      <c r="G138" s="169">
        <f>Weather!F25</f>
        <v>0.48</v>
      </c>
      <c r="H138" s="169">
        <f>Weather!G25</f>
        <v>0.6</v>
      </c>
      <c r="I138" s="169">
        <f>Weather!H25</f>
        <v>0.5</v>
      </c>
      <c r="J138" s="169">
        <f>Weather!I25</f>
        <v>0.54</v>
      </c>
      <c r="K138" s="169">
        <f>Weather!J25</f>
        <v>0.55000000000000004</v>
      </c>
      <c r="L138" s="169">
        <f>Weather!K25</f>
        <v>0.6</v>
      </c>
      <c r="M138" s="169">
        <f>Weather!L25</f>
        <v>0.56000000000000005</v>
      </c>
      <c r="N138" s="169">
        <f>Weather!M25</f>
        <v>0.61</v>
      </c>
      <c r="O138" s="169">
        <f>Weather!N25</f>
        <v>0.63</v>
      </c>
      <c r="P138" s="169">
        <f>Weather!O25</f>
        <v>0.7</v>
      </c>
      <c r="Q138" s="169">
        <f>Weather!P25</f>
        <v>0.7</v>
      </c>
      <c r="R138" s="169">
        <f>Weather!Q25</f>
        <v>0.38</v>
      </c>
      <c r="S138" s="169">
        <f>Weather!R25</f>
        <v>0.43</v>
      </c>
      <c r="T138" s="69"/>
    </row>
    <row r="139" spans="1:20" s="305" customFormat="1" ht="15" customHeight="1">
      <c r="B139" s="305" t="s">
        <v>994</v>
      </c>
      <c r="C139" s="144">
        <f>Inputs!C139</f>
        <v>2</v>
      </c>
      <c r="D139" s="144">
        <f>C139</f>
        <v>2</v>
      </c>
      <c r="E139" s="144">
        <f t="shared" ref="E139:S141" si="51">D139</f>
        <v>2</v>
      </c>
      <c r="F139" s="144">
        <f t="shared" si="51"/>
        <v>2</v>
      </c>
      <c r="G139" s="144">
        <f t="shared" si="51"/>
        <v>2</v>
      </c>
      <c r="H139" s="144">
        <f t="shared" si="51"/>
        <v>2</v>
      </c>
      <c r="I139" s="144">
        <f t="shared" si="51"/>
        <v>2</v>
      </c>
      <c r="J139" s="144">
        <f t="shared" si="51"/>
        <v>2</v>
      </c>
      <c r="K139" s="144">
        <f t="shared" si="51"/>
        <v>2</v>
      </c>
      <c r="L139" s="144">
        <f t="shared" si="51"/>
        <v>2</v>
      </c>
      <c r="M139" s="144">
        <f t="shared" si="51"/>
        <v>2</v>
      </c>
      <c r="N139" s="144">
        <f t="shared" si="51"/>
        <v>2</v>
      </c>
      <c r="O139" s="144">
        <f t="shared" si="51"/>
        <v>2</v>
      </c>
      <c r="P139" s="144">
        <f t="shared" si="51"/>
        <v>2</v>
      </c>
      <c r="Q139" s="144">
        <f t="shared" si="51"/>
        <v>2</v>
      </c>
      <c r="R139" s="144">
        <f t="shared" si="51"/>
        <v>2</v>
      </c>
      <c r="S139" s="144">
        <f t="shared" si="51"/>
        <v>2</v>
      </c>
      <c r="T139" s="69"/>
    </row>
    <row r="140" spans="1:20" s="305" customFormat="1" ht="15" customHeight="1">
      <c r="B140" s="305" t="s">
        <v>1318</v>
      </c>
      <c r="C140" s="224">
        <f>Inputs!C140</f>
        <v>0.28322687954733899</v>
      </c>
      <c r="D140" s="224">
        <f>C140</f>
        <v>0.28322687954733899</v>
      </c>
      <c r="E140" s="224">
        <f t="shared" si="51"/>
        <v>0.28322687954733899</v>
      </c>
      <c r="F140" s="224">
        <f t="shared" si="51"/>
        <v>0.28322687954733899</v>
      </c>
      <c r="G140" s="224">
        <f t="shared" si="51"/>
        <v>0.28322687954733899</v>
      </c>
      <c r="H140" s="224">
        <f t="shared" si="51"/>
        <v>0.28322687954733899</v>
      </c>
      <c r="I140" s="224">
        <f t="shared" si="51"/>
        <v>0.28322687954733899</v>
      </c>
      <c r="J140" s="224">
        <f t="shared" si="51"/>
        <v>0.28322687954733899</v>
      </c>
      <c r="K140" s="224">
        <f t="shared" si="51"/>
        <v>0.28322687954733899</v>
      </c>
      <c r="L140" s="224">
        <f t="shared" si="51"/>
        <v>0.28322687954733899</v>
      </c>
      <c r="M140" s="224">
        <f t="shared" si="51"/>
        <v>0.28322687954733899</v>
      </c>
      <c r="N140" s="224">
        <f t="shared" si="51"/>
        <v>0.28322687954733899</v>
      </c>
      <c r="O140" s="224">
        <f t="shared" si="51"/>
        <v>0.28322687954733899</v>
      </c>
      <c r="P140" s="224">
        <f t="shared" si="51"/>
        <v>0.28322687954733899</v>
      </c>
      <c r="Q140" s="224">
        <f t="shared" si="51"/>
        <v>0.28322687954733899</v>
      </c>
      <c r="R140" s="224">
        <f t="shared" si="51"/>
        <v>0.28322687954733899</v>
      </c>
      <c r="S140" s="224">
        <f t="shared" si="51"/>
        <v>0.28322687954733899</v>
      </c>
      <c r="T140" s="69"/>
    </row>
    <row r="141" spans="1:20" s="305" customFormat="1" ht="15" customHeight="1">
      <c r="B141" s="305" t="s">
        <v>1320</v>
      </c>
      <c r="C141" s="224">
        <f>Inputs!C141</f>
        <v>0</v>
      </c>
      <c r="D141" s="224">
        <f>C141</f>
        <v>0</v>
      </c>
      <c r="E141" s="224">
        <f t="shared" si="51"/>
        <v>0</v>
      </c>
      <c r="F141" s="224">
        <f t="shared" si="51"/>
        <v>0</v>
      </c>
      <c r="G141" s="224">
        <f t="shared" si="51"/>
        <v>0</v>
      </c>
      <c r="H141" s="224">
        <f t="shared" si="51"/>
        <v>0</v>
      </c>
      <c r="I141" s="224">
        <f t="shared" si="51"/>
        <v>0</v>
      </c>
      <c r="J141" s="224">
        <f t="shared" si="51"/>
        <v>0</v>
      </c>
      <c r="K141" s="224">
        <f t="shared" si="51"/>
        <v>0</v>
      </c>
      <c r="L141" s="224">
        <f t="shared" si="51"/>
        <v>0</v>
      </c>
      <c r="M141" s="224">
        <f t="shared" si="51"/>
        <v>0</v>
      </c>
      <c r="N141" s="224">
        <f t="shared" si="51"/>
        <v>0</v>
      </c>
      <c r="O141" s="224">
        <f t="shared" si="51"/>
        <v>0</v>
      </c>
      <c r="P141" s="224">
        <f t="shared" si="51"/>
        <v>0</v>
      </c>
      <c r="Q141" s="224">
        <f t="shared" si="51"/>
        <v>0</v>
      </c>
      <c r="R141" s="224">
        <f t="shared" si="51"/>
        <v>0</v>
      </c>
      <c r="S141" s="224">
        <f t="shared" si="51"/>
        <v>0</v>
      </c>
      <c r="T141" s="69"/>
    </row>
    <row r="142" spans="1:20" s="305" customFormat="1" ht="15" customHeight="1">
      <c r="B142" s="305" t="s">
        <v>995</v>
      </c>
      <c r="C142" s="144">
        <f>Inputs!C142</f>
        <v>1</v>
      </c>
      <c r="D142" s="144">
        <f t="shared" ref="D142:S149" si="52">C142</f>
        <v>1</v>
      </c>
      <c r="E142" s="144">
        <f t="shared" si="52"/>
        <v>1</v>
      </c>
      <c r="F142" s="144">
        <f t="shared" si="52"/>
        <v>1</v>
      </c>
      <c r="G142" s="144">
        <f t="shared" si="52"/>
        <v>1</v>
      </c>
      <c r="H142" s="144">
        <f t="shared" si="52"/>
        <v>1</v>
      </c>
      <c r="I142" s="144">
        <f t="shared" si="52"/>
        <v>1</v>
      </c>
      <c r="J142" s="144">
        <f t="shared" si="52"/>
        <v>1</v>
      </c>
      <c r="K142" s="144">
        <f t="shared" si="52"/>
        <v>1</v>
      </c>
      <c r="L142" s="144">
        <f t="shared" si="52"/>
        <v>1</v>
      </c>
      <c r="M142" s="144">
        <f t="shared" si="52"/>
        <v>1</v>
      </c>
      <c r="N142" s="144">
        <f t="shared" si="52"/>
        <v>1</v>
      </c>
      <c r="O142" s="144">
        <f t="shared" si="52"/>
        <v>1</v>
      </c>
      <c r="P142" s="144">
        <f t="shared" si="52"/>
        <v>1</v>
      </c>
      <c r="Q142" s="144">
        <f t="shared" si="52"/>
        <v>1</v>
      </c>
      <c r="R142" s="144">
        <f t="shared" si="52"/>
        <v>1</v>
      </c>
      <c r="S142" s="144">
        <f t="shared" si="52"/>
        <v>1</v>
      </c>
      <c r="T142" s="69"/>
    </row>
    <row r="143" spans="1:20" s="305" customFormat="1" ht="15" customHeight="1">
      <c r="A143" s="305" t="s">
        <v>1174</v>
      </c>
      <c r="B143" s="305" t="s">
        <v>996</v>
      </c>
      <c r="C143" s="169">
        <f>Inputs!C143</f>
        <v>0.82</v>
      </c>
      <c r="D143" s="169">
        <f t="shared" si="52"/>
        <v>0.82</v>
      </c>
      <c r="E143" s="169">
        <f t="shared" si="52"/>
        <v>0.82</v>
      </c>
      <c r="F143" s="169">
        <f t="shared" si="52"/>
        <v>0.82</v>
      </c>
      <c r="G143" s="169">
        <f t="shared" si="52"/>
        <v>0.82</v>
      </c>
      <c r="H143" s="169">
        <f t="shared" si="52"/>
        <v>0.82</v>
      </c>
      <c r="I143" s="169">
        <f t="shared" si="52"/>
        <v>0.82</v>
      </c>
      <c r="J143" s="169">
        <f t="shared" si="52"/>
        <v>0.82</v>
      </c>
      <c r="K143" s="169">
        <f t="shared" si="52"/>
        <v>0.82</v>
      </c>
      <c r="L143" s="169">
        <f t="shared" si="52"/>
        <v>0.82</v>
      </c>
      <c r="M143" s="169">
        <f t="shared" si="52"/>
        <v>0.82</v>
      </c>
      <c r="N143" s="169">
        <f t="shared" si="52"/>
        <v>0.82</v>
      </c>
      <c r="O143" s="169">
        <f t="shared" si="52"/>
        <v>0.82</v>
      </c>
      <c r="P143" s="169">
        <f t="shared" si="52"/>
        <v>0.82</v>
      </c>
      <c r="Q143" s="169">
        <f t="shared" si="52"/>
        <v>0.82</v>
      </c>
      <c r="R143" s="169">
        <f t="shared" si="52"/>
        <v>0.82</v>
      </c>
      <c r="S143" s="169">
        <f t="shared" si="52"/>
        <v>0.82</v>
      </c>
      <c r="T143" s="69"/>
    </row>
    <row r="144" spans="1:20" s="305" customFormat="1" ht="15" customHeight="1">
      <c r="B144" s="305" t="s">
        <v>997</v>
      </c>
      <c r="C144" s="169">
        <f>Inputs!C144</f>
        <v>0.63</v>
      </c>
      <c r="D144" s="169">
        <f t="shared" si="52"/>
        <v>0.63</v>
      </c>
      <c r="E144" s="169">
        <f t="shared" si="52"/>
        <v>0.63</v>
      </c>
      <c r="F144" s="169">
        <f t="shared" si="52"/>
        <v>0.63</v>
      </c>
      <c r="G144" s="169">
        <f t="shared" si="52"/>
        <v>0.63</v>
      </c>
      <c r="H144" s="169">
        <f t="shared" si="52"/>
        <v>0.63</v>
      </c>
      <c r="I144" s="169">
        <f t="shared" si="52"/>
        <v>0.63</v>
      </c>
      <c r="J144" s="169">
        <f t="shared" si="52"/>
        <v>0.63</v>
      </c>
      <c r="K144" s="169">
        <f t="shared" si="52"/>
        <v>0.63</v>
      </c>
      <c r="L144" s="169">
        <f t="shared" si="52"/>
        <v>0.63</v>
      </c>
      <c r="M144" s="169">
        <f t="shared" si="52"/>
        <v>0.63</v>
      </c>
      <c r="N144" s="169">
        <f t="shared" si="52"/>
        <v>0.63</v>
      </c>
      <c r="O144" s="169">
        <f t="shared" si="52"/>
        <v>0.63</v>
      </c>
      <c r="P144" s="169">
        <f t="shared" si="52"/>
        <v>0.63</v>
      </c>
      <c r="Q144" s="169">
        <f t="shared" si="52"/>
        <v>0.63</v>
      </c>
      <c r="R144" s="169">
        <f t="shared" si="52"/>
        <v>0.63</v>
      </c>
      <c r="S144" s="169">
        <f t="shared" si="52"/>
        <v>0.63</v>
      </c>
      <c r="T144" s="69"/>
    </row>
    <row r="145" spans="1:20" s="305" customFormat="1" ht="15" customHeight="1">
      <c r="B145" s="305" t="s">
        <v>998</v>
      </c>
      <c r="C145" s="169">
        <f>Inputs!C145</f>
        <v>0.51</v>
      </c>
      <c r="D145" s="169">
        <f t="shared" si="52"/>
        <v>0.51</v>
      </c>
      <c r="E145" s="169">
        <f t="shared" si="52"/>
        <v>0.51</v>
      </c>
      <c r="F145" s="169">
        <f t="shared" si="52"/>
        <v>0.51</v>
      </c>
      <c r="G145" s="169">
        <f t="shared" si="52"/>
        <v>0.51</v>
      </c>
      <c r="H145" s="169">
        <f t="shared" si="52"/>
        <v>0.51</v>
      </c>
      <c r="I145" s="169">
        <f t="shared" si="52"/>
        <v>0.51</v>
      </c>
      <c r="J145" s="169">
        <f t="shared" si="52"/>
        <v>0.51</v>
      </c>
      <c r="K145" s="169">
        <f t="shared" si="52"/>
        <v>0.51</v>
      </c>
      <c r="L145" s="169">
        <f t="shared" si="52"/>
        <v>0.51</v>
      </c>
      <c r="M145" s="169">
        <f t="shared" si="52"/>
        <v>0.51</v>
      </c>
      <c r="N145" s="169">
        <f t="shared" si="52"/>
        <v>0.51</v>
      </c>
      <c r="O145" s="169">
        <f t="shared" si="52"/>
        <v>0.51</v>
      </c>
      <c r="P145" s="169">
        <f t="shared" si="52"/>
        <v>0.51</v>
      </c>
      <c r="Q145" s="169">
        <f t="shared" si="52"/>
        <v>0.51</v>
      </c>
      <c r="R145" s="169">
        <f t="shared" si="52"/>
        <v>0.51</v>
      </c>
      <c r="S145" s="169">
        <f t="shared" si="52"/>
        <v>0.51</v>
      </c>
      <c r="T145" s="69"/>
    </row>
    <row r="146" spans="1:20" s="305" customFormat="1" ht="15" customHeight="1">
      <c r="B146" s="305" t="s">
        <v>999</v>
      </c>
      <c r="C146" s="144">
        <f>Inputs!C146</f>
        <v>0</v>
      </c>
      <c r="D146" s="144">
        <f t="shared" si="52"/>
        <v>0</v>
      </c>
      <c r="E146" s="144">
        <f t="shared" si="52"/>
        <v>0</v>
      </c>
      <c r="F146" s="144">
        <f t="shared" si="52"/>
        <v>0</v>
      </c>
      <c r="G146" s="144">
        <f t="shared" si="52"/>
        <v>0</v>
      </c>
      <c r="H146" s="144">
        <f t="shared" si="52"/>
        <v>0</v>
      </c>
      <c r="I146" s="144">
        <f t="shared" si="52"/>
        <v>0</v>
      </c>
      <c r="J146" s="144">
        <f t="shared" si="52"/>
        <v>0</v>
      </c>
      <c r="K146" s="144">
        <f t="shared" si="52"/>
        <v>0</v>
      </c>
      <c r="L146" s="144">
        <f t="shared" si="52"/>
        <v>0</v>
      </c>
      <c r="M146" s="144">
        <f t="shared" si="52"/>
        <v>0</v>
      </c>
      <c r="N146" s="144">
        <f t="shared" si="52"/>
        <v>0</v>
      </c>
      <c r="O146" s="144">
        <f t="shared" si="52"/>
        <v>0</v>
      </c>
      <c r="P146" s="144">
        <f t="shared" si="52"/>
        <v>0</v>
      </c>
      <c r="Q146" s="144">
        <f t="shared" si="52"/>
        <v>0</v>
      </c>
      <c r="R146" s="144">
        <f t="shared" si="52"/>
        <v>0</v>
      </c>
      <c r="S146" s="144">
        <f t="shared" si="52"/>
        <v>0</v>
      </c>
      <c r="T146" s="69"/>
    </row>
    <row r="147" spans="1:20" ht="15" customHeight="1">
      <c r="B147" s="305" t="s">
        <v>1000</v>
      </c>
      <c r="C147" s="144">
        <f>Inputs!C147</f>
        <v>8</v>
      </c>
      <c r="D147" s="144">
        <f t="shared" si="52"/>
        <v>8</v>
      </c>
      <c r="E147" s="144">
        <f t="shared" si="52"/>
        <v>8</v>
      </c>
      <c r="F147" s="144">
        <f t="shared" si="52"/>
        <v>8</v>
      </c>
      <c r="G147" s="144">
        <f t="shared" si="52"/>
        <v>8</v>
      </c>
      <c r="H147" s="144">
        <f t="shared" si="52"/>
        <v>8</v>
      </c>
      <c r="I147" s="144">
        <f t="shared" si="52"/>
        <v>8</v>
      </c>
      <c r="J147" s="144">
        <f t="shared" si="52"/>
        <v>8</v>
      </c>
      <c r="K147" s="144">
        <f t="shared" si="52"/>
        <v>8</v>
      </c>
      <c r="L147" s="144">
        <f t="shared" si="52"/>
        <v>8</v>
      </c>
      <c r="M147" s="144">
        <f t="shared" si="52"/>
        <v>8</v>
      </c>
      <c r="N147" s="144">
        <f t="shared" si="52"/>
        <v>8</v>
      </c>
      <c r="O147" s="144">
        <f t="shared" si="52"/>
        <v>8</v>
      </c>
      <c r="P147" s="144">
        <f t="shared" si="52"/>
        <v>8</v>
      </c>
      <c r="Q147" s="144">
        <f t="shared" si="52"/>
        <v>8</v>
      </c>
      <c r="R147" s="144">
        <f t="shared" si="52"/>
        <v>8</v>
      </c>
      <c r="S147" s="144">
        <f t="shared" si="52"/>
        <v>8</v>
      </c>
    </row>
    <row r="148" spans="1:20" ht="15" customHeight="1">
      <c r="B148" s="305" t="s">
        <v>1001</v>
      </c>
      <c r="C148" s="144">
        <f>Inputs!C148</f>
        <v>0</v>
      </c>
      <c r="D148" s="144">
        <f t="shared" si="52"/>
        <v>0</v>
      </c>
      <c r="E148" s="144">
        <f t="shared" si="52"/>
        <v>0</v>
      </c>
      <c r="F148" s="144">
        <f t="shared" si="52"/>
        <v>0</v>
      </c>
      <c r="G148" s="144">
        <f t="shared" si="52"/>
        <v>0</v>
      </c>
      <c r="H148" s="144">
        <f t="shared" si="52"/>
        <v>0</v>
      </c>
      <c r="I148" s="144">
        <f t="shared" si="52"/>
        <v>0</v>
      </c>
      <c r="J148" s="144">
        <f t="shared" si="52"/>
        <v>0</v>
      </c>
      <c r="K148" s="144">
        <f t="shared" si="52"/>
        <v>0</v>
      </c>
      <c r="L148" s="144">
        <f t="shared" si="52"/>
        <v>0</v>
      </c>
      <c r="M148" s="144">
        <f t="shared" si="52"/>
        <v>0</v>
      </c>
      <c r="N148" s="144">
        <f t="shared" si="52"/>
        <v>0</v>
      </c>
      <c r="O148" s="144">
        <f t="shared" si="52"/>
        <v>0</v>
      </c>
      <c r="P148" s="144">
        <f t="shared" si="52"/>
        <v>0</v>
      </c>
      <c r="Q148" s="144">
        <f t="shared" si="52"/>
        <v>0</v>
      </c>
      <c r="R148" s="144">
        <f t="shared" si="52"/>
        <v>0</v>
      </c>
      <c r="S148" s="144">
        <f t="shared" si="52"/>
        <v>0</v>
      </c>
    </row>
    <row r="149" spans="1:20" ht="15" customHeight="1">
      <c r="B149" s="305" t="s">
        <v>1002</v>
      </c>
      <c r="C149" s="144">
        <f>Inputs!C149</f>
        <v>1</v>
      </c>
      <c r="D149" s="144">
        <f t="shared" si="52"/>
        <v>1</v>
      </c>
      <c r="E149" s="144">
        <f t="shared" si="52"/>
        <v>1</v>
      </c>
      <c r="F149" s="144">
        <f t="shared" si="52"/>
        <v>1</v>
      </c>
      <c r="G149" s="144">
        <f t="shared" si="52"/>
        <v>1</v>
      </c>
      <c r="H149" s="144">
        <f t="shared" si="52"/>
        <v>1</v>
      </c>
      <c r="I149" s="144">
        <f t="shared" si="52"/>
        <v>1</v>
      </c>
      <c r="J149" s="144">
        <f t="shared" si="52"/>
        <v>1</v>
      </c>
      <c r="K149" s="144">
        <f t="shared" si="52"/>
        <v>1</v>
      </c>
      <c r="L149" s="144">
        <f t="shared" si="52"/>
        <v>1</v>
      </c>
      <c r="M149" s="144">
        <f t="shared" si="52"/>
        <v>1</v>
      </c>
      <c r="N149" s="144">
        <f t="shared" si="52"/>
        <v>1</v>
      </c>
      <c r="O149" s="144">
        <f t="shared" si="52"/>
        <v>1</v>
      </c>
      <c r="P149" s="144">
        <f t="shared" si="52"/>
        <v>1</v>
      </c>
      <c r="Q149" s="144">
        <f t="shared" si="52"/>
        <v>1</v>
      </c>
      <c r="R149" s="144">
        <f t="shared" si="52"/>
        <v>1</v>
      </c>
      <c r="S149" s="144">
        <f t="shared" si="52"/>
        <v>1</v>
      </c>
    </row>
    <row r="150" spans="1:20" s="305" customFormat="1" ht="15" customHeight="1">
      <c r="A150" s="305" t="s">
        <v>879</v>
      </c>
      <c r="B150" s="305" t="s">
        <v>928</v>
      </c>
      <c r="C150" s="275">
        <f>Inputs!C150</f>
        <v>1</v>
      </c>
      <c r="D150" s="275">
        <f>C150</f>
        <v>1</v>
      </c>
      <c r="E150" s="275">
        <f t="shared" ref="E150:S150" si="53">D150</f>
        <v>1</v>
      </c>
      <c r="F150" s="275">
        <f t="shared" si="53"/>
        <v>1</v>
      </c>
      <c r="G150" s="275">
        <f t="shared" si="53"/>
        <v>1</v>
      </c>
      <c r="H150" s="275">
        <f t="shared" si="53"/>
        <v>1</v>
      </c>
      <c r="I150" s="275">
        <f t="shared" si="53"/>
        <v>1</v>
      </c>
      <c r="J150" s="275">
        <f t="shared" si="53"/>
        <v>1</v>
      </c>
      <c r="K150" s="275">
        <f t="shared" si="53"/>
        <v>1</v>
      </c>
      <c r="L150" s="275">
        <f t="shared" si="53"/>
        <v>1</v>
      </c>
      <c r="M150" s="275">
        <f t="shared" si="53"/>
        <v>1</v>
      </c>
      <c r="N150" s="275">
        <f t="shared" si="53"/>
        <v>1</v>
      </c>
      <c r="O150" s="275">
        <f t="shared" si="53"/>
        <v>1</v>
      </c>
      <c r="P150" s="275">
        <f t="shared" si="53"/>
        <v>1</v>
      </c>
      <c r="Q150" s="275">
        <f t="shared" si="53"/>
        <v>1</v>
      </c>
      <c r="R150" s="275">
        <f t="shared" si="53"/>
        <v>1</v>
      </c>
      <c r="S150" s="275">
        <f t="shared" si="53"/>
        <v>1</v>
      </c>
      <c r="T150" s="69"/>
    </row>
    <row r="151" spans="1:20" ht="15" customHeight="1">
      <c r="B151" s="305" t="s">
        <v>929</v>
      </c>
      <c r="C151" s="275">
        <f>Inputs!C151</f>
        <v>4</v>
      </c>
      <c r="D151" s="275">
        <f>C151</f>
        <v>4</v>
      </c>
      <c r="E151" s="275">
        <f t="shared" ref="E151:S151" si="54">D151</f>
        <v>4</v>
      </c>
      <c r="F151" s="275">
        <f t="shared" si="54"/>
        <v>4</v>
      </c>
      <c r="G151" s="275">
        <f t="shared" si="54"/>
        <v>4</v>
      </c>
      <c r="H151" s="275">
        <f t="shared" si="54"/>
        <v>4</v>
      </c>
      <c r="I151" s="275">
        <f t="shared" si="54"/>
        <v>4</v>
      </c>
      <c r="J151" s="275">
        <f t="shared" si="54"/>
        <v>4</v>
      </c>
      <c r="K151" s="275">
        <f t="shared" si="54"/>
        <v>4</v>
      </c>
      <c r="L151" s="275">
        <f t="shared" si="54"/>
        <v>4</v>
      </c>
      <c r="M151" s="275">
        <f t="shared" si="54"/>
        <v>4</v>
      </c>
      <c r="N151" s="275">
        <f t="shared" si="54"/>
        <v>4</v>
      </c>
      <c r="O151" s="275">
        <f t="shared" si="54"/>
        <v>4</v>
      </c>
      <c r="P151" s="275">
        <f t="shared" si="54"/>
        <v>4</v>
      </c>
      <c r="Q151" s="275">
        <f t="shared" si="54"/>
        <v>4</v>
      </c>
      <c r="R151" s="275">
        <f t="shared" si="54"/>
        <v>4</v>
      </c>
      <c r="S151" s="275">
        <f t="shared" si="54"/>
        <v>4</v>
      </c>
    </row>
    <row r="152" spans="1:20" s="305" customFormat="1" ht="15" customHeight="1">
      <c r="B152" s="290" t="s">
        <v>1343</v>
      </c>
      <c r="C152" s="275">
        <f>Inputs!$C$152</f>
        <v>1</v>
      </c>
      <c r="D152" s="275">
        <f>Inputs!$C$152</f>
        <v>1</v>
      </c>
      <c r="E152" s="275">
        <f>Inputs!$C$152</f>
        <v>1</v>
      </c>
      <c r="F152" s="275">
        <f>Inputs!$C$152</f>
        <v>1</v>
      </c>
      <c r="G152" s="275">
        <f>Inputs!$C$152</f>
        <v>1</v>
      </c>
      <c r="H152" s="275">
        <f>Inputs!$C$152</f>
        <v>1</v>
      </c>
      <c r="I152" s="275">
        <f>Inputs!$C$152</f>
        <v>1</v>
      </c>
      <c r="J152" s="275">
        <f>Inputs!$C$152</f>
        <v>1</v>
      </c>
      <c r="K152" s="275">
        <f>Inputs!$C$152</f>
        <v>1</v>
      </c>
      <c r="L152" s="275">
        <f>Inputs!$C$152</f>
        <v>1</v>
      </c>
      <c r="M152" s="275">
        <f>Inputs!$C$152</f>
        <v>1</v>
      </c>
      <c r="N152" s="275">
        <f>Inputs!$C$152</f>
        <v>1</v>
      </c>
      <c r="O152" s="275">
        <f>Inputs!$C$152</f>
        <v>1</v>
      </c>
      <c r="P152" s="275">
        <f>Inputs!$C$152</f>
        <v>1</v>
      </c>
      <c r="Q152" s="275">
        <f>Inputs!$C$152</f>
        <v>1</v>
      </c>
      <c r="R152" s="275">
        <f>Inputs!$C$152</f>
        <v>1</v>
      </c>
      <c r="S152" s="275">
        <f>Inputs!$C$152</f>
        <v>1</v>
      </c>
      <c r="T152" s="69"/>
    </row>
    <row r="153" spans="1:20" ht="15" customHeight="1">
      <c r="A153" s="305" t="s">
        <v>1175</v>
      </c>
      <c r="B153" s="305" t="s">
        <v>1161</v>
      </c>
      <c r="C153" s="144">
        <f>Inputs!C153</f>
        <v>0</v>
      </c>
      <c r="D153" s="144">
        <f>C153</f>
        <v>0</v>
      </c>
      <c r="E153" s="144">
        <f t="shared" ref="E153:S153" si="55">D153</f>
        <v>0</v>
      </c>
      <c r="F153" s="144">
        <f t="shared" si="55"/>
        <v>0</v>
      </c>
      <c r="G153" s="144">
        <f t="shared" si="55"/>
        <v>0</v>
      </c>
      <c r="H153" s="144">
        <f t="shared" si="55"/>
        <v>0</v>
      </c>
      <c r="I153" s="144">
        <f t="shared" si="55"/>
        <v>0</v>
      </c>
      <c r="J153" s="144">
        <f t="shared" si="55"/>
        <v>0</v>
      </c>
      <c r="K153" s="144">
        <f t="shared" si="55"/>
        <v>0</v>
      </c>
      <c r="L153" s="144">
        <f t="shared" si="55"/>
        <v>0</v>
      </c>
      <c r="M153" s="144">
        <f t="shared" si="55"/>
        <v>0</v>
      </c>
      <c r="N153" s="144">
        <f t="shared" si="55"/>
        <v>0</v>
      </c>
      <c r="O153" s="144">
        <f t="shared" si="55"/>
        <v>0</v>
      </c>
      <c r="P153" s="144">
        <f t="shared" si="55"/>
        <v>0</v>
      </c>
      <c r="Q153" s="144">
        <f t="shared" si="55"/>
        <v>0</v>
      </c>
      <c r="R153" s="144">
        <f t="shared" si="55"/>
        <v>0</v>
      </c>
      <c r="S153" s="144">
        <f t="shared" si="55"/>
        <v>0</v>
      </c>
    </row>
    <row r="154" spans="1:20" ht="15" customHeight="1">
      <c r="B154" s="305" t="s">
        <v>1163</v>
      </c>
      <c r="C154" s="169">
        <f>Inputs!C154</f>
        <v>1.85</v>
      </c>
      <c r="D154" s="169">
        <f t="shared" ref="D154:S157" si="56">C154</f>
        <v>1.85</v>
      </c>
      <c r="E154" s="169">
        <f t="shared" si="56"/>
        <v>1.85</v>
      </c>
      <c r="F154" s="169">
        <f t="shared" si="56"/>
        <v>1.85</v>
      </c>
      <c r="G154" s="169">
        <f t="shared" si="56"/>
        <v>1.85</v>
      </c>
      <c r="H154" s="169">
        <f t="shared" si="56"/>
        <v>1.85</v>
      </c>
      <c r="I154" s="169">
        <f t="shared" si="56"/>
        <v>1.85</v>
      </c>
      <c r="J154" s="169">
        <f t="shared" si="56"/>
        <v>1.85</v>
      </c>
      <c r="K154" s="169">
        <f t="shared" si="56"/>
        <v>1.85</v>
      </c>
      <c r="L154" s="169">
        <f t="shared" si="56"/>
        <v>1.85</v>
      </c>
      <c r="M154" s="169">
        <f t="shared" si="56"/>
        <v>1.85</v>
      </c>
      <c r="N154" s="169">
        <f t="shared" si="56"/>
        <v>1.85</v>
      </c>
      <c r="O154" s="169">
        <f t="shared" si="56"/>
        <v>1.85</v>
      </c>
      <c r="P154" s="169">
        <f t="shared" si="56"/>
        <v>1.85</v>
      </c>
      <c r="Q154" s="169">
        <f t="shared" si="56"/>
        <v>1.85</v>
      </c>
      <c r="R154" s="169">
        <f t="shared" si="56"/>
        <v>1.85</v>
      </c>
      <c r="S154" s="169">
        <f t="shared" si="56"/>
        <v>1.85</v>
      </c>
    </row>
    <row r="155" spans="1:20" ht="15" customHeight="1">
      <c r="B155" s="305" t="s">
        <v>1164</v>
      </c>
      <c r="C155" s="144">
        <f>Inputs!C155</f>
        <v>55</v>
      </c>
      <c r="D155" s="144">
        <f t="shared" si="56"/>
        <v>55</v>
      </c>
      <c r="E155" s="144">
        <f t="shared" si="56"/>
        <v>55</v>
      </c>
      <c r="F155" s="144">
        <f t="shared" si="56"/>
        <v>55</v>
      </c>
      <c r="G155" s="144">
        <f t="shared" si="56"/>
        <v>55</v>
      </c>
      <c r="H155" s="144">
        <f t="shared" si="56"/>
        <v>55</v>
      </c>
      <c r="I155" s="144">
        <f t="shared" si="56"/>
        <v>55</v>
      </c>
      <c r="J155" s="144">
        <f t="shared" si="56"/>
        <v>55</v>
      </c>
      <c r="K155" s="144">
        <f t="shared" si="56"/>
        <v>55</v>
      </c>
      <c r="L155" s="144">
        <f t="shared" si="56"/>
        <v>55</v>
      </c>
      <c r="M155" s="144">
        <f t="shared" si="56"/>
        <v>55</v>
      </c>
      <c r="N155" s="144">
        <f t="shared" si="56"/>
        <v>55</v>
      </c>
      <c r="O155" s="144">
        <f t="shared" si="56"/>
        <v>55</v>
      </c>
      <c r="P155" s="144">
        <f t="shared" si="56"/>
        <v>55</v>
      </c>
      <c r="Q155" s="144">
        <f t="shared" si="56"/>
        <v>55</v>
      </c>
      <c r="R155" s="144">
        <f t="shared" si="56"/>
        <v>55</v>
      </c>
      <c r="S155" s="144">
        <f t="shared" si="56"/>
        <v>55</v>
      </c>
    </row>
    <row r="156" spans="1:20" ht="15" customHeight="1">
      <c r="B156" s="305" t="s">
        <v>1165</v>
      </c>
      <c r="C156" s="276">
        <f>Inputs!C156</f>
        <v>2.5</v>
      </c>
      <c r="D156" s="276">
        <f t="shared" si="56"/>
        <v>2.5</v>
      </c>
      <c r="E156" s="276">
        <f t="shared" si="56"/>
        <v>2.5</v>
      </c>
      <c r="F156" s="276">
        <f t="shared" si="56"/>
        <v>2.5</v>
      </c>
      <c r="G156" s="276">
        <f t="shared" si="56"/>
        <v>2.5</v>
      </c>
      <c r="H156" s="276">
        <f t="shared" si="56"/>
        <v>2.5</v>
      </c>
      <c r="I156" s="276">
        <f t="shared" si="56"/>
        <v>2.5</v>
      </c>
      <c r="J156" s="276">
        <f t="shared" si="56"/>
        <v>2.5</v>
      </c>
      <c r="K156" s="276">
        <f t="shared" si="56"/>
        <v>2.5</v>
      </c>
      <c r="L156" s="276">
        <f t="shared" si="56"/>
        <v>2.5</v>
      </c>
      <c r="M156" s="276">
        <f t="shared" si="56"/>
        <v>2.5</v>
      </c>
      <c r="N156" s="276">
        <f t="shared" si="56"/>
        <v>2.5</v>
      </c>
      <c r="O156" s="276">
        <f t="shared" si="56"/>
        <v>2.5</v>
      </c>
      <c r="P156" s="276">
        <f t="shared" si="56"/>
        <v>2.5</v>
      </c>
      <c r="Q156" s="276">
        <f t="shared" si="56"/>
        <v>2.5</v>
      </c>
      <c r="R156" s="276">
        <f t="shared" si="56"/>
        <v>2.5</v>
      </c>
      <c r="S156" s="276">
        <f t="shared" si="56"/>
        <v>2.5</v>
      </c>
    </row>
    <row r="157" spans="1:20" ht="15" customHeight="1">
      <c r="A157" s="305" t="s">
        <v>1206</v>
      </c>
      <c r="C157" s="276" t="str">
        <f>Inputs!C157</f>
        <v>E_O_F</v>
      </c>
      <c r="D157" s="276" t="str">
        <f t="shared" si="56"/>
        <v>E_O_F</v>
      </c>
      <c r="E157" s="276" t="str">
        <f t="shared" si="56"/>
        <v>E_O_F</v>
      </c>
      <c r="F157" s="276" t="str">
        <f t="shared" si="56"/>
        <v>E_O_F</v>
      </c>
      <c r="G157" s="276" t="str">
        <f t="shared" si="56"/>
        <v>E_O_F</v>
      </c>
      <c r="H157" s="276" t="str">
        <f t="shared" si="56"/>
        <v>E_O_F</v>
      </c>
      <c r="I157" s="276" t="str">
        <f t="shared" si="56"/>
        <v>E_O_F</v>
      </c>
      <c r="J157" s="276" t="str">
        <f t="shared" si="56"/>
        <v>E_O_F</v>
      </c>
      <c r="K157" s="276" t="str">
        <f t="shared" si="56"/>
        <v>E_O_F</v>
      </c>
      <c r="L157" s="276" t="str">
        <f t="shared" si="56"/>
        <v>E_O_F</v>
      </c>
      <c r="M157" s="276" t="str">
        <f t="shared" si="56"/>
        <v>E_O_F</v>
      </c>
      <c r="N157" s="276" t="str">
        <f t="shared" si="56"/>
        <v>E_O_F</v>
      </c>
      <c r="O157" s="276" t="str">
        <f t="shared" si="56"/>
        <v>E_O_F</v>
      </c>
      <c r="P157" s="276" t="str">
        <f t="shared" si="56"/>
        <v>E_O_F</v>
      </c>
      <c r="Q157" s="276" t="str">
        <f t="shared" si="56"/>
        <v>E_O_F</v>
      </c>
      <c r="R157" s="276" t="str">
        <f t="shared" si="56"/>
        <v>E_O_F</v>
      </c>
      <c r="S157" s="276" t="str">
        <f t="shared" si="56"/>
        <v>E_O_F</v>
      </c>
    </row>
    <row r="158" spans="1:20" ht="15" customHeight="1">
      <c r="D158" s="275"/>
      <c r="E158" s="275"/>
      <c r="F158" s="275"/>
      <c r="G158" s="275"/>
      <c r="H158" s="275"/>
      <c r="I158" s="275"/>
      <c r="J158" s="275"/>
      <c r="K158" s="275"/>
      <c r="L158" s="275"/>
      <c r="M158" s="275"/>
      <c r="N158" s="275"/>
      <c r="O158" s="275"/>
      <c r="P158" s="275"/>
      <c r="Q158" s="275"/>
      <c r="R158" s="275"/>
      <c r="S158" s="275"/>
    </row>
    <row r="159" spans="1:20" ht="15" customHeight="1">
      <c r="D159" s="275"/>
      <c r="E159" s="275"/>
      <c r="F159" s="275"/>
      <c r="G159" s="275"/>
      <c r="H159" s="275"/>
      <c r="I159" s="275"/>
      <c r="J159" s="275"/>
      <c r="K159" s="275"/>
      <c r="L159" s="275"/>
      <c r="M159" s="275"/>
      <c r="N159" s="275"/>
      <c r="O159" s="275"/>
      <c r="P159" s="275"/>
      <c r="Q159" s="275"/>
      <c r="R159" s="275"/>
      <c r="S159" s="275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M44"/>
  <sheetViews>
    <sheetView workbookViewId="0">
      <selection activeCell="D17" sqref="D17"/>
    </sheetView>
  </sheetViews>
  <sheetFormatPr baseColWidth="10" defaultColWidth="8.83203125" defaultRowHeight="15" customHeight="1" x14ac:dyDescent="0"/>
  <cols>
    <col min="1" max="1" width="18.6640625" style="5" customWidth="1"/>
    <col min="2" max="2" width="8" style="5" customWidth="1"/>
    <col min="3" max="3" width="3.5" style="5" customWidth="1"/>
    <col min="4" max="4" width="12" style="5" customWidth="1"/>
    <col min="5" max="5" width="8.1640625" style="5" bestFit="1" customWidth="1"/>
    <col min="6" max="6" width="29.33203125" style="5" bestFit="1" customWidth="1"/>
    <col min="7" max="7" width="27.5" style="5" bestFit="1" customWidth="1"/>
    <col min="8" max="8" width="5.6640625" style="5" customWidth="1"/>
    <col min="9" max="9" width="3.1640625" style="5" customWidth="1"/>
    <col min="10" max="10" width="6.83203125" style="5" customWidth="1"/>
    <col min="11" max="11" width="8.1640625" style="5" customWidth="1"/>
    <col min="12" max="16384" width="8.83203125" style="5"/>
  </cols>
  <sheetData>
    <row r="1" spans="1:13" ht="15" customHeight="1">
      <c r="A1" s="140" t="s">
        <v>126</v>
      </c>
      <c r="B1" s="4"/>
      <c r="C1" s="4"/>
      <c r="D1" s="4"/>
      <c r="E1" s="4"/>
      <c r="M1" s="4"/>
    </row>
    <row r="2" spans="1:13" ht="15" customHeight="1">
      <c r="A2" s="141" t="s">
        <v>562</v>
      </c>
    </row>
    <row r="3" spans="1:13" ht="15" customHeight="1">
      <c r="A3" s="142" t="s">
        <v>563</v>
      </c>
    </row>
    <row r="4" spans="1:13" ht="15" customHeight="1">
      <c r="A4" s="108" t="s">
        <v>128</v>
      </c>
      <c r="B4" s="109" t="s">
        <v>129</v>
      </c>
      <c r="C4" s="109" t="s">
        <v>130</v>
      </c>
      <c r="D4" s="109" t="s">
        <v>131</v>
      </c>
      <c r="E4" s="109" t="s">
        <v>130</v>
      </c>
      <c r="F4" s="5" t="s">
        <v>2</v>
      </c>
    </row>
    <row r="5" spans="1:13" ht="15" customHeight="1">
      <c r="A5" s="94" t="s">
        <v>635</v>
      </c>
      <c r="B5" s="330">
        <f>Stories</f>
        <v>1</v>
      </c>
      <c r="C5" s="285"/>
      <c r="D5" s="327">
        <f>Stories</f>
        <v>1</v>
      </c>
      <c r="E5" s="5" t="s">
        <v>11</v>
      </c>
    </row>
    <row r="6" spans="1:13" ht="15" customHeight="1">
      <c r="A6" s="94" t="s">
        <v>132</v>
      </c>
      <c r="B6" s="313">
        <f>3.28084*L_houseSI</f>
        <v>80.347771599999987</v>
      </c>
      <c r="C6" s="286" t="s">
        <v>133</v>
      </c>
      <c r="D6">
        <f>IF(HomeSize="Small",14.14,IF(HomeSize="Med",20,24.49))</f>
        <v>24.49</v>
      </c>
      <c r="E6" s="60" t="s">
        <v>134</v>
      </c>
      <c r="F6" s="139" t="s">
        <v>560</v>
      </c>
    </row>
    <row r="7" spans="1:13" ht="15" customHeight="1">
      <c r="A7" s="94" t="s">
        <v>135</v>
      </c>
      <c r="B7" s="313">
        <f>3.28084*W_houseSI</f>
        <v>40.173885799999994</v>
      </c>
      <c r="C7" s="286" t="s">
        <v>133</v>
      </c>
      <c r="D7" s="289">
        <f>L_houseSI/2</f>
        <v>12.244999999999999</v>
      </c>
      <c r="E7" s="60" t="s">
        <v>134</v>
      </c>
      <c r="F7" s="138"/>
      <c r="G7" s="60"/>
      <c r="H7" s="60"/>
      <c r="I7" s="60"/>
      <c r="J7" s="60"/>
      <c r="K7" s="60"/>
    </row>
    <row r="8" spans="1:13" ht="15" customHeight="1">
      <c r="A8" s="94" t="s">
        <v>136</v>
      </c>
      <c r="B8" s="287">
        <f>A_houseSI*(1/0.0929)</f>
        <v>3227.9876210979551</v>
      </c>
      <c r="C8" s="286" t="s">
        <v>557</v>
      </c>
      <c r="D8" s="287">
        <f>L_houseSI*W_houseSI*Stories</f>
        <v>299.88004999999998</v>
      </c>
      <c r="E8" s="60" t="s">
        <v>556</v>
      </c>
      <c r="F8" s="138"/>
      <c r="G8"/>
      <c r="H8"/>
      <c r="I8" s="60"/>
      <c r="J8" s="60"/>
      <c r="K8" s="60"/>
    </row>
    <row r="9" spans="1:13" ht="15" customHeight="1">
      <c r="A9" s="94" t="s">
        <v>555</v>
      </c>
      <c r="B9" s="313">
        <f>A_houseFT/B5</f>
        <v>3227.9876210979551</v>
      </c>
      <c r="C9" s="286" t="s">
        <v>557</v>
      </c>
      <c r="D9" s="329">
        <f>A_houseSI/Stories</f>
        <v>299.88004999999998</v>
      </c>
      <c r="E9" s="60" t="s">
        <v>556</v>
      </c>
      <c r="F9" s="138"/>
      <c r="G9"/>
      <c r="H9"/>
      <c r="I9" s="60"/>
      <c r="J9" s="60"/>
      <c r="K9" s="60"/>
    </row>
    <row r="10" spans="1:13" ht="15" customHeight="1">
      <c r="A10" s="94" t="s">
        <v>139</v>
      </c>
      <c r="B10" s="313">
        <f>IF(B5=2,A_houseFT/B5,0)</f>
        <v>0</v>
      </c>
      <c r="C10" s="286" t="s">
        <v>557</v>
      </c>
      <c r="D10" s="329">
        <f>IF(Stories=2,A_houseSI/Stories,0)</f>
        <v>0</v>
      </c>
      <c r="E10" s="60" t="s">
        <v>556</v>
      </c>
      <c r="F10" s="138"/>
    </row>
    <row r="11" spans="1:13" ht="15" customHeight="1">
      <c r="A11" s="94" t="s">
        <v>140</v>
      </c>
      <c r="B11" s="288">
        <f>3.28084*D11</f>
        <v>241.04331479999999</v>
      </c>
      <c r="C11" s="286" t="s">
        <v>133</v>
      </c>
      <c r="D11" s="289">
        <f>2*L_houseSI+2*W_houseSI</f>
        <v>73.47</v>
      </c>
      <c r="E11" s="60" t="s">
        <v>134</v>
      </c>
      <c r="F11" s="138"/>
    </row>
    <row r="12" spans="1:13" ht="15" customHeight="1">
      <c r="A12" s="94" t="s">
        <v>141</v>
      </c>
      <c r="B12" s="313">
        <f>3.28084*D12</f>
        <v>0.98425200000000013</v>
      </c>
      <c r="C12" s="286"/>
      <c r="D12" s="327">
        <v>0.30000000000000004</v>
      </c>
      <c r="E12" s="60" t="s">
        <v>134</v>
      </c>
      <c r="F12" s="138"/>
    </row>
    <row r="13" spans="1:13" ht="15" customHeight="1">
      <c r="A13" s="94" t="s">
        <v>142</v>
      </c>
      <c r="B13" s="313">
        <f>3.28084*D13</f>
        <v>8.2020999999999997</v>
      </c>
      <c r="C13" s="286"/>
      <c r="D13" s="327">
        <v>2.5</v>
      </c>
      <c r="E13" s="60" t="s">
        <v>134</v>
      </c>
      <c r="F13" s="138"/>
    </row>
    <row r="14" spans="1:13" ht="15" customHeight="1">
      <c r="A14" s="94" t="s">
        <v>143</v>
      </c>
      <c r="B14" s="313">
        <f>3.28084*D14</f>
        <v>0.49212599999999995</v>
      </c>
      <c r="C14" s="286"/>
      <c r="D14" s="327">
        <v>0.15</v>
      </c>
      <c r="E14" s="60" t="s">
        <v>134</v>
      </c>
      <c r="F14" s="138"/>
    </row>
    <row r="15" spans="1:13" ht="15" customHeight="1">
      <c r="A15" s="94" t="s">
        <v>144</v>
      </c>
      <c r="B15" s="313">
        <f>3.28084*D15</f>
        <v>9.6784779999999984</v>
      </c>
      <c r="C15" s="286"/>
      <c r="D15" s="327">
        <f>D12+(D13*Stories)+(D14*Stories)</f>
        <v>2.9499999999999997</v>
      </c>
      <c r="E15" s="60" t="s">
        <v>134</v>
      </c>
      <c r="F15" s="138"/>
      <c r="G15" s="5" t="s">
        <v>145</v>
      </c>
    </row>
    <row r="16" spans="1:13" ht="15" customHeight="1">
      <c r="A16" s="94" t="s">
        <v>146</v>
      </c>
      <c r="B16" s="289">
        <f>A_windowSI*(1/0.0929)</f>
        <v>645.59752421959104</v>
      </c>
      <c r="C16" s="286"/>
      <c r="D16" s="328">
        <f>0.2*A_houseSI</f>
        <v>59.976010000000002</v>
      </c>
      <c r="E16" s="60" t="s">
        <v>138</v>
      </c>
      <c r="F16" s="139" t="s">
        <v>561</v>
      </c>
      <c r="G16" s="5" t="s">
        <v>147</v>
      </c>
    </row>
    <row r="17" spans="1:8" s="305" customFormat="1" ht="15" customHeight="1">
      <c r="A17" s="228" t="s">
        <v>1019</v>
      </c>
      <c r="B17" s="289">
        <f>A_doors_SI*(1/0.0929)</f>
        <v>40.001313240043061</v>
      </c>
      <c r="C17" s="313"/>
      <c r="D17" s="328">
        <f>2*(1.858061)</f>
        <v>3.7161219999999999</v>
      </c>
      <c r="E17" s="313"/>
    </row>
    <row r="18" spans="1:8" ht="15" customHeight="1">
      <c r="A18" s="94" t="s">
        <v>148</v>
      </c>
      <c r="B18" s="313">
        <f>D18</f>
        <v>1.54</v>
      </c>
      <c r="C18" s="313"/>
      <c r="D18" s="313">
        <v>1.54</v>
      </c>
      <c r="E18" s="60" t="s">
        <v>11</v>
      </c>
      <c r="F18" s="338" t="s">
        <v>161</v>
      </c>
      <c r="H18"/>
    </row>
    <row r="19" spans="1:8" ht="15" customHeight="1">
      <c r="A19" s="94" t="s">
        <v>149</v>
      </c>
      <c r="B19" s="330">
        <f>A_wall*(1/0.0929)</f>
        <v>1410.1546609257261</v>
      </c>
      <c r="C19" s="285"/>
      <c r="D19" s="328">
        <f>D11*(H_soffitSI-D12)-A_windowSI-A_doors_SI</f>
        <v>131.00336799999994</v>
      </c>
      <c r="E19" s="5" t="s">
        <v>138</v>
      </c>
      <c r="F19"/>
      <c r="G19" s="5">
        <f>((D11*D13*Stories))-A_windowSI</f>
        <v>123.69899000000001</v>
      </c>
    </row>
    <row r="20" spans="1:8" ht="15" customHeight="1">
      <c r="A20" s="94" t="s">
        <v>150</v>
      </c>
      <c r="B20" s="330">
        <f>35.3147*V_houseSI</f>
        <v>26475.435004337502</v>
      </c>
      <c r="C20" s="285"/>
      <c r="D20" s="287">
        <f>A_houseSI*D13</f>
        <v>749.70012499999996</v>
      </c>
      <c r="E20" s="5" t="s">
        <v>151</v>
      </c>
      <c r="F20" s="138"/>
    </row>
    <row r="21" spans="1:8" ht="15" customHeight="1">
      <c r="B21" s="313"/>
    </row>
    <row r="22" spans="1:8" ht="15" customHeight="1">
      <c r="A22" s="108" t="s">
        <v>152</v>
      </c>
      <c r="B22" s="109" t="s">
        <v>129</v>
      </c>
      <c r="C22" s="109" t="s">
        <v>130</v>
      </c>
      <c r="D22" s="109" t="s">
        <v>131</v>
      </c>
      <c r="E22" s="109" t="s">
        <v>130</v>
      </c>
      <c r="F22" s="138"/>
    </row>
    <row r="23" spans="1:8" ht="15" customHeight="1">
      <c r="A23" s="94" t="s">
        <v>153</v>
      </c>
      <c r="B23" s="292">
        <v>0.17500000000000004</v>
      </c>
      <c r="C23" s="291" t="s">
        <v>11</v>
      </c>
      <c r="D23" s="328">
        <f>DEGREES(ATAN(4/12))</f>
        <v>18.43494882292201</v>
      </c>
      <c r="E23" s="5" t="s">
        <v>154</v>
      </c>
      <c r="F23" s="139" t="s">
        <v>592</v>
      </c>
    </row>
    <row r="24" spans="1:8" ht="15" customHeight="1">
      <c r="A24" s="94" t="s">
        <v>155</v>
      </c>
      <c r="B24" s="290"/>
      <c r="C24" s="290"/>
      <c r="D24" s="17">
        <f>TAN(RADIANS(D23))*(D7/2)</f>
        <v>2.0408333333333331</v>
      </c>
      <c r="E24" s="5" t="s">
        <v>134</v>
      </c>
    </row>
    <row r="25" spans="1:8" ht="15" customHeight="1">
      <c r="A25" s="94" t="s">
        <v>156</v>
      </c>
      <c r="B25" s="290"/>
      <c r="C25" s="290"/>
      <c r="D25" s="328">
        <f>0.5*(W_houseSI/2)*D24*2*L_houseSI</f>
        <v>306.00260102083325</v>
      </c>
      <c r="E25" s="5" t="s">
        <v>558</v>
      </c>
    </row>
    <row r="26" spans="1:8" ht="15" customHeight="1">
      <c r="A26" s="94" t="s">
        <v>157</v>
      </c>
      <c r="B26" s="290"/>
      <c r="C26" s="290"/>
      <c r="D26" s="328">
        <f>H_soffitSI+D24</f>
        <v>4.9908333333333328</v>
      </c>
      <c r="E26" s="5" t="s">
        <v>134</v>
      </c>
    </row>
    <row r="27" spans="1:8" ht="15" customHeight="1">
      <c r="A27" s="94" t="s">
        <v>158</v>
      </c>
      <c r="B27" s="290"/>
      <c r="C27" s="290"/>
      <c r="D27" s="328">
        <f>H_soffitSI+(0.5*D24)</f>
        <v>3.970416666666666</v>
      </c>
      <c r="E27" s="5" t="s">
        <v>134</v>
      </c>
      <c r="F27" s="5" t="s">
        <v>570</v>
      </c>
      <c r="H27" s="31"/>
    </row>
    <row r="28" spans="1:8" ht="15" customHeight="1">
      <c r="A28" s="94" t="s">
        <v>159</v>
      </c>
      <c r="B28" s="290"/>
      <c r="C28" s="290"/>
      <c r="D28" s="327">
        <v>0.3</v>
      </c>
      <c r="E28" s="5" t="s">
        <v>134</v>
      </c>
      <c r="F28" s="5" t="s">
        <v>160</v>
      </c>
      <c r="G28" s="5" t="s">
        <v>161</v>
      </c>
    </row>
    <row r="29" spans="1:8" ht="15" customHeight="1">
      <c r="A29" s="94" t="s">
        <v>162</v>
      </c>
      <c r="B29" s="290"/>
      <c r="C29" s="290"/>
      <c r="D29" s="328">
        <f>H_peak</f>
        <v>4.9908333333333328</v>
      </c>
      <c r="E29" s="5" t="s">
        <v>134</v>
      </c>
      <c r="G29" s="5" t="s">
        <v>163</v>
      </c>
    </row>
    <row r="30" spans="1:8" ht="15" customHeight="1">
      <c r="A30" s="94" t="s">
        <v>446</v>
      </c>
      <c r="B30" s="290"/>
      <c r="C30" s="290"/>
      <c r="D30" s="327">
        <v>0.5</v>
      </c>
      <c r="E30" s="5" t="s">
        <v>134</v>
      </c>
    </row>
    <row r="31" spans="1:8" ht="15" customHeight="1">
      <c r="A31" s="139" t="s">
        <v>594</v>
      </c>
      <c r="B31" s="291"/>
      <c r="C31" s="290"/>
      <c r="D31" s="312">
        <f>(((W_houseSI/2+overhang)^2+(D24^2))^0.5)*(L_houseSI+2*overhang)*2</f>
        <v>353.28259772784747</v>
      </c>
      <c r="E31" s="136" t="s">
        <v>556</v>
      </c>
      <c r="F31" s="139" t="s">
        <v>593</v>
      </c>
      <c r="G31" s="305" t="s">
        <v>447</v>
      </c>
    </row>
    <row r="32" spans="1:8" ht="15" customHeight="1">
      <c r="A32" s="139"/>
      <c r="B32" s="139"/>
    </row>
    <row r="33" spans="1:5" ht="15" customHeight="1">
      <c r="A33" s="139"/>
      <c r="B33" s="139"/>
      <c r="D33" s="15"/>
    </row>
    <row r="36" spans="1:5" ht="15" customHeight="1">
      <c r="A36" s="5" t="s">
        <v>559</v>
      </c>
      <c r="D36" s="5">
        <f>W_houseSI/(W_houseSI+L_houseSI)</f>
        <v>0.33333333333333331</v>
      </c>
    </row>
    <row r="37" spans="1:5" ht="15" customHeight="1">
      <c r="A37" s="5" t="s">
        <v>454</v>
      </c>
    </row>
    <row r="39" spans="1:5" ht="15" customHeight="1">
      <c r="A39" s="4" t="s">
        <v>127</v>
      </c>
    </row>
    <row r="42" spans="1:5" ht="15" customHeight="1">
      <c r="A42" s="89"/>
      <c r="B42" s="109" t="s">
        <v>129</v>
      </c>
      <c r="C42" s="109" t="s">
        <v>130</v>
      </c>
      <c r="D42" s="109" t="s">
        <v>131</v>
      </c>
      <c r="E42" s="109" t="s">
        <v>130</v>
      </c>
    </row>
    <row r="43" spans="1:5" ht="15" customHeight="1">
      <c r="A43" s="145" t="s">
        <v>470</v>
      </c>
      <c r="B43" s="60">
        <v>200</v>
      </c>
      <c r="C43" s="60" t="s">
        <v>137</v>
      </c>
      <c r="D43" s="180">
        <f>B43*0.3048^2</f>
        <v>18.580608000000002</v>
      </c>
      <c r="E43" s="60" t="s">
        <v>556</v>
      </c>
    </row>
    <row r="44" spans="1:5" ht="15" customHeight="1">
      <c r="A44" s="145" t="s">
        <v>471</v>
      </c>
      <c r="B44" s="60">
        <v>240</v>
      </c>
      <c r="C44" s="60" t="s">
        <v>137</v>
      </c>
      <c r="D44" s="180">
        <f>B44*0.3048^2</f>
        <v>22.296729600000003</v>
      </c>
      <c r="E44" s="60" t="s">
        <v>556</v>
      </c>
    </row>
  </sheetData>
  <hyperlinks>
    <hyperlink ref="A3" r:id="rId1"/>
  </hyperlinks>
  <pageMargins left="0.7" right="0.7" top="0.75" bottom="0.75" header="0.51180555555555551" footer="0.51180555555555551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G34"/>
  <sheetViews>
    <sheetView zoomScale="85" zoomScaleNormal="85" zoomScalePageLayoutView="85" workbookViewId="0">
      <selection activeCell="L40" sqref="L40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4.664062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33" s="4" customFormat="1" ht="15" customHeight="1">
      <c r="A1" s="4" t="s">
        <v>164</v>
      </c>
      <c r="G1" s="4" t="s">
        <v>165</v>
      </c>
      <c r="L1" s="467" t="s">
        <v>166</v>
      </c>
      <c r="M1" s="467"/>
      <c r="N1" s="467"/>
    </row>
    <row r="2" spans="1:33" ht="15" customHeight="1">
      <c r="A2" s="14" t="s">
        <v>6</v>
      </c>
      <c r="G2" s="14" t="s">
        <v>167</v>
      </c>
      <c r="L2" s="72" t="s">
        <v>469</v>
      </c>
      <c r="M2" s="72"/>
      <c r="N2" s="72"/>
    </row>
    <row r="3" spans="1:33" ht="15" customHeight="1">
      <c r="A3" s="14" t="s">
        <v>168</v>
      </c>
      <c r="L3" s="72"/>
      <c r="M3" s="72"/>
      <c r="N3" s="72"/>
    </row>
    <row r="4" spans="1:33" ht="15" customHeight="1">
      <c r="A4" s="14" t="s">
        <v>169</v>
      </c>
      <c r="G4" s="123"/>
      <c r="H4" s="109" t="s">
        <v>170</v>
      </c>
      <c r="I4" s="109" t="s">
        <v>171</v>
      </c>
      <c r="J4" s="92" t="s">
        <v>172</v>
      </c>
      <c r="L4" s="281"/>
      <c r="M4" s="72" t="s">
        <v>173</v>
      </c>
      <c r="N4" s="72" t="s">
        <v>130</v>
      </c>
      <c r="P4" s="131" t="s">
        <v>466</v>
      </c>
      <c r="Q4" s="130" t="s">
        <v>1028</v>
      </c>
      <c r="R4" s="130"/>
      <c r="T4" s="131" t="s">
        <v>467</v>
      </c>
      <c r="U4" s="130"/>
      <c r="V4" s="130"/>
      <c r="X4" s="131" t="s">
        <v>468</v>
      </c>
      <c r="Y4" s="130"/>
      <c r="Z4" s="130"/>
      <c r="AB4" s="1" t="s">
        <v>740</v>
      </c>
      <c r="AD4" s="1" t="s">
        <v>741</v>
      </c>
      <c r="AE4" s="1" t="s">
        <v>742</v>
      </c>
      <c r="AF4" s="1" t="s">
        <v>743</v>
      </c>
      <c r="AG4" s="1" t="s">
        <v>744</v>
      </c>
    </row>
    <row r="5" spans="1:33" ht="15" customHeight="1">
      <c r="A5" s="14" t="s">
        <v>174</v>
      </c>
      <c r="G5" s="100" t="s">
        <v>15</v>
      </c>
      <c r="H5" s="1">
        <v>0.65</v>
      </c>
      <c r="I5" s="1">
        <v>0.60000000000000009</v>
      </c>
      <c r="J5" s="204">
        <v>0.5</v>
      </c>
      <c r="L5" s="72" t="s">
        <v>175</v>
      </c>
      <c r="M5" s="469">
        <f>H23</f>
        <v>0.33333333333333331</v>
      </c>
      <c r="N5" s="72" t="s">
        <v>11</v>
      </c>
      <c r="P5" s="132" t="s">
        <v>464</v>
      </c>
      <c r="Q5" s="75">
        <v>4.8</v>
      </c>
      <c r="R5" s="75"/>
      <c r="T5" s="132" t="s">
        <v>464</v>
      </c>
      <c r="U5" s="75">
        <v>5.2</v>
      </c>
      <c r="V5" s="75"/>
      <c r="X5" s="132" t="s">
        <v>464</v>
      </c>
      <c r="Y5" s="75">
        <v>8.6</v>
      </c>
      <c r="Z5" s="75"/>
      <c r="AA5" s="342" t="s">
        <v>464</v>
      </c>
      <c r="AB5" s="75">
        <v>10</v>
      </c>
      <c r="AC5" s="1">
        <v>7</v>
      </c>
      <c r="AD5" s="75">
        <v>5</v>
      </c>
      <c r="AE5" s="75">
        <v>3</v>
      </c>
      <c r="AF5" s="75">
        <v>1.5</v>
      </c>
      <c r="AG5" s="75">
        <v>0.6</v>
      </c>
    </row>
    <row r="6" spans="1:33" ht="15" customHeight="1">
      <c r="G6" s="100" t="s">
        <v>18</v>
      </c>
      <c r="H6" s="1">
        <v>0.35</v>
      </c>
      <c r="I6" s="1">
        <v>0.4</v>
      </c>
      <c r="J6" s="205">
        <v>0</v>
      </c>
      <c r="L6" s="72" t="s">
        <v>176</v>
      </c>
      <c r="M6" s="469">
        <f>H22</f>
        <v>0.16666666666666666</v>
      </c>
      <c r="N6" s="72" t="s">
        <v>11</v>
      </c>
      <c r="P6" s="127" t="s">
        <v>465</v>
      </c>
      <c r="Q6" s="76">
        <f>V_houseSI</f>
        <v>749.70012499999996</v>
      </c>
      <c r="R6" s="75" t="s">
        <v>151</v>
      </c>
      <c r="T6" s="127" t="s">
        <v>465</v>
      </c>
      <c r="U6" s="76">
        <f>V_houseSI</f>
        <v>749.70012499999996</v>
      </c>
      <c r="V6" s="75" t="s">
        <v>151</v>
      </c>
      <c r="X6" s="127" t="s">
        <v>465</v>
      </c>
      <c r="Y6" s="76">
        <f>V_houseSI</f>
        <v>749.70012499999996</v>
      </c>
      <c r="Z6" s="75" t="s">
        <v>151</v>
      </c>
      <c r="AA6" s="125" t="s">
        <v>465</v>
      </c>
      <c r="AB6" s="76">
        <f t="shared" ref="AB6:AG6" si="0">V_houseSI</f>
        <v>749.70012499999996</v>
      </c>
      <c r="AC6" s="76">
        <f t="shared" si="0"/>
        <v>749.70012499999996</v>
      </c>
      <c r="AD6" s="76">
        <f t="shared" si="0"/>
        <v>749.70012499999996</v>
      </c>
      <c r="AE6" s="76">
        <f t="shared" si="0"/>
        <v>749.70012499999996</v>
      </c>
      <c r="AF6" s="76">
        <f t="shared" si="0"/>
        <v>749.70012499999996</v>
      </c>
      <c r="AG6" s="76">
        <f t="shared" si="0"/>
        <v>749.70012499999996</v>
      </c>
    </row>
    <row r="7" spans="1:33" ht="15" customHeight="1">
      <c r="A7" s="123"/>
      <c r="B7" s="109" t="s">
        <v>129</v>
      </c>
      <c r="C7" s="109" t="s">
        <v>130</v>
      </c>
      <c r="D7" s="109" t="s">
        <v>131</v>
      </c>
      <c r="E7" s="109" t="s">
        <v>130</v>
      </c>
      <c r="L7" s="72" t="s">
        <v>177</v>
      </c>
      <c r="M7" s="72">
        <f>M5*2+M6*2</f>
        <v>1</v>
      </c>
      <c r="N7" s="72"/>
      <c r="P7" s="127" t="s">
        <v>206</v>
      </c>
      <c r="Q7" s="77">
        <f>(Q5*Q6)/3600/14</f>
        <v>7.1400011904761904E-2</v>
      </c>
      <c r="R7" s="75" t="s">
        <v>138</v>
      </c>
      <c r="T7" s="127" t="s">
        <v>206</v>
      </c>
      <c r="U7" s="77">
        <f>(U5*U6)/3600/14</f>
        <v>7.7350012896825401E-2</v>
      </c>
      <c r="V7" s="75" t="s">
        <v>138</v>
      </c>
      <c r="X7" s="127" t="s">
        <v>206</v>
      </c>
      <c r="Y7" s="77">
        <f>(Y5*Y6)/3600/14</f>
        <v>0.12792502132936506</v>
      </c>
      <c r="Z7" s="75" t="s">
        <v>138</v>
      </c>
      <c r="AA7" s="125" t="s">
        <v>206</v>
      </c>
      <c r="AB7" s="77">
        <f t="shared" ref="AB7:AG7" si="1">(AB5*AB6)/3600/14</f>
        <v>0.14875002480158731</v>
      </c>
      <c r="AC7" s="77">
        <f t="shared" si="1"/>
        <v>0.1041250173611111</v>
      </c>
      <c r="AD7" s="77">
        <f t="shared" si="1"/>
        <v>7.4375012400793653E-2</v>
      </c>
      <c r="AE7" s="77">
        <f t="shared" si="1"/>
        <v>4.4625007440476192E-2</v>
      </c>
      <c r="AF7" s="77">
        <f t="shared" si="1"/>
        <v>2.2312503720238096E-2</v>
      </c>
      <c r="AG7" s="77">
        <f t="shared" si="1"/>
        <v>8.925001488095238E-3</v>
      </c>
    </row>
    <row r="8" spans="1:33" ht="15" customHeight="1">
      <c r="A8" s="125" t="s">
        <v>178</v>
      </c>
      <c r="B8" s="223"/>
      <c r="C8" s="72"/>
      <c r="D8" s="72"/>
      <c r="E8" s="72"/>
      <c r="L8" s="72"/>
      <c r="M8" s="72"/>
      <c r="N8" s="72"/>
      <c r="P8" s="127" t="s">
        <v>178</v>
      </c>
      <c r="Q8" s="79">
        <f>10000*(Q7/A_houseSI)</f>
        <v>2.3809523809523809</v>
      </c>
      <c r="R8" s="78" t="s">
        <v>11</v>
      </c>
      <c r="T8" s="127" t="s">
        <v>178</v>
      </c>
      <c r="U8" s="79">
        <f>10000*(U7/A_houseSI)</f>
        <v>2.5793650793650795</v>
      </c>
      <c r="V8" s="78" t="s">
        <v>11</v>
      </c>
      <c r="X8" s="127" t="s">
        <v>178</v>
      </c>
      <c r="Y8" s="79">
        <f>10000*(Y7/A_houseSI)</f>
        <v>4.2658730158730158</v>
      </c>
      <c r="Z8" s="78" t="s">
        <v>11</v>
      </c>
      <c r="AA8" s="125" t="s">
        <v>178</v>
      </c>
      <c r="AB8" s="79">
        <f t="shared" ref="AB8:AG8" si="2">10000*(AB7/A_houseSI)</f>
        <v>4.9603174603174613</v>
      </c>
      <c r="AC8" s="79">
        <f t="shared" si="2"/>
        <v>3.4722222222222219</v>
      </c>
      <c r="AD8" s="79">
        <f t="shared" si="2"/>
        <v>2.4801587301587307</v>
      </c>
      <c r="AE8" s="79">
        <f t="shared" si="2"/>
        <v>1.4880952380952381</v>
      </c>
      <c r="AF8" s="79">
        <f t="shared" si="2"/>
        <v>0.74404761904761907</v>
      </c>
      <c r="AG8" s="79">
        <f t="shared" si="2"/>
        <v>0.29761904761904762</v>
      </c>
    </row>
    <row r="9" spans="1:33" ht="15" customHeight="1">
      <c r="A9" s="100" t="s">
        <v>179</v>
      </c>
      <c r="B9" s="18"/>
      <c r="D9" s="471">
        <f>VLOOKUP(Airtightness,Leakage!AB11:AF16,3,FALSE)</f>
        <v>2.2312503720238096E-2</v>
      </c>
      <c r="E9" s="1" t="s">
        <v>138</v>
      </c>
      <c r="G9" s="108" t="s">
        <v>7</v>
      </c>
      <c r="H9" s="109" t="s">
        <v>173</v>
      </c>
      <c r="I9" s="109" t="s">
        <v>130</v>
      </c>
      <c r="L9" s="468" t="s">
        <v>653</v>
      </c>
      <c r="M9" s="72"/>
      <c r="N9" s="72"/>
      <c r="P9" s="1" t="s">
        <v>870</v>
      </c>
      <c r="AA9" s="1" t="s">
        <v>870</v>
      </c>
      <c r="AB9" s="1">
        <f>1000*(AB7/A_houseSI)*(([0]!H_soffitSI-Geometry!D12)/2.5)^0.4</f>
        <v>0.50772882298229516</v>
      </c>
      <c r="AC9" s="1">
        <f>1000*(AC7/A_houseSI)*(([0]!H_soffitSI-Geometry!D12)/2.5)^0.4</f>
        <v>0.3554101760876065</v>
      </c>
      <c r="AD9" s="1">
        <f>1000*(AD7/A_houseSI)*(([0]!H_soffitSI-Geometry!D12)/2.5)^0.4</f>
        <v>0.25386441149114758</v>
      </c>
      <c r="AE9" s="1">
        <f>1000*(AE7/A_houseSI)*(([0]!H_soffitSI-Geometry!D12)/2.5)^0.4</f>
        <v>0.15231864689468858</v>
      </c>
      <c r="AF9" s="1">
        <f>1000*(AF7/A_houseSI)*(([0]!H_soffitSI-Geometry!D12)/2.5)^0.4</f>
        <v>7.6159323447344288E-2</v>
      </c>
      <c r="AG9" s="1">
        <f>1000*(AG7/A_houseSI)*(([0]!H_soffitSI-Geometry!D12)/2.5)^0.4</f>
        <v>3.0463729378937706E-2</v>
      </c>
    </row>
    <row r="10" spans="1:33" ht="15" customHeight="1">
      <c r="A10" s="100" t="s">
        <v>180</v>
      </c>
      <c r="D10" s="1">
        <v>1</v>
      </c>
      <c r="E10" s="1" t="s">
        <v>11</v>
      </c>
      <c r="G10" s="100" t="s">
        <v>181</v>
      </c>
      <c r="H10" s="469">
        <v>0.5</v>
      </c>
      <c r="I10" s="1" t="s">
        <v>11</v>
      </c>
      <c r="L10" s="72" t="s">
        <v>175</v>
      </c>
      <c r="M10" s="72">
        <v>0.5</v>
      </c>
      <c r="N10" s="72"/>
      <c r="AB10" s="342" t="s">
        <v>464</v>
      </c>
      <c r="AC10" s="125" t="s">
        <v>465</v>
      </c>
      <c r="AD10" s="125" t="s">
        <v>206</v>
      </c>
      <c r="AE10" s="125" t="s">
        <v>178</v>
      </c>
      <c r="AF10" s="1" t="s">
        <v>870</v>
      </c>
    </row>
    <row r="11" spans="1:33" ht="15" customHeight="1">
      <c r="A11" s="100" t="s">
        <v>182</v>
      </c>
      <c r="D11" s="18">
        <v>1.2</v>
      </c>
      <c r="E11" s="1" t="s">
        <v>183</v>
      </c>
      <c r="G11" s="100" t="s">
        <v>184</v>
      </c>
      <c r="H11" s="469">
        <v>0</v>
      </c>
      <c r="I11" s="1" t="s">
        <v>11</v>
      </c>
      <c r="L11" s="72" t="s">
        <v>176</v>
      </c>
      <c r="M11" s="72">
        <v>0</v>
      </c>
      <c r="N11" s="72"/>
      <c r="AA11" s="1" t="s">
        <v>740</v>
      </c>
      <c r="AB11" s="75">
        <v>10</v>
      </c>
      <c r="AC11" s="76">
        <f t="shared" ref="AC11:AC16" si="3">V_houseSI</f>
        <v>749.70012499999996</v>
      </c>
      <c r="AD11" s="77">
        <f t="shared" ref="AD11:AD16" si="4">(AB11*AC11)/3600/14</f>
        <v>0.14875002480158731</v>
      </c>
      <c r="AE11" s="79">
        <f t="shared" ref="AE11:AE16" si="5">10000*(AD11/A_houseSI)</f>
        <v>4.9603174603174613</v>
      </c>
      <c r="AF11" s="1">
        <f>1000*(AD11/A_houseSI)*((H_soffitSI-Geometry!$D$12)/Geometry!$D$13)^0.4</f>
        <v>0.50772882298229516</v>
      </c>
    </row>
    <row r="12" spans="1:33" ht="15" customHeight="1">
      <c r="A12" s="125" t="s">
        <v>185</v>
      </c>
      <c r="B12" s="72"/>
      <c r="C12" s="72"/>
      <c r="D12" s="470">
        <v>4</v>
      </c>
      <c r="E12" s="72" t="s">
        <v>451</v>
      </c>
      <c r="G12" s="100"/>
      <c r="L12" s="72" t="s">
        <v>177</v>
      </c>
      <c r="M12" s="72">
        <f>M10*2+M11*2</f>
        <v>1</v>
      </c>
      <c r="N12" s="72"/>
      <c r="AB12" s="1">
        <v>7</v>
      </c>
      <c r="AC12" s="76">
        <f>V_houseSI</f>
        <v>749.70012499999996</v>
      </c>
      <c r="AD12" s="77">
        <f>(AB12*AC12)/3600/14</f>
        <v>0.1041250173611111</v>
      </c>
      <c r="AE12" s="79">
        <f t="shared" si="5"/>
        <v>3.4722222222222219</v>
      </c>
      <c r="AF12" s="1">
        <f>1000*(AD12/A_houseSI)*((H_soffitSI-Geometry!$D$12)/Geometry!$D$13)^0.4</f>
        <v>0.3554101760876065</v>
      </c>
    </row>
    <row r="13" spans="1:33" ht="15" customHeight="1">
      <c r="A13" s="125" t="s">
        <v>4</v>
      </c>
      <c r="B13" s="72"/>
      <c r="C13" s="72"/>
      <c r="D13" s="524">
        <f>D9*D10/(SQRT(rho_air/2)*D12^(n-0.5))</f>
        <v>2.3397188930876722E-2</v>
      </c>
      <c r="E13" s="72" t="s">
        <v>472</v>
      </c>
      <c r="G13" s="100" t="s">
        <v>186</v>
      </c>
      <c r="H13" s="20">
        <f>(H10-H11)/2</f>
        <v>0.25</v>
      </c>
      <c r="I13" s="1" t="s">
        <v>11</v>
      </c>
      <c r="L13" s="21"/>
      <c r="M13" s="21"/>
      <c r="N13" s="21"/>
      <c r="O13" s="21"/>
      <c r="AA13" s="1" t="s">
        <v>741</v>
      </c>
      <c r="AB13" s="75">
        <v>5</v>
      </c>
      <c r="AC13" s="76">
        <f t="shared" si="3"/>
        <v>749.70012499999996</v>
      </c>
      <c r="AD13" s="77">
        <f t="shared" si="4"/>
        <v>7.4375012400793653E-2</v>
      </c>
      <c r="AE13" s="79">
        <f t="shared" si="5"/>
        <v>2.4801587301587307</v>
      </c>
      <c r="AF13" s="1">
        <f>1000*(AD13/A_houseSI)*((H_soffitSI-Geometry!$D$12)/Geometry!$D$13)^0.4</f>
        <v>0.25386441149114758</v>
      </c>
    </row>
    <row r="14" spans="1:33" ht="15" customHeight="1">
      <c r="A14" s="125" t="s">
        <v>8</v>
      </c>
      <c r="B14" s="72"/>
      <c r="C14" s="72"/>
      <c r="D14" s="488">
        <v>0.65</v>
      </c>
      <c r="G14" s="100" t="s">
        <v>187</v>
      </c>
      <c r="H14" s="20">
        <f>1-H13-H15</f>
        <v>0.25</v>
      </c>
      <c r="I14" s="1" t="s">
        <v>11</v>
      </c>
      <c r="P14" s="23" t="s">
        <v>188</v>
      </c>
      <c r="T14" s="23" t="s">
        <v>189</v>
      </c>
      <c r="AA14" s="1" t="s">
        <v>742</v>
      </c>
      <c r="AB14" s="75">
        <v>3</v>
      </c>
      <c r="AC14" s="76">
        <f t="shared" si="3"/>
        <v>749.70012499999996</v>
      </c>
      <c r="AD14" s="77">
        <f t="shared" si="4"/>
        <v>4.4625007440476192E-2</v>
      </c>
      <c r="AE14" s="79">
        <f t="shared" si="5"/>
        <v>1.4880952380952381</v>
      </c>
      <c r="AF14" s="1">
        <f>1000*(AD14/A_houseSI)*((H_soffitSI-Geometry!$D$12)/Geometry!$D$13)^0.4</f>
        <v>0.15231864689468858</v>
      </c>
    </row>
    <row r="15" spans="1:33" ht="15" customHeight="1">
      <c r="A15" s="23" t="s">
        <v>190</v>
      </c>
      <c r="G15" s="128" t="s">
        <v>191</v>
      </c>
      <c r="H15" s="24">
        <f>1-H10</f>
        <v>0.5</v>
      </c>
      <c r="I15" s="124" t="s">
        <v>11</v>
      </c>
      <c r="P15" s="1">
        <v>62.2</v>
      </c>
      <c r="Q15" s="21">
        <f>0.05*86+3.5*3</f>
        <v>14.8</v>
      </c>
      <c r="R15" s="1" t="s">
        <v>192</v>
      </c>
      <c r="T15" s="1" t="s">
        <v>193</v>
      </c>
      <c r="U15" s="1">
        <v>1.5</v>
      </c>
      <c r="V15" s="1" t="s">
        <v>194</v>
      </c>
      <c r="AA15" s="1" t="s">
        <v>743</v>
      </c>
      <c r="AB15" s="75">
        <v>1.5</v>
      </c>
      <c r="AC15" s="76">
        <f t="shared" si="3"/>
        <v>749.70012499999996</v>
      </c>
      <c r="AD15" s="77">
        <f t="shared" si="4"/>
        <v>2.2312503720238096E-2</v>
      </c>
      <c r="AE15" s="79">
        <f t="shared" si="5"/>
        <v>0.74404761904761907</v>
      </c>
      <c r="AF15" s="1">
        <f>1000*(AD15/A_houseSI)*((H_soffitSI-Geometry!$D$12)/Geometry!$D$13)^0.4</f>
        <v>7.6159323447344288E-2</v>
      </c>
    </row>
    <row r="16" spans="1:33" ht="15" customHeight="1">
      <c r="A16" s="108" t="s">
        <v>195</v>
      </c>
      <c r="B16" s="109" t="s">
        <v>196</v>
      </c>
      <c r="C16" s="109" t="s">
        <v>197</v>
      </c>
      <c r="D16" s="109" t="s">
        <v>198</v>
      </c>
      <c r="E16" s="109" t="s">
        <v>199</v>
      </c>
      <c r="G16" s="100" t="s">
        <v>177</v>
      </c>
      <c r="H16" s="1">
        <f>SUM(H13:H15)</f>
        <v>1</v>
      </c>
      <c r="I16" s="1" t="s">
        <v>11</v>
      </c>
      <c r="P16" s="1" t="s">
        <v>200</v>
      </c>
      <c r="Q16" s="1">
        <f>Q15+10/100*86</f>
        <v>23.4</v>
      </c>
      <c r="R16" s="1" t="s">
        <v>192</v>
      </c>
      <c r="T16" s="1" t="s">
        <v>201</v>
      </c>
      <c r="U16" s="1">
        <f>U15/1000*3600/2.5</f>
        <v>2.16</v>
      </c>
      <c r="V16" s="1" t="s">
        <v>202</v>
      </c>
      <c r="AA16" s="1" t="s">
        <v>744</v>
      </c>
      <c r="AB16" s="75">
        <v>0.6</v>
      </c>
      <c r="AC16" s="76">
        <f t="shared" si="3"/>
        <v>749.70012499999996</v>
      </c>
      <c r="AD16" s="77">
        <f t="shared" si="4"/>
        <v>8.925001488095238E-3</v>
      </c>
      <c r="AE16" s="79">
        <f t="shared" si="5"/>
        <v>0.29761904761904762</v>
      </c>
      <c r="AF16" s="1">
        <f>1000*(AD16/A_houseSI)*((H_soffitSI-Geometry!$D$12)/Geometry!$D$13)^0.4</f>
        <v>3.0463729378937706E-2</v>
      </c>
    </row>
    <row r="17" spans="1:24" ht="15" customHeight="1">
      <c r="A17" s="100">
        <v>1000</v>
      </c>
      <c r="B17" s="1">
        <v>3.8</v>
      </c>
      <c r="C17" s="18">
        <f>B17*A17*144/10000</f>
        <v>54.72</v>
      </c>
      <c r="D17" s="25">
        <f>C17*(0.3048/12)^2</f>
        <v>3.5303155200000005E-2</v>
      </c>
      <c r="E17" s="19">
        <f>D17/(SQRT(1.2/2)*4^(0.65-0.5))</f>
        <v>3.7019359298582966E-2</v>
      </c>
      <c r="P17" s="1" t="s">
        <v>203</v>
      </c>
      <c r="Q17" s="1">
        <v>86</v>
      </c>
      <c r="R17" s="1" t="s">
        <v>151</v>
      </c>
      <c r="T17" s="1" t="s">
        <v>178</v>
      </c>
      <c r="U17" s="1">
        <f>U16/2</f>
        <v>1.08</v>
      </c>
      <c r="V17" s="1" t="s">
        <v>11</v>
      </c>
    </row>
    <row r="18" spans="1:24" ht="15" customHeight="1">
      <c r="A18" s="100">
        <v>2000</v>
      </c>
      <c r="B18" s="1">
        <v>3.8</v>
      </c>
      <c r="C18" s="18">
        <f>B18*A18*144/10000</f>
        <v>109.44</v>
      </c>
      <c r="D18" s="25">
        <f>C18*(0.3048/12)^2</f>
        <v>7.0606310400000011E-2</v>
      </c>
      <c r="E18" s="19">
        <f>D18/(SQRT(1.2/2)*4^(0.65-0.5))</f>
        <v>7.4038718597165931E-2</v>
      </c>
      <c r="P18" s="1" t="s">
        <v>150</v>
      </c>
      <c r="Q18" s="21">
        <f>Q17*2.5</f>
        <v>215</v>
      </c>
      <c r="R18" s="1" t="s">
        <v>151</v>
      </c>
      <c r="T18" s="14" t="s">
        <v>204</v>
      </c>
    </row>
    <row r="19" spans="1:24" ht="15" customHeight="1">
      <c r="A19" s="100">
        <v>2700</v>
      </c>
      <c r="B19" s="1">
        <v>3.8</v>
      </c>
      <c r="C19" s="18">
        <f>B19*A19*144/10000</f>
        <v>147.744</v>
      </c>
      <c r="D19" s="25">
        <f>C19*(0.3048/12)^2</f>
        <v>9.5318519040000008E-2</v>
      </c>
      <c r="E19" s="19">
        <f>D19/(SQRT(1.2/2)*4^(0.65-0.5))</f>
        <v>9.9952270106173996E-2</v>
      </c>
      <c r="G19" s="23" t="s">
        <v>456</v>
      </c>
      <c r="P19" s="1" t="s">
        <v>201</v>
      </c>
      <c r="Q19" s="22">
        <f>Q16/1000*3600/Q18</f>
        <v>0.39181395348837206</v>
      </c>
      <c r="R19" s="1" t="s">
        <v>202</v>
      </c>
    </row>
    <row r="20" spans="1:24" ht="15" customHeight="1">
      <c r="A20" s="100">
        <v>4000</v>
      </c>
      <c r="B20" s="1">
        <v>3.8</v>
      </c>
      <c r="C20" s="18">
        <f>B20*A20*144/10000</f>
        <v>218.88</v>
      </c>
      <c r="D20" s="25">
        <f>C20*(0.3048/12)^2</f>
        <v>0.14121262080000002</v>
      </c>
      <c r="E20" s="19">
        <f>D20/(SQRT(1.2/2)*4^(0.65-0.5))</f>
        <v>0.14807743719433186</v>
      </c>
      <c r="G20" s="100" t="s">
        <v>473</v>
      </c>
      <c r="H20" s="25">
        <f>W_houseSI</f>
        <v>12.244999999999999</v>
      </c>
      <c r="P20" s="1" t="s">
        <v>205</v>
      </c>
      <c r="Q20" s="1">
        <v>3.5</v>
      </c>
      <c r="R20" s="1" t="s">
        <v>202</v>
      </c>
    </row>
    <row r="21" spans="1:24" ht="15" customHeight="1">
      <c r="G21" s="100" t="s">
        <v>474</v>
      </c>
      <c r="H21" s="25">
        <f>L_houseSI</f>
        <v>24.49</v>
      </c>
      <c r="L21" s="21"/>
      <c r="M21" s="21"/>
      <c r="N21" s="21"/>
      <c r="O21" s="21"/>
      <c r="P21" s="1" t="s">
        <v>206</v>
      </c>
      <c r="Q21" s="19">
        <f>Q20*Q17*2.5/3600/14</f>
        <v>1.4930555555555556E-2</v>
      </c>
      <c r="R21" s="1" t="s">
        <v>138</v>
      </c>
    </row>
    <row r="22" spans="1:24" ht="15" customHeight="1">
      <c r="A22" s="23" t="s">
        <v>190</v>
      </c>
      <c r="B22" s="4"/>
      <c r="G22" s="100" t="s">
        <v>475</v>
      </c>
      <c r="H22" s="25">
        <f>H20/(2*H21+2*H20)</f>
        <v>0.16666666666666666</v>
      </c>
      <c r="P22" s="1" t="s">
        <v>207</v>
      </c>
      <c r="Q22" s="26">
        <f>PI()*(0.1/2)^2</f>
        <v>7.8539816339744835E-3</v>
      </c>
      <c r="R22" s="1" t="s">
        <v>138</v>
      </c>
      <c r="S22" s="27">
        <f>Q22/($Q$21+Q22)</f>
        <v>0.3447066564768122</v>
      </c>
    </row>
    <row r="23" spans="1:24" ht="15.75" customHeight="1">
      <c r="A23" s="108" t="s">
        <v>195</v>
      </c>
      <c r="B23" s="109" t="s">
        <v>196</v>
      </c>
      <c r="C23" s="109" t="s">
        <v>197</v>
      </c>
      <c r="D23" s="109" t="s">
        <v>198</v>
      </c>
      <c r="E23" s="109" t="s">
        <v>199</v>
      </c>
      <c r="G23" s="129" t="s">
        <v>476</v>
      </c>
      <c r="H23" s="25">
        <f>H21/(2*H20+2*H21)</f>
        <v>0.33333333333333331</v>
      </c>
      <c r="M23" s="25"/>
      <c r="N23" s="25"/>
      <c r="P23" s="1" t="s">
        <v>208</v>
      </c>
      <c r="Q23" s="26">
        <f>PI()*(0.2/2)^2</f>
        <v>3.1415926535897934E-2</v>
      </c>
      <c r="R23" s="1" t="s">
        <v>138</v>
      </c>
      <c r="S23" s="27">
        <f>Q23/($Q$21+Q23)</f>
        <v>0.67784921569465095</v>
      </c>
    </row>
    <row r="24" spans="1:24" ht="15" customHeight="1">
      <c r="A24" s="100">
        <v>1000</v>
      </c>
      <c r="B24" s="1">
        <v>2.7</v>
      </c>
      <c r="C24" s="18">
        <f>B24*A24*144/10000</f>
        <v>38.880000000000003</v>
      </c>
      <c r="D24" s="25">
        <f>C24*(0.3048/12)^2</f>
        <v>2.5083820800000003E-2</v>
      </c>
      <c r="E24" s="19">
        <f>D24/(SQRT(1.2/2)*4^(0.65-0.5))</f>
        <v>2.630322897530895E-2</v>
      </c>
      <c r="G24" s="20"/>
      <c r="H24" s="20"/>
      <c r="P24" s="1" t="s">
        <v>178</v>
      </c>
      <c r="Q24" s="1">
        <f>Q20/2</f>
        <v>1.75</v>
      </c>
      <c r="R24" s="1" t="s">
        <v>11</v>
      </c>
    </row>
    <row r="25" spans="1:24" ht="15" customHeight="1">
      <c r="A25" s="100">
        <v>2100</v>
      </c>
      <c r="B25" s="1">
        <f>B24</f>
        <v>2.7</v>
      </c>
      <c r="C25" s="18">
        <f>B25*A25*144/10000</f>
        <v>81.647999999999996</v>
      </c>
      <c r="D25" s="25">
        <f>C25*(0.3048/12)^2</f>
        <v>5.2676023680000003E-2</v>
      </c>
      <c r="E25" s="19">
        <f>D25/(SQRT(1.2/2)*4^(0.65-0.5))</f>
        <v>5.5236780848148787E-2</v>
      </c>
      <c r="G25" s="20"/>
      <c r="H25" s="20"/>
      <c r="P25" s="14" t="s">
        <v>209</v>
      </c>
    </row>
    <row r="26" spans="1:24" ht="15" customHeight="1">
      <c r="A26" s="100">
        <v>2700</v>
      </c>
      <c r="B26" s="1">
        <f>B25</f>
        <v>2.7</v>
      </c>
      <c r="C26" s="18">
        <f>B26*A26*144/10000</f>
        <v>104.97600000000003</v>
      </c>
      <c r="D26" s="25">
        <f>C26*(0.3048/12)^2</f>
        <v>6.7726316160000022E-2</v>
      </c>
      <c r="E26" s="19">
        <f>D26/(SQRT(1.2/2)*4^(0.65-0.5))</f>
        <v>7.101871823333418E-2</v>
      </c>
      <c r="G26" s="20"/>
      <c r="H26" s="20"/>
    </row>
    <row r="27" spans="1:24" ht="15" customHeight="1">
      <c r="A27" s="100">
        <v>4000</v>
      </c>
      <c r="B27" s="1">
        <f>B26</f>
        <v>2.7</v>
      </c>
      <c r="C27" s="18">
        <f>B27*A27*144/10000</f>
        <v>155.52000000000001</v>
      </c>
      <c r="D27" s="25">
        <f>C27*(0.3048/12)^2</f>
        <v>0.10033528320000001</v>
      </c>
      <c r="E27" s="19">
        <f>D27/(SQRT(1.2/2)*4^(0.65-0.5))</f>
        <v>0.1052129159012358</v>
      </c>
      <c r="G27" s="20"/>
      <c r="H27" s="20"/>
    </row>
    <row r="28" spans="1:24" ht="15" customHeight="1">
      <c r="G28" s="1" t="s">
        <v>969</v>
      </c>
    </row>
    <row r="29" spans="1:24" ht="15" customHeight="1">
      <c r="G29" s="210" t="s">
        <v>639</v>
      </c>
      <c r="H29" s="290" t="s">
        <v>707</v>
      </c>
      <c r="I29" s="290" t="s">
        <v>656</v>
      </c>
      <c r="J29" s="290" t="s">
        <v>657</v>
      </c>
      <c r="K29" s="290" t="s">
        <v>658</v>
      </c>
      <c r="L29" s="290" t="s">
        <v>659</v>
      </c>
      <c r="M29" s="290" t="s">
        <v>660</v>
      </c>
      <c r="N29" s="290" t="s">
        <v>661</v>
      </c>
      <c r="O29" s="290" t="s">
        <v>662</v>
      </c>
      <c r="P29" s="290" t="s">
        <v>663</v>
      </c>
      <c r="Q29" s="290" t="s">
        <v>664</v>
      </c>
      <c r="R29" s="290" t="s">
        <v>665</v>
      </c>
      <c r="S29" s="290" t="s">
        <v>666</v>
      </c>
      <c r="T29" s="290" t="s">
        <v>667</v>
      </c>
      <c r="U29" s="341">
        <v>7</v>
      </c>
      <c r="V29" s="341">
        <v>8</v>
      </c>
      <c r="W29" s="1" t="s">
        <v>919</v>
      </c>
      <c r="X29" s="1" t="s">
        <v>918</v>
      </c>
    </row>
    <row r="30" spans="1:24" ht="15" customHeight="1">
      <c r="G30" s="1" t="s">
        <v>873</v>
      </c>
      <c r="H30" s="1">
        <v>3</v>
      </c>
      <c r="I30" s="1">
        <v>3</v>
      </c>
      <c r="J30" s="1">
        <v>3</v>
      </c>
      <c r="K30" s="1">
        <v>2.5</v>
      </c>
      <c r="L30" s="1">
        <v>2.5</v>
      </c>
      <c r="M30" s="1">
        <v>2.5</v>
      </c>
      <c r="N30" s="1">
        <v>2.5</v>
      </c>
      <c r="O30" s="1">
        <v>2.5</v>
      </c>
      <c r="P30" s="1">
        <v>2.5</v>
      </c>
      <c r="Q30" s="1">
        <v>2</v>
      </c>
      <c r="R30" s="1">
        <v>2</v>
      </c>
      <c r="S30" s="1">
        <v>2</v>
      </c>
      <c r="T30" s="1">
        <v>2</v>
      </c>
      <c r="U30" s="1">
        <v>2</v>
      </c>
      <c r="V30" s="1">
        <v>1.5</v>
      </c>
      <c r="W30" s="1">
        <v>3</v>
      </c>
      <c r="X30" s="1">
        <v>2.5</v>
      </c>
    </row>
    <row r="31" spans="1:24" ht="15" customHeight="1">
      <c r="G31" s="1" t="s">
        <v>890</v>
      </c>
      <c r="H31" s="1">
        <f>(V_houseSI*H30)/3600/14</f>
        <v>4.4625007440476192E-2</v>
      </c>
      <c r="I31" s="1">
        <f t="shared" ref="I31:V31" si="6">(V_houseSI*I30)/3600/14</f>
        <v>4.4625007440476192E-2</v>
      </c>
      <c r="J31" s="1">
        <f t="shared" si="6"/>
        <v>4.4625007440476192E-2</v>
      </c>
      <c r="K31" s="1">
        <f t="shared" si="6"/>
        <v>3.7187506200396826E-2</v>
      </c>
      <c r="L31" s="1">
        <f t="shared" si="6"/>
        <v>3.7187506200396826E-2</v>
      </c>
      <c r="M31" s="1">
        <f t="shared" si="6"/>
        <v>3.7187506200396826E-2</v>
      </c>
      <c r="N31" s="1">
        <f t="shared" si="6"/>
        <v>3.7187506200396826E-2</v>
      </c>
      <c r="O31" s="1">
        <f t="shared" si="6"/>
        <v>3.7187506200396826E-2</v>
      </c>
      <c r="P31" s="1">
        <f t="shared" si="6"/>
        <v>3.7187506200396826E-2</v>
      </c>
      <c r="Q31" s="1">
        <f t="shared" si="6"/>
        <v>2.9750004960317458E-2</v>
      </c>
      <c r="R31" s="1">
        <f t="shared" si="6"/>
        <v>2.9750004960317458E-2</v>
      </c>
      <c r="S31" s="1">
        <f t="shared" si="6"/>
        <v>2.9750004960317458E-2</v>
      </c>
      <c r="T31" s="1">
        <f t="shared" si="6"/>
        <v>2.9750004960317458E-2</v>
      </c>
      <c r="U31" s="1">
        <f t="shared" si="6"/>
        <v>2.9750004960317458E-2</v>
      </c>
      <c r="V31" s="1">
        <f t="shared" si="6"/>
        <v>2.2312503720238096E-2</v>
      </c>
      <c r="W31" s="1">
        <f>(V_houseSI*W30)/3600/14</f>
        <v>4.4625007440476192E-2</v>
      </c>
      <c r="X31" s="1">
        <f>(V_houseSI*X30)/3600/14</f>
        <v>3.7187506200396826E-2</v>
      </c>
    </row>
    <row r="32" spans="1:24" ht="15" customHeight="1">
      <c r="G32" s="1" t="s">
        <v>891</v>
      </c>
      <c r="H32" s="469">
        <f>H31*1.05</f>
        <v>4.6856257812500003E-2</v>
      </c>
      <c r="I32" s="469">
        <f t="shared" ref="I32:X32" si="7">I31*1.05</f>
        <v>4.6856257812500003E-2</v>
      </c>
      <c r="J32" s="469">
        <f t="shared" si="7"/>
        <v>4.6856257812500003E-2</v>
      </c>
      <c r="K32" s="469">
        <f t="shared" si="7"/>
        <v>3.9046881510416666E-2</v>
      </c>
      <c r="L32" s="469">
        <f t="shared" si="7"/>
        <v>3.9046881510416666E-2</v>
      </c>
      <c r="M32" s="469">
        <f t="shared" si="7"/>
        <v>3.9046881510416666E-2</v>
      </c>
      <c r="N32" s="469">
        <f t="shared" si="7"/>
        <v>3.9046881510416666E-2</v>
      </c>
      <c r="O32" s="469">
        <f t="shared" si="7"/>
        <v>3.9046881510416666E-2</v>
      </c>
      <c r="P32" s="469">
        <f t="shared" si="7"/>
        <v>3.9046881510416666E-2</v>
      </c>
      <c r="Q32" s="469">
        <f t="shared" si="7"/>
        <v>3.1237505208333332E-2</v>
      </c>
      <c r="R32" s="469">
        <f t="shared" si="7"/>
        <v>3.1237505208333332E-2</v>
      </c>
      <c r="S32" s="469">
        <f t="shared" si="7"/>
        <v>3.1237505208333332E-2</v>
      </c>
      <c r="T32" s="469">
        <f t="shared" si="7"/>
        <v>3.1237505208333332E-2</v>
      </c>
      <c r="U32" s="469">
        <f t="shared" si="7"/>
        <v>3.1237505208333332E-2</v>
      </c>
      <c r="V32" s="469">
        <f t="shared" si="7"/>
        <v>2.3428128906250002E-2</v>
      </c>
      <c r="W32" s="469">
        <f t="shared" si="7"/>
        <v>4.6856257812500003E-2</v>
      </c>
      <c r="X32" s="469">
        <f t="shared" si="7"/>
        <v>3.9046881510416666E-2</v>
      </c>
    </row>
    <row r="33" spans="7:24" ht="15" customHeight="1">
      <c r="G33" s="1" t="s">
        <v>8</v>
      </c>
      <c r="H33" s="1">
        <f t="shared" ref="H33:X33" si="8">n</f>
        <v>0.65</v>
      </c>
      <c r="I33" s="1">
        <f t="shared" si="8"/>
        <v>0.65</v>
      </c>
      <c r="J33" s="1">
        <f t="shared" si="8"/>
        <v>0.65</v>
      </c>
      <c r="K33" s="1">
        <f t="shared" si="8"/>
        <v>0.65</v>
      </c>
      <c r="L33" s="1">
        <f t="shared" si="8"/>
        <v>0.65</v>
      </c>
      <c r="M33" s="1">
        <f t="shared" si="8"/>
        <v>0.65</v>
      </c>
      <c r="N33" s="1">
        <f t="shared" si="8"/>
        <v>0.65</v>
      </c>
      <c r="O33" s="1">
        <f t="shared" si="8"/>
        <v>0.65</v>
      </c>
      <c r="P33" s="1">
        <f t="shared" si="8"/>
        <v>0.65</v>
      </c>
      <c r="Q33" s="1">
        <f t="shared" si="8"/>
        <v>0.65</v>
      </c>
      <c r="R33" s="1">
        <f t="shared" si="8"/>
        <v>0.65</v>
      </c>
      <c r="S33" s="25">
        <f t="shared" si="8"/>
        <v>0.65</v>
      </c>
      <c r="T33" s="1">
        <f t="shared" si="8"/>
        <v>0.65</v>
      </c>
      <c r="U33" s="1">
        <f t="shared" si="8"/>
        <v>0.65</v>
      </c>
      <c r="V33" s="1">
        <f t="shared" si="8"/>
        <v>0.65</v>
      </c>
      <c r="W33" s="1">
        <f t="shared" si="8"/>
        <v>0.65</v>
      </c>
      <c r="X33" s="1">
        <f t="shared" si="8"/>
        <v>0.65</v>
      </c>
    </row>
    <row r="34" spans="7:24" ht="15" customHeight="1">
      <c r="G34" s="1" t="s">
        <v>870</v>
      </c>
      <c r="H34" s="1">
        <f>1000*(H31/A_houseSI)*((H_soffitSI-Geometry!$D$12)/2.5)^0.4</f>
        <v>0.15231864689468858</v>
      </c>
      <c r="I34" s="1">
        <f>1000*(I31/A_houseSI)*((H_soffitSI-Geometry!$D$12)/2.5)^0.4</f>
        <v>0.15231864689468858</v>
      </c>
      <c r="J34" s="1">
        <f>1000*(J31/A_houseSI)*((H_soffitSI-Geometry!$D$12)/2.5)^0.4</f>
        <v>0.15231864689468858</v>
      </c>
      <c r="K34" s="1">
        <f>1000*(K31/A_houseSI)*((H_soffitSI-Geometry!$D$12)/2.5)^0.4</f>
        <v>0.12693220574557379</v>
      </c>
      <c r="L34" s="1">
        <f>1000*(L31/A_houseSI)*((H_soffitSI-Geometry!$D$12)/2.5)^0.4</f>
        <v>0.12693220574557379</v>
      </c>
      <c r="M34" s="1">
        <f>1000*(M31/A_houseSI)*((H_soffitSI-Geometry!$D$12)/2.5)^0.4</f>
        <v>0.12693220574557379</v>
      </c>
      <c r="N34" s="1">
        <f>1000*(N31/A_houseSI)*((H_soffitSI-Geometry!$D$12)/2.5)^0.4</f>
        <v>0.12693220574557379</v>
      </c>
      <c r="O34" s="1">
        <f>1000*(O31/A_houseSI)*((H_soffitSI-Geometry!$D$12)/2.5)^0.4</f>
        <v>0.12693220574557379</v>
      </c>
      <c r="P34" s="1">
        <f>1000*(P31/A_houseSI)*((H_soffitSI-Geometry!$D$12)/2.5)^0.4</f>
        <v>0.12693220574557379</v>
      </c>
      <c r="Q34" s="1">
        <f>1000*(Q31/A_houseSI)*((H_soffitSI-Geometry!$D$12)/2.5)^0.4</f>
        <v>0.10154576459645902</v>
      </c>
      <c r="R34" s="1">
        <f>1000*(R31/A_houseSI)*((H_soffitSI-Geometry!$D$12)/2.5)^0.4</f>
        <v>0.10154576459645902</v>
      </c>
      <c r="S34" s="1">
        <f>1000*(S31/A_houseSI)*((H_soffitSI-Geometry!$D$12)/2.5)^0.4</f>
        <v>0.10154576459645902</v>
      </c>
      <c r="T34" s="1">
        <f>1000*(T31/A_houseSI)*((H_soffitSI-Geometry!$D$12)/2.5)^0.4</f>
        <v>0.10154576459645902</v>
      </c>
      <c r="U34" s="1">
        <f>1000*(U31/A_houseSI)*((H_soffitSI-Geometry!$D$12)/2.5)^0.4</f>
        <v>0.10154576459645902</v>
      </c>
      <c r="V34" s="1">
        <f>1000*(V31/A_houseSI)*((H_soffitSI-Geometry!$D$12)/2.5)^0.4</f>
        <v>7.6159323447344288E-2</v>
      </c>
      <c r="W34" s="1">
        <f>1000*(W31/A_houseSI)*((H_soffitSI-Geometry!$D$12)/2.5)^0.4</f>
        <v>0.15231864689468858</v>
      </c>
      <c r="X34" s="1">
        <f>1000*(X31/A_houseSI)*((H_soffitSI-Geometry!$D$12)/2.5)^0.4</f>
        <v>0.12693220574557379</v>
      </c>
    </row>
  </sheetData>
  <pageMargins left="0.7" right="0.7" top="0.75" bottom="0.75" header="0.51180555555555551" footer="0.51180555555555551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C10" sqref="C10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22</v>
      </c>
      <c r="Q1" s="28" t="s">
        <v>210</v>
      </c>
      <c r="R1" s="28"/>
      <c r="S1" s="28"/>
    </row>
    <row r="2" spans="1:19" s="305" customFormat="1" ht="15" customHeight="1">
      <c r="A2" s="290" t="s">
        <v>1060</v>
      </c>
      <c r="B2" s="510">
        <v>0</v>
      </c>
      <c r="Q2" s="28"/>
      <c r="R2" s="28"/>
      <c r="S2" s="28"/>
    </row>
    <row r="3" spans="1:19" s="305" customFormat="1" ht="15" customHeight="1">
      <c r="A3" s="290"/>
      <c r="B3" s="513"/>
      <c r="Q3" s="28"/>
      <c r="R3" s="28"/>
      <c r="S3" s="28"/>
    </row>
    <row r="4" spans="1:19" s="305" customFormat="1" ht="15" customHeight="1">
      <c r="A4" s="23" t="s">
        <v>211</v>
      </c>
      <c r="B4" s="513"/>
      <c r="Q4" s="28"/>
      <c r="R4" s="28"/>
      <c r="S4" s="28"/>
    </row>
    <row r="5" spans="1:19" ht="15" customHeight="1">
      <c r="A5" s="104"/>
      <c r="B5" s="104"/>
      <c r="C5" s="514" t="s">
        <v>1260</v>
      </c>
      <c r="D5" s="514" t="s">
        <v>1261</v>
      </c>
      <c r="E5" s="104"/>
      <c r="H5" s="109" t="s">
        <v>212</v>
      </c>
      <c r="I5" s="104"/>
      <c r="J5" s="104"/>
      <c r="K5" s="104"/>
      <c r="L5" s="104"/>
      <c r="M5" s="104"/>
      <c r="N5" s="104"/>
      <c r="Q5" s="28" t="s">
        <v>213</v>
      </c>
      <c r="R5" s="28"/>
      <c r="S5" s="28"/>
    </row>
    <row r="6" spans="1:19" ht="15" customHeight="1">
      <c r="A6" s="94" t="s">
        <v>214</v>
      </c>
      <c r="B6" s="17"/>
      <c r="C6" s="5">
        <v>3</v>
      </c>
      <c r="D6" s="305">
        <v>3</v>
      </c>
      <c r="E6" s="5" t="s">
        <v>134</v>
      </c>
      <c r="H6" s="94" t="s">
        <v>215</v>
      </c>
      <c r="I6" s="5">
        <v>6</v>
      </c>
      <c r="J6" s="5" t="s">
        <v>134</v>
      </c>
      <c r="K6"/>
      <c r="Q6" s="28" t="s">
        <v>214</v>
      </c>
      <c r="R6" s="28">
        <v>4.5</v>
      </c>
      <c r="S6" s="28" t="s">
        <v>134</v>
      </c>
    </row>
    <row r="7" spans="1:19" ht="15" customHeight="1">
      <c r="A7" s="94" t="s">
        <v>216</v>
      </c>
      <c r="B7" s="17"/>
      <c r="C7" s="29">
        <v>0.15</v>
      </c>
      <c r="D7" s="29">
        <v>0.15</v>
      </c>
      <c r="E7" s="5" t="s">
        <v>134</v>
      </c>
      <c r="H7" s="94" t="s">
        <v>218</v>
      </c>
      <c r="I7" s="29">
        <f>C7</f>
        <v>0.15</v>
      </c>
      <c r="J7" s="5" t="s">
        <v>134</v>
      </c>
      <c r="Q7" s="28" t="s">
        <v>216</v>
      </c>
      <c r="R7" s="28">
        <v>0.15</v>
      </c>
      <c r="S7" s="28" t="s">
        <v>134</v>
      </c>
    </row>
    <row r="8" spans="1:19" ht="15" customHeight="1">
      <c r="A8" s="94" t="s">
        <v>219</v>
      </c>
      <c r="C8" s="30">
        <f>PI()*(C7/2)^2</f>
        <v>1.7671458676442587E-2</v>
      </c>
      <c r="D8" s="30">
        <f>PI()*(D7/2)^2</f>
        <v>1.7671458676442587E-2</v>
      </c>
      <c r="E8" s="5" t="s">
        <v>138</v>
      </c>
      <c r="H8" s="94" t="s">
        <v>220</v>
      </c>
      <c r="I8" s="5">
        <v>1.3700000000000002E-2</v>
      </c>
      <c r="Q8" s="28" t="s">
        <v>221</v>
      </c>
      <c r="R8" s="28">
        <v>5.4000000000000006E-2</v>
      </c>
      <c r="S8" s="28"/>
    </row>
    <row r="9" spans="1:19" ht="15" customHeight="1">
      <c r="A9" s="94" t="s">
        <v>222</v>
      </c>
      <c r="C9" s="29">
        <f>I11</f>
        <v>2.0000406200209989E-2</v>
      </c>
      <c r="D9" s="29">
        <f>I11</f>
        <v>2.0000406200209989E-2</v>
      </c>
      <c r="E9" s="5" t="s">
        <v>11</v>
      </c>
      <c r="H9" s="94" t="s">
        <v>223</v>
      </c>
      <c r="I9" s="30">
        <f>PI()*(I7/2)^2</f>
        <v>1.7671458676442587E-2</v>
      </c>
      <c r="J9" s="5" t="s">
        <v>138</v>
      </c>
      <c r="L9" s="5" t="s">
        <v>693</v>
      </c>
      <c r="Q9" s="28" t="s">
        <v>219</v>
      </c>
      <c r="R9" s="28">
        <f>PI()*(R7/2)^2</f>
        <v>1.7671458676442587E-2</v>
      </c>
      <c r="S9" s="28" t="s">
        <v>138</v>
      </c>
    </row>
    <row r="10" spans="1:19" ht="15" customHeight="1">
      <c r="A10" s="508" t="s">
        <v>225</v>
      </c>
      <c r="B10" s="509"/>
      <c r="C10" s="507">
        <f>SQRT(2*C8^2/(1.2*(1+C9*C6/C7)))</f>
        <v>1.9281086206186945E-2</v>
      </c>
      <c r="D10" s="507">
        <f>SQRT(2*D8^2/(1.2*(1+D9*D6/D7)))</f>
        <v>1.9281086206186945E-2</v>
      </c>
      <c r="E10" s="509" t="s">
        <v>1242</v>
      </c>
      <c r="H10" s="94" t="s">
        <v>224</v>
      </c>
      <c r="I10" s="5">
        <v>1.9730000000000001</v>
      </c>
      <c r="J10" s="5" t="s">
        <v>11</v>
      </c>
      <c r="L10" s="5">
        <v>2</v>
      </c>
      <c r="Q10" s="28"/>
      <c r="R10" s="28">
        <f>(2/1.2*(R9/R8)^2-1)*R7/R6</f>
        <v>-2.7383774353124182E-2</v>
      </c>
      <c r="S10" s="28"/>
    </row>
    <row r="11" spans="1:19" ht="15" customHeight="1">
      <c r="A11" s="228" t="s">
        <v>1263</v>
      </c>
      <c r="C11" s="327">
        <v>-99</v>
      </c>
      <c r="D11" s="327">
        <v>-99</v>
      </c>
      <c r="E11" s="5" t="s">
        <v>1262</v>
      </c>
      <c r="H11" s="94" t="s">
        <v>226</v>
      </c>
      <c r="I11" s="29">
        <f>(2/1.2*(I9/I8)^2-I10)*I7/I6</f>
        <v>2.0000406200209989E-2</v>
      </c>
      <c r="L11" s="5">
        <v>0.02</v>
      </c>
      <c r="Q11" s="28"/>
      <c r="R11" s="28">
        <f>SQRT(2*R9^2/(1.2*(1+R10*R6/R7)))</f>
        <v>5.4000000000000006E-2</v>
      </c>
      <c r="S11" s="28"/>
    </row>
    <row r="12" spans="1:19" ht="15" customHeight="1">
      <c r="H12" s="122" t="s">
        <v>227</v>
      </c>
    </row>
    <row r="13" spans="1:19" ht="15" customHeight="1">
      <c r="H13" s="94" t="s">
        <v>4</v>
      </c>
      <c r="I13" s="5">
        <f>SQRT(2*I9^2/(1.2*(I10+I11*I6/I7)))</f>
        <v>1.37E-2</v>
      </c>
    </row>
    <row r="15" spans="1:19" ht="15" customHeight="1">
      <c r="A15" s="109" t="s">
        <v>228</v>
      </c>
      <c r="B15" s="104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 t="s">
        <v>229</v>
      </c>
    </row>
    <row r="16" spans="1:19" ht="15" customHeight="1">
      <c r="A16" s="94" t="s">
        <v>230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31">
        <v>3</v>
      </c>
      <c r="I16" s="31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231</v>
      </c>
    </row>
    <row r="17" spans="1:16" ht="15" customHeight="1">
      <c r="A17" s="94" t="s">
        <v>232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31">
        <v>0.2</v>
      </c>
      <c r="I17" s="31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233</v>
      </c>
    </row>
    <row r="18" spans="1:16" ht="15" customHeight="1">
      <c r="A18" s="94" t="s">
        <v>234</v>
      </c>
      <c r="B18" s="137">
        <f>B16/B17</f>
        <v>40</v>
      </c>
      <c r="C18" s="137">
        <f t="shared" ref="C18:M18" si="0">C16/C17</f>
        <v>33.333333333333336</v>
      </c>
      <c r="D18" s="137">
        <f t="shared" si="0"/>
        <v>26.666666666666668</v>
      </c>
      <c r="E18" s="137">
        <f t="shared" si="0"/>
        <v>20</v>
      </c>
      <c r="F18" s="137">
        <f t="shared" si="0"/>
        <v>30</v>
      </c>
      <c r="G18" s="137">
        <f t="shared" si="0"/>
        <v>20</v>
      </c>
      <c r="H18" s="137">
        <f t="shared" si="0"/>
        <v>15</v>
      </c>
      <c r="I18" s="137">
        <f t="shared" si="0"/>
        <v>10</v>
      </c>
      <c r="J18" s="137">
        <f t="shared" si="0"/>
        <v>60</v>
      </c>
      <c r="K18" s="137">
        <f t="shared" si="0"/>
        <v>50</v>
      </c>
      <c r="L18" s="137">
        <f t="shared" si="0"/>
        <v>40</v>
      </c>
      <c r="M18" s="137">
        <f t="shared" si="0"/>
        <v>30</v>
      </c>
      <c r="N18" s="137">
        <f>N16/N17</f>
        <v>37.1875</v>
      </c>
      <c r="P18" s="5" t="s">
        <v>235</v>
      </c>
    </row>
    <row r="19" spans="1:16" ht="15" customHeight="1">
      <c r="A19" s="94" t="s">
        <v>236</v>
      </c>
      <c r="B19" s="29">
        <f>SQRT(1/($L$11*B18+$L$10))</f>
        <v>0.59761430466719678</v>
      </c>
      <c r="C19" s="29">
        <f t="shared" ref="C19:N19" si="1">SQRT(1/($L$11*C18+$L$10))</f>
        <v>0.61237243569579447</v>
      </c>
      <c r="D19" s="29">
        <f t="shared" si="1"/>
        <v>0.62828086243754322</v>
      </c>
      <c r="E19" s="29">
        <f t="shared" si="1"/>
        <v>0.6454972243679028</v>
      </c>
      <c r="F19" s="29">
        <f t="shared" si="1"/>
        <v>0.6201736729460422</v>
      </c>
      <c r="G19" s="29">
        <f t="shared" si="1"/>
        <v>0.6454972243679028</v>
      </c>
      <c r="H19" s="29">
        <f t="shared" si="1"/>
        <v>0.65938047339578709</v>
      </c>
      <c r="I19" s="29">
        <f t="shared" si="1"/>
        <v>0.67419986246324204</v>
      </c>
      <c r="J19" s="29">
        <f t="shared" si="1"/>
        <v>0.55901699437494745</v>
      </c>
      <c r="K19" s="29">
        <f t="shared" si="1"/>
        <v>0.57735026918962573</v>
      </c>
      <c r="L19" s="29">
        <f t="shared" si="1"/>
        <v>0.59761430466719678</v>
      </c>
      <c r="M19" s="29">
        <f t="shared" si="1"/>
        <v>0.6201736729460422</v>
      </c>
      <c r="N19" s="29">
        <f t="shared" si="1"/>
        <v>0.60370911247298209</v>
      </c>
    </row>
    <row r="20" spans="1:16" ht="15" customHeight="1">
      <c r="A20" s="94" t="s">
        <v>238</v>
      </c>
      <c r="B20" s="30">
        <f>B19*(PI()*(B17/2)^2)*(2/1.2)^0.5</f>
        <v>1.3633826362458829E-2</v>
      </c>
      <c r="C20" s="30">
        <f t="shared" ref="C20:M20" si="2">C19*(PI()*(C17/2)^2)*(2/1.2)^0.5</f>
        <v>1.3970514748775767E-2</v>
      </c>
      <c r="D20" s="30">
        <f t="shared" si="2"/>
        <v>1.4333445699730302E-2</v>
      </c>
      <c r="E20" s="30">
        <f>E19*(PI()*(E17/2)^2)*(2/1.2)^0.5</f>
        <v>1.4726215563702155E-2</v>
      </c>
      <c r="F20" s="30">
        <f t="shared" si="2"/>
        <v>2.5152871581347911E-2</v>
      </c>
      <c r="G20" s="30">
        <f t="shared" si="2"/>
        <v>2.6179938779914945E-2</v>
      </c>
      <c r="H20" s="30">
        <f t="shared" si="2"/>
        <v>2.6743012633520188E-2</v>
      </c>
      <c r="I20" s="30">
        <f t="shared" si="2"/>
        <v>2.7344054255227592E-2</v>
      </c>
      <c r="J20" s="30">
        <f t="shared" si="2"/>
        <v>5.6681230132319309E-3</v>
      </c>
      <c r="K20" s="30">
        <f t="shared" si="2"/>
        <v>5.8540122758672713E-3</v>
      </c>
      <c r="L20" s="30">
        <f t="shared" si="2"/>
        <v>6.059478383315036E-3</v>
      </c>
      <c r="M20" s="30">
        <f t="shared" si="2"/>
        <v>6.2882178953369778E-3</v>
      </c>
      <c r="N20" s="30">
        <f>N19*(PI()*(N17/2)^2)*(2/1.2)^0.5</f>
        <v>1.5670467487096804E-2</v>
      </c>
      <c r="P20" s="5" t="s">
        <v>237</v>
      </c>
    </row>
    <row r="21" spans="1:16" ht="15" customHeight="1">
      <c r="A21" s="94" t="s">
        <v>239</v>
      </c>
      <c r="B21" s="30">
        <f t="shared" ref="B21:N21" si="3">SQRT(2*(PI()*(B17/2)^2)^2/(1.2*($I$10+$C$9*B16/B17)))</f>
        <v>1.37E-2</v>
      </c>
      <c r="C21" s="30">
        <f t="shared" si="3"/>
        <v>1.4041746112196262E-2</v>
      </c>
      <c r="D21" s="30">
        <f t="shared" si="3"/>
        <v>1.4410412766318437E-2</v>
      </c>
      <c r="E21" s="30">
        <f t="shared" si="3"/>
        <v>1.4809730713123625E-2</v>
      </c>
      <c r="F21" s="30">
        <f t="shared" si="3"/>
        <v>2.5284439222750501E-2</v>
      </c>
      <c r="G21" s="30">
        <f t="shared" si="3"/>
        <v>2.6328410156664223E-2</v>
      </c>
      <c r="H21" s="30">
        <f t="shared" si="3"/>
        <v>2.6901342111746464E-2</v>
      </c>
      <c r="I21" s="30">
        <f t="shared" si="3"/>
        <v>2.7513382025945641E-2</v>
      </c>
      <c r="J21" s="30">
        <f t="shared" si="3"/>
        <v>5.6921659388000255E-3</v>
      </c>
      <c r="K21" s="30">
        <f t="shared" si="3"/>
        <v>5.8805144046425355E-3</v>
      </c>
      <c r="L21" s="30">
        <f t="shared" si="3"/>
        <v>6.0888888888888893E-3</v>
      </c>
      <c r="M21" s="30">
        <f t="shared" si="3"/>
        <v>6.3211098056876252E-3</v>
      </c>
      <c r="N21" s="30">
        <f t="shared" si="3"/>
        <v>1.5748100448352707E-2</v>
      </c>
    </row>
    <row r="23" spans="1:16" ht="15" customHeight="1">
      <c r="A23" s="14" t="s">
        <v>240</v>
      </c>
    </row>
    <row r="24" spans="1:16" ht="15" customHeight="1">
      <c r="A24" s="14" t="s">
        <v>241</v>
      </c>
    </row>
    <row r="25" spans="1:16" ht="15" customHeight="1">
      <c r="A25" s="14" t="s">
        <v>242</v>
      </c>
    </row>
    <row r="28" spans="1:16" ht="15" customHeight="1">
      <c r="A28" s="4" t="s">
        <v>434</v>
      </c>
    </row>
    <row r="29" spans="1:16" ht="15" customHeight="1">
      <c r="A29" s="108"/>
      <c r="B29" s="109" t="s">
        <v>435</v>
      </c>
      <c r="C29" s="109" t="s">
        <v>436</v>
      </c>
      <c r="D29" s="109" t="s">
        <v>433</v>
      </c>
      <c r="E29" s="109"/>
    </row>
    <row r="30" spans="1:16" ht="15" customHeight="1">
      <c r="A30" s="94" t="s">
        <v>431</v>
      </c>
      <c r="C30" s="29">
        <f>Leakage!D9</f>
        <v>2.2312503720238096E-2</v>
      </c>
    </row>
    <row r="31" spans="1:16" ht="15" customHeight="1">
      <c r="A31" s="94" t="s">
        <v>432</v>
      </c>
      <c r="B31" s="5">
        <v>0.1</v>
      </c>
      <c r="C31" s="29">
        <f>PI()*(B31/2)^2</f>
        <v>7.8539816339744835E-3</v>
      </c>
      <c r="D31" s="68">
        <f>C31/($C$30+C31)</f>
        <v>0.26035454716562528</v>
      </c>
    </row>
    <row r="32" spans="1:16" ht="15" customHeight="1">
      <c r="A32" s="94" t="s">
        <v>432</v>
      </c>
      <c r="B32" s="5">
        <v>0.2</v>
      </c>
      <c r="C32" s="29">
        <f>PI()*(B32/2)^2</f>
        <v>3.1415926535897934E-2</v>
      </c>
      <c r="D32" s="68">
        <f>C32/($C$30+C32)</f>
        <v>0.58471699966164736</v>
      </c>
    </row>
    <row r="33" spans="1:4" ht="15" customHeight="1">
      <c r="A33" s="94" t="s">
        <v>432</v>
      </c>
      <c r="B33" s="5">
        <v>0.3</v>
      </c>
      <c r="C33" s="29">
        <f>PI()*(B33/2)^2</f>
        <v>7.0685834705770348E-2</v>
      </c>
      <c r="D33" s="68">
        <f>C33/($C$30+C33)</f>
        <v>0.76007631858938618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O151"/>
  <sheetViews>
    <sheetView zoomScale="85" zoomScaleNormal="85" zoomScalePageLayoutView="85" workbookViewId="0">
      <selection activeCell="F21" sqref="F21"/>
    </sheetView>
  </sheetViews>
  <sheetFormatPr baseColWidth="10" defaultColWidth="8.6640625" defaultRowHeight="15" customHeight="1" x14ac:dyDescent="0"/>
  <cols>
    <col min="1" max="1" width="12.33203125" style="5" customWidth="1"/>
    <col min="2" max="2" width="11.5" style="5" bestFit="1" customWidth="1"/>
    <col min="3" max="3" width="10.33203125" style="2" customWidth="1"/>
    <col min="4" max="4" width="16.1640625" style="2" customWidth="1"/>
    <col min="5" max="5" width="16.6640625" style="2" customWidth="1"/>
    <col min="6" max="6" width="8" style="2" customWidth="1"/>
    <col min="7" max="8" width="5.6640625" style="2" bestFit="1" customWidth="1"/>
    <col min="9" max="9" width="7.5" style="2" bestFit="1" customWidth="1"/>
    <col min="10" max="10" width="5.5" style="2" bestFit="1" customWidth="1"/>
    <col min="11" max="11" width="5.83203125" style="2" customWidth="1"/>
    <col min="12" max="15" width="5.5" style="2" bestFit="1" customWidth="1"/>
    <col min="16" max="20" width="5.5" style="5" bestFit="1" customWidth="1"/>
    <col min="21" max="23" width="5.5" style="305" customWidth="1"/>
    <col min="24" max="24" width="5.5" style="5" bestFit="1" customWidth="1"/>
    <col min="25" max="25" width="37.5" style="5" customWidth="1"/>
    <col min="26" max="41" width="6.1640625" style="5" customWidth="1"/>
    <col min="42" max="16384" width="8.6640625" style="5"/>
  </cols>
  <sheetData>
    <row r="1" spans="1:41" ht="15" customHeight="1">
      <c r="A1" s="23" t="s">
        <v>243</v>
      </c>
      <c r="E1" s="340" t="s">
        <v>839</v>
      </c>
      <c r="Y1" s="5">
        <f>1/0.102</f>
        <v>9.8039215686274517</v>
      </c>
    </row>
    <row r="2" spans="1:41" ht="15" customHeight="1">
      <c r="A2" s="14" t="s">
        <v>492</v>
      </c>
      <c r="C2" s="5"/>
      <c r="F2" s="5"/>
      <c r="P2" s="2"/>
    </row>
    <row r="3" spans="1:41" ht="15" customHeight="1">
      <c r="A3" s="14" t="s">
        <v>586</v>
      </c>
      <c r="C3" s="5"/>
      <c r="F3" s="32"/>
      <c r="P3" s="2"/>
      <c r="Z3" s="23" t="s">
        <v>246</v>
      </c>
    </row>
    <row r="4" spans="1:41" ht="15" customHeight="1">
      <c r="A4" s="14"/>
      <c r="C4" s="5"/>
      <c r="F4" s="32" t="s">
        <v>247</v>
      </c>
      <c r="P4" s="2"/>
      <c r="Z4" s="32" t="s">
        <v>247</v>
      </c>
    </row>
    <row r="5" spans="1:41" s="14" customFormat="1" ht="15" customHeight="1">
      <c r="A5" s="92" t="s">
        <v>248</v>
      </c>
      <c r="B5" s="90" t="s">
        <v>463</v>
      </c>
      <c r="C5" s="91" t="s">
        <v>249</v>
      </c>
      <c r="D5" s="81" t="s">
        <v>250</v>
      </c>
      <c r="E5" s="82" t="s">
        <v>173</v>
      </c>
      <c r="F5" s="266" t="s">
        <v>707</v>
      </c>
      <c r="G5" s="80" t="s">
        <v>656</v>
      </c>
      <c r="H5" s="80" t="s">
        <v>657</v>
      </c>
      <c r="I5" s="80" t="s">
        <v>658</v>
      </c>
      <c r="J5" s="80" t="s">
        <v>659</v>
      </c>
      <c r="K5" s="80" t="s">
        <v>660</v>
      </c>
      <c r="L5" s="80" t="s">
        <v>661</v>
      </c>
      <c r="M5" s="80" t="s">
        <v>662</v>
      </c>
      <c r="N5" s="80" t="s">
        <v>663</v>
      </c>
      <c r="O5" s="80" t="s">
        <v>664</v>
      </c>
      <c r="P5" s="80" t="s">
        <v>665</v>
      </c>
      <c r="Q5" s="80" t="s">
        <v>666</v>
      </c>
      <c r="R5" s="80" t="s">
        <v>667</v>
      </c>
      <c r="S5" s="80">
        <v>7</v>
      </c>
      <c r="T5" s="266">
        <v>8</v>
      </c>
      <c r="U5" s="266" t="s">
        <v>917</v>
      </c>
      <c r="V5" s="266" t="s">
        <v>918</v>
      </c>
      <c r="W5" s="266"/>
      <c r="X5" s="247"/>
      <c r="Y5" s="23" t="s">
        <v>1</v>
      </c>
      <c r="Z5" s="80">
        <v>1</v>
      </c>
      <c r="AA5" s="80">
        <v>2</v>
      </c>
      <c r="AB5" s="80">
        <v>3</v>
      </c>
      <c r="AC5" s="80">
        <v>4</v>
      </c>
      <c r="AD5" s="80">
        <v>5</v>
      </c>
      <c r="AE5" s="80">
        <v>6</v>
      </c>
      <c r="AF5" s="80">
        <v>7</v>
      </c>
      <c r="AG5" s="80">
        <v>8</v>
      </c>
      <c r="AH5" s="80">
        <v>9</v>
      </c>
      <c r="AI5" s="80">
        <v>10</v>
      </c>
      <c r="AJ5" s="80">
        <v>11</v>
      </c>
      <c r="AK5" s="80">
        <v>12</v>
      </c>
      <c r="AL5" s="80">
        <v>13</v>
      </c>
      <c r="AM5" s="80">
        <v>14</v>
      </c>
      <c r="AN5" s="80">
        <v>15</v>
      </c>
      <c r="AO5" s="80">
        <v>16</v>
      </c>
    </row>
    <row r="6" spans="1:41" ht="15" customHeight="1">
      <c r="A6" s="93" t="s">
        <v>251</v>
      </c>
      <c r="B6" s="87">
        <f>IF(B10=1, 1.05, 1.19)</f>
        <v>1.05</v>
      </c>
      <c r="C6" s="88">
        <f>A_wall</f>
        <v>131.00336799999994</v>
      </c>
      <c r="D6" s="2" t="s">
        <v>252</v>
      </c>
      <c r="E6" s="83" t="s">
        <v>253</v>
      </c>
      <c r="F6" s="284">
        <v>13</v>
      </c>
      <c r="G6" s="273">
        <v>13</v>
      </c>
      <c r="H6" s="273">
        <v>13</v>
      </c>
      <c r="I6" s="273">
        <v>20</v>
      </c>
      <c r="J6" s="273">
        <v>20</v>
      </c>
      <c r="K6" s="273">
        <v>20</v>
      </c>
      <c r="L6" s="273">
        <v>20</v>
      </c>
      <c r="M6" s="273">
        <v>20</v>
      </c>
      <c r="N6" s="273">
        <v>20</v>
      </c>
      <c r="O6" s="273">
        <v>20</v>
      </c>
      <c r="P6" s="273">
        <v>20</v>
      </c>
      <c r="Q6" s="273">
        <v>25</v>
      </c>
      <c r="R6" s="273">
        <v>25</v>
      </c>
      <c r="S6" s="273">
        <v>25</v>
      </c>
      <c r="T6" s="273">
        <v>25</v>
      </c>
      <c r="U6" s="36">
        <f>G6</f>
        <v>13</v>
      </c>
      <c r="V6" s="36">
        <f>I6</f>
        <v>20</v>
      </c>
      <c r="W6" s="273"/>
      <c r="X6" s="248">
        <v>21</v>
      </c>
      <c r="Y6" s="14" t="s">
        <v>585</v>
      </c>
      <c r="Z6" s="34">
        <v>29</v>
      </c>
      <c r="AA6" s="34">
        <v>29</v>
      </c>
      <c r="AB6" s="34">
        <v>25</v>
      </c>
      <c r="AC6" s="34">
        <v>25</v>
      </c>
      <c r="AD6" s="34">
        <v>25</v>
      </c>
      <c r="AE6" s="34">
        <v>21</v>
      </c>
      <c r="AF6" s="34">
        <v>21</v>
      </c>
      <c r="AG6" s="34">
        <v>21</v>
      </c>
      <c r="AH6" s="34">
        <f>AG6</f>
        <v>21</v>
      </c>
      <c r="AI6" s="34">
        <v>25</v>
      </c>
      <c r="AJ6" s="34">
        <f>AA6</f>
        <v>29</v>
      </c>
      <c r="AK6" s="34">
        <f>AA6</f>
        <v>29</v>
      </c>
      <c r="AL6" s="34">
        <f>AA6</f>
        <v>29</v>
      </c>
      <c r="AM6" s="34">
        <v>29</v>
      </c>
      <c r="AN6" s="34">
        <v>29</v>
      </c>
      <c r="AO6" s="34">
        <f>Z6</f>
        <v>29</v>
      </c>
    </row>
    <row r="7" spans="1:41" ht="15" customHeight="1">
      <c r="A7" s="93" t="s">
        <v>254</v>
      </c>
      <c r="B7" s="87">
        <v>1</v>
      </c>
      <c r="C7" s="88">
        <f>A_windowSI</f>
        <v>59.976010000000002</v>
      </c>
      <c r="D7" s="2" t="s">
        <v>255</v>
      </c>
      <c r="E7" s="83" t="s">
        <v>253</v>
      </c>
      <c r="F7" s="284">
        <f>1/F84</f>
        <v>2.5</v>
      </c>
      <c r="G7" s="284">
        <f t="shared" ref="G7:T7" si="0">1/G84</f>
        <v>2.5</v>
      </c>
      <c r="H7" s="284">
        <f t="shared" si="0"/>
        <v>2.5</v>
      </c>
      <c r="I7" s="284">
        <f t="shared" si="0"/>
        <v>3.3333333333333335</v>
      </c>
      <c r="J7" s="284">
        <f t="shared" si="0"/>
        <v>3.3333333333333335</v>
      </c>
      <c r="K7" s="284">
        <f t="shared" si="0"/>
        <v>3.3333333333333335</v>
      </c>
      <c r="L7" s="284">
        <f t="shared" si="0"/>
        <v>3.3333333333333335</v>
      </c>
      <c r="M7" s="284">
        <f t="shared" si="0"/>
        <v>3.3333333333333335</v>
      </c>
      <c r="N7" s="284">
        <f t="shared" si="0"/>
        <v>3.7037037037037033</v>
      </c>
      <c r="O7" s="284">
        <f t="shared" si="0"/>
        <v>3.7037037037037033</v>
      </c>
      <c r="P7" s="284">
        <f t="shared" si="0"/>
        <v>3.7037037037037033</v>
      </c>
      <c r="Q7" s="284">
        <f t="shared" si="0"/>
        <v>3.7037037037037033</v>
      </c>
      <c r="R7" s="284">
        <f t="shared" si="0"/>
        <v>3.7037037037037033</v>
      </c>
      <c r="S7" s="284">
        <f t="shared" si="0"/>
        <v>3.7037037037037033</v>
      </c>
      <c r="T7" s="284">
        <f t="shared" si="0"/>
        <v>3.7037037037037033</v>
      </c>
      <c r="U7" s="36">
        <f t="shared" ref="U7:U8" si="1">G7</f>
        <v>2.5</v>
      </c>
      <c r="V7" s="36">
        <f t="shared" ref="V7:V8" si="2">I7</f>
        <v>3.3333333333333335</v>
      </c>
      <c r="W7" s="284"/>
      <c r="X7" s="248">
        <f>1/0.4</f>
        <v>2.5</v>
      </c>
      <c r="Y7" s="14" t="s">
        <v>583</v>
      </c>
      <c r="Z7" s="35">
        <f>1/0.38</f>
        <v>2.6315789473684212</v>
      </c>
      <c r="AA7" s="35">
        <f>Z7</f>
        <v>2.6315789473684212</v>
      </c>
      <c r="AB7" s="35">
        <f>AA7</f>
        <v>2.6315789473684212</v>
      </c>
      <c r="AC7" s="35">
        <f>AB7</f>
        <v>2.6315789473684212</v>
      </c>
      <c r="AD7" s="35">
        <f t="shared" ref="AD7:AO7" si="3">AC7</f>
        <v>2.6315789473684212</v>
      </c>
      <c r="AE7" s="35">
        <f t="shared" si="3"/>
        <v>2.6315789473684212</v>
      </c>
      <c r="AF7" s="35">
        <f t="shared" si="3"/>
        <v>2.6315789473684212</v>
      </c>
      <c r="AG7" s="35">
        <f t="shared" si="3"/>
        <v>2.6315789473684212</v>
      </c>
      <c r="AH7" s="35">
        <f t="shared" si="3"/>
        <v>2.6315789473684212</v>
      </c>
      <c r="AI7" s="35">
        <f t="shared" si="3"/>
        <v>2.6315789473684212</v>
      </c>
      <c r="AJ7" s="35">
        <f t="shared" si="3"/>
        <v>2.6315789473684212</v>
      </c>
      <c r="AK7" s="35">
        <f t="shared" si="3"/>
        <v>2.6315789473684212</v>
      </c>
      <c r="AL7" s="35">
        <f t="shared" si="3"/>
        <v>2.6315789473684212</v>
      </c>
      <c r="AM7" s="35">
        <f t="shared" si="3"/>
        <v>2.6315789473684212</v>
      </c>
      <c r="AN7" s="35">
        <f t="shared" si="3"/>
        <v>2.6315789473684212</v>
      </c>
      <c r="AO7" s="35">
        <f t="shared" si="3"/>
        <v>2.6315789473684212</v>
      </c>
    </row>
    <row r="8" spans="1:41" ht="15" customHeight="1">
      <c r="A8" s="93" t="s">
        <v>256</v>
      </c>
      <c r="B8" s="87">
        <v>1</v>
      </c>
      <c r="C8" s="88">
        <f>Geometry!D9</f>
        <v>299.88004999999998</v>
      </c>
      <c r="D8" s="2" t="s">
        <v>257</v>
      </c>
      <c r="E8" s="83" t="s">
        <v>253</v>
      </c>
      <c r="F8" s="284">
        <f>F76</f>
        <v>13</v>
      </c>
      <c r="G8" s="284">
        <f t="shared" ref="G8:T8" si="4">G76</f>
        <v>13</v>
      </c>
      <c r="H8" s="284">
        <f t="shared" si="4"/>
        <v>13</v>
      </c>
      <c r="I8" s="284">
        <f t="shared" si="4"/>
        <v>19</v>
      </c>
      <c r="J8" s="284">
        <f t="shared" si="4"/>
        <v>19</v>
      </c>
      <c r="K8" s="284">
        <f t="shared" si="4"/>
        <v>19</v>
      </c>
      <c r="L8" s="284">
        <f t="shared" si="4"/>
        <v>19</v>
      </c>
      <c r="M8" s="284">
        <f t="shared" si="4"/>
        <v>19</v>
      </c>
      <c r="N8" s="284">
        <f t="shared" si="4"/>
        <v>30</v>
      </c>
      <c r="O8" s="284">
        <f t="shared" si="4"/>
        <v>30</v>
      </c>
      <c r="P8" s="284">
        <f t="shared" si="4"/>
        <v>30</v>
      </c>
      <c r="Q8" s="284">
        <f t="shared" si="4"/>
        <v>30</v>
      </c>
      <c r="R8" s="284">
        <f t="shared" si="4"/>
        <v>30</v>
      </c>
      <c r="S8" s="284">
        <f t="shared" si="4"/>
        <v>38</v>
      </c>
      <c r="T8" s="284">
        <f t="shared" si="4"/>
        <v>38</v>
      </c>
      <c r="U8" s="36">
        <f t="shared" si="1"/>
        <v>13</v>
      </c>
      <c r="V8" s="36">
        <f t="shared" si="2"/>
        <v>19</v>
      </c>
      <c r="W8" s="284"/>
      <c r="X8" s="248">
        <v>19</v>
      </c>
      <c r="Y8" s="14" t="s">
        <v>584</v>
      </c>
      <c r="Z8" s="34">
        <v>30</v>
      </c>
      <c r="AA8" s="34">
        <v>30</v>
      </c>
      <c r="AB8" s="34">
        <v>30</v>
      </c>
      <c r="AC8" s="34">
        <v>30</v>
      </c>
      <c r="AD8" s="34">
        <v>30</v>
      </c>
      <c r="AE8" s="34">
        <v>21</v>
      </c>
      <c r="AF8" s="34">
        <v>21</v>
      </c>
      <c r="AG8" s="34">
        <v>21</v>
      </c>
      <c r="AH8" s="34">
        <f>AG8</f>
        <v>21</v>
      </c>
      <c r="AI8" s="34">
        <v>30</v>
      </c>
      <c r="AJ8" s="34">
        <f>AA8</f>
        <v>30</v>
      </c>
      <c r="AK8" s="34">
        <f>AA8</f>
        <v>30</v>
      </c>
      <c r="AL8" s="34">
        <f>AA8</f>
        <v>30</v>
      </c>
      <c r="AM8" s="34">
        <v>30</v>
      </c>
      <c r="AN8" s="34">
        <v>21</v>
      </c>
      <c r="AO8" s="34">
        <f>Z8</f>
        <v>30</v>
      </c>
    </row>
    <row r="9" spans="1:41" ht="15" customHeight="1">
      <c r="A9" s="5" t="s">
        <v>1020</v>
      </c>
      <c r="B9" s="5">
        <v>1</v>
      </c>
      <c r="C9" s="43">
        <f>A_doors_SI</f>
        <v>3.7161219999999999</v>
      </c>
      <c r="D9" s="2" t="s">
        <v>1021</v>
      </c>
      <c r="E9" s="2" t="s">
        <v>253</v>
      </c>
      <c r="F9" s="2">
        <v>5</v>
      </c>
      <c r="G9" s="241">
        <v>5</v>
      </c>
      <c r="H9" s="241">
        <v>5</v>
      </c>
      <c r="I9" s="241">
        <v>5</v>
      </c>
      <c r="J9" s="241">
        <v>5</v>
      </c>
      <c r="K9" s="241">
        <v>5</v>
      </c>
      <c r="L9" s="241">
        <v>5</v>
      </c>
      <c r="M9" s="241">
        <v>5</v>
      </c>
      <c r="N9" s="241">
        <v>5</v>
      </c>
      <c r="O9" s="241">
        <v>5</v>
      </c>
      <c r="P9" s="241">
        <v>5</v>
      </c>
      <c r="Q9" s="241">
        <v>5</v>
      </c>
      <c r="R9" s="241">
        <v>5</v>
      </c>
      <c r="S9" s="241">
        <v>5</v>
      </c>
      <c r="T9" s="241">
        <v>5</v>
      </c>
      <c r="U9" s="241">
        <v>5</v>
      </c>
      <c r="V9" s="241">
        <v>5</v>
      </c>
      <c r="Y9" s="143" t="s">
        <v>582</v>
      </c>
      <c r="Z9" s="36">
        <f t="shared" ref="Z9:AO9" si="5">1/Z6*$B$6*5.678*$C$6</f>
        <v>26.932033782041369</v>
      </c>
      <c r="AA9" s="36">
        <f t="shared" si="5"/>
        <v>26.932033782041369</v>
      </c>
      <c r="AB9" s="36">
        <f t="shared" si="5"/>
        <v>31.241159187167987</v>
      </c>
      <c r="AC9" s="36">
        <f t="shared" si="5"/>
        <v>31.241159187167987</v>
      </c>
      <c r="AD9" s="36">
        <f t="shared" si="5"/>
        <v>31.241159187167987</v>
      </c>
      <c r="AE9" s="36">
        <f t="shared" si="5"/>
        <v>37.19185617519998</v>
      </c>
      <c r="AF9" s="36">
        <f t="shared" si="5"/>
        <v>37.19185617519998</v>
      </c>
      <c r="AG9" s="36">
        <f t="shared" si="5"/>
        <v>37.19185617519998</v>
      </c>
      <c r="AH9" s="36">
        <f t="shared" si="5"/>
        <v>37.19185617519998</v>
      </c>
      <c r="AI9" s="36">
        <f t="shared" si="5"/>
        <v>31.241159187167987</v>
      </c>
      <c r="AJ9" s="36">
        <f t="shared" si="5"/>
        <v>26.932033782041369</v>
      </c>
      <c r="AK9" s="36">
        <f t="shared" si="5"/>
        <v>26.932033782041369</v>
      </c>
      <c r="AL9" s="36">
        <f t="shared" si="5"/>
        <v>26.932033782041369</v>
      </c>
      <c r="AM9" s="36">
        <f t="shared" si="5"/>
        <v>26.932033782041369</v>
      </c>
      <c r="AN9" s="36">
        <f t="shared" si="5"/>
        <v>26.932033782041369</v>
      </c>
      <c r="AO9" s="36">
        <f t="shared" si="5"/>
        <v>26.932033782041369</v>
      </c>
    </row>
    <row r="10" spans="1:41" ht="15" customHeight="1">
      <c r="A10" s="177" t="s">
        <v>477</v>
      </c>
      <c r="B10" s="134">
        <v>1</v>
      </c>
      <c r="C10" s="89"/>
      <c r="D10" s="2" t="s">
        <v>652</v>
      </c>
      <c r="E10" s="83" t="s">
        <v>259</v>
      </c>
      <c r="F10" s="267">
        <f>IF($B$12=0,0,$B$13*$K$59)</f>
        <v>0</v>
      </c>
      <c r="G10" s="267">
        <f t="shared" ref="G10:V10" si="6">IF($B$12=0,0,$B$13*$K$59)</f>
        <v>0</v>
      </c>
      <c r="H10" s="267">
        <f t="shared" si="6"/>
        <v>0</v>
      </c>
      <c r="I10" s="267">
        <f t="shared" si="6"/>
        <v>0</v>
      </c>
      <c r="J10" s="267">
        <f t="shared" si="6"/>
        <v>0</v>
      </c>
      <c r="K10" s="267">
        <f t="shared" si="6"/>
        <v>0</v>
      </c>
      <c r="L10" s="267">
        <f t="shared" si="6"/>
        <v>0</v>
      </c>
      <c r="M10" s="267">
        <f t="shared" si="6"/>
        <v>0</v>
      </c>
      <c r="N10" s="267">
        <f t="shared" si="6"/>
        <v>0</v>
      </c>
      <c r="O10" s="267">
        <f t="shared" si="6"/>
        <v>0</v>
      </c>
      <c r="P10" s="267">
        <f t="shared" si="6"/>
        <v>0</v>
      </c>
      <c r="Q10" s="267">
        <f t="shared" si="6"/>
        <v>0</v>
      </c>
      <c r="R10" s="267">
        <f t="shared" si="6"/>
        <v>0</v>
      </c>
      <c r="S10" s="267">
        <f t="shared" si="6"/>
        <v>0</v>
      </c>
      <c r="T10" s="267">
        <f t="shared" si="6"/>
        <v>0</v>
      </c>
      <c r="U10" s="267">
        <f t="shared" si="6"/>
        <v>0</v>
      </c>
      <c r="V10" s="267">
        <f t="shared" si="6"/>
        <v>0</v>
      </c>
      <c r="W10" s="267"/>
      <c r="X10" s="249">
        <f>$B$13*$K$60</f>
        <v>62.4495</v>
      </c>
      <c r="Z10" s="36">
        <f t="shared" ref="Z10:AO10" si="7">1/Z7*$B$7*5.678*$C$7</f>
        <v>129.40663821639998</v>
      </c>
      <c r="AA10" s="36">
        <f t="shared" si="7"/>
        <v>129.40663821639998</v>
      </c>
      <c r="AB10" s="36">
        <f t="shared" si="7"/>
        <v>129.40663821639998</v>
      </c>
      <c r="AC10" s="36">
        <f t="shared" si="7"/>
        <v>129.40663821639998</v>
      </c>
      <c r="AD10" s="36">
        <f t="shared" si="7"/>
        <v>129.40663821639998</v>
      </c>
      <c r="AE10" s="36">
        <f t="shared" si="7"/>
        <v>129.40663821639998</v>
      </c>
      <c r="AF10" s="36">
        <f t="shared" si="7"/>
        <v>129.40663821639998</v>
      </c>
      <c r="AG10" s="36">
        <f t="shared" si="7"/>
        <v>129.40663821639998</v>
      </c>
      <c r="AH10" s="36">
        <f t="shared" si="7"/>
        <v>129.40663821639998</v>
      </c>
      <c r="AI10" s="36">
        <f t="shared" si="7"/>
        <v>129.40663821639998</v>
      </c>
      <c r="AJ10" s="36">
        <f t="shared" si="7"/>
        <v>129.40663821639998</v>
      </c>
      <c r="AK10" s="36">
        <f t="shared" si="7"/>
        <v>129.40663821639998</v>
      </c>
      <c r="AL10" s="36">
        <f t="shared" si="7"/>
        <v>129.40663821639998</v>
      </c>
      <c r="AM10" s="36">
        <f t="shared" si="7"/>
        <v>129.40663821639998</v>
      </c>
      <c r="AN10" s="36">
        <f t="shared" si="7"/>
        <v>129.40663821639998</v>
      </c>
      <c r="AO10" s="36">
        <f t="shared" si="7"/>
        <v>129.40663821639998</v>
      </c>
    </row>
    <row r="11" spans="1:41" ht="15" customHeight="1">
      <c r="A11" s="143" t="s">
        <v>817</v>
      </c>
      <c r="C11" s="5"/>
      <c r="D11" s="359" t="s">
        <v>258</v>
      </c>
      <c r="E11" s="360" t="s">
        <v>259</v>
      </c>
      <c r="F11" s="361">
        <f>((1/F6)*$B$6*5.6783*$C$6)+(1/F9*$B$9*5.678*$C$9)</f>
        <v>64.30235473859382</v>
      </c>
      <c r="G11" s="361">
        <f t="shared" ref="G11:V11" si="8">((1/G6)*$B$6*5.6783*$C$6)+(1/G9*$B$9*5.678*$C$9)</f>
        <v>64.30235473859382</v>
      </c>
      <c r="H11" s="361">
        <f t="shared" si="8"/>
        <v>64.30235473859382</v>
      </c>
      <c r="I11" s="361">
        <f t="shared" si="8"/>
        <v>43.273540430205983</v>
      </c>
      <c r="J11" s="361">
        <f t="shared" si="8"/>
        <v>43.273540430205983</v>
      </c>
      <c r="K11" s="361">
        <f t="shared" si="8"/>
        <v>43.273540430205983</v>
      </c>
      <c r="L11" s="361">
        <f t="shared" si="8"/>
        <v>43.273540430205983</v>
      </c>
      <c r="M11" s="361">
        <f t="shared" si="8"/>
        <v>43.273540430205983</v>
      </c>
      <c r="N11" s="361">
        <f t="shared" si="8"/>
        <v>43.273540430205983</v>
      </c>
      <c r="O11" s="361">
        <f t="shared" si="8"/>
        <v>43.273540430205983</v>
      </c>
      <c r="P11" s="361">
        <f t="shared" si="8"/>
        <v>43.273540430205983</v>
      </c>
      <c r="Q11" s="361">
        <f t="shared" si="8"/>
        <v>35.462837972804785</v>
      </c>
      <c r="R11" s="361">
        <f t="shared" si="8"/>
        <v>35.462837972804785</v>
      </c>
      <c r="S11" s="361">
        <f t="shared" si="8"/>
        <v>35.462837972804785</v>
      </c>
      <c r="T11" s="361">
        <f t="shared" si="8"/>
        <v>35.462837972804785</v>
      </c>
      <c r="U11" s="361">
        <f t="shared" si="8"/>
        <v>64.30235473859382</v>
      </c>
      <c r="V11" s="361">
        <f t="shared" si="8"/>
        <v>43.273540430205983</v>
      </c>
      <c r="W11" s="272"/>
      <c r="X11" s="250">
        <f>1/X6*$B$6*5.678*$C$6</f>
        <v>37.19185617519998</v>
      </c>
      <c r="Y11"/>
      <c r="Z11" s="36">
        <f t="shared" ref="Z11:AO11" si="9">1/Z8*$B$8*5.678*$C$8</f>
        <v>56.75729746333333</v>
      </c>
      <c r="AA11" s="36">
        <f t="shared" si="9"/>
        <v>56.75729746333333</v>
      </c>
      <c r="AB11" s="36">
        <f t="shared" si="9"/>
        <v>56.75729746333333</v>
      </c>
      <c r="AC11" s="36">
        <f t="shared" si="9"/>
        <v>56.75729746333333</v>
      </c>
      <c r="AD11" s="36">
        <f t="shared" si="9"/>
        <v>56.75729746333333</v>
      </c>
      <c r="AE11" s="36">
        <f t="shared" si="9"/>
        <v>81.081853519047613</v>
      </c>
      <c r="AF11" s="36">
        <f t="shared" si="9"/>
        <v>81.081853519047613</v>
      </c>
      <c r="AG11" s="36">
        <f t="shared" si="9"/>
        <v>81.081853519047613</v>
      </c>
      <c r="AH11" s="36">
        <f t="shared" si="9"/>
        <v>81.081853519047613</v>
      </c>
      <c r="AI11" s="36">
        <f t="shared" si="9"/>
        <v>56.75729746333333</v>
      </c>
      <c r="AJ11" s="36">
        <f t="shared" si="9"/>
        <v>56.75729746333333</v>
      </c>
      <c r="AK11" s="36">
        <f t="shared" si="9"/>
        <v>56.75729746333333</v>
      </c>
      <c r="AL11" s="36">
        <f t="shared" si="9"/>
        <v>56.75729746333333</v>
      </c>
      <c r="AM11" s="36">
        <f t="shared" si="9"/>
        <v>56.75729746333333</v>
      </c>
      <c r="AN11" s="36">
        <f t="shared" si="9"/>
        <v>81.081853519047613</v>
      </c>
      <c r="AO11" s="36">
        <f t="shared" si="9"/>
        <v>56.75729746333333</v>
      </c>
    </row>
    <row r="12" spans="1:41" ht="15" customHeight="1">
      <c r="A12" s="148" t="s">
        <v>595</v>
      </c>
      <c r="B12" s="149">
        <v>0</v>
      </c>
      <c r="C12" s="5"/>
      <c r="D12" s="359" t="s">
        <v>260</v>
      </c>
      <c r="E12" s="360" t="s">
        <v>259</v>
      </c>
      <c r="F12" s="361">
        <f>1/F7*$B$7*5.678*$C$7</f>
        <v>136.21751391199999</v>
      </c>
      <c r="G12" s="361">
        <f t="shared" ref="G12:T12" si="10">1/G7*$B$7*5.678*$C$7</f>
        <v>136.21751391199999</v>
      </c>
      <c r="H12" s="361">
        <f t="shared" si="10"/>
        <v>136.21751391199999</v>
      </c>
      <c r="I12" s="361">
        <f t="shared" si="10"/>
        <v>102.16313543400001</v>
      </c>
      <c r="J12" s="361">
        <f t="shared" si="10"/>
        <v>102.16313543400001</v>
      </c>
      <c r="K12" s="361">
        <f t="shared" si="10"/>
        <v>102.16313543400001</v>
      </c>
      <c r="L12" s="361">
        <f t="shared" si="10"/>
        <v>102.16313543400001</v>
      </c>
      <c r="M12" s="361">
        <f t="shared" si="10"/>
        <v>102.16313543400001</v>
      </c>
      <c r="N12" s="361">
        <f t="shared" si="10"/>
        <v>91.946821890600006</v>
      </c>
      <c r="O12" s="361">
        <f t="shared" si="10"/>
        <v>91.946821890600006</v>
      </c>
      <c r="P12" s="361">
        <f t="shared" si="10"/>
        <v>91.946821890600006</v>
      </c>
      <c r="Q12" s="361">
        <f t="shared" si="10"/>
        <v>91.946821890600006</v>
      </c>
      <c r="R12" s="361">
        <f t="shared" si="10"/>
        <v>91.946821890600006</v>
      </c>
      <c r="S12" s="361">
        <f t="shared" si="10"/>
        <v>91.946821890600006</v>
      </c>
      <c r="T12" s="361">
        <f t="shared" si="10"/>
        <v>91.946821890600006</v>
      </c>
      <c r="U12" s="361">
        <f>G12</f>
        <v>136.21751391199999</v>
      </c>
      <c r="V12" s="361">
        <f>I12</f>
        <v>102.16313543400001</v>
      </c>
      <c r="W12" s="272"/>
      <c r="X12" s="250">
        <f>1/X7*$B$7*5.678*$C$7</f>
        <v>136.21751391199999</v>
      </c>
      <c r="Y12" s="14" t="s">
        <v>264</v>
      </c>
      <c r="Z12" s="36">
        <f>20*5.678*0.3048^2</f>
        <v>10.550069222400001</v>
      </c>
      <c r="AA12" s="36">
        <f t="shared" ref="AA12:AO12" si="11">20*5.678*0.3048^2</f>
        <v>10.550069222400001</v>
      </c>
      <c r="AB12" s="36">
        <f t="shared" si="11"/>
        <v>10.550069222400001</v>
      </c>
      <c r="AC12" s="36">
        <f t="shared" si="11"/>
        <v>10.550069222400001</v>
      </c>
      <c r="AD12" s="36">
        <f t="shared" si="11"/>
        <v>10.550069222400001</v>
      </c>
      <c r="AE12" s="36">
        <f t="shared" si="11"/>
        <v>10.550069222400001</v>
      </c>
      <c r="AF12" s="36">
        <f t="shared" si="11"/>
        <v>10.550069222400001</v>
      </c>
      <c r="AG12" s="36">
        <f t="shared" si="11"/>
        <v>10.550069222400001</v>
      </c>
      <c r="AH12" s="36">
        <f t="shared" si="11"/>
        <v>10.550069222400001</v>
      </c>
      <c r="AI12" s="36">
        <f t="shared" si="11"/>
        <v>10.550069222400001</v>
      </c>
      <c r="AJ12" s="36">
        <f t="shared" si="11"/>
        <v>10.550069222400001</v>
      </c>
      <c r="AK12" s="36">
        <f t="shared" si="11"/>
        <v>10.550069222400001</v>
      </c>
      <c r="AL12" s="36">
        <f t="shared" si="11"/>
        <v>10.550069222400001</v>
      </c>
      <c r="AM12" s="36">
        <f t="shared" si="11"/>
        <v>10.550069222400001</v>
      </c>
      <c r="AN12" s="36">
        <f t="shared" si="11"/>
        <v>10.550069222400001</v>
      </c>
      <c r="AO12" s="36">
        <f t="shared" si="11"/>
        <v>10.550069222400001</v>
      </c>
    </row>
    <row r="13" spans="1:41" ht="15" customHeight="1">
      <c r="A13" s="149" t="s">
        <v>624</v>
      </c>
      <c r="B13" s="165">
        <f>Geometry!D11</f>
        <v>73.47</v>
      </c>
      <c r="C13" s="5" t="s">
        <v>134</v>
      </c>
      <c r="D13" s="359" t="s">
        <v>261</v>
      </c>
      <c r="E13" s="360" t="s">
        <v>259</v>
      </c>
      <c r="F13" s="361">
        <f>IF($B$12=0, 1/F8*$B$8*5.678*$C$8, $B$13*$K$59)</f>
        <v>130.97837876153847</v>
      </c>
      <c r="G13" s="361">
        <f t="shared" ref="G13:V13" si="12">IF($B$12=0, 1/G8*$B$8*5.678*$C$8, $B$13*$K$59)</f>
        <v>130.97837876153847</v>
      </c>
      <c r="H13" s="361">
        <f t="shared" si="12"/>
        <v>130.97837876153847</v>
      </c>
      <c r="I13" s="361">
        <f t="shared" si="12"/>
        <v>89.616785468421028</v>
      </c>
      <c r="J13" s="361">
        <f t="shared" si="12"/>
        <v>89.616785468421028</v>
      </c>
      <c r="K13" s="361">
        <f t="shared" si="12"/>
        <v>89.616785468421028</v>
      </c>
      <c r="L13" s="361">
        <f t="shared" si="12"/>
        <v>89.616785468421028</v>
      </c>
      <c r="M13" s="361">
        <f t="shared" si="12"/>
        <v>89.616785468421028</v>
      </c>
      <c r="N13" s="361">
        <f t="shared" si="12"/>
        <v>56.75729746333333</v>
      </c>
      <c r="O13" s="361">
        <f>IF($B$12=0, 1/O8*$B$8*5.678*$C$8, $B$13*$K$59)</f>
        <v>56.75729746333333</v>
      </c>
      <c r="P13" s="361">
        <f t="shared" si="12"/>
        <v>56.75729746333333</v>
      </c>
      <c r="Q13" s="361">
        <f t="shared" si="12"/>
        <v>56.75729746333333</v>
      </c>
      <c r="R13" s="361">
        <f t="shared" si="12"/>
        <v>56.75729746333333</v>
      </c>
      <c r="S13" s="361">
        <f t="shared" si="12"/>
        <v>44.808392734210514</v>
      </c>
      <c r="T13" s="361">
        <f t="shared" si="12"/>
        <v>44.808392734210514</v>
      </c>
      <c r="U13" s="361">
        <f t="shared" si="12"/>
        <v>130.97837876153847</v>
      </c>
      <c r="V13" s="361">
        <f t="shared" si="12"/>
        <v>89.616785468421028</v>
      </c>
      <c r="W13" s="272"/>
      <c r="X13" s="250">
        <f>1/X8*$B$8*5.678*$C$8</f>
        <v>89.616785468421028</v>
      </c>
      <c r="Y13" s="14" t="s">
        <v>634</v>
      </c>
      <c r="Z13" s="38">
        <f>SUM(Z9:Z12)</f>
        <v>223.6460386841747</v>
      </c>
      <c r="AA13" s="38">
        <f t="shared" ref="AA13:AO13" si="13">SUM(AA9:AA12)</f>
        <v>223.6460386841747</v>
      </c>
      <c r="AB13" s="38">
        <f t="shared" si="13"/>
        <v>227.95516408930132</v>
      </c>
      <c r="AC13" s="38">
        <f t="shared" si="13"/>
        <v>227.95516408930132</v>
      </c>
      <c r="AD13" s="38">
        <f t="shared" si="13"/>
        <v>227.95516408930132</v>
      </c>
      <c r="AE13" s="38">
        <f t="shared" si="13"/>
        <v>258.23041713304758</v>
      </c>
      <c r="AF13" s="38">
        <f t="shared" si="13"/>
        <v>258.23041713304758</v>
      </c>
      <c r="AG13" s="38">
        <f t="shared" si="13"/>
        <v>258.23041713304758</v>
      </c>
      <c r="AH13" s="38">
        <f t="shared" si="13"/>
        <v>258.23041713304758</v>
      </c>
      <c r="AI13" s="38">
        <f t="shared" si="13"/>
        <v>227.95516408930132</v>
      </c>
      <c r="AJ13" s="38">
        <f t="shared" si="13"/>
        <v>223.6460386841747</v>
      </c>
      <c r="AK13" s="38">
        <f t="shared" si="13"/>
        <v>223.6460386841747</v>
      </c>
      <c r="AL13" s="38">
        <f t="shared" si="13"/>
        <v>223.6460386841747</v>
      </c>
      <c r="AM13" s="38">
        <f t="shared" si="13"/>
        <v>223.6460386841747</v>
      </c>
      <c r="AN13" s="38">
        <f t="shared" si="13"/>
        <v>247.97059473988895</v>
      </c>
      <c r="AO13" s="38">
        <f t="shared" si="13"/>
        <v>223.6460386841747</v>
      </c>
    </row>
    <row r="14" spans="1:41" ht="15" customHeight="1">
      <c r="A14" s="87"/>
      <c r="B14" s="87"/>
      <c r="D14" s="2" t="s">
        <v>262</v>
      </c>
      <c r="E14" s="84" t="s">
        <v>259</v>
      </c>
      <c r="F14" s="272">
        <f>1/F9*$B$9*5.678*$C$9</f>
        <v>4.2200281431999995</v>
      </c>
      <c r="G14" s="272">
        <f t="shared" ref="G14:V14" si="14">1/G9*$B$9*5.678*$C$9</f>
        <v>4.2200281431999995</v>
      </c>
      <c r="H14" s="272">
        <f t="shared" si="14"/>
        <v>4.2200281431999995</v>
      </c>
      <c r="I14" s="272">
        <f t="shared" si="14"/>
        <v>4.2200281431999995</v>
      </c>
      <c r="J14" s="272">
        <f t="shared" si="14"/>
        <v>4.2200281431999995</v>
      </c>
      <c r="K14" s="272">
        <f t="shared" si="14"/>
        <v>4.2200281431999995</v>
      </c>
      <c r="L14" s="272">
        <f t="shared" si="14"/>
        <v>4.2200281431999995</v>
      </c>
      <c r="M14" s="272">
        <f t="shared" si="14"/>
        <v>4.2200281431999995</v>
      </c>
      <c r="N14" s="272">
        <f t="shared" si="14"/>
        <v>4.2200281431999995</v>
      </c>
      <c r="O14" s="272">
        <f t="shared" si="14"/>
        <v>4.2200281431999995</v>
      </c>
      <c r="P14" s="272">
        <f t="shared" si="14"/>
        <v>4.2200281431999995</v>
      </c>
      <c r="Q14" s="272">
        <f t="shared" si="14"/>
        <v>4.2200281431999995</v>
      </c>
      <c r="R14" s="272">
        <f t="shared" si="14"/>
        <v>4.2200281431999995</v>
      </c>
      <c r="S14" s="272">
        <f t="shared" si="14"/>
        <v>4.2200281431999995</v>
      </c>
      <c r="T14" s="272">
        <f t="shared" si="14"/>
        <v>4.2200281431999995</v>
      </c>
      <c r="U14" s="272">
        <f t="shared" si="14"/>
        <v>4.2200281431999995</v>
      </c>
      <c r="V14" s="272">
        <f t="shared" si="14"/>
        <v>4.2200281431999995</v>
      </c>
      <c r="W14" s="272"/>
      <c r="X14" s="250">
        <f t="shared" ref="X14" si="15">20*5.678*0.3048^2</f>
        <v>10.550069222400001</v>
      </c>
      <c r="Y14" s="23" t="s">
        <v>849</v>
      </c>
      <c r="Z14" s="38">
        <f>Z13-Z11</f>
        <v>166.88874122084138</v>
      </c>
      <c r="AA14" s="38">
        <f t="shared" ref="AA14:AO14" si="16">AA13-AA11</f>
        <v>166.88874122084138</v>
      </c>
      <c r="AB14" s="38">
        <f t="shared" si="16"/>
        <v>171.197866625968</v>
      </c>
      <c r="AC14" s="38">
        <f t="shared" si="16"/>
        <v>171.197866625968</v>
      </c>
      <c r="AD14" s="38">
        <f t="shared" si="16"/>
        <v>171.197866625968</v>
      </c>
      <c r="AE14" s="38">
        <f t="shared" si="16"/>
        <v>177.14856361399995</v>
      </c>
      <c r="AF14" s="38">
        <f t="shared" si="16"/>
        <v>177.14856361399995</v>
      </c>
      <c r="AG14" s="38">
        <f t="shared" si="16"/>
        <v>177.14856361399995</v>
      </c>
      <c r="AH14" s="38">
        <f t="shared" si="16"/>
        <v>177.14856361399995</v>
      </c>
      <c r="AI14" s="38">
        <f t="shared" si="16"/>
        <v>171.197866625968</v>
      </c>
      <c r="AJ14" s="38">
        <f t="shared" si="16"/>
        <v>166.88874122084138</v>
      </c>
      <c r="AK14" s="38">
        <f t="shared" si="16"/>
        <v>166.88874122084138</v>
      </c>
      <c r="AL14" s="38">
        <f t="shared" si="16"/>
        <v>166.88874122084138</v>
      </c>
      <c r="AM14" s="38">
        <f t="shared" si="16"/>
        <v>166.88874122084138</v>
      </c>
      <c r="AN14" s="38">
        <f t="shared" si="16"/>
        <v>166.88874122084133</v>
      </c>
      <c r="AO14" s="38">
        <f t="shared" si="16"/>
        <v>166.88874122084138</v>
      </c>
    </row>
    <row r="15" spans="1:41" ht="15" customHeight="1">
      <c r="C15" s="5"/>
      <c r="D15" s="362" t="s">
        <v>263</v>
      </c>
      <c r="E15" s="363" t="s">
        <v>259</v>
      </c>
      <c r="F15" s="364">
        <f>IF($B$12=0,SUM(F11:F14),SUM(F10,F11,F12,F14))</f>
        <v>335.7182755553323</v>
      </c>
      <c r="G15" s="364">
        <f>IF($B$12=0,SUM(G11:G14),SUM(G10,G11,G12,G14))</f>
        <v>335.7182755553323</v>
      </c>
      <c r="H15" s="364">
        <f t="shared" ref="H15:X15" si="17">IF($B$12=0,SUM(H11:H14),SUM(H10,H11,H12,H14))</f>
        <v>335.7182755553323</v>
      </c>
      <c r="I15" s="364">
        <f t="shared" si="17"/>
        <v>239.27348947582703</v>
      </c>
      <c r="J15" s="364">
        <f t="shared" si="17"/>
        <v>239.27348947582703</v>
      </c>
      <c r="K15" s="364">
        <f t="shared" si="17"/>
        <v>239.27348947582703</v>
      </c>
      <c r="L15" s="364">
        <f t="shared" si="17"/>
        <v>239.27348947582703</v>
      </c>
      <c r="M15" s="364">
        <f t="shared" si="17"/>
        <v>239.27348947582703</v>
      </c>
      <c r="N15" s="364">
        <f t="shared" si="17"/>
        <v>196.1976879273393</v>
      </c>
      <c r="O15" s="364">
        <f t="shared" si="17"/>
        <v>196.1976879273393</v>
      </c>
      <c r="P15" s="364">
        <f t="shared" si="17"/>
        <v>196.1976879273393</v>
      </c>
      <c r="Q15" s="364">
        <f t="shared" si="17"/>
        <v>188.38698546993811</v>
      </c>
      <c r="R15" s="364">
        <f t="shared" si="17"/>
        <v>188.38698546993811</v>
      </c>
      <c r="S15" s="364">
        <f t="shared" si="17"/>
        <v>176.43808074081531</v>
      </c>
      <c r="T15" s="364">
        <f t="shared" si="17"/>
        <v>176.43808074081531</v>
      </c>
      <c r="U15" s="364">
        <f t="shared" si="17"/>
        <v>335.7182755553323</v>
      </c>
      <c r="V15" s="364">
        <f t="shared" si="17"/>
        <v>239.27348947582703</v>
      </c>
      <c r="W15" s="364"/>
      <c r="X15" s="251">
        <f t="shared" si="17"/>
        <v>273.57622477802101</v>
      </c>
      <c r="Y15" s="23" t="s">
        <v>849</v>
      </c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</row>
    <row r="16" spans="1:41" ht="15" customHeight="1">
      <c r="A16" s="23" t="s">
        <v>266</v>
      </c>
      <c r="C16" s="5"/>
      <c r="D16" s="362" t="s">
        <v>265</v>
      </c>
      <c r="E16" s="363" t="s">
        <v>259</v>
      </c>
      <c r="F16" s="364">
        <f>SUM(F11,F12,F14)</f>
        <v>204.73989679379383</v>
      </c>
      <c r="G16" s="364">
        <f t="shared" ref="G16:X16" si="18">SUM(G11,G12,G14)</f>
        <v>204.73989679379383</v>
      </c>
      <c r="H16" s="364">
        <f t="shared" si="18"/>
        <v>204.73989679379383</v>
      </c>
      <c r="I16" s="364">
        <f t="shared" si="18"/>
        <v>149.65670400740601</v>
      </c>
      <c r="J16" s="364">
        <f t="shared" si="18"/>
        <v>149.65670400740601</v>
      </c>
      <c r="K16" s="364">
        <f t="shared" si="18"/>
        <v>149.65670400740601</v>
      </c>
      <c r="L16" s="364">
        <f t="shared" si="18"/>
        <v>149.65670400740601</v>
      </c>
      <c r="M16" s="364">
        <f t="shared" si="18"/>
        <v>149.65670400740601</v>
      </c>
      <c r="N16" s="364">
        <f t="shared" si="18"/>
        <v>139.44039046400599</v>
      </c>
      <c r="O16" s="364">
        <f t="shared" si="18"/>
        <v>139.44039046400599</v>
      </c>
      <c r="P16" s="364">
        <f t="shared" si="18"/>
        <v>139.44039046400599</v>
      </c>
      <c r="Q16" s="364">
        <f t="shared" si="18"/>
        <v>131.62968800660479</v>
      </c>
      <c r="R16" s="364">
        <f t="shared" si="18"/>
        <v>131.62968800660479</v>
      </c>
      <c r="S16" s="364">
        <f t="shared" si="18"/>
        <v>131.62968800660479</v>
      </c>
      <c r="T16" s="364">
        <f t="shared" si="18"/>
        <v>131.62968800660479</v>
      </c>
      <c r="U16" s="364">
        <f t="shared" si="18"/>
        <v>204.73989679379383</v>
      </c>
      <c r="V16" s="364">
        <f t="shared" si="18"/>
        <v>149.65670400740601</v>
      </c>
      <c r="W16" s="364"/>
      <c r="X16" s="251">
        <f t="shared" si="18"/>
        <v>183.95943930959996</v>
      </c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41" ht="15" customHeight="1">
      <c r="A17" s="14" t="s">
        <v>244</v>
      </c>
      <c r="C17" s="5"/>
      <c r="F17" s="300">
        <f>1/F20</f>
        <v>3.3333333333333333E-2</v>
      </c>
      <c r="G17" s="300">
        <f t="shared" ref="G17:T17" si="19">1/G7</f>
        <v>0.4</v>
      </c>
      <c r="H17" s="300">
        <f t="shared" si="19"/>
        <v>0.4</v>
      </c>
      <c r="I17" s="300">
        <f t="shared" si="19"/>
        <v>0.3</v>
      </c>
      <c r="J17" s="300">
        <f t="shared" si="19"/>
        <v>0.3</v>
      </c>
      <c r="K17" s="300">
        <f t="shared" si="19"/>
        <v>0.3</v>
      </c>
      <c r="L17" s="300">
        <f t="shared" si="19"/>
        <v>0.3</v>
      </c>
      <c r="M17" s="300">
        <f t="shared" si="19"/>
        <v>0.3</v>
      </c>
      <c r="N17" s="300">
        <f t="shared" si="19"/>
        <v>0.27</v>
      </c>
      <c r="O17" s="300">
        <f t="shared" si="19"/>
        <v>0.27</v>
      </c>
      <c r="P17" s="300">
        <f t="shared" si="19"/>
        <v>0.27</v>
      </c>
      <c r="Q17" s="300">
        <f t="shared" si="19"/>
        <v>0.27</v>
      </c>
      <c r="R17" s="300">
        <f t="shared" si="19"/>
        <v>0.27</v>
      </c>
      <c r="S17" s="300">
        <f t="shared" si="19"/>
        <v>0.27</v>
      </c>
      <c r="T17" s="300">
        <f t="shared" si="19"/>
        <v>0.27</v>
      </c>
      <c r="U17" s="300"/>
      <c r="V17" s="300"/>
      <c r="W17" s="300"/>
      <c r="X17" s="252"/>
    </row>
    <row r="18" spans="1:41" ht="15" customHeight="1">
      <c r="A18" s="92" t="s">
        <v>267</v>
      </c>
      <c r="B18" s="90" t="s">
        <v>268</v>
      </c>
      <c r="C18" s="91" t="s">
        <v>269</v>
      </c>
      <c r="F18" s="268" t="s">
        <v>247</v>
      </c>
      <c r="P18" s="2"/>
      <c r="Q18" s="2"/>
      <c r="R18" s="2"/>
      <c r="S18" s="2"/>
      <c r="T18" s="300"/>
      <c r="U18" s="300"/>
      <c r="V18" s="300"/>
      <c r="W18" s="300"/>
      <c r="X18" s="252"/>
      <c r="Z18" s="32" t="s">
        <v>247</v>
      </c>
      <c r="AA18" s="2"/>
      <c r="AB18" s="2"/>
      <c r="AC18" s="2"/>
      <c r="AD18" s="2"/>
      <c r="AE18" s="2"/>
      <c r="AF18" s="2"/>
      <c r="AG18" s="2"/>
      <c r="AH18" s="2"/>
      <c r="AI18" s="2"/>
    </row>
    <row r="19" spans="1:41" ht="15" customHeight="1">
      <c r="A19" s="93" t="s">
        <v>270</v>
      </c>
      <c r="B19" s="87" t="s">
        <v>11</v>
      </c>
      <c r="C19" s="83" t="s">
        <v>11</v>
      </c>
      <c r="D19" s="81" t="s">
        <v>250</v>
      </c>
      <c r="E19" s="82" t="s">
        <v>173</v>
      </c>
      <c r="F19" s="266" t="s">
        <v>707</v>
      </c>
      <c r="G19" s="297" t="s">
        <v>656</v>
      </c>
      <c r="H19" s="297" t="s">
        <v>657</v>
      </c>
      <c r="I19" s="297" t="s">
        <v>658</v>
      </c>
      <c r="J19" s="297" t="s">
        <v>659</v>
      </c>
      <c r="K19" s="297" t="s">
        <v>660</v>
      </c>
      <c r="L19" s="297" t="s">
        <v>661</v>
      </c>
      <c r="M19" s="297" t="s">
        <v>662</v>
      </c>
      <c r="N19" s="297" t="s">
        <v>663</v>
      </c>
      <c r="O19" s="297" t="s">
        <v>664</v>
      </c>
      <c r="P19" s="297" t="s">
        <v>665</v>
      </c>
      <c r="Q19" s="297" t="s">
        <v>666</v>
      </c>
      <c r="R19" s="297" t="s">
        <v>667</v>
      </c>
      <c r="S19" s="297">
        <v>7</v>
      </c>
      <c r="T19" s="266">
        <v>8</v>
      </c>
      <c r="U19" s="266" t="s">
        <v>917</v>
      </c>
      <c r="V19" s="266" t="s">
        <v>918</v>
      </c>
      <c r="W19" s="266"/>
      <c r="X19" s="247">
        <v>8</v>
      </c>
      <c r="Z19" s="81">
        <v>1</v>
      </c>
      <c r="AA19" s="81">
        <v>2</v>
      </c>
      <c r="AB19" s="81">
        <v>3</v>
      </c>
      <c r="AC19" s="81">
        <v>4</v>
      </c>
      <c r="AD19" s="81">
        <v>5</v>
      </c>
      <c r="AE19" s="81">
        <v>6</v>
      </c>
      <c r="AF19" s="81">
        <v>7</v>
      </c>
      <c r="AG19" s="81">
        <v>8</v>
      </c>
      <c r="AH19" s="81">
        <v>9</v>
      </c>
      <c r="AI19" s="81">
        <v>10</v>
      </c>
      <c r="AJ19" s="81">
        <v>11</v>
      </c>
      <c r="AK19" s="81">
        <v>12</v>
      </c>
      <c r="AL19" s="81">
        <v>13</v>
      </c>
      <c r="AM19" s="81">
        <v>14</v>
      </c>
      <c r="AN19" s="81">
        <v>15</v>
      </c>
      <c r="AO19" s="81">
        <v>16</v>
      </c>
    </row>
    <row r="20" spans="1:41" ht="15" customHeight="1">
      <c r="A20" s="178">
        <v>0</v>
      </c>
      <c r="B20" s="135">
        <f>IF(A20=1,0.01,0.02)</f>
        <v>0.02</v>
      </c>
      <c r="C20" s="94"/>
      <c r="D20" s="7" t="s">
        <v>271</v>
      </c>
      <c r="E20" s="83" t="s">
        <v>253</v>
      </c>
      <c r="F20" s="179">
        <f>F74</f>
        <v>30</v>
      </c>
      <c r="G20" s="179">
        <f t="shared" ref="G20:T20" si="20">G74</f>
        <v>38</v>
      </c>
      <c r="H20" s="179">
        <f t="shared" si="20"/>
        <v>38</v>
      </c>
      <c r="I20" s="179">
        <f t="shared" si="20"/>
        <v>38</v>
      </c>
      <c r="J20" s="179">
        <f t="shared" si="20"/>
        <v>38</v>
      </c>
      <c r="K20" s="179">
        <f t="shared" si="20"/>
        <v>38</v>
      </c>
      <c r="L20" s="179">
        <f t="shared" si="20"/>
        <v>49</v>
      </c>
      <c r="M20" s="179">
        <f t="shared" si="20"/>
        <v>49</v>
      </c>
      <c r="N20" s="179">
        <f t="shared" si="20"/>
        <v>49</v>
      </c>
      <c r="O20" s="179">
        <f t="shared" si="20"/>
        <v>49</v>
      </c>
      <c r="P20" s="179">
        <f t="shared" si="20"/>
        <v>49</v>
      </c>
      <c r="Q20" s="179">
        <f t="shared" si="20"/>
        <v>49</v>
      </c>
      <c r="R20" s="179">
        <f t="shared" si="20"/>
        <v>49</v>
      </c>
      <c r="S20" s="179">
        <f t="shared" si="20"/>
        <v>49</v>
      </c>
      <c r="T20" s="179">
        <f t="shared" si="20"/>
        <v>49</v>
      </c>
      <c r="U20" s="36">
        <f>G20</f>
        <v>38</v>
      </c>
      <c r="V20" s="36">
        <f>I20</f>
        <v>38</v>
      </c>
      <c r="W20" s="179"/>
      <c r="X20" s="253">
        <v>38</v>
      </c>
      <c r="Z20" s="2">
        <v>49</v>
      </c>
      <c r="AA20" s="2">
        <v>49</v>
      </c>
      <c r="AB20" s="2">
        <v>38</v>
      </c>
      <c r="AC20" s="2">
        <v>38</v>
      </c>
      <c r="AD20" s="2">
        <v>38</v>
      </c>
      <c r="AE20" s="2">
        <v>38</v>
      </c>
      <c r="AF20" s="2">
        <v>38</v>
      </c>
      <c r="AG20" s="2">
        <v>38</v>
      </c>
      <c r="AH20" s="2">
        <v>38</v>
      </c>
      <c r="AI20" s="2">
        <v>49</v>
      </c>
      <c r="AJ20" s="2">
        <v>49</v>
      </c>
      <c r="AK20" s="2">
        <v>49</v>
      </c>
      <c r="AL20" s="2">
        <v>49</v>
      </c>
      <c r="AM20" s="2">
        <v>49</v>
      </c>
      <c r="AN20" s="2">
        <v>49</v>
      </c>
      <c r="AO20" s="2">
        <v>49</v>
      </c>
    </row>
    <row r="21" spans="1:41" ht="15" customHeight="1">
      <c r="A21" s="177">
        <v>0</v>
      </c>
      <c r="B21" s="134">
        <f>IF(A21=1,0.02,0.005)</f>
        <v>5.0000000000000001E-3</v>
      </c>
      <c r="C21" s="89"/>
      <c r="D21" s="37" t="s">
        <v>272</v>
      </c>
      <c r="E21" s="86" t="s">
        <v>587</v>
      </c>
      <c r="F21" s="476">
        <f>(1/F20+$B$20)^-1/5.678</f>
        <v>3.3022190912293063</v>
      </c>
      <c r="G21" s="477">
        <f t="shared" ref="G21:X21" si="21">(1/G20+$B$20)^-1/5.678</f>
        <v>3.8025553171731401</v>
      </c>
      <c r="H21" s="477">
        <f t="shared" si="21"/>
        <v>3.8025553171731401</v>
      </c>
      <c r="I21" s="477">
        <f t="shared" si="21"/>
        <v>3.8025553171731401</v>
      </c>
      <c r="J21" s="477">
        <f t="shared" si="21"/>
        <v>3.8025553171731401</v>
      </c>
      <c r="K21" s="477">
        <f t="shared" si="21"/>
        <v>3.8025553171731401</v>
      </c>
      <c r="L21" s="477">
        <f t="shared" si="21"/>
        <v>4.358484457110734</v>
      </c>
      <c r="M21" s="477">
        <f t="shared" si="21"/>
        <v>4.358484457110734</v>
      </c>
      <c r="N21" s="477">
        <f t="shared" si="21"/>
        <v>4.358484457110734</v>
      </c>
      <c r="O21" s="477">
        <f t="shared" si="21"/>
        <v>4.358484457110734</v>
      </c>
      <c r="P21" s="477">
        <f t="shared" si="21"/>
        <v>4.358484457110734</v>
      </c>
      <c r="Q21" s="477">
        <f t="shared" si="21"/>
        <v>4.358484457110734</v>
      </c>
      <c r="R21" s="477">
        <f t="shared" si="21"/>
        <v>4.358484457110734</v>
      </c>
      <c r="S21" s="477">
        <f t="shared" si="21"/>
        <v>4.358484457110734</v>
      </c>
      <c r="T21" s="477">
        <f t="shared" si="21"/>
        <v>4.358484457110734</v>
      </c>
      <c r="U21" s="478">
        <f>G21</f>
        <v>3.8025553171731401</v>
      </c>
      <c r="V21" s="478">
        <f>I21</f>
        <v>3.8025553171731401</v>
      </c>
      <c r="W21" s="299"/>
      <c r="X21" s="254">
        <f t="shared" si="21"/>
        <v>3.8025553171731401</v>
      </c>
      <c r="Z21" s="39">
        <f>(1/Z20+$B$20)^-1/5.678</f>
        <v>4.358484457110734</v>
      </c>
      <c r="AA21" s="39">
        <f t="shared" ref="AA21:AO21" si="22">(1/AA20+$B$20)^-1/5.678</f>
        <v>4.358484457110734</v>
      </c>
      <c r="AB21" s="39">
        <f t="shared" si="22"/>
        <v>3.8025553171731401</v>
      </c>
      <c r="AC21" s="39">
        <f t="shared" si="22"/>
        <v>3.8025553171731401</v>
      </c>
      <c r="AD21" s="39">
        <f t="shared" si="22"/>
        <v>3.8025553171731401</v>
      </c>
      <c r="AE21" s="39">
        <f t="shared" si="22"/>
        <v>3.8025553171731401</v>
      </c>
      <c r="AF21" s="39">
        <f t="shared" si="22"/>
        <v>3.8025553171731401</v>
      </c>
      <c r="AG21" s="39">
        <f t="shared" si="22"/>
        <v>3.8025553171731401</v>
      </c>
      <c r="AH21" s="39">
        <f t="shared" si="22"/>
        <v>3.8025553171731401</v>
      </c>
      <c r="AI21" s="39">
        <f t="shared" si="22"/>
        <v>4.358484457110734</v>
      </c>
      <c r="AJ21" s="39">
        <f t="shared" si="22"/>
        <v>4.358484457110734</v>
      </c>
      <c r="AK21" s="39">
        <f t="shared" si="22"/>
        <v>4.358484457110734</v>
      </c>
      <c r="AL21" s="39">
        <f t="shared" si="22"/>
        <v>4.358484457110734</v>
      </c>
      <c r="AM21" s="39">
        <f t="shared" si="22"/>
        <v>4.358484457110734</v>
      </c>
      <c r="AN21" s="39">
        <f t="shared" si="22"/>
        <v>4.358484457110734</v>
      </c>
      <c r="AO21" s="39">
        <f t="shared" si="22"/>
        <v>4.358484457110734</v>
      </c>
    </row>
    <row r="22" spans="1:41" ht="15" customHeight="1">
      <c r="C22" s="5"/>
      <c r="D22" s="37" t="s">
        <v>273</v>
      </c>
      <c r="E22" s="86" t="s">
        <v>587</v>
      </c>
      <c r="F22" s="476">
        <f>(1/F20+$B$21)^-1/5.678</f>
        <v>4.5943917791016435</v>
      </c>
      <c r="G22" s="477">
        <f t="shared" ref="G22:X22" si="23">(1/G20+$B$21)^-1/5.678</f>
        <v>5.6239473598527123</v>
      </c>
      <c r="H22" s="477">
        <f t="shared" si="23"/>
        <v>5.6239473598527123</v>
      </c>
      <c r="I22" s="477">
        <f t="shared" si="23"/>
        <v>5.6239473598527123</v>
      </c>
      <c r="J22" s="477">
        <f t="shared" si="23"/>
        <v>5.6239473598527123</v>
      </c>
      <c r="K22" s="477">
        <f t="shared" si="23"/>
        <v>5.6239473598527123</v>
      </c>
      <c r="L22" s="477">
        <f t="shared" si="23"/>
        <v>6.931565642633938</v>
      </c>
      <c r="M22" s="477">
        <f t="shared" si="23"/>
        <v>6.931565642633938</v>
      </c>
      <c r="N22" s="477">
        <f t="shared" si="23"/>
        <v>6.931565642633938</v>
      </c>
      <c r="O22" s="477">
        <f t="shared" si="23"/>
        <v>6.931565642633938</v>
      </c>
      <c r="P22" s="477">
        <f t="shared" si="23"/>
        <v>6.931565642633938</v>
      </c>
      <c r="Q22" s="477">
        <f t="shared" si="23"/>
        <v>6.931565642633938</v>
      </c>
      <c r="R22" s="477">
        <f t="shared" si="23"/>
        <v>6.931565642633938</v>
      </c>
      <c r="S22" s="477">
        <f t="shared" si="23"/>
        <v>6.931565642633938</v>
      </c>
      <c r="T22" s="477">
        <f t="shared" si="23"/>
        <v>6.931565642633938</v>
      </c>
      <c r="U22" s="478">
        <f>G22</f>
        <v>5.6239473598527123</v>
      </c>
      <c r="V22" s="478">
        <f>I22</f>
        <v>5.6239473598527123</v>
      </c>
      <c r="W22" s="299"/>
      <c r="X22" s="254">
        <f t="shared" si="23"/>
        <v>5.6239473598527123</v>
      </c>
      <c r="Z22" s="39">
        <f>(1/Z20+$B$21)^-1/5.678</f>
        <v>6.931565642633938</v>
      </c>
      <c r="AA22" s="39">
        <f t="shared" ref="AA22:AO22" si="24">(1/AA20+$B$21)^-1/5.678</f>
        <v>6.931565642633938</v>
      </c>
      <c r="AB22" s="39">
        <f t="shared" si="24"/>
        <v>5.6239473598527123</v>
      </c>
      <c r="AC22" s="39">
        <f t="shared" si="24"/>
        <v>5.6239473598527123</v>
      </c>
      <c r="AD22" s="39">
        <f t="shared" si="24"/>
        <v>5.6239473598527123</v>
      </c>
      <c r="AE22" s="39">
        <f t="shared" si="24"/>
        <v>5.6239473598527123</v>
      </c>
      <c r="AF22" s="39">
        <f t="shared" si="24"/>
        <v>5.6239473598527123</v>
      </c>
      <c r="AG22" s="39">
        <f t="shared" si="24"/>
        <v>5.6239473598527123</v>
      </c>
      <c r="AH22" s="39">
        <f t="shared" si="24"/>
        <v>5.6239473598527123</v>
      </c>
      <c r="AI22" s="39">
        <f t="shared" si="24"/>
        <v>6.931565642633938</v>
      </c>
      <c r="AJ22" s="39">
        <f t="shared" si="24"/>
        <v>6.931565642633938</v>
      </c>
      <c r="AK22" s="39">
        <f t="shared" si="24"/>
        <v>6.931565642633938</v>
      </c>
      <c r="AL22" s="39">
        <f t="shared" si="24"/>
        <v>6.931565642633938</v>
      </c>
      <c r="AM22" s="39">
        <f t="shared" si="24"/>
        <v>6.931565642633938</v>
      </c>
      <c r="AN22" s="39">
        <f t="shared" si="24"/>
        <v>6.931565642633938</v>
      </c>
      <c r="AO22" s="39">
        <f t="shared" si="24"/>
        <v>6.931565642633938</v>
      </c>
    </row>
    <row r="23" spans="1:41" ht="15" customHeight="1">
      <c r="A23" s="14" t="s">
        <v>274</v>
      </c>
      <c r="F23" s="300"/>
      <c r="P23" s="2"/>
      <c r="Q23" s="2"/>
      <c r="R23" s="2"/>
      <c r="S23" s="2"/>
      <c r="T23" s="300"/>
      <c r="U23" s="300"/>
      <c r="V23" s="300"/>
      <c r="W23" s="300"/>
      <c r="X23" s="25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1" ht="15" customHeight="1">
      <c r="A24" s="40" t="s">
        <v>275</v>
      </c>
      <c r="F24" s="300"/>
      <c r="P24" s="2"/>
      <c r="Q24" s="2"/>
      <c r="R24" s="2"/>
      <c r="S24" s="2"/>
      <c r="T24" s="300"/>
      <c r="U24" s="300"/>
      <c r="V24" s="300"/>
      <c r="W24" s="300"/>
      <c r="X24" s="252"/>
      <c r="Z24" s="2"/>
      <c r="AA24" s="2"/>
      <c r="AB24" s="2"/>
      <c r="AC24" s="2"/>
      <c r="AD24" s="2"/>
      <c r="AE24" s="2"/>
      <c r="AF24" s="2"/>
      <c r="AG24" s="14"/>
      <c r="AH24" s="2"/>
      <c r="AI24" s="2"/>
      <c r="AJ24" s="2"/>
      <c r="AK24" s="2"/>
      <c r="AL24" s="2"/>
      <c r="AM24" s="2"/>
      <c r="AN24" s="2"/>
    </row>
    <row r="25" spans="1:41" ht="15" customHeight="1">
      <c r="F25" s="300"/>
      <c r="P25" s="2"/>
      <c r="Q25" s="2"/>
      <c r="R25" s="2"/>
      <c r="S25" s="2"/>
      <c r="T25" s="300"/>
      <c r="U25" s="300"/>
      <c r="V25" s="300"/>
      <c r="W25" s="300"/>
      <c r="X25" s="25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41"/>
      <c r="AK25" s="42"/>
      <c r="AL25" s="42"/>
      <c r="AM25" s="43"/>
      <c r="AN25" s="43"/>
    </row>
    <row r="26" spans="1:41" ht="15" customHeight="1">
      <c r="A26" s="4" t="s">
        <v>276</v>
      </c>
      <c r="F26" s="268" t="s">
        <v>247</v>
      </c>
      <c r="P26" s="2"/>
      <c r="Q26" s="2"/>
      <c r="R26" s="2"/>
      <c r="S26" s="2"/>
      <c r="T26" s="300"/>
      <c r="U26" s="300"/>
      <c r="V26" s="300"/>
      <c r="W26" s="300"/>
      <c r="X26" s="25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42"/>
      <c r="AL26" s="42"/>
      <c r="AM26" s="43"/>
      <c r="AN26" s="43"/>
    </row>
    <row r="27" spans="1:41" ht="15" customHeight="1">
      <c r="A27" s="94"/>
      <c r="B27" s="23" t="s">
        <v>627</v>
      </c>
      <c r="D27" s="81" t="s">
        <v>250</v>
      </c>
      <c r="E27" s="82"/>
      <c r="F27" s="266" t="s">
        <v>707</v>
      </c>
      <c r="G27" s="297" t="s">
        <v>656</v>
      </c>
      <c r="H27" s="297" t="s">
        <v>657</v>
      </c>
      <c r="I27" s="297" t="s">
        <v>658</v>
      </c>
      <c r="J27" s="297" t="s">
        <v>659</v>
      </c>
      <c r="K27" s="297" t="s">
        <v>660</v>
      </c>
      <c r="L27" s="297" t="s">
        <v>661</v>
      </c>
      <c r="M27" s="297" t="s">
        <v>662</v>
      </c>
      <c r="N27" s="297" t="s">
        <v>663</v>
      </c>
      <c r="O27" s="297" t="s">
        <v>664</v>
      </c>
      <c r="P27" s="297" t="s">
        <v>665</v>
      </c>
      <c r="Q27" s="297" t="s">
        <v>666</v>
      </c>
      <c r="R27" s="297" t="s">
        <v>667</v>
      </c>
      <c r="S27" s="297">
        <v>7</v>
      </c>
      <c r="T27" s="266">
        <v>8</v>
      </c>
      <c r="U27" s="266" t="s">
        <v>917</v>
      </c>
      <c r="V27" s="266" t="s">
        <v>918</v>
      </c>
      <c r="W27" s="266"/>
      <c r="X27" s="255">
        <v>16</v>
      </c>
    </row>
    <row r="28" spans="1:41" ht="15" customHeight="1">
      <c r="A28" s="167" t="s">
        <v>625</v>
      </c>
      <c r="B28" s="168">
        <v>25.6</v>
      </c>
      <c r="C28" s="5"/>
      <c r="D28" s="2" t="s">
        <v>277</v>
      </c>
      <c r="E28" s="95" t="s">
        <v>11</v>
      </c>
      <c r="F28" s="479">
        <f>F85</f>
        <v>0.25</v>
      </c>
      <c r="G28" s="479">
        <f t="shared" ref="G28:M28" si="25">G85</f>
        <v>0.25</v>
      </c>
      <c r="H28" s="479">
        <f t="shared" si="25"/>
        <v>0.25</v>
      </c>
      <c r="I28" s="479">
        <f t="shared" si="25"/>
        <v>0.27</v>
      </c>
      <c r="J28" s="479">
        <f t="shared" si="25"/>
        <v>0.27</v>
      </c>
      <c r="K28" s="479">
        <f t="shared" si="25"/>
        <v>0.27</v>
      </c>
      <c r="L28" s="479">
        <f t="shared" si="25"/>
        <v>0.27</v>
      </c>
      <c r="M28" s="479">
        <f t="shared" si="25"/>
        <v>0.27</v>
      </c>
      <c r="N28" s="480">
        <v>0.3</v>
      </c>
      <c r="O28" s="480">
        <v>0.3</v>
      </c>
      <c r="P28" s="480">
        <v>0.3</v>
      </c>
      <c r="Q28" s="480">
        <v>0.3</v>
      </c>
      <c r="R28" s="480">
        <v>0.3</v>
      </c>
      <c r="S28" s="480">
        <v>0.3</v>
      </c>
      <c r="T28" s="481">
        <v>0.35</v>
      </c>
      <c r="U28" s="479">
        <f>G28</f>
        <v>0.25</v>
      </c>
      <c r="V28" s="479">
        <f>I28</f>
        <v>0.27</v>
      </c>
      <c r="W28" s="262"/>
      <c r="X28" s="256">
        <v>0.4</v>
      </c>
      <c r="Z28" s="32" t="s">
        <v>247</v>
      </c>
      <c r="AA28" s="2"/>
      <c r="AB28" s="2"/>
      <c r="AC28" s="2"/>
      <c r="AD28" s="2"/>
      <c r="AE28" s="2"/>
      <c r="AF28" s="2"/>
      <c r="AG28" s="2"/>
      <c r="AH28" s="2"/>
      <c r="AI28" s="2"/>
    </row>
    <row r="29" spans="1:41" ht="15" customHeight="1">
      <c r="A29" s="94" t="s">
        <v>626</v>
      </c>
      <c r="B29" s="43">
        <v>20.7</v>
      </c>
      <c r="D29" s="170" t="s">
        <v>628</v>
      </c>
      <c r="E29" s="83"/>
      <c r="F29" s="269">
        <v>47</v>
      </c>
      <c r="G29" s="277">
        <v>32</v>
      </c>
      <c r="H29" s="277">
        <v>40</v>
      </c>
      <c r="I29" s="277">
        <v>21</v>
      </c>
      <c r="J29" s="277">
        <v>26</v>
      </c>
      <c r="K29" s="277">
        <v>40</v>
      </c>
      <c r="L29" s="277">
        <v>17</v>
      </c>
      <c r="M29" s="277">
        <v>20</v>
      </c>
      <c r="N29" s="277">
        <v>25</v>
      </c>
      <c r="O29" s="277">
        <v>1</v>
      </c>
      <c r="P29" s="277">
        <v>9</v>
      </c>
      <c r="Q29" s="277">
        <v>-4</v>
      </c>
      <c r="R29" s="277">
        <v>-10</v>
      </c>
      <c r="S29" s="277">
        <v>-15</v>
      </c>
      <c r="T29" s="269">
        <v>-47</v>
      </c>
      <c r="U29" s="269"/>
      <c r="V29" s="269"/>
      <c r="W29" s="269"/>
      <c r="X29" s="257">
        <v>17</v>
      </c>
      <c r="Z29" s="81">
        <v>1</v>
      </c>
      <c r="AA29" s="81">
        <v>2</v>
      </c>
      <c r="AB29" s="81">
        <v>3</v>
      </c>
      <c r="AC29" s="81">
        <v>4</v>
      </c>
      <c r="AD29" s="81">
        <v>5</v>
      </c>
      <c r="AE29" s="81">
        <v>6</v>
      </c>
      <c r="AF29" s="81">
        <v>7</v>
      </c>
      <c r="AG29" s="81">
        <v>8</v>
      </c>
      <c r="AH29" s="81">
        <v>9</v>
      </c>
      <c r="AI29" s="81">
        <v>10</v>
      </c>
      <c r="AJ29" s="81">
        <v>11</v>
      </c>
      <c r="AK29" s="81">
        <v>12</v>
      </c>
      <c r="AL29" s="81">
        <v>13</v>
      </c>
      <c r="AM29" s="81">
        <v>14</v>
      </c>
      <c r="AN29" s="81">
        <v>15</v>
      </c>
      <c r="AO29" s="81">
        <v>16</v>
      </c>
    </row>
    <row r="30" spans="1:41" s="139" customFormat="1" ht="15" customHeight="1">
      <c r="A30" s="87"/>
      <c r="B30" s="43"/>
      <c r="C30" s="2"/>
      <c r="D30" s="170" t="s">
        <v>629</v>
      </c>
      <c r="E30" s="171"/>
      <c r="F30" s="264">
        <f>(5/9)*(F29-32)</f>
        <v>8.3333333333333339</v>
      </c>
      <c r="G30" s="276">
        <v>0</v>
      </c>
      <c r="H30" s="276">
        <v>4.4444444444444446</v>
      </c>
      <c r="I30" s="280">
        <v>-6.1111111111111116</v>
      </c>
      <c r="J30" s="280">
        <v>-3.3333333333333335</v>
      </c>
      <c r="K30" s="280">
        <v>4.4444444444444446</v>
      </c>
      <c r="L30" s="280">
        <v>-8.3333333333333339</v>
      </c>
      <c r="M30" s="280">
        <v>-6.666666666666667</v>
      </c>
      <c r="N30" s="280">
        <v>-3.8888888888888893</v>
      </c>
      <c r="O30" s="280">
        <v>-17.222222222222221</v>
      </c>
      <c r="P30" s="280">
        <v>-12.777777777777779</v>
      </c>
      <c r="Q30" s="280">
        <v>-20</v>
      </c>
      <c r="R30" s="280">
        <v>-23.333333333333336</v>
      </c>
      <c r="S30" s="280">
        <v>-26.111111111111111</v>
      </c>
      <c r="T30" s="264">
        <f>(5/9)*(T29-32)</f>
        <v>-43.888888888888893</v>
      </c>
      <c r="U30" s="264"/>
      <c r="V30" s="264"/>
      <c r="W30" s="264"/>
      <c r="X30" s="258">
        <f>(5/9)*(X29-32)</f>
        <v>-8.3333333333333339</v>
      </c>
      <c r="Z30" s="172"/>
      <c r="AA30" s="172"/>
      <c r="AB30" s="172"/>
      <c r="AC30" s="172"/>
      <c r="AD30" s="172"/>
      <c r="AE30" s="172"/>
      <c r="AF30" s="172"/>
      <c r="AG30" s="172"/>
      <c r="AH30" s="172"/>
      <c r="AI30" s="172"/>
      <c r="AJ30" s="172"/>
      <c r="AK30" s="172"/>
      <c r="AL30" s="172"/>
      <c r="AM30" s="172"/>
      <c r="AN30" s="172"/>
      <c r="AO30" s="172"/>
    </row>
    <row r="31" spans="1:41" ht="15" customHeight="1">
      <c r="A31" s="166"/>
      <c r="B31" s="2"/>
      <c r="D31" s="173" t="s">
        <v>630</v>
      </c>
      <c r="E31" s="174"/>
      <c r="F31" s="270">
        <f>$B$29-F30</f>
        <v>12.366666666666665</v>
      </c>
      <c r="G31" s="279">
        <v>20.740738888888892</v>
      </c>
      <c r="H31" s="279">
        <v>16.296294444444449</v>
      </c>
      <c r="I31" s="279">
        <v>26.851850000000002</v>
      </c>
      <c r="J31" s="279">
        <v>24.074072222222224</v>
      </c>
      <c r="K31" s="279">
        <v>16.296294444444449</v>
      </c>
      <c r="L31" s="279">
        <v>29.074072222222227</v>
      </c>
      <c r="M31" s="279">
        <v>27.40740555555556</v>
      </c>
      <c r="N31" s="279">
        <v>24.629627777777781</v>
      </c>
      <c r="O31" s="279">
        <v>37.962961111111113</v>
      </c>
      <c r="P31" s="279">
        <v>33.51851666666667</v>
      </c>
      <c r="Q31" s="279">
        <v>40.740738888888892</v>
      </c>
      <c r="R31" s="279">
        <v>44.074072222222227</v>
      </c>
      <c r="S31" s="279">
        <v>46.851849999999999</v>
      </c>
      <c r="T31" s="270">
        <f>$B$29-T30</f>
        <v>64.588888888888889</v>
      </c>
      <c r="U31" s="270"/>
      <c r="V31" s="270"/>
      <c r="W31" s="270"/>
      <c r="X31" s="259">
        <f>$B$29-X30</f>
        <v>29.033333333333331</v>
      </c>
      <c r="Z31" s="44">
        <v>0.4</v>
      </c>
      <c r="AA31" s="44">
        <v>0.4</v>
      </c>
      <c r="AB31" s="44">
        <v>0.4</v>
      </c>
      <c r="AC31" s="44">
        <v>0.4</v>
      </c>
      <c r="AD31" s="44">
        <v>0.4</v>
      </c>
      <c r="AE31" s="44">
        <v>0.4</v>
      </c>
      <c r="AF31" s="44">
        <v>0.4</v>
      </c>
      <c r="AG31" s="44">
        <v>0.4</v>
      </c>
      <c r="AH31" s="44">
        <v>0.4</v>
      </c>
      <c r="AI31" s="44">
        <v>0.4</v>
      </c>
      <c r="AJ31" s="44">
        <v>0.4</v>
      </c>
      <c r="AK31" s="44">
        <v>0.4</v>
      </c>
      <c r="AL31" s="44">
        <v>0.4</v>
      </c>
      <c r="AM31" s="44">
        <v>0.4</v>
      </c>
      <c r="AN31" s="44">
        <v>0.4</v>
      </c>
      <c r="AO31" s="44">
        <v>0.4</v>
      </c>
    </row>
    <row r="32" spans="1:41" s="139" customFormat="1" ht="15" customHeight="1">
      <c r="A32" s="166" t="s">
        <v>267</v>
      </c>
      <c r="B32" s="241" t="s">
        <v>790</v>
      </c>
      <c r="C32" s="241" t="s">
        <v>269</v>
      </c>
      <c r="D32" s="170" t="s">
        <v>631</v>
      </c>
      <c r="E32" s="175"/>
      <c r="F32" s="263">
        <v>90</v>
      </c>
      <c r="G32" s="278">
        <v>95</v>
      </c>
      <c r="H32" s="278">
        <v>108</v>
      </c>
      <c r="I32" s="278">
        <v>94</v>
      </c>
      <c r="J32" s="278">
        <v>99</v>
      </c>
      <c r="K32" s="278">
        <v>78</v>
      </c>
      <c r="L32" s="278">
        <v>91</v>
      </c>
      <c r="M32" s="278">
        <v>94</v>
      </c>
      <c r="N32" s="278">
        <v>87</v>
      </c>
      <c r="O32" s="278">
        <v>89</v>
      </c>
      <c r="P32" s="278">
        <v>94</v>
      </c>
      <c r="Q32" s="278">
        <v>85</v>
      </c>
      <c r="R32" s="278">
        <v>88</v>
      </c>
      <c r="S32" s="278">
        <v>81</v>
      </c>
      <c r="T32" s="263">
        <v>78</v>
      </c>
      <c r="U32" s="263"/>
      <c r="V32" s="263"/>
      <c r="W32" s="263"/>
      <c r="X32" s="260">
        <v>92</v>
      </c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</row>
    <row r="33" spans="1:24" ht="15" customHeight="1">
      <c r="A33" s="305" t="s">
        <v>819</v>
      </c>
      <c r="D33" s="170" t="s">
        <v>632</v>
      </c>
      <c r="E33" s="94"/>
      <c r="F33" s="264">
        <f>(5/9)*(F32-32)</f>
        <v>32.222222222222221</v>
      </c>
      <c r="G33" s="276">
        <v>35</v>
      </c>
      <c r="H33" s="276">
        <v>42.222222222222221</v>
      </c>
      <c r="I33" s="276">
        <v>34.444444444444443</v>
      </c>
      <c r="J33" s="276">
        <v>37.222222222222221</v>
      </c>
      <c r="K33" s="276">
        <v>25.555555555555557</v>
      </c>
      <c r="L33" s="276">
        <v>32.777777777777779</v>
      </c>
      <c r="M33" s="276">
        <v>34.444444444444443</v>
      </c>
      <c r="N33" s="276">
        <v>30.555555555555557</v>
      </c>
      <c r="O33" s="276">
        <v>31.666666666666668</v>
      </c>
      <c r="P33" s="276">
        <v>34.444444444444443</v>
      </c>
      <c r="Q33" s="276">
        <v>29.444444444444446</v>
      </c>
      <c r="R33" s="276">
        <v>31.111111111111114</v>
      </c>
      <c r="S33" s="276">
        <v>27.222222222222225</v>
      </c>
      <c r="T33" s="264">
        <f>(5/9)*(T32-32)</f>
        <v>25.555555555555557</v>
      </c>
      <c r="U33" s="264"/>
      <c r="V33" s="264"/>
      <c r="W33" s="264"/>
      <c r="X33" s="258">
        <f>(5/9)*(X32-32)</f>
        <v>33.333333333333336</v>
      </c>
    </row>
    <row r="34" spans="1:24" s="139" customFormat="1" ht="15" customHeight="1">
      <c r="C34" s="2"/>
      <c r="D34" s="173" t="s">
        <v>630</v>
      </c>
      <c r="E34" s="89"/>
      <c r="F34" s="270">
        <f>ABS($B$28-F33)</f>
        <v>6.62222222222222</v>
      </c>
      <c r="G34" s="279">
        <v>9.375</v>
      </c>
      <c r="H34" s="279">
        <v>16.597222222222221</v>
      </c>
      <c r="I34" s="279">
        <v>8.8194444444444429</v>
      </c>
      <c r="J34" s="279">
        <v>11.597222222222221</v>
      </c>
      <c r="K34" s="279">
        <v>6.9444444444442865E-2</v>
      </c>
      <c r="L34" s="279">
        <v>7.1527777777777786</v>
      </c>
      <c r="M34" s="279">
        <v>8.8194444444444429</v>
      </c>
      <c r="N34" s="279">
        <v>4.9305555555555571</v>
      </c>
      <c r="O34" s="279">
        <v>6.0416666666666679</v>
      </c>
      <c r="P34" s="279">
        <v>8.8194444444444429</v>
      </c>
      <c r="Q34" s="279">
        <v>3.8194444444444464</v>
      </c>
      <c r="R34" s="279">
        <v>5.4861111111111143</v>
      </c>
      <c r="S34" s="279">
        <v>1.597222222222225</v>
      </c>
      <c r="T34" s="270">
        <f>ABS($B$28-T33)</f>
        <v>4.4444444444444287E-2</v>
      </c>
      <c r="U34" s="270"/>
      <c r="V34" s="270"/>
      <c r="W34" s="270"/>
      <c r="X34" s="259">
        <f>ABS($B$28-X33)</f>
        <v>7.7333333333333343</v>
      </c>
    </row>
    <row r="35" spans="1:24" s="139" customFormat="1" ht="15" customHeight="1">
      <c r="C35" s="2"/>
      <c r="D35" s="170" t="s">
        <v>633</v>
      </c>
      <c r="E35" s="83"/>
      <c r="F35" s="271">
        <f t="shared" ref="F35:X35" si="26">$B$13*$K$59*F31</f>
        <v>1317.4395499999998</v>
      </c>
      <c r="G35" s="176">
        <f t="shared" si="26"/>
        <v>2209.542024941667</v>
      </c>
      <c r="H35" s="176">
        <f t="shared" si="26"/>
        <v>1736.0686916083337</v>
      </c>
      <c r="I35" s="176">
        <f t="shared" si="26"/>
        <v>2860.5678582750002</v>
      </c>
      <c r="J35" s="176">
        <f t="shared" si="26"/>
        <v>2564.6470249416666</v>
      </c>
      <c r="K35" s="176">
        <f t="shared" si="26"/>
        <v>1736.0686916083337</v>
      </c>
      <c r="L35" s="176">
        <f t="shared" si="26"/>
        <v>3097.3045249416668</v>
      </c>
      <c r="M35" s="176">
        <f t="shared" si="26"/>
        <v>2919.7520249416671</v>
      </c>
      <c r="N35" s="176">
        <f t="shared" si="26"/>
        <v>2623.8311916083335</v>
      </c>
      <c r="O35" s="176">
        <f t="shared" si="26"/>
        <v>4044.2511916083331</v>
      </c>
      <c r="P35" s="176">
        <f t="shared" si="26"/>
        <v>3570.7778582750002</v>
      </c>
      <c r="Q35" s="176">
        <f t="shared" si="26"/>
        <v>4340.1720249416667</v>
      </c>
      <c r="R35" s="176">
        <f t="shared" si="26"/>
        <v>4695.2770249416672</v>
      </c>
      <c r="S35" s="176">
        <f t="shared" si="26"/>
        <v>4991.1978582749998</v>
      </c>
      <c r="T35" s="271">
        <f t="shared" si="26"/>
        <v>6880.7512166666666</v>
      </c>
      <c r="U35" s="271"/>
      <c r="V35" s="271"/>
      <c r="W35" s="271"/>
      <c r="X35" s="261">
        <f t="shared" si="26"/>
        <v>3092.9645499999997</v>
      </c>
    </row>
    <row r="36" spans="1:24" s="139" customFormat="1" ht="15" customHeight="1">
      <c r="C36" s="2"/>
      <c r="D36" s="170"/>
      <c r="E36" s="83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76"/>
      <c r="V36" s="276"/>
      <c r="W36" s="276"/>
      <c r="X36" s="8"/>
    </row>
    <row r="37" spans="1:24" s="139" customFormat="1" ht="15" customHeight="1">
      <c r="A37" s="139" t="e">
        <f>(1/3.5*(C33*B33)+(1/F6*((1-B33)*C32)))</f>
        <v>#VALUE!</v>
      </c>
      <c r="C37" s="2"/>
      <c r="D37" s="2"/>
      <c r="E37" s="2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276"/>
      <c r="V37" s="276"/>
      <c r="W37" s="276"/>
      <c r="X37" s="8"/>
    </row>
    <row r="39" spans="1:24" ht="15" customHeight="1">
      <c r="D39" s="298" t="s">
        <v>250</v>
      </c>
      <c r="E39" s="82" t="s">
        <v>173</v>
      </c>
      <c r="F39" s="266" t="s">
        <v>707</v>
      </c>
      <c r="G39" s="314" t="s">
        <v>656</v>
      </c>
      <c r="H39" s="314" t="s">
        <v>657</v>
      </c>
      <c r="I39" s="314" t="s">
        <v>658</v>
      </c>
      <c r="J39" s="314" t="s">
        <v>659</v>
      </c>
      <c r="K39" s="314" t="s">
        <v>660</v>
      </c>
      <c r="L39" s="314" t="s">
        <v>661</v>
      </c>
      <c r="M39" s="314" t="s">
        <v>662</v>
      </c>
      <c r="N39" s="314" t="s">
        <v>663</v>
      </c>
      <c r="O39" s="314" t="s">
        <v>664</v>
      </c>
      <c r="P39" s="314" t="s">
        <v>665</v>
      </c>
      <c r="Q39" s="314" t="s">
        <v>666</v>
      </c>
      <c r="R39" s="314" t="s">
        <v>667</v>
      </c>
      <c r="S39" s="314">
        <v>7</v>
      </c>
      <c r="T39" s="266">
        <v>8</v>
      </c>
      <c r="U39" s="351"/>
      <c r="V39" s="351"/>
      <c r="W39" s="351"/>
    </row>
    <row r="40" spans="1:24" ht="15" customHeight="1">
      <c r="D40" s="241" t="s">
        <v>252</v>
      </c>
      <c r="E40" s="83" t="s">
        <v>253</v>
      </c>
      <c r="F40" s="284">
        <v>13</v>
      </c>
      <c r="G40" s="273">
        <v>13</v>
      </c>
      <c r="H40" s="273">
        <v>13</v>
      </c>
      <c r="I40" s="273">
        <v>13</v>
      </c>
      <c r="J40" s="273">
        <v>13</v>
      </c>
      <c r="K40" s="273">
        <v>13</v>
      </c>
      <c r="L40" s="273">
        <v>13</v>
      </c>
      <c r="M40" s="273">
        <v>13</v>
      </c>
      <c r="N40" s="273">
        <v>20</v>
      </c>
      <c r="O40" s="273">
        <v>20</v>
      </c>
      <c r="P40" s="273">
        <v>20</v>
      </c>
      <c r="Q40" s="273">
        <v>20</v>
      </c>
      <c r="R40" s="273">
        <v>20</v>
      </c>
      <c r="S40" s="273">
        <v>21</v>
      </c>
      <c r="T40" s="284">
        <v>21</v>
      </c>
      <c r="U40" s="284"/>
      <c r="V40" s="284"/>
      <c r="W40" s="284"/>
    </row>
    <row r="41" spans="1:24" ht="15" customHeight="1">
      <c r="D41" s="241" t="s">
        <v>255</v>
      </c>
      <c r="E41" s="83" t="s">
        <v>253</v>
      </c>
      <c r="F41" s="284">
        <v>1.5</v>
      </c>
      <c r="G41" s="274">
        <v>1.5384615384615383</v>
      </c>
      <c r="H41" s="274">
        <v>1.5384615384615383</v>
      </c>
      <c r="I41" s="274">
        <v>2</v>
      </c>
      <c r="J41" s="274">
        <v>2</v>
      </c>
      <c r="K41" s="274">
        <v>2</v>
      </c>
      <c r="L41" s="274">
        <v>2.8571428571428572</v>
      </c>
      <c r="M41" s="274">
        <v>2.8571428571428572</v>
      </c>
      <c r="N41" s="274">
        <v>2.8571428571428572</v>
      </c>
      <c r="O41" s="274">
        <v>2.8571428571428572</v>
      </c>
      <c r="P41" s="274">
        <v>2.8571428571428572</v>
      </c>
      <c r="Q41" s="274">
        <v>2.8571428571428572</v>
      </c>
      <c r="R41" s="274">
        <v>2.8571428571428572</v>
      </c>
      <c r="S41" s="274">
        <v>2.8571428571428572</v>
      </c>
      <c r="T41" s="284">
        <v>2.9</v>
      </c>
      <c r="U41" s="284"/>
      <c r="V41" s="284"/>
      <c r="W41" s="284"/>
    </row>
    <row r="42" spans="1:24" ht="15" customHeight="1">
      <c r="D42" s="241" t="s">
        <v>257</v>
      </c>
      <c r="E42" s="83" t="s">
        <v>253</v>
      </c>
      <c r="F42" s="284">
        <v>13</v>
      </c>
      <c r="G42" s="273">
        <v>13</v>
      </c>
      <c r="H42" s="273">
        <v>13</v>
      </c>
      <c r="I42" s="273">
        <v>19</v>
      </c>
      <c r="J42" s="273">
        <v>19</v>
      </c>
      <c r="K42" s="273">
        <v>19</v>
      </c>
      <c r="L42" s="273">
        <v>19</v>
      </c>
      <c r="M42" s="273">
        <v>19</v>
      </c>
      <c r="N42" s="273">
        <v>19</v>
      </c>
      <c r="O42" s="273">
        <v>30</v>
      </c>
      <c r="P42" s="273">
        <v>30</v>
      </c>
      <c r="Q42" s="273">
        <v>30</v>
      </c>
      <c r="R42" s="273">
        <v>30</v>
      </c>
      <c r="S42" s="273">
        <v>38</v>
      </c>
      <c r="T42" s="284">
        <v>38</v>
      </c>
      <c r="U42" s="284"/>
      <c r="V42" s="284"/>
      <c r="W42" s="284"/>
    </row>
    <row r="43" spans="1:24" ht="15" customHeight="1">
      <c r="D43" s="241" t="s">
        <v>652</v>
      </c>
      <c r="E43" s="83" t="s">
        <v>259</v>
      </c>
      <c r="F43" s="267">
        <f t="shared" ref="F43:T43" si="27">$B$13*$K$59</f>
        <v>106.53149999999999</v>
      </c>
      <c r="G43" s="144">
        <f t="shared" si="27"/>
        <v>106.53149999999999</v>
      </c>
      <c r="H43" s="144">
        <f t="shared" si="27"/>
        <v>106.53149999999999</v>
      </c>
      <c r="I43" s="144">
        <f t="shared" si="27"/>
        <v>106.53149999999999</v>
      </c>
      <c r="J43" s="144">
        <f t="shared" si="27"/>
        <v>106.53149999999999</v>
      </c>
      <c r="K43" s="144">
        <f t="shared" si="27"/>
        <v>106.53149999999999</v>
      </c>
      <c r="L43" s="144">
        <f t="shared" si="27"/>
        <v>106.53149999999999</v>
      </c>
      <c r="M43" s="144">
        <f t="shared" si="27"/>
        <v>106.53149999999999</v>
      </c>
      <c r="N43" s="144">
        <f t="shared" si="27"/>
        <v>106.53149999999999</v>
      </c>
      <c r="O43" s="144">
        <f t="shared" si="27"/>
        <v>106.53149999999999</v>
      </c>
      <c r="P43" s="144">
        <f t="shared" si="27"/>
        <v>106.53149999999999</v>
      </c>
      <c r="Q43" s="144">
        <f t="shared" si="27"/>
        <v>106.53149999999999</v>
      </c>
      <c r="R43" s="144">
        <f t="shared" si="27"/>
        <v>106.53149999999999</v>
      </c>
      <c r="S43" s="144">
        <f t="shared" si="27"/>
        <v>106.53149999999999</v>
      </c>
      <c r="T43" s="267">
        <f t="shared" si="27"/>
        <v>106.53149999999999</v>
      </c>
      <c r="U43" s="267"/>
      <c r="V43" s="267"/>
      <c r="W43" s="267"/>
    </row>
    <row r="44" spans="1:24" ht="15" customHeight="1">
      <c r="D44" s="241" t="s">
        <v>258</v>
      </c>
      <c r="E44" s="84" t="s">
        <v>259</v>
      </c>
      <c r="F44" s="272">
        <f>(1/F40)*$B$6*5.6783*$C$6</f>
        <v>60.082326595393823</v>
      </c>
      <c r="G44" s="36">
        <f>1/G40*$B$6*5.678*$C$6</f>
        <v>60.079152283015361</v>
      </c>
      <c r="H44" s="36">
        <f>1/H40*$B$6*5.678*$C$6</f>
        <v>60.079152283015361</v>
      </c>
      <c r="I44" s="36">
        <f t="shared" ref="I44:T44" si="28">1/I40*$B$6*5.678*$C$6</f>
        <v>60.079152283015361</v>
      </c>
      <c r="J44" s="36">
        <f t="shared" si="28"/>
        <v>60.079152283015361</v>
      </c>
      <c r="K44" s="36">
        <f t="shared" si="28"/>
        <v>60.079152283015361</v>
      </c>
      <c r="L44" s="36">
        <f t="shared" si="28"/>
        <v>60.079152283015361</v>
      </c>
      <c r="M44" s="36">
        <f t="shared" si="28"/>
        <v>60.079152283015361</v>
      </c>
      <c r="N44" s="36">
        <f t="shared" si="28"/>
        <v>39.051448983959979</v>
      </c>
      <c r="O44" s="36">
        <f t="shared" si="28"/>
        <v>39.051448983959979</v>
      </c>
      <c r="P44" s="36">
        <f t="shared" si="28"/>
        <v>39.051448983959979</v>
      </c>
      <c r="Q44" s="36">
        <f t="shared" si="28"/>
        <v>39.051448983959979</v>
      </c>
      <c r="R44" s="36">
        <f t="shared" si="28"/>
        <v>39.051448983959979</v>
      </c>
      <c r="S44" s="36">
        <f t="shared" si="28"/>
        <v>37.19185617519998</v>
      </c>
      <c r="T44" s="272">
        <f t="shared" si="28"/>
        <v>37.19185617519998</v>
      </c>
      <c r="U44" s="272"/>
      <c r="V44" s="272"/>
      <c r="W44" s="272"/>
    </row>
    <row r="45" spans="1:24" ht="15" customHeight="1">
      <c r="D45" s="241" t="s">
        <v>260</v>
      </c>
      <c r="E45" s="84" t="s">
        <v>259</v>
      </c>
      <c r="F45" s="272">
        <f t="shared" ref="F45:T45" si="29">1/F41*$B$7*5.678*$C$7</f>
        <v>227.02918985333332</v>
      </c>
      <c r="G45" s="36">
        <f t="shared" si="29"/>
        <v>221.35346010700002</v>
      </c>
      <c r="H45" s="36">
        <f t="shared" si="29"/>
        <v>221.35346010700002</v>
      </c>
      <c r="I45" s="36">
        <f t="shared" si="29"/>
        <v>170.27189239</v>
      </c>
      <c r="J45" s="36">
        <f t="shared" si="29"/>
        <v>170.27189239</v>
      </c>
      <c r="K45" s="36">
        <f t="shared" si="29"/>
        <v>170.27189239</v>
      </c>
      <c r="L45" s="36">
        <f t="shared" si="29"/>
        <v>119.19032467299999</v>
      </c>
      <c r="M45" s="36">
        <f t="shared" si="29"/>
        <v>119.19032467299999</v>
      </c>
      <c r="N45" s="36">
        <f t="shared" si="29"/>
        <v>119.19032467299999</v>
      </c>
      <c r="O45" s="36">
        <f t="shared" si="29"/>
        <v>119.19032467299999</v>
      </c>
      <c r="P45" s="36">
        <f t="shared" si="29"/>
        <v>119.19032467299999</v>
      </c>
      <c r="Q45" s="36">
        <f t="shared" si="29"/>
        <v>119.19032467299999</v>
      </c>
      <c r="R45" s="36">
        <f t="shared" si="29"/>
        <v>119.19032467299999</v>
      </c>
      <c r="S45" s="36">
        <f t="shared" si="29"/>
        <v>119.19032467299999</v>
      </c>
      <c r="T45" s="272">
        <f t="shared" si="29"/>
        <v>117.42889130344828</v>
      </c>
      <c r="U45" s="272"/>
      <c r="V45" s="272"/>
      <c r="W45" s="272"/>
    </row>
    <row r="46" spans="1:24" ht="15" customHeight="1">
      <c r="D46" s="241" t="s">
        <v>261</v>
      </c>
      <c r="E46" s="84" t="s">
        <v>259</v>
      </c>
      <c r="F46" s="272">
        <f t="shared" ref="F46:T46" si="30">1/F42*$B$8*5.678*$C$8</f>
        <v>130.97837876153847</v>
      </c>
      <c r="G46" s="36">
        <f t="shared" si="30"/>
        <v>130.97837876153847</v>
      </c>
      <c r="H46" s="36">
        <f t="shared" si="30"/>
        <v>130.97837876153847</v>
      </c>
      <c r="I46" s="36">
        <f t="shared" si="30"/>
        <v>89.616785468421028</v>
      </c>
      <c r="J46" s="36">
        <f t="shared" si="30"/>
        <v>89.616785468421028</v>
      </c>
      <c r="K46" s="36">
        <f t="shared" si="30"/>
        <v>89.616785468421028</v>
      </c>
      <c r="L46" s="36">
        <f t="shared" si="30"/>
        <v>89.616785468421028</v>
      </c>
      <c r="M46" s="36">
        <f t="shared" si="30"/>
        <v>89.616785468421028</v>
      </c>
      <c r="N46" s="36">
        <f t="shared" si="30"/>
        <v>89.616785468421028</v>
      </c>
      <c r="O46" s="36">
        <f t="shared" si="30"/>
        <v>56.75729746333333</v>
      </c>
      <c r="P46" s="36">
        <f t="shared" si="30"/>
        <v>56.75729746333333</v>
      </c>
      <c r="Q46" s="36">
        <f t="shared" si="30"/>
        <v>56.75729746333333</v>
      </c>
      <c r="R46" s="36">
        <f t="shared" si="30"/>
        <v>56.75729746333333</v>
      </c>
      <c r="S46" s="36">
        <f t="shared" si="30"/>
        <v>44.808392734210514</v>
      </c>
      <c r="T46" s="272">
        <f t="shared" si="30"/>
        <v>44.808392734210514</v>
      </c>
      <c r="U46" s="272"/>
      <c r="V46" s="272"/>
      <c r="W46" s="272"/>
    </row>
    <row r="47" spans="1:24" ht="15" customHeight="1">
      <c r="D47" s="241" t="s">
        <v>262</v>
      </c>
      <c r="E47" s="84" t="s">
        <v>259</v>
      </c>
      <c r="F47" s="272">
        <f>20*5.678*0.3048^2</f>
        <v>10.550069222400001</v>
      </c>
      <c r="G47" s="36">
        <f t="shared" ref="G47:T47" si="31">20*5.678*0.3048^2</f>
        <v>10.550069222400001</v>
      </c>
      <c r="H47" s="36">
        <f t="shared" si="31"/>
        <v>10.550069222400001</v>
      </c>
      <c r="I47" s="36">
        <f t="shared" si="31"/>
        <v>10.550069222400001</v>
      </c>
      <c r="J47" s="36">
        <f t="shared" si="31"/>
        <v>10.550069222400001</v>
      </c>
      <c r="K47" s="36">
        <f t="shared" si="31"/>
        <v>10.550069222400001</v>
      </c>
      <c r="L47" s="36">
        <f t="shared" si="31"/>
        <v>10.550069222400001</v>
      </c>
      <c r="M47" s="36">
        <f t="shared" si="31"/>
        <v>10.550069222400001</v>
      </c>
      <c r="N47" s="36">
        <f t="shared" si="31"/>
        <v>10.550069222400001</v>
      </c>
      <c r="O47" s="36">
        <f t="shared" si="31"/>
        <v>10.550069222400001</v>
      </c>
      <c r="P47" s="36">
        <f t="shared" si="31"/>
        <v>10.550069222400001</v>
      </c>
      <c r="Q47" s="36">
        <f t="shared" si="31"/>
        <v>10.550069222400001</v>
      </c>
      <c r="R47" s="36">
        <f t="shared" si="31"/>
        <v>10.550069222400001</v>
      </c>
      <c r="S47" s="36">
        <f t="shared" si="31"/>
        <v>10.550069222400001</v>
      </c>
      <c r="T47" s="272">
        <f t="shared" si="31"/>
        <v>10.550069222400001</v>
      </c>
      <c r="U47" s="272"/>
      <c r="V47" s="272"/>
      <c r="W47" s="272"/>
    </row>
    <row r="48" spans="1:24" ht="15" customHeight="1">
      <c r="D48" s="37" t="s">
        <v>263</v>
      </c>
      <c r="E48" s="85" t="s">
        <v>259</v>
      </c>
      <c r="F48" s="294">
        <f>IF($B$12=0,SUM(F44:F47),SUM(F43,F44,F45,F47))</f>
        <v>428.63996443266558</v>
      </c>
      <c r="G48" s="294">
        <f t="shared" ref="G48:T48" si="32">IF($B$12=0,SUM(G44:G47),SUM(G43,G44,G45,G47))</f>
        <v>422.96106037395384</v>
      </c>
      <c r="H48" s="294">
        <f t="shared" si="32"/>
        <v>422.96106037395384</v>
      </c>
      <c r="I48" s="294">
        <f t="shared" si="32"/>
        <v>330.51789936383636</v>
      </c>
      <c r="J48" s="294">
        <f t="shared" si="32"/>
        <v>330.51789936383636</v>
      </c>
      <c r="K48" s="294">
        <f t="shared" si="32"/>
        <v>330.51789936383636</v>
      </c>
      <c r="L48" s="294">
        <f t="shared" si="32"/>
        <v>279.43633164683638</v>
      </c>
      <c r="M48" s="294">
        <f t="shared" si="32"/>
        <v>279.43633164683638</v>
      </c>
      <c r="N48" s="294">
        <f t="shared" si="32"/>
        <v>258.40862834778102</v>
      </c>
      <c r="O48" s="294">
        <f t="shared" si="32"/>
        <v>225.54914034269331</v>
      </c>
      <c r="P48" s="294">
        <f t="shared" si="32"/>
        <v>225.54914034269331</v>
      </c>
      <c r="Q48" s="294">
        <f t="shared" si="32"/>
        <v>225.54914034269331</v>
      </c>
      <c r="R48" s="294">
        <f t="shared" si="32"/>
        <v>225.54914034269331</v>
      </c>
      <c r="S48" s="294">
        <f t="shared" si="32"/>
        <v>211.74064280481048</v>
      </c>
      <c r="T48" s="294">
        <f t="shared" si="32"/>
        <v>209.97920943525878</v>
      </c>
      <c r="U48" s="294"/>
      <c r="V48" s="294"/>
      <c r="W48" s="294"/>
    </row>
    <row r="49" spans="2:24" ht="15" customHeight="1">
      <c r="D49" s="37" t="s">
        <v>265</v>
      </c>
      <c r="E49" s="85" t="s">
        <v>259</v>
      </c>
      <c r="F49" s="294">
        <f>SUM(F44,F45,F47)</f>
        <v>297.66158567112711</v>
      </c>
      <c r="G49" s="294">
        <f t="shared" ref="G49:T49" si="33">SUM(G44,G45,G47)</f>
        <v>291.98268161241538</v>
      </c>
      <c r="H49" s="294">
        <f t="shared" si="33"/>
        <v>291.98268161241538</v>
      </c>
      <c r="I49" s="294">
        <f t="shared" si="33"/>
        <v>240.90111389541536</v>
      </c>
      <c r="J49" s="294">
        <f t="shared" si="33"/>
        <v>240.90111389541536</v>
      </c>
      <c r="K49" s="294">
        <f t="shared" si="33"/>
        <v>240.90111389541536</v>
      </c>
      <c r="L49" s="294">
        <f t="shared" si="33"/>
        <v>189.81954617841535</v>
      </c>
      <c r="M49" s="294">
        <f t="shared" si="33"/>
        <v>189.81954617841535</v>
      </c>
      <c r="N49" s="294">
        <f t="shared" si="33"/>
        <v>168.79184287935996</v>
      </c>
      <c r="O49" s="294">
        <f t="shared" si="33"/>
        <v>168.79184287935996</v>
      </c>
      <c r="P49" s="294">
        <f t="shared" si="33"/>
        <v>168.79184287935996</v>
      </c>
      <c r="Q49" s="294">
        <f t="shared" si="33"/>
        <v>168.79184287935996</v>
      </c>
      <c r="R49" s="294">
        <f t="shared" si="33"/>
        <v>168.79184287935996</v>
      </c>
      <c r="S49" s="294">
        <f t="shared" si="33"/>
        <v>166.93225007059996</v>
      </c>
      <c r="T49" s="294">
        <f t="shared" si="33"/>
        <v>165.17081670104827</v>
      </c>
      <c r="U49" s="294"/>
      <c r="V49" s="294"/>
      <c r="W49" s="294"/>
    </row>
    <row r="55" spans="2:24" ht="15" customHeight="1">
      <c r="H55" s="161"/>
      <c r="I55" s="161"/>
      <c r="J55" s="161"/>
      <c r="S55" s="17"/>
      <c r="T55" s="17"/>
      <c r="U55" s="17"/>
      <c r="V55" s="17"/>
      <c r="W55" s="17"/>
    </row>
    <row r="56" spans="2:24" ht="15" customHeight="1">
      <c r="D56" s="555" t="s">
        <v>622</v>
      </c>
      <c r="E56" s="552"/>
      <c r="F56" s="556"/>
      <c r="G56" s="551" t="s">
        <v>615</v>
      </c>
      <c r="H56" s="552"/>
      <c r="I56" s="553"/>
      <c r="J56" s="554"/>
      <c r="K56" s="162" t="s">
        <v>613</v>
      </c>
      <c r="L56" s="163"/>
      <c r="N56" s="198" t="s">
        <v>645</v>
      </c>
      <c r="O56" s="81"/>
      <c r="P56" s="109"/>
      <c r="Q56" s="108"/>
      <c r="R56" s="201" t="s">
        <v>646</v>
      </c>
      <c r="S56" s="200"/>
      <c r="T56" s="200"/>
      <c r="U56" s="200"/>
      <c r="V56" s="200"/>
      <c r="W56" s="200"/>
      <c r="X56" s="109" t="s">
        <v>650</v>
      </c>
    </row>
    <row r="57" spans="2:24" ht="15" customHeight="1">
      <c r="D57" s="546" t="s">
        <v>614</v>
      </c>
      <c r="E57" s="547"/>
      <c r="F57" s="548"/>
      <c r="G57" s="549" t="s">
        <v>616</v>
      </c>
      <c r="H57" s="547"/>
      <c r="I57" s="550"/>
      <c r="J57" s="548"/>
      <c r="K57" s="545">
        <v>1.17</v>
      </c>
      <c r="L57" s="545"/>
      <c r="N57" s="170" t="s">
        <v>647</v>
      </c>
      <c r="Q57" s="94"/>
      <c r="R57" s="5">
        <v>0.1</v>
      </c>
      <c r="S57" s="17" t="s">
        <v>649</v>
      </c>
      <c r="T57" s="17"/>
      <c r="U57" s="17"/>
      <c r="V57" s="17"/>
      <c r="W57" s="17"/>
      <c r="X57" s="5">
        <f>1/(R57+0.12)</f>
        <v>4.5454545454545459</v>
      </c>
    </row>
    <row r="58" spans="2:24" ht="15" customHeight="1">
      <c r="D58" s="546"/>
      <c r="E58" s="547"/>
      <c r="F58" s="548"/>
      <c r="G58" s="549" t="s">
        <v>617</v>
      </c>
      <c r="H58" s="547"/>
      <c r="I58" s="550"/>
      <c r="J58" s="548"/>
      <c r="K58" s="545">
        <v>0.86</v>
      </c>
      <c r="L58" s="545"/>
      <c r="N58" s="199" t="s">
        <v>648</v>
      </c>
      <c r="S58" s="17"/>
      <c r="T58" s="17"/>
      <c r="U58" s="17"/>
      <c r="V58" s="17"/>
      <c r="W58" s="17"/>
    </row>
    <row r="59" spans="2:24" ht="15" customHeight="1">
      <c r="D59" s="546" t="s">
        <v>618</v>
      </c>
      <c r="E59" s="547"/>
      <c r="F59" s="548"/>
      <c r="G59" s="549" t="s">
        <v>616</v>
      </c>
      <c r="H59" s="547"/>
      <c r="I59" s="550"/>
      <c r="J59" s="548"/>
      <c r="K59" s="545">
        <v>1.45</v>
      </c>
      <c r="L59" s="545"/>
      <c r="S59" s="17"/>
      <c r="T59" s="17"/>
      <c r="U59" s="17"/>
      <c r="V59" s="17"/>
      <c r="W59" s="17"/>
    </row>
    <row r="60" spans="2:24" ht="15" customHeight="1">
      <c r="D60" s="546"/>
      <c r="E60" s="547"/>
      <c r="F60" s="548"/>
      <c r="G60" s="549" t="s">
        <v>617</v>
      </c>
      <c r="H60" s="547"/>
      <c r="I60" s="550"/>
      <c r="J60" s="548"/>
      <c r="K60" s="545">
        <v>0.85</v>
      </c>
      <c r="L60" s="545"/>
      <c r="S60" s="17"/>
      <c r="T60" s="17"/>
      <c r="U60" s="17"/>
      <c r="V60" s="17"/>
      <c r="W60" s="17"/>
    </row>
    <row r="61" spans="2:24" ht="15" customHeight="1">
      <c r="D61" s="546" t="s">
        <v>619</v>
      </c>
      <c r="E61" s="547"/>
      <c r="F61" s="548"/>
      <c r="G61" s="549" t="s">
        <v>616</v>
      </c>
      <c r="H61" s="547"/>
      <c r="I61" s="550"/>
      <c r="J61" s="548"/>
      <c r="K61" s="545">
        <v>2.0699999999999998</v>
      </c>
      <c r="L61" s="545"/>
      <c r="S61" s="17"/>
      <c r="T61" s="17"/>
      <c r="U61" s="17"/>
      <c r="V61" s="17"/>
      <c r="W61" s="17"/>
    </row>
    <row r="62" spans="2:24" ht="15" customHeight="1">
      <c r="B62" s="2"/>
      <c r="D62" s="546"/>
      <c r="E62" s="547"/>
      <c r="F62" s="548"/>
      <c r="G62" s="549" t="s">
        <v>617</v>
      </c>
      <c r="H62" s="547"/>
      <c r="I62" s="550"/>
      <c r="J62" s="548"/>
      <c r="K62" s="545">
        <v>0.92</v>
      </c>
      <c r="L62" s="545"/>
      <c r="S62" s="17"/>
      <c r="T62" s="17"/>
      <c r="U62" s="17"/>
      <c r="V62" s="17"/>
      <c r="W62" s="17"/>
    </row>
    <row r="63" spans="2:24" ht="15" customHeight="1">
      <c r="D63" s="546" t="s">
        <v>620</v>
      </c>
      <c r="E63" s="547"/>
      <c r="F63" s="548"/>
      <c r="G63" s="549" t="s">
        <v>616</v>
      </c>
      <c r="H63" s="547"/>
      <c r="I63" s="550"/>
      <c r="J63" s="548"/>
      <c r="K63" s="545">
        <v>3.67</v>
      </c>
      <c r="L63" s="545"/>
      <c r="S63" s="17"/>
      <c r="T63" s="17"/>
      <c r="U63" s="17"/>
      <c r="V63" s="17"/>
      <c r="W63" s="17"/>
    </row>
    <row r="64" spans="2:24" ht="15" customHeight="1">
      <c r="D64" s="546" t="s">
        <v>621</v>
      </c>
      <c r="E64" s="547"/>
      <c r="F64" s="548"/>
      <c r="G64" s="549" t="s">
        <v>617</v>
      </c>
      <c r="H64" s="547"/>
      <c r="I64" s="550"/>
      <c r="J64" s="548"/>
      <c r="K64" s="545">
        <v>1.24</v>
      </c>
      <c r="L64" s="545"/>
    </row>
    <row r="65" spans="4:25" ht="15" customHeight="1">
      <c r="D65" s="164" t="s">
        <v>623</v>
      </c>
    </row>
    <row r="69" spans="4:25" ht="15" customHeight="1">
      <c r="Y69" s="305" t="s">
        <v>778</v>
      </c>
    </row>
    <row r="71" spans="4:25" ht="15" customHeight="1">
      <c r="D71" s="332" t="s">
        <v>745</v>
      </c>
      <c r="F71" s="266" t="s">
        <v>707</v>
      </c>
      <c r="G71" s="314" t="s">
        <v>656</v>
      </c>
      <c r="H71" s="314" t="s">
        <v>657</v>
      </c>
      <c r="I71" s="314" t="s">
        <v>658</v>
      </c>
      <c r="J71" s="314" t="s">
        <v>659</v>
      </c>
      <c r="K71" s="314" t="s">
        <v>660</v>
      </c>
      <c r="L71" s="314" t="s">
        <v>661</v>
      </c>
      <c r="M71" s="314" t="s">
        <v>662</v>
      </c>
      <c r="N71" s="314" t="s">
        <v>663</v>
      </c>
      <c r="O71" s="314" t="s">
        <v>664</v>
      </c>
      <c r="P71" s="314" t="s">
        <v>665</v>
      </c>
      <c r="Q71" s="314" t="s">
        <v>666</v>
      </c>
      <c r="R71" s="314" t="s">
        <v>667</v>
      </c>
      <c r="S71" s="314">
        <v>7</v>
      </c>
      <c r="T71" s="266">
        <v>8</v>
      </c>
      <c r="U71" s="351"/>
      <c r="V71" s="351"/>
      <c r="W71" s="351"/>
      <c r="Y71" s="305" t="s">
        <v>770</v>
      </c>
    </row>
    <row r="72" spans="4:25" ht="15" customHeight="1">
      <c r="E72" s="241" t="s">
        <v>746</v>
      </c>
      <c r="F72" s="2">
        <v>0.65</v>
      </c>
      <c r="G72" s="2">
        <v>0.4</v>
      </c>
      <c r="H72" s="2">
        <v>0.35</v>
      </c>
      <c r="I72" s="241">
        <v>0.35</v>
      </c>
      <c r="J72" s="241">
        <v>0.35</v>
      </c>
      <c r="K72" s="241">
        <v>0.35</v>
      </c>
      <c r="L72" s="241">
        <v>0.35</v>
      </c>
      <c r="M72" s="241">
        <v>0.35</v>
      </c>
      <c r="N72" s="2">
        <v>0.32</v>
      </c>
      <c r="O72" s="2">
        <v>0.32</v>
      </c>
      <c r="P72" s="241">
        <v>0.32</v>
      </c>
      <c r="Q72" s="241">
        <v>0.32</v>
      </c>
      <c r="R72" s="241">
        <v>0.32</v>
      </c>
      <c r="S72" s="241">
        <v>0.32</v>
      </c>
      <c r="T72" s="241">
        <v>0.32</v>
      </c>
      <c r="U72" s="241"/>
      <c r="V72" s="241"/>
      <c r="W72" s="241"/>
    </row>
    <row r="73" spans="4:25" ht="15" customHeight="1">
      <c r="E73" s="241" t="s">
        <v>747</v>
      </c>
      <c r="F73" s="2">
        <v>0.25</v>
      </c>
      <c r="G73" s="241">
        <v>0.25</v>
      </c>
      <c r="H73" s="241">
        <v>0.25</v>
      </c>
      <c r="I73" s="241">
        <v>0.25</v>
      </c>
      <c r="J73" s="241">
        <v>0.25</v>
      </c>
      <c r="K73" s="241">
        <v>0.25</v>
      </c>
      <c r="L73" s="2">
        <v>0.4</v>
      </c>
      <c r="M73" s="241">
        <v>0.4</v>
      </c>
      <c r="N73" s="241" t="s">
        <v>748</v>
      </c>
      <c r="O73" s="241" t="s">
        <v>748</v>
      </c>
      <c r="P73" s="241" t="s">
        <v>748</v>
      </c>
      <c r="Q73" s="241" t="s">
        <v>748</v>
      </c>
      <c r="R73" s="241" t="s">
        <v>748</v>
      </c>
      <c r="S73" s="241" t="s">
        <v>748</v>
      </c>
      <c r="T73" s="241" t="s">
        <v>748</v>
      </c>
      <c r="U73" s="241"/>
      <c r="V73" s="241"/>
      <c r="W73" s="241"/>
    </row>
    <row r="74" spans="4:25" ht="15" customHeight="1">
      <c r="E74" s="241" t="s">
        <v>270</v>
      </c>
      <c r="F74" s="2">
        <v>30</v>
      </c>
      <c r="G74" s="2">
        <v>38</v>
      </c>
      <c r="H74" s="241">
        <v>38</v>
      </c>
      <c r="I74" s="241">
        <v>38</v>
      </c>
      <c r="J74" s="241">
        <v>38</v>
      </c>
      <c r="K74" s="241">
        <v>38</v>
      </c>
      <c r="L74" s="2">
        <v>49</v>
      </c>
      <c r="M74" s="241">
        <v>49</v>
      </c>
      <c r="N74" s="241">
        <v>49</v>
      </c>
      <c r="O74" s="241">
        <v>49</v>
      </c>
      <c r="P74" s="241">
        <v>49</v>
      </c>
      <c r="Q74" s="241">
        <v>49</v>
      </c>
      <c r="R74" s="241">
        <v>49</v>
      </c>
      <c r="S74" s="241">
        <v>49</v>
      </c>
      <c r="T74" s="241">
        <v>49</v>
      </c>
      <c r="U74" s="241"/>
      <c r="V74" s="241"/>
      <c r="W74" s="241"/>
    </row>
    <row r="75" spans="4:25" ht="15" customHeight="1">
      <c r="E75" s="241" t="s">
        <v>749</v>
      </c>
      <c r="F75" s="2">
        <v>13</v>
      </c>
      <c r="G75" s="2">
        <v>13</v>
      </c>
      <c r="H75" s="2">
        <v>13</v>
      </c>
      <c r="I75" s="241" t="s">
        <v>750</v>
      </c>
      <c r="J75" s="241" t="s">
        <v>750</v>
      </c>
      <c r="K75" s="241" t="s">
        <v>750</v>
      </c>
      <c r="L75" s="241" t="s">
        <v>750</v>
      </c>
      <c r="M75" s="241" t="s">
        <v>750</v>
      </c>
      <c r="N75" s="241" t="s">
        <v>750</v>
      </c>
      <c r="O75" s="241" t="s">
        <v>750</v>
      </c>
      <c r="P75" s="241" t="s">
        <v>750</v>
      </c>
      <c r="Q75" s="305" t="s">
        <v>751</v>
      </c>
      <c r="R75" s="305" t="s">
        <v>751</v>
      </c>
      <c r="S75" s="305" t="s">
        <v>751</v>
      </c>
      <c r="T75" s="305" t="s">
        <v>751</v>
      </c>
    </row>
    <row r="76" spans="4:25" ht="15" customHeight="1">
      <c r="E76" s="241" t="s">
        <v>256</v>
      </c>
      <c r="F76" s="2">
        <v>13</v>
      </c>
      <c r="G76" s="2">
        <v>13</v>
      </c>
      <c r="H76" s="2">
        <v>13</v>
      </c>
      <c r="I76" s="2">
        <v>19</v>
      </c>
      <c r="J76" s="241">
        <v>19</v>
      </c>
      <c r="K76" s="241">
        <v>19</v>
      </c>
      <c r="L76" s="241">
        <v>19</v>
      </c>
      <c r="M76" s="241">
        <v>19</v>
      </c>
      <c r="N76" s="2">
        <v>30</v>
      </c>
      <c r="O76" s="241">
        <v>30</v>
      </c>
      <c r="P76" s="241">
        <v>30</v>
      </c>
      <c r="Q76" s="241">
        <v>30</v>
      </c>
      <c r="R76" s="241">
        <v>30</v>
      </c>
      <c r="S76" s="5">
        <v>38</v>
      </c>
      <c r="T76" s="305">
        <v>38</v>
      </c>
    </row>
    <row r="77" spans="4:25" ht="15" customHeight="1">
      <c r="E77" s="241" t="s">
        <v>752</v>
      </c>
      <c r="F77" s="2">
        <v>0</v>
      </c>
      <c r="G77" s="241">
        <v>0</v>
      </c>
      <c r="H77" s="241">
        <v>0</v>
      </c>
      <c r="I77" s="241">
        <v>0</v>
      </c>
      <c r="J77" s="241">
        <v>0</v>
      </c>
      <c r="K77" s="241">
        <v>0</v>
      </c>
      <c r="L77" s="241" t="s">
        <v>753</v>
      </c>
      <c r="M77" s="241" t="s">
        <v>753</v>
      </c>
      <c r="N77" s="241" t="s">
        <v>753</v>
      </c>
      <c r="O77" s="241" t="s">
        <v>753</v>
      </c>
      <c r="P77" s="241" t="s">
        <v>753</v>
      </c>
      <c r="Q77" s="305" t="s">
        <v>754</v>
      </c>
      <c r="R77" s="305" t="s">
        <v>754</v>
      </c>
      <c r="S77" s="305" t="s">
        <v>754</v>
      </c>
      <c r="T77" s="305" t="s">
        <v>754</v>
      </c>
    </row>
    <row r="78" spans="4:25" ht="15" customHeight="1">
      <c r="E78" s="241" t="s">
        <v>755</v>
      </c>
      <c r="F78" s="2">
        <v>0</v>
      </c>
      <c r="G78" s="2">
        <v>0</v>
      </c>
      <c r="H78" s="2">
        <v>0</v>
      </c>
      <c r="I78" s="331" t="s">
        <v>756</v>
      </c>
      <c r="J78" s="331" t="s">
        <v>757</v>
      </c>
      <c r="K78" s="331" t="s">
        <v>758</v>
      </c>
      <c r="L78" s="241" t="s">
        <v>759</v>
      </c>
      <c r="M78" s="241" t="s">
        <v>760</v>
      </c>
      <c r="N78" s="241" t="s">
        <v>761</v>
      </c>
      <c r="O78" s="241" t="s">
        <v>762</v>
      </c>
      <c r="P78" s="241" t="s">
        <v>763</v>
      </c>
      <c r="Q78" s="241" t="s">
        <v>764</v>
      </c>
      <c r="R78" s="241" t="s">
        <v>765</v>
      </c>
      <c r="S78" s="241" t="s">
        <v>766</v>
      </c>
      <c r="T78" s="241" t="s">
        <v>767</v>
      </c>
      <c r="U78" s="241"/>
      <c r="V78" s="241"/>
      <c r="W78" s="241"/>
    </row>
    <row r="79" spans="4:25" ht="15" customHeight="1">
      <c r="E79" s="241" t="s">
        <v>768</v>
      </c>
      <c r="F79" s="2">
        <v>4</v>
      </c>
      <c r="G79" s="241">
        <v>4</v>
      </c>
      <c r="H79" s="241">
        <v>4</v>
      </c>
      <c r="I79" s="241">
        <v>4</v>
      </c>
      <c r="J79" s="241">
        <v>4</v>
      </c>
      <c r="K79" s="241">
        <v>4</v>
      </c>
      <c r="L79" s="241">
        <v>4</v>
      </c>
      <c r="M79" s="241">
        <v>4</v>
      </c>
      <c r="N79" s="241">
        <v>4</v>
      </c>
      <c r="O79" s="241">
        <v>4</v>
      </c>
      <c r="P79" s="241">
        <v>4</v>
      </c>
      <c r="Q79" s="241">
        <v>4</v>
      </c>
      <c r="R79" s="241">
        <v>4</v>
      </c>
      <c r="S79" s="241">
        <v>4</v>
      </c>
      <c r="T79" s="241">
        <v>4</v>
      </c>
      <c r="U79" s="241"/>
      <c r="V79" s="241"/>
      <c r="W79" s="241"/>
    </row>
    <row r="80" spans="4:25" ht="15" customHeight="1">
      <c r="E80" s="241" t="s">
        <v>769</v>
      </c>
      <c r="F80" s="2">
        <v>5</v>
      </c>
      <c r="G80" s="2">
        <v>5</v>
      </c>
      <c r="H80" s="2">
        <v>5</v>
      </c>
      <c r="I80" s="2">
        <v>3</v>
      </c>
      <c r="J80" s="241">
        <v>3</v>
      </c>
      <c r="K80" s="241">
        <v>3</v>
      </c>
      <c r="L80" s="241">
        <v>3</v>
      </c>
      <c r="M80" s="241">
        <v>3</v>
      </c>
      <c r="N80" s="241">
        <v>3</v>
      </c>
      <c r="O80" s="241">
        <v>3</v>
      </c>
      <c r="P80" s="241">
        <v>3</v>
      </c>
      <c r="Q80" s="241">
        <v>3</v>
      </c>
      <c r="R80" s="241">
        <v>3</v>
      </c>
      <c r="S80" s="241">
        <v>3</v>
      </c>
      <c r="T80" s="241">
        <v>3</v>
      </c>
      <c r="U80" s="241"/>
      <c r="V80" s="241"/>
      <c r="W80" s="241"/>
    </row>
    <row r="82" spans="4:25" ht="15" customHeight="1">
      <c r="D82" s="332" t="s">
        <v>775</v>
      </c>
      <c r="E82" s="241" t="s">
        <v>774</v>
      </c>
      <c r="F82" s="2">
        <v>1.4</v>
      </c>
      <c r="G82" s="241">
        <v>1.4</v>
      </c>
      <c r="H82" s="241">
        <v>1.4</v>
      </c>
      <c r="I82" s="241">
        <v>1.4</v>
      </c>
      <c r="J82" s="241">
        <v>1.4</v>
      </c>
      <c r="K82" s="241">
        <v>1.4</v>
      </c>
      <c r="L82" s="241">
        <v>1.4</v>
      </c>
      <c r="M82" s="241">
        <v>1.4</v>
      </c>
      <c r="N82" s="2">
        <v>1.2</v>
      </c>
      <c r="O82" s="241">
        <v>1.2</v>
      </c>
      <c r="P82" s="241">
        <v>1.2</v>
      </c>
      <c r="Q82" s="241">
        <v>1.2</v>
      </c>
      <c r="R82" s="241">
        <v>1.2</v>
      </c>
      <c r="S82" s="241">
        <v>1.2</v>
      </c>
      <c r="T82" s="241">
        <v>1.2</v>
      </c>
      <c r="U82" s="241"/>
      <c r="V82" s="241"/>
      <c r="W82" s="241"/>
      <c r="Y82" s="305" t="s">
        <v>777</v>
      </c>
    </row>
    <row r="83" spans="4:25" ht="15" customHeight="1">
      <c r="E83" s="241" t="s">
        <v>769</v>
      </c>
      <c r="F83" s="2">
        <v>3</v>
      </c>
      <c r="G83" s="241">
        <v>3</v>
      </c>
      <c r="H83" s="241">
        <v>3</v>
      </c>
      <c r="I83" s="2">
        <v>2.5</v>
      </c>
      <c r="J83" s="241">
        <v>2.5</v>
      </c>
      <c r="K83" s="241">
        <v>2.5</v>
      </c>
      <c r="L83" s="241">
        <v>2.5</v>
      </c>
      <c r="M83" s="241">
        <v>2.5</v>
      </c>
      <c r="N83" s="241">
        <v>2.5</v>
      </c>
      <c r="O83" s="2">
        <v>2</v>
      </c>
      <c r="P83" s="241">
        <v>2</v>
      </c>
      <c r="Q83" s="241">
        <v>2</v>
      </c>
      <c r="R83" s="241">
        <v>2</v>
      </c>
      <c r="S83" s="241">
        <v>2</v>
      </c>
      <c r="T83" s="5">
        <v>1.5</v>
      </c>
    </row>
    <row r="84" spans="4:25" ht="15" customHeight="1">
      <c r="E84" s="241" t="s">
        <v>746</v>
      </c>
      <c r="F84" s="2">
        <v>0.4</v>
      </c>
      <c r="G84" s="241">
        <v>0.4</v>
      </c>
      <c r="H84" s="241">
        <v>0.4</v>
      </c>
      <c r="I84" s="2">
        <v>0.3</v>
      </c>
      <c r="J84" s="241">
        <v>0.3</v>
      </c>
      <c r="K84" s="241">
        <v>0.3</v>
      </c>
      <c r="L84" s="241">
        <v>0.3</v>
      </c>
      <c r="M84" s="241">
        <v>0.3</v>
      </c>
      <c r="N84" s="2">
        <v>0.27</v>
      </c>
      <c r="O84" s="241">
        <v>0.27</v>
      </c>
      <c r="P84" s="241">
        <v>0.27</v>
      </c>
      <c r="Q84" s="241">
        <v>0.27</v>
      </c>
      <c r="R84" s="241">
        <v>0.27</v>
      </c>
      <c r="S84" s="241">
        <v>0.27</v>
      </c>
      <c r="T84" s="241">
        <v>0.27</v>
      </c>
      <c r="U84" s="241"/>
      <c r="V84" s="241"/>
      <c r="W84" s="241"/>
    </row>
    <row r="85" spans="4:25" ht="15" customHeight="1">
      <c r="E85" s="241" t="s">
        <v>747</v>
      </c>
      <c r="F85" s="2">
        <v>0.25</v>
      </c>
      <c r="G85" s="241">
        <v>0.25</v>
      </c>
      <c r="H85" s="241">
        <v>0.25</v>
      </c>
      <c r="I85" s="2">
        <v>0.27</v>
      </c>
      <c r="J85" s="241">
        <v>0.27</v>
      </c>
      <c r="K85" s="241">
        <v>0.27</v>
      </c>
      <c r="L85" s="241">
        <v>0.27</v>
      </c>
      <c r="M85" s="241">
        <v>0.27</v>
      </c>
      <c r="N85" s="241" t="s">
        <v>748</v>
      </c>
      <c r="O85" s="241" t="s">
        <v>748</v>
      </c>
      <c r="P85" s="241" t="s">
        <v>748</v>
      </c>
      <c r="Q85" s="241" t="s">
        <v>748</v>
      </c>
      <c r="R85" s="241" t="s">
        <v>748</v>
      </c>
      <c r="S85" s="241" t="s">
        <v>748</v>
      </c>
      <c r="T85" s="241" t="s">
        <v>748</v>
      </c>
      <c r="U85" s="241"/>
      <c r="V85" s="241"/>
      <c r="W85" s="241"/>
    </row>
    <row r="86" spans="4:25" ht="15" customHeight="1">
      <c r="E86" s="241" t="s">
        <v>776</v>
      </c>
      <c r="F86" s="2">
        <v>15</v>
      </c>
      <c r="G86" s="241">
        <v>15</v>
      </c>
      <c r="H86" s="241">
        <v>15</v>
      </c>
      <c r="I86" s="241">
        <v>15</v>
      </c>
      <c r="J86" s="241">
        <v>15</v>
      </c>
      <c r="K86" s="241">
        <v>15</v>
      </c>
      <c r="L86" s="241">
        <v>15</v>
      </c>
      <c r="M86" s="241">
        <v>15</v>
      </c>
      <c r="N86" s="241">
        <v>15</v>
      </c>
      <c r="O86" s="241">
        <v>15</v>
      </c>
      <c r="P86" s="241">
        <v>15</v>
      </c>
      <c r="Q86" s="241">
        <v>15</v>
      </c>
      <c r="R86" s="241">
        <v>15</v>
      </c>
      <c r="S86" s="241">
        <v>15</v>
      </c>
      <c r="T86" s="241">
        <v>15</v>
      </c>
      <c r="U86" s="241"/>
      <c r="V86" s="241"/>
      <c r="W86" s="241"/>
    </row>
    <row r="87" spans="4:25" ht="15" customHeight="1">
      <c r="E87" s="241" t="s">
        <v>779</v>
      </c>
    </row>
    <row r="89" spans="4:25" ht="15" customHeight="1">
      <c r="F89" s="2">
        <f>1/F84</f>
        <v>2.5</v>
      </c>
      <c r="G89" s="241">
        <f t="shared" ref="G89:T89" si="34">1/G84</f>
        <v>2.5</v>
      </c>
      <c r="H89" s="241">
        <f t="shared" si="34"/>
        <v>2.5</v>
      </c>
      <c r="I89" s="241">
        <f t="shared" si="34"/>
        <v>3.3333333333333335</v>
      </c>
      <c r="J89" s="241">
        <f t="shared" si="34"/>
        <v>3.3333333333333335</v>
      </c>
      <c r="K89" s="241">
        <f t="shared" si="34"/>
        <v>3.3333333333333335</v>
      </c>
      <c r="L89" s="241">
        <f t="shared" si="34"/>
        <v>3.3333333333333335</v>
      </c>
      <c r="M89" s="241">
        <f t="shared" si="34"/>
        <v>3.3333333333333335</v>
      </c>
      <c r="N89" s="241">
        <f t="shared" si="34"/>
        <v>3.7037037037037033</v>
      </c>
      <c r="O89" s="241">
        <f t="shared" si="34"/>
        <v>3.7037037037037033</v>
      </c>
      <c r="P89" s="241">
        <f t="shared" si="34"/>
        <v>3.7037037037037033</v>
      </c>
      <c r="Q89" s="241">
        <f t="shared" si="34"/>
        <v>3.7037037037037033</v>
      </c>
      <c r="R89" s="241">
        <f t="shared" si="34"/>
        <v>3.7037037037037033</v>
      </c>
      <c r="S89" s="241">
        <f t="shared" si="34"/>
        <v>3.7037037037037033</v>
      </c>
      <c r="T89" s="241">
        <f t="shared" si="34"/>
        <v>3.7037037037037033</v>
      </c>
      <c r="U89" s="241"/>
      <c r="V89" s="241"/>
      <c r="W89" s="241"/>
    </row>
    <row r="92" spans="4:25" ht="15" customHeight="1">
      <c r="D92" s="332" t="s">
        <v>780</v>
      </c>
    </row>
    <row r="93" spans="4:25" ht="15" customHeight="1">
      <c r="D93" s="332" t="s">
        <v>782</v>
      </c>
      <c r="Y93" s="241" t="s">
        <v>781</v>
      </c>
    </row>
    <row r="94" spans="4:25" ht="15" customHeight="1">
      <c r="E94" s="241" t="s">
        <v>783</v>
      </c>
      <c r="F94" s="2">
        <v>0</v>
      </c>
      <c r="G94" s="241">
        <v>0</v>
      </c>
      <c r="H94" s="241">
        <v>0</v>
      </c>
      <c r="I94" s="241">
        <v>0</v>
      </c>
      <c r="J94" s="241">
        <v>0</v>
      </c>
      <c r="K94" s="241">
        <v>0</v>
      </c>
      <c r="L94" s="241">
        <v>0</v>
      </c>
      <c r="M94" s="241">
        <v>0</v>
      </c>
      <c r="N94" s="241">
        <v>0</v>
      </c>
      <c r="O94" s="241">
        <v>0</v>
      </c>
      <c r="P94" s="241">
        <v>0</v>
      </c>
      <c r="Q94" s="241">
        <v>0</v>
      </c>
      <c r="R94" s="241">
        <v>0</v>
      </c>
      <c r="S94" s="241">
        <v>0</v>
      </c>
      <c r="T94" s="241">
        <v>0</v>
      </c>
      <c r="U94" s="241"/>
      <c r="V94" s="241"/>
      <c r="W94" s="241"/>
    </row>
    <row r="95" spans="4:25" ht="15" customHeight="1">
      <c r="E95" s="241" t="s">
        <v>784</v>
      </c>
      <c r="F95" s="2">
        <v>0.91</v>
      </c>
      <c r="G95" s="241">
        <v>0.91</v>
      </c>
      <c r="H95" s="241">
        <v>0.91</v>
      </c>
      <c r="I95" s="241">
        <v>0.91</v>
      </c>
      <c r="J95" s="241">
        <v>0.91</v>
      </c>
      <c r="K95" s="241">
        <v>0.91</v>
      </c>
      <c r="L95" s="241">
        <v>0.91</v>
      </c>
      <c r="M95" s="241">
        <v>0.91</v>
      </c>
      <c r="N95" s="241">
        <v>0.91</v>
      </c>
      <c r="O95" s="241">
        <v>0.91</v>
      </c>
      <c r="P95" s="241">
        <v>0.91</v>
      </c>
      <c r="Q95" s="241">
        <v>0.91</v>
      </c>
      <c r="R95" s="241">
        <v>0.91</v>
      </c>
      <c r="S95" s="241">
        <v>0.91</v>
      </c>
      <c r="T95" s="241">
        <v>0.91</v>
      </c>
      <c r="U95" s="241"/>
      <c r="V95" s="241"/>
      <c r="W95" s="241"/>
    </row>
    <row r="96" spans="4:25" ht="15" customHeight="1">
      <c r="E96" s="241" t="s">
        <v>785</v>
      </c>
      <c r="F96" s="2">
        <v>0.7</v>
      </c>
      <c r="G96" s="241">
        <v>0.7</v>
      </c>
      <c r="H96" s="241">
        <v>0.7</v>
      </c>
      <c r="I96" s="241">
        <v>0.7</v>
      </c>
      <c r="J96" s="241">
        <v>0.7</v>
      </c>
      <c r="K96" s="241">
        <v>0.7</v>
      </c>
      <c r="L96" s="241">
        <v>0.7</v>
      </c>
      <c r="M96" s="241">
        <v>0.7</v>
      </c>
      <c r="N96" s="241">
        <v>0.7</v>
      </c>
      <c r="O96" s="241">
        <v>0.7</v>
      </c>
      <c r="P96" s="241">
        <v>0.7</v>
      </c>
      <c r="Q96" s="241">
        <v>0.7</v>
      </c>
      <c r="R96" s="241">
        <v>0.7</v>
      </c>
      <c r="S96" s="241">
        <v>0.7</v>
      </c>
      <c r="T96" s="241">
        <v>0.7</v>
      </c>
      <c r="U96" s="241"/>
      <c r="V96" s="241"/>
      <c r="W96" s="241"/>
    </row>
    <row r="101" spans="1:37" ht="15" customHeight="1">
      <c r="D101" s="241" t="s">
        <v>793</v>
      </c>
      <c r="E101" s="332" t="s">
        <v>792</v>
      </c>
      <c r="F101" s="241" t="s">
        <v>791</v>
      </c>
      <c r="G101" s="241" t="s">
        <v>790</v>
      </c>
      <c r="Y101" s="305" t="s">
        <v>781</v>
      </c>
    </row>
    <row r="102" spans="1:37" ht="15" customHeight="1">
      <c r="E102" s="241" t="s">
        <v>786</v>
      </c>
      <c r="F102" s="2">
        <v>16</v>
      </c>
      <c r="G102" s="2">
        <v>0.23</v>
      </c>
    </row>
    <row r="103" spans="1:37" ht="15" customHeight="1">
      <c r="E103" s="241" t="s">
        <v>787</v>
      </c>
      <c r="F103" s="241">
        <v>16</v>
      </c>
      <c r="G103" s="2">
        <v>0.18</v>
      </c>
    </row>
    <row r="104" spans="1:37" ht="15" customHeight="1">
      <c r="E104" s="241" t="s">
        <v>788</v>
      </c>
      <c r="F104" s="241">
        <v>16</v>
      </c>
      <c r="G104" s="2">
        <v>0.13</v>
      </c>
    </row>
    <row r="105" spans="1:37" ht="15" customHeight="1">
      <c r="E105" s="241" t="s">
        <v>789</v>
      </c>
      <c r="F105" s="2">
        <v>24</v>
      </c>
      <c r="G105" s="2">
        <v>0.11</v>
      </c>
    </row>
    <row r="107" spans="1:37" s="305" customFormat="1" ht="15" customHeight="1">
      <c r="A107" s="5"/>
      <c r="B107" s="5"/>
      <c r="C107" s="2"/>
      <c r="D107" s="241" t="s">
        <v>802</v>
      </c>
      <c r="E107" s="332" t="s">
        <v>794</v>
      </c>
      <c r="F107" s="241" t="s">
        <v>405</v>
      </c>
      <c r="G107" s="241" t="s">
        <v>800</v>
      </c>
      <c r="H107" s="241" t="s">
        <v>801</v>
      </c>
      <c r="I107" s="2"/>
      <c r="J107" s="273" t="s">
        <v>810</v>
      </c>
      <c r="K107" s="2"/>
      <c r="L107" s="2"/>
      <c r="M107" s="2"/>
      <c r="N107" s="2"/>
      <c r="O107" s="2"/>
      <c r="P107" s="5"/>
      <c r="Q107" s="5"/>
      <c r="R107" s="5"/>
      <c r="S107" s="5"/>
      <c r="T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</row>
    <row r="108" spans="1:37" ht="15" customHeight="1">
      <c r="E108" s="241" t="s">
        <v>795</v>
      </c>
      <c r="F108" s="2">
        <v>90</v>
      </c>
      <c r="G108" s="334">
        <v>5.0000000000000001E-3</v>
      </c>
      <c r="H108" s="334">
        <v>1.4999999999999999E-2</v>
      </c>
    </row>
    <row r="109" spans="1:37" ht="15" customHeight="1">
      <c r="E109" s="241" t="s">
        <v>796</v>
      </c>
      <c r="F109" s="2">
        <v>80</v>
      </c>
      <c r="G109" s="334">
        <v>5.0000000000000001E-3</v>
      </c>
      <c r="H109" s="334">
        <v>1.4999999999999999E-2</v>
      </c>
    </row>
    <row r="110" spans="1:37" s="305" customFormat="1" ht="15" customHeight="1">
      <c r="A110" s="5"/>
      <c r="B110" s="5"/>
      <c r="C110" s="2"/>
      <c r="D110" s="2"/>
      <c r="E110" s="241" t="s">
        <v>797</v>
      </c>
      <c r="F110" s="2">
        <v>78</v>
      </c>
      <c r="G110" s="334">
        <v>5.0000000000000001E-3</v>
      </c>
      <c r="H110" s="334">
        <v>1.4999999999999999E-2</v>
      </c>
      <c r="I110" s="2"/>
      <c r="J110" s="2"/>
      <c r="K110" s="2"/>
      <c r="L110" s="2"/>
      <c r="M110" s="2"/>
      <c r="N110" s="2"/>
      <c r="O110" s="2"/>
      <c r="P110" s="5"/>
      <c r="Q110" s="5"/>
      <c r="R110" s="5"/>
      <c r="S110" s="5"/>
      <c r="T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</row>
    <row r="111" spans="1:37" ht="15" customHeight="1">
      <c r="E111" s="333" t="s">
        <v>798</v>
      </c>
      <c r="F111" s="2">
        <v>75</v>
      </c>
      <c r="G111" s="334">
        <v>5.0000000000000001E-3</v>
      </c>
      <c r="H111" s="334">
        <v>1.4999999999999999E-2</v>
      </c>
    </row>
    <row r="112" spans="1:37" ht="15" customHeight="1">
      <c r="E112" s="333" t="s">
        <v>799</v>
      </c>
      <c r="F112" s="2">
        <v>64</v>
      </c>
      <c r="G112" s="334">
        <v>5.0000000000000001E-3</v>
      </c>
      <c r="H112" s="334">
        <v>1.4999999999999999E-2</v>
      </c>
    </row>
    <row r="113" spans="1:37" ht="15" customHeight="1">
      <c r="E113" s="333"/>
    </row>
    <row r="114" spans="1:37" ht="15" customHeight="1">
      <c r="D114" s="241" t="s">
        <v>809</v>
      </c>
      <c r="E114" s="335" t="s">
        <v>803</v>
      </c>
      <c r="F114" s="241" t="s">
        <v>804</v>
      </c>
      <c r="G114" s="241" t="s">
        <v>805</v>
      </c>
      <c r="H114" s="241" t="s">
        <v>806</v>
      </c>
      <c r="I114" s="241" t="s">
        <v>800</v>
      </c>
      <c r="J114" s="241" t="s">
        <v>801</v>
      </c>
    </row>
    <row r="115" spans="1:37" s="305" customFormat="1" ht="15" customHeight="1">
      <c r="A115" s="5"/>
      <c r="B115" s="5"/>
      <c r="C115" s="2"/>
      <c r="D115" s="2"/>
      <c r="E115" s="333" t="s">
        <v>807</v>
      </c>
      <c r="F115" s="2">
        <v>6.5</v>
      </c>
      <c r="G115" s="2">
        <v>6.4</v>
      </c>
      <c r="H115" s="2"/>
      <c r="I115" s="2">
        <v>0.01</v>
      </c>
      <c r="J115" s="2">
        <v>0.03</v>
      </c>
      <c r="K115" s="2"/>
      <c r="L115" s="2"/>
      <c r="M115" s="2"/>
      <c r="N115" s="2"/>
      <c r="O115" s="2"/>
      <c r="P115" s="5"/>
      <c r="Q115" s="5"/>
      <c r="R115" s="5"/>
      <c r="S115" s="5"/>
      <c r="T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</row>
    <row r="116" spans="1:37" ht="15" customHeight="1">
      <c r="E116" s="333" t="s">
        <v>808</v>
      </c>
      <c r="F116" s="2">
        <v>6.5</v>
      </c>
      <c r="G116" s="2">
        <v>6.4</v>
      </c>
      <c r="H116" s="2">
        <v>6</v>
      </c>
      <c r="I116" s="241">
        <v>0.01</v>
      </c>
      <c r="J116" s="241">
        <v>0.03</v>
      </c>
    </row>
    <row r="118" spans="1:37" s="305" customFormat="1" ht="15" customHeight="1">
      <c r="A118" s="5"/>
      <c r="B118" s="5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5"/>
      <c r="Q118" s="5"/>
      <c r="R118" s="5"/>
      <c r="S118" s="5"/>
      <c r="T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</row>
    <row r="119" spans="1:37" ht="15" customHeight="1">
      <c r="E119" s="333"/>
      <c r="F119" s="266" t="s">
        <v>707</v>
      </c>
      <c r="G119" s="314" t="s">
        <v>656</v>
      </c>
      <c r="H119" s="314" t="s">
        <v>657</v>
      </c>
      <c r="I119" s="314" t="s">
        <v>658</v>
      </c>
      <c r="J119" s="314" t="s">
        <v>659</v>
      </c>
      <c r="K119" s="314" t="s">
        <v>660</v>
      </c>
      <c r="L119" s="314" t="s">
        <v>661</v>
      </c>
      <c r="M119" s="314" t="s">
        <v>662</v>
      </c>
      <c r="N119" s="314" t="s">
        <v>663</v>
      </c>
      <c r="O119" s="314" t="s">
        <v>664</v>
      </c>
      <c r="P119" s="314" t="s">
        <v>665</v>
      </c>
      <c r="Q119" s="314" t="s">
        <v>666</v>
      </c>
      <c r="R119" s="314" t="s">
        <v>667</v>
      </c>
      <c r="S119" s="314">
        <v>7</v>
      </c>
      <c r="T119" s="266">
        <v>8</v>
      </c>
      <c r="U119" s="351"/>
      <c r="V119" s="351"/>
      <c r="W119" s="351"/>
      <c r="Y119" s="305" t="s">
        <v>811</v>
      </c>
    </row>
    <row r="120" spans="1:37" ht="15" customHeight="1">
      <c r="E120" s="333" t="s">
        <v>812</v>
      </c>
      <c r="F120" s="2">
        <v>21</v>
      </c>
      <c r="G120" s="2">
        <v>21</v>
      </c>
      <c r="H120" s="2">
        <v>12</v>
      </c>
      <c r="I120" s="2">
        <v>16</v>
      </c>
      <c r="J120" s="2">
        <v>12</v>
      </c>
      <c r="K120" s="2">
        <v>13</v>
      </c>
      <c r="L120" s="2">
        <v>18</v>
      </c>
      <c r="M120" s="2">
        <v>12</v>
      </c>
      <c r="N120" s="2">
        <v>16</v>
      </c>
      <c r="O120" s="2">
        <v>14</v>
      </c>
      <c r="P120" s="5">
        <v>12</v>
      </c>
      <c r="Q120" s="5">
        <v>13</v>
      </c>
      <c r="R120" s="5">
        <v>13</v>
      </c>
      <c r="S120" s="5">
        <v>13</v>
      </c>
      <c r="T120" s="5">
        <v>13</v>
      </c>
    </row>
    <row r="121" spans="1:37" ht="15" customHeight="1">
      <c r="E121" s="333"/>
    </row>
    <row r="122" spans="1:37" ht="15" customHeight="1">
      <c r="A122" s="305" t="s">
        <v>836</v>
      </c>
      <c r="B122" s="5">
        <v>0</v>
      </c>
      <c r="E122" s="339" t="s">
        <v>835</v>
      </c>
    </row>
    <row r="123" spans="1:37" ht="15" customHeight="1">
      <c r="B123" s="305" t="s">
        <v>830</v>
      </c>
      <c r="C123" s="5"/>
      <c r="D123" s="305" t="s">
        <v>790</v>
      </c>
      <c r="E123" s="333"/>
    </row>
    <row r="124" spans="1:37" ht="15" customHeight="1">
      <c r="A124" s="305"/>
      <c r="B124" s="83" t="s">
        <v>253</v>
      </c>
      <c r="C124" s="305"/>
      <c r="D124" s="83" t="s">
        <v>253</v>
      </c>
      <c r="E124" s="333"/>
      <c r="F124" s="241"/>
      <c r="G124" s="241"/>
      <c r="H124" s="241"/>
      <c r="I124" s="241"/>
      <c r="J124" s="241"/>
      <c r="K124" s="241"/>
      <c r="L124" s="241"/>
      <c r="M124" s="241"/>
      <c r="N124" s="241"/>
      <c r="O124" s="241"/>
      <c r="P124" s="305"/>
      <c r="Q124" s="305"/>
      <c r="R124" s="305"/>
      <c r="S124" s="305"/>
      <c r="T124" s="305"/>
      <c r="X124" s="305"/>
      <c r="Y124" s="305"/>
      <c r="Z124" s="305"/>
      <c r="AA124" s="305"/>
      <c r="AB124" s="305"/>
      <c r="AC124" s="305"/>
      <c r="AD124" s="305"/>
      <c r="AE124" s="305"/>
      <c r="AF124" s="305"/>
      <c r="AG124" s="305"/>
      <c r="AH124" s="305"/>
      <c r="AI124" s="305"/>
      <c r="AJ124" s="305"/>
      <c r="AK124" s="305"/>
    </row>
    <row r="125" spans="1:37" ht="15" customHeight="1">
      <c r="A125" s="305" t="s">
        <v>833</v>
      </c>
      <c r="B125" s="5">
        <v>0.17</v>
      </c>
      <c r="C125" s="305" t="s">
        <v>829</v>
      </c>
      <c r="D125" s="5">
        <f>B125</f>
        <v>0.17</v>
      </c>
      <c r="E125" s="333"/>
    </row>
    <row r="126" spans="1:37" ht="15" customHeight="1">
      <c r="A126" s="305" t="s">
        <v>820</v>
      </c>
      <c r="B126" s="5">
        <v>0.67</v>
      </c>
      <c r="C126" s="305" t="s">
        <v>826</v>
      </c>
      <c r="D126" s="305">
        <f>B126</f>
        <v>0.67</v>
      </c>
      <c r="E126" s="83"/>
    </row>
    <row r="127" spans="1:37" ht="15" customHeight="1">
      <c r="A127" s="305" t="s">
        <v>831</v>
      </c>
      <c r="B127" s="305">
        <v>5</v>
      </c>
      <c r="C127" s="305" t="s">
        <v>831</v>
      </c>
      <c r="D127" s="305">
        <f>B127</f>
        <v>5</v>
      </c>
      <c r="E127" s="333"/>
      <c r="F127" s="241"/>
      <c r="G127" s="241"/>
      <c r="H127" s="241"/>
      <c r="I127" s="241"/>
      <c r="J127" s="241"/>
      <c r="K127" s="241"/>
      <c r="L127" s="241"/>
      <c r="M127" s="241"/>
      <c r="N127" s="241"/>
      <c r="O127" s="241"/>
      <c r="P127" s="305"/>
      <c r="Q127" s="305"/>
      <c r="R127" s="305"/>
      <c r="S127" s="305"/>
      <c r="T127" s="305"/>
      <c r="X127" s="305"/>
      <c r="Y127" s="305"/>
      <c r="Z127" s="305"/>
      <c r="AA127" s="305"/>
      <c r="AB127" s="305"/>
      <c r="AC127" s="305"/>
      <c r="AD127" s="305"/>
      <c r="AE127" s="305"/>
      <c r="AF127" s="305"/>
      <c r="AG127" s="305"/>
      <c r="AH127" s="305"/>
      <c r="AI127" s="305"/>
      <c r="AJ127" s="305"/>
      <c r="AK127" s="305"/>
    </row>
    <row r="128" spans="1:37" ht="15" customHeight="1">
      <c r="A128" s="305" t="s">
        <v>821</v>
      </c>
      <c r="B128" s="5">
        <v>0.79</v>
      </c>
      <c r="C128" s="305" t="s">
        <v>824</v>
      </c>
      <c r="D128" s="305">
        <f>B128</f>
        <v>0.79</v>
      </c>
      <c r="E128" s="333"/>
    </row>
    <row r="129" spans="1:37" ht="15" customHeight="1">
      <c r="A129" s="305" t="s">
        <v>822</v>
      </c>
      <c r="B129" s="5">
        <v>20</v>
      </c>
      <c r="C129" s="305" t="s">
        <v>827</v>
      </c>
      <c r="D129" s="5">
        <f>0.95*5.5</f>
        <v>5.2249999999999996</v>
      </c>
      <c r="E129" s="333"/>
    </row>
    <row r="130" spans="1:37" ht="15" customHeight="1">
      <c r="A130" s="305" t="s">
        <v>823</v>
      </c>
      <c r="B130" s="5">
        <v>0.55000000000000004</v>
      </c>
      <c r="C130" s="305" t="s">
        <v>825</v>
      </c>
      <c r="D130" s="305">
        <v>0.55000000000000004</v>
      </c>
      <c r="E130" s="333"/>
    </row>
    <row r="131" spans="1:37" ht="15" customHeight="1">
      <c r="A131" s="305" t="s">
        <v>832</v>
      </c>
      <c r="B131" s="5">
        <v>0.68</v>
      </c>
      <c r="C131" s="305" t="s">
        <v>828</v>
      </c>
      <c r="D131" s="305">
        <v>0.68</v>
      </c>
      <c r="E131" s="333"/>
    </row>
    <row r="132" spans="1:37" ht="15" customHeight="1">
      <c r="A132" s="305"/>
      <c r="B132" s="305"/>
      <c r="C132" s="305"/>
      <c r="D132" s="305"/>
      <c r="E132" s="333"/>
      <c r="F132" s="241"/>
      <c r="G132" s="241"/>
      <c r="H132" s="241"/>
      <c r="I132" s="241"/>
      <c r="J132" s="241"/>
      <c r="K132" s="241"/>
      <c r="L132" s="241"/>
      <c r="M132" s="241"/>
      <c r="N132" s="241"/>
      <c r="O132" s="241"/>
      <c r="P132" s="305"/>
      <c r="Q132" s="305"/>
      <c r="R132" s="305"/>
      <c r="S132" s="305"/>
      <c r="T132" s="305"/>
      <c r="X132" s="305"/>
      <c r="Y132" s="305"/>
      <c r="Z132" s="305"/>
      <c r="AA132" s="305"/>
      <c r="AB132" s="305"/>
      <c r="AC132" s="305"/>
      <c r="AD132" s="305"/>
      <c r="AE132" s="305"/>
      <c r="AF132" s="305"/>
      <c r="AG132" s="305"/>
      <c r="AH132" s="305"/>
      <c r="AI132" s="305"/>
      <c r="AJ132" s="305"/>
      <c r="AK132" s="305"/>
    </row>
    <row r="133" spans="1:37" ht="15" customHeight="1">
      <c r="A133" s="305" t="s">
        <v>382</v>
      </c>
      <c r="B133" s="5">
        <f>IF(B122=0,SUM(B125:B131),((1-0.19)*B129)+SUM(B125:B128,B130:B131))</f>
        <v>27.86</v>
      </c>
      <c r="D133" s="305">
        <f>SUM(D125:D131)</f>
        <v>13.085000000000001</v>
      </c>
      <c r="E133" s="333"/>
    </row>
    <row r="134" spans="1:37" ht="15" customHeight="1">
      <c r="A134" s="305" t="s">
        <v>834</v>
      </c>
      <c r="B134" s="5">
        <f>1/B133</f>
        <v>3.5893754486719311E-2</v>
      </c>
      <c r="D134" s="305">
        <f>1/D133</f>
        <v>7.642338555598012E-2</v>
      </c>
      <c r="E134" s="333"/>
    </row>
    <row r="135" spans="1:37" ht="15" customHeight="1">
      <c r="A135" s="305"/>
      <c r="C135" s="241"/>
      <c r="D135" s="305"/>
      <c r="E135" s="333"/>
      <c r="F135" s="241"/>
      <c r="G135" s="241"/>
      <c r="H135" s="241"/>
      <c r="I135" s="241"/>
      <c r="J135" s="241"/>
      <c r="K135" s="241"/>
      <c r="L135" s="241"/>
      <c r="M135" s="241"/>
      <c r="N135" s="241"/>
      <c r="O135" s="241"/>
      <c r="P135" s="305"/>
      <c r="Q135" s="305"/>
      <c r="R135" s="305"/>
      <c r="S135" s="305"/>
      <c r="T135" s="305"/>
      <c r="X135" s="305"/>
      <c r="Y135" s="305"/>
      <c r="Z135" s="305"/>
      <c r="AA135" s="305"/>
      <c r="AB135" s="305"/>
      <c r="AC135" s="305"/>
      <c r="AD135" s="305"/>
      <c r="AE135" s="305"/>
      <c r="AF135" s="305"/>
      <c r="AG135" s="305"/>
      <c r="AH135" s="305"/>
      <c r="AI135" s="305"/>
      <c r="AJ135" s="305"/>
      <c r="AK135" s="305"/>
    </row>
    <row r="136" spans="1:37" ht="15" customHeight="1">
      <c r="A136" s="305" t="s">
        <v>790</v>
      </c>
      <c r="B136" s="5">
        <v>0.23</v>
      </c>
      <c r="E136" s="333"/>
    </row>
    <row r="137" spans="1:37" ht="15" customHeight="1">
      <c r="A137" s="305" t="s">
        <v>842</v>
      </c>
      <c r="B137" s="305">
        <f>(B134*(1-B136))+(D134*B136)</f>
        <v>4.5215569632649298E-2</v>
      </c>
      <c r="E137" s="333"/>
    </row>
    <row r="138" spans="1:37" s="305" customFormat="1" ht="15" customHeight="1">
      <c r="C138" s="241"/>
      <c r="D138" s="241"/>
      <c r="E138" s="333"/>
      <c r="F138" s="241"/>
      <c r="G138" s="241"/>
      <c r="H138" s="241"/>
      <c r="I138" s="241"/>
      <c r="J138" s="241"/>
      <c r="K138" s="241"/>
      <c r="L138" s="241"/>
      <c r="M138" s="241"/>
      <c r="N138" s="241"/>
      <c r="O138" s="241"/>
    </row>
    <row r="139" spans="1:37" s="305" customFormat="1" ht="15" customHeight="1">
      <c r="A139" s="305" t="s">
        <v>837</v>
      </c>
      <c r="B139" s="5">
        <v>261.39999999999998</v>
      </c>
      <c r="C139" s="241"/>
      <c r="D139" s="241"/>
      <c r="E139" s="333"/>
      <c r="F139" s="241"/>
      <c r="G139" s="241"/>
      <c r="H139" s="241"/>
      <c r="I139" s="241"/>
      <c r="J139" s="241"/>
      <c r="K139" s="241"/>
      <c r="L139" s="241"/>
      <c r="M139" s="241"/>
      <c r="N139" s="241"/>
      <c r="O139" s="241"/>
    </row>
    <row r="140" spans="1:37" ht="15" customHeight="1">
      <c r="A140" s="305" t="s">
        <v>838</v>
      </c>
      <c r="B140" s="2">
        <f>B137*B139*5.6783</f>
        <v>67.113814548381953</v>
      </c>
      <c r="E140" s="333"/>
    </row>
    <row r="141" spans="1:37" ht="15" customHeight="1">
      <c r="E141" s="333"/>
    </row>
    <row r="142" spans="1:37" ht="15" customHeight="1">
      <c r="E142" s="333"/>
    </row>
    <row r="143" spans="1:37" ht="15" customHeight="1">
      <c r="E143" s="333"/>
    </row>
    <row r="144" spans="1:37" ht="15" customHeight="1">
      <c r="A144" s="305" t="s">
        <v>846</v>
      </c>
      <c r="B144" s="305" t="s">
        <v>847</v>
      </c>
      <c r="C144" s="305" t="s">
        <v>848</v>
      </c>
      <c r="E144" s="333"/>
    </row>
    <row r="145" spans="1:5" ht="15" customHeight="1">
      <c r="A145" s="305" t="s">
        <v>843</v>
      </c>
      <c r="B145" s="305">
        <v>8.5736552962920293E-2</v>
      </c>
      <c r="E145" s="333"/>
    </row>
    <row r="146" spans="1:5" ht="15" customHeight="1">
      <c r="A146" s="305" t="s">
        <v>840</v>
      </c>
      <c r="B146" s="5">
        <v>5.7476006036368224E-2</v>
      </c>
      <c r="E146" s="333"/>
    </row>
    <row r="147" spans="1:5" ht="15" customHeight="1">
      <c r="A147" s="305" t="s">
        <v>841</v>
      </c>
      <c r="B147" s="5">
        <v>6.2131032322258431E-2</v>
      </c>
      <c r="E147" s="333"/>
    </row>
    <row r="148" spans="1:5" ht="15" customHeight="1">
      <c r="A148" s="305" t="s">
        <v>844</v>
      </c>
      <c r="B148" s="5">
        <v>3.5893754486719311E-2</v>
      </c>
      <c r="E148" s="333"/>
    </row>
    <row r="149" spans="1:5" ht="15" customHeight="1">
      <c r="A149" s="305" t="s">
        <v>845</v>
      </c>
      <c r="B149" s="5">
        <v>4.3986404300048673E-2</v>
      </c>
      <c r="E149" s="333"/>
    </row>
    <row r="150" spans="1:5" ht="15" customHeight="1">
      <c r="E150" s="333"/>
    </row>
    <row r="151" spans="1:5" ht="15" customHeight="1">
      <c r="E151" s="333"/>
    </row>
  </sheetData>
  <mergeCells count="26">
    <mergeCell ref="D56:F56"/>
    <mergeCell ref="D57:F57"/>
    <mergeCell ref="D58:F58"/>
    <mergeCell ref="D59:F59"/>
    <mergeCell ref="D60:F60"/>
    <mergeCell ref="G56:J56"/>
    <mergeCell ref="G57:J57"/>
    <mergeCell ref="G58:J58"/>
    <mergeCell ref="G59:J59"/>
    <mergeCell ref="G60:J60"/>
    <mergeCell ref="K58:L58"/>
    <mergeCell ref="K57:L57"/>
    <mergeCell ref="D64:F64"/>
    <mergeCell ref="K64:L64"/>
    <mergeCell ref="K63:L63"/>
    <mergeCell ref="K62:L62"/>
    <mergeCell ref="K61:L61"/>
    <mergeCell ref="K60:L60"/>
    <mergeCell ref="K59:L59"/>
    <mergeCell ref="G61:J61"/>
    <mergeCell ref="G62:J62"/>
    <mergeCell ref="G63:J63"/>
    <mergeCell ref="G64:J64"/>
    <mergeCell ref="D63:F63"/>
    <mergeCell ref="D61:F61"/>
    <mergeCell ref="D62:F62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17"/>
  <sheetViews>
    <sheetView zoomScale="85" zoomScaleNormal="85" zoomScalePageLayoutView="85" workbookViewId="0">
      <selection activeCell="B10" sqref="B10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226" customWidth="1"/>
    <col min="4" max="4" width="8" style="7" customWidth="1"/>
    <col min="5" max="5" width="7.1640625" style="7" customWidth="1"/>
    <col min="6" max="6" width="7" style="7" customWidth="1"/>
    <col min="7" max="7" width="25.66406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8.83203125" style="7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50</v>
      </c>
      <c r="H1" s="181" t="s">
        <v>970</v>
      </c>
      <c r="I1" s="81">
        <v>25</v>
      </c>
      <c r="J1" s="81">
        <v>50</v>
      </c>
      <c r="K1" s="81">
        <v>75</v>
      </c>
      <c r="L1" s="81">
        <v>100</v>
      </c>
      <c r="M1" s="298">
        <v>125</v>
      </c>
      <c r="N1" s="81">
        <v>200</v>
      </c>
      <c r="O1" s="81">
        <v>300</v>
      </c>
      <c r="R1" s="375" t="s">
        <v>922</v>
      </c>
      <c r="S1" s="396" t="s">
        <v>942</v>
      </c>
      <c r="T1" s="388" t="s">
        <v>499</v>
      </c>
      <c r="U1" s="389" t="s">
        <v>500</v>
      </c>
      <c r="V1" s="390" t="s">
        <v>501</v>
      </c>
    </row>
    <row r="2" spans="1:22" ht="15" customHeight="1" thickBot="1">
      <c r="A2" s="14" t="s">
        <v>478</v>
      </c>
      <c r="G2" s="242" t="s">
        <v>868</v>
      </c>
      <c r="H2" s="84" t="s">
        <v>636</v>
      </c>
      <c r="I2" s="49">
        <f>L2*0.25</f>
        <v>14.745501874999999</v>
      </c>
      <c r="J2" s="49">
        <f>L2*0.5</f>
        <v>29.491003749999997</v>
      </c>
      <c r="K2" s="49">
        <f>L2*0.75</f>
        <v>44.236505624999992</v>
      </c>
      <c r="L2" s="356">
        <f>IF(Age="existing",0.15*A_houseSI+3.5*(Nbedrooms+1)+(65/4),0.15*A_houseSI+3.5*(Nbedrooms+1))</f>
        <v>58.982007499999995</v>
      </c>
      <c r="M2" s="296">
        <f>1.25*L2</f>
        <v>73.727509374999997</v>
      </c>
      <c r="N2" s="49">
        <f>L2*2</f>
        <v>117.96401499999999</v>
      </c>
      <c r="O2" s="49">
        <f>L2*3</f>
        <v>176.94602249999997</v>
      </c>
      <c r="R2" s="397" t="s">
        <v>920</v>
      </c>
      <c r="S2" s="366">
        <v>13</v>
      </c>
      <c r="T2" s="391" t="s">
        <v>502</v>
      </c>
      <c r="U2" s="146" t="s">
        <v>503</v>
      </c>
      <c r="V2" s="392" t="s">
        <v>504</v>
      </c>
    </row>
    <row r="3" spans="1:22" ht="15" customHeight="1" thickBot="1">
      <c r="A3" s="14" t="s">
        <v>278</v>
      </c>
      <c r="B3" s="45"/>
      <c r="C3" s="227"/>
      <c r="G3" s="242" t="s">
        <v>869</v>
      </c>
      <c r="H3" s="2" t="s">
        <v>675</v>
      </c>
      <c r="I3" s="216">
        <f>L3*0.25</f>
        <v>31.709907158234664</v>
      </c>
      <c r="J3" s="49">
        <f>L3*0.5</f>
        <v>63.419814316469328</v>
      </c>
      <c r="K3" s="49">
        <f>L3*0.75</f>
        <v>95.129721474703985</v>
      </c>
      <c r="L3" s="357">
        <f>IF(Age="existing",0.03*A_houseFT+7.5*(Nbedrooms+1)+(130/4), 0.03*A_houseFT+7.5*(Nbedrooms+1))</f>
        <v>126.83962863293866</v>
      </c>
      <c r="M3" s="296">
        <f>1.25*L3</f>
        <v>158.54953579117333</v>
      </c>
      <c r="N3" s="49">
        <f>L3*2</f>
        <v>253.67925726587731</v>
      </c>
      <c r="O3" s="49">
        <f>L3*3</f>
        <v>380.51888589881594</v>
      </c>
      <c r="R3" s="543" t="s">
        <v>921</v>
      </c>
      <c r="S3" s="544">
        <v>17</v>
      </c>
      <c r="T3" s="391" t="s">
        <v>505</v>
      </c>
      <c r="U3" s="146" t="s">
        <v>506</v>
      </c>
      <c r="V3" s="392" t="s">
        <v>507</v>
      </c>
    </row>
    <row r="4" spans="1:22" ht="15" customHeight="1" thickBot="1">
      <c r="A4" s="14"/>
      <c r="B4" s="45"/>
      <c r="C4" s="227"/>
      <c r="H4" s="2"/>
      <c r="L4" s="242"/>
      <c r="R4" s="398" t="s">
        <v>1340</v>
      </c>
      <c r="S4" s="368">
        <v>1</v>
      </c>
      <c r="T4" s="391" t="s">
        <v>508</v>
      </c>
      <c r="U4" s="146" t="s">
        <v>506</v>
      </c>
      <c r="V4" s="392" t="s">
        <v>507</v>
      </c>
    </row>
    <row r="5" spans="1:22" ht="15" customHeight="1">
      <c r="A5" s="14" t="s">
        <v>581</v>
      </c>
      <c r="B5" s="355">
        <f>Nbedrooms</f>
        <v>3</v>
      </c>
      <c r="C5" s="227"/>
      <c r="H5" s="2"/>
      <c r="T5" s="391" t="s">
        <v>509</v>
      </c>
      <c r="U5" s="146">
        <v>3</v>
      </c>
      <c r="V5" s="392" t="s">
        <v>507</v>
      </c>
    </row>
    <row r="6" spans="1:22" ht="15" customHeight="1">
      <c r="A6" s="143" t="s">
        <v>906</v>
      </c>
      <c r="B6" s="355">
        <f>VLOOKUP(CONCATENATE(OccDensity,HomeSize),'Internal gains'!C28:F37,2,FALSE)</f>
        <v>2</v>
      </c>
      <c r="D6" s="242"/>
      <c r="E6" s="242"/>
      <c r="F6" s="242"/>
      <c r="G6" s="227" t="s">
        <v>971</v>
      </c>
      <c r="H6" s="241"/>
      <c r="I6" s="242"/>
      <c r="J6" s="242"/>
      <c r="K6" s="242"/>
      <c r="L6" s="242"/>
      <c r="M6" s="242"/>
      <c r="N6" s="242"/>
      <c r="O6" s="242"/>
      <c r="P6" s="242"/>
      <c r="Q6" s="242"/>
      <c r="T6" s="391" t="s">
        <v>510</v>
      </c>
      <c r="U6" s="146"/>
      <c r="V6" s="392"/>
    </row>
    <row r="7" spans="1:22" ht="15" customHeight="1"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242"/>
      <c r="T7" s="391" t="s">
        <v>511</v>
      </c>
      <c r="U7" s="146" t="s">
        <v>512</v>
      </c>
      <c r="V7" s="392" t="s">
        <v>513</v>
      </c>
    </row>
    <row r="8" spans="1:22" ht="15" customHeight="1">
      <c r="A8" s="1" t="s">
        <v>895</v>
      </c>
      <c r="B8" s="71" t="s">
        <v>707</v>
      </c>
      <c r="C8" s="71" t="s">
        <v>656</v>
      </c>
      <c r="D8" s="71" t="s">
        <v>657</v>
      </c>
      <c r="E8" s="71" t="s">
        <v>658</v>
      </c>
      <c r="F8" s="71" t="s">
        <v>659</v>
      </c>
      <c r="G8" s="71" t="s">
        <v>660</v>
      </c>
      <c r="H8" s="71" t="s">
        <v>661</v>
      </c>
      <c r="I8" s="71" t="s">
        <v>662</v>
      </c>
      <c r="J8" s="71" t="s">
        <v>663</v>
      </c>
      <c r="K8" s="71" t="s">
        <v>664</v>
      </c>
      <c r="L8" s="71" t="s">
        <v>665</v>
      </c>
      <c r="M8" s="71" t="s">
        <v>666</v>
      </c>
      <c r="N8" s="71" t="s">
        <v>667</v>
      </c>
      <c r="O8" s="71">
        <v>7</v>
      </c>
      <c r="P8" s="71">
        <v>8</v>
      </c>
      <c r="Q8" s="242" t="s">
        <v>917</v>
      </c>
      <c r="R8" s="1" t="s">
        <v>918</v>
      </c>
      <c r="T8" s="391" t="s">
        <v>514</v>
      </c>
      <c r="U8" s="146">
        <v>7</v>
      </c>
      <c r="V8" s="392" t="s">
        <v>515</v>
      </c>
    </row>
    <row r="9" spans="1:22" ht="15" customHeight="1">
      <c r="A9" s="143" t="s">
        <v>876</v>
      </c>
      <c r="B9" s="227">
        <f>(Leakage!H34*A_houseSI*Weather!B25)/1.44</f>
        <v>13.005349036910927</v>
      </c>
      <c r="C9" s="227">
        <f>(Leakage!I34*A_houseSI*Weather!C25)/1.44</f>
        <v>13.322552671957537</v>
      </c>
      <c r="D9" s="227">
        <f>(Leakage!J34*A_houseSI*Weather!D25)/1.44</f>
        <v>13.639756307004143</v>
      </c>
      <c r="E9" s="227">
        <f>(Leakage!K34*A_houseSI*Weather!E25)/1.44</f>
        <v>12.159472676786638</v>
      </c>
      <c r="F9" s="227">
        <f>(Leakage!L34*A_houseSI*Weather!F25)/1.44</f>
        <v>12.688145401864318</v>
      </c>
      <c r="G9" s="227">
        <f>(Leakage!M34*A_houseSI*Weather!G25)/1.44</f>
        <v>15.8601817523304</v>
      </c>
      <c r="H9" s="227">
        <f>(Leakage!N34*A_houseSI*Weather!H25)/1.44</f>
        <v>13.216818126941998</v>
      </c>
      <c r="I9" s="227">
        <f>(Leakage!O34*A_houseSI*Weather!I25)/1.44</f>
        <v>14.274163577097362</v>
      </c>
      <c r="J9" s="227">
        <f>(Leakage!P34*A_houseSI*Weather!J25)/1.44</f>
        <v>14.5384999396362</v>
      </c>
      <c r="K9" s="227">
        <f>(Leakage!Q34*A_houseSI*Weather!K25)/1.44</f>
        <v>12.688145401864315</v>
      </c>
      <c r="L9" s="227">
        <f>(Leakage!R34*A_houseSI*Weather!L25)/1.44</f>
        <v>11.84226904174003</v>
      </c>
      <c r="M9" s="227">
        <f>(Leakage!S34*A_houseSI*Weather!M25)/1.44</f>
        <v>12.89961449189539</v>
      </c>
      <c r="N9" s="227">
        <f>(Leakage!T34*A_houseSI*Weather!N25)/1.44</f>
        <v>13.322552671957531</v>
      </c>
      <c r="O9" s="227">
        <f>(Leakage!U34*A_houseSI*Weather!O25)/1.44</f>
        <v>14.802836302175034</v>
      </c>
      <c r="P9" s="227">
        <f>(Leakage!V34*A_houseSI*Weather!P25)/1.44</f>
        <v>11.10212722663128</v>
      </c>
      <c r="Q9" s="227">
        <f>(Leakage!W34*A_houseSI*Weather!Q25)/1.44</f>
        <v>12.053738131771105</v>
      </c>
      <c r="R9" s="227">
        <f>(Leakage!X34*A_houseSI*Weather!R25)/1.44</f>
        <v>11.366463589170118</v>
      </c>
      <c r="T9" s="391" t="s">
        <v>516</v>
      </c>
      <c r="U9" s="146">
        <v>8</v>
      </c>
      <c r="V9" s="392" t="s">
        <v>517</v>
      </c>
    </row>
    <row r="10" spans="1:22" ht="15" customHeight="1">
      <c r="A10" s="1" t="s">
        <v>875</v>
      </c>
      <c r="B10" s="348">
        <f t="shared" ref="B10:R10" si="0">FanSize*IF($L$2=0,0,$L$2-(B9/$L$2)*B9)</f>
        <v>56.114368524302535</v>
      </c>
      <c r="C10" s="348">
        <f t="shared" si="0"/>
        <v>55.972777783682133</v>
      </c>
      <c r="D10" s="348">
        <f t="shared" si="0"/>
        <v>55.827775217986549</v>
      </c>
      <c r="E10" s="348">
        <f t="shared" si="0"/>
        <v>56.475263798922668</v>
      </c>
      <c r="F10" s="348">
        <f t="shared" si="0"/>
        <v>56.252547439847739</v>
      </c>
      <c r="G10" s="348">
        <f t="shared" si="0"/>
        <v>54.717226156012096</v>
      </c>
      <c r="H10" s="348">
        <f t="shared" si="0"/>
        <v>56.020353788897289</v>
      </c>
      <c r="I10" s="348">
        <f t="shared" si="0"/>
        <v>55.527534611369795</v>
      </c>
      <c r="J10" s="348">
        <f t="shared" si="0"/>
        <v>55.398406509565717</v>
      </c>
      <c r="K10" s="348">
        <f t="shared" si="0"/>
        <v>56.252547439847746</v>
      </c>
      <c r="L10" s="348">
        <f t="shared" si="0"/>
        <v>56.604344514267368</v>
      </c>
      <c r="M10" s="348">
        <f t="shared" si="0"/>
        <v>56.160807254492624</v>
      </c>
      <c r="N10" s="348">
        <f t="shared" si="0"/>
        <v>55.972777783682133</v>
      </c>
      <c r="O10" s="348">
        <f t="shared" si="0"/>
        <v>55.266909084792765</v>
      </c>
      <c r="P10" s="348">
        <f t="shared" si="0"/>
        <v>56.892264641445927</v>
      </c>
      <c r="Q10" s="348">
        <f t="shared" si="0"/>
        <v>56.518669795712583</v>
      </c>
      <c r="R10" s="348">
        <f t="shared" si="0"/>
        <v>56.791568415268436</v>
      </c>
      <c r="T10" s="391" t="s">
        <v>518</v>
      </c>
      <c r="U10" s="146"/>
      <c r="V10" s="392"/>
    </row>
    <row r="11" spans="1:22" ht="15" customHeight="1">
      <c r="A11" s="1" t="s">
        <v>896</v>
      </c>
      <c r="B11" s="242">
        <f>B10*0.4361</f>
        <v>24.471476113448336</v>
      </c>
      <c r="C11" s="242">
        <f>C10*0.4361</f>
        <v>24.409728391463776</v>
      </c>
      <c r="D11" s="242">
        <f t="shared" ref="D11:P11" si="1">D10*0.4361</f>
        <v>24.346492772563934</v>
      </c>
      <c r="E11" s="242">
        <f t="shared" si="1"/>
        <v>24.628862542710173</v>
      </c>
      <c r="F11" s="242">
        <f t="shared" si="1"/>
        <v>24.531735938517599</v>
      </c>
      <c r="G11" s="242">
        <f t="shared" si="1"/>
        <v>23.862182326636873</v>
      </c>
      <c r="H11" s="242">
        <f t="shared" si="1"/>
        <v>24.430476287338106</v>
      </c>
      <c r="I11" s="242">
        <f t="shared" si="1"/>
        <v>24.215557844018367</v>
      </c>
      <c r="J11" s="242">
        <f t="shared" si="1"/>
        <v>24.159245078821609</v>
      </c>
      <c r="K11" s="242">
        <f t="shared" si="1"/>
        <v>24.531735938517603</v>
      </c>
      <c r="L11" s="242">
        <f t="shared" si="1"/>
        <v>24.685154642672</v>
      </c>
      <c r="M11" s="242">
        <f t="shared" si="1"/>
        <v>24.491728043684233</v>
      </c>
      <c r="N11" s="242">
        <f t="shared" si="1"/>
        <v>24.409728391463776</v>
      </c>
      <c r="O11" s="242">
        <f t="shared" si="1"/>
        <v>24.101899051878124</v>
      </c>
      <c r="P11" s="242">
        <f t="shared" si="1"/>
        <v>24.810716610134566</v>
      </c>
      <c r="Q11" s="242">
        <f>Q10*0.4361</f>
        <v>24.647791897910256</v>
      </c>
      <c r="R11" s="242">
        <f>R10*0.4361</f>
        <v>24.766802985898565</v>
      </c>
      <c r="T11" s="391" t="s">
        <v>519</v>
      </c>
      <c r="U11" s="146">
        <v>5</v>
      </c>
      <c r="V11" s="392" t="s">
        <v>520</v>
      </c>
    </row>
    <row r="12" spans="1:22" ht="15" customHeight="1">
      <c r="A12" s="87" t="s">
        <v>1054</v>
      </c>
      <c r="B12" s="399">
        <f>IF(VentSystem="CFIS",0,0.566*B13*-1000)</f>
        <v>63.521465169510464</v>
      </c>
      <c r="C12" s="399">
        <f t="shared" ref="C12:R12" si="2">IF(VentSystem="CFIS",0,0.566*C13*-1000)</f>
        <v>63.36118445112816</v>
      </c>
      <c r="D12" s="399">
        <f t="shared" si="2"/>
        <v>63.197041546760772</v>
      </c>
      <c r="E12" s="399">
        <f t="shared" si="2"/>
        <v>63.929998620380459</v>
      </c>
      <c r="F12" s="399">
        <f t="shared" si="2"/>
        <v>63.677883701907632</v>
      </c>
      <c r="G12" s="399">
        <f t="shared" si="2"/>
        <v>61.939900008605683</v>
      </c>
      <c r="H12" s="399">
        <f t="shared" si="2"/>
        <v>63.415040489031725</v>
      </c>
      <c r="I12" s="399">
        <f t="shared" si="2"/>
        <v>62.857169180070599</v>
      </c>
      <c r="J12" s="399">
        <f t="shared" si="2"/>
        <v>62.710996168828387</v>
      </c>
      <c r="K12" s="399">
        <f t="shared" si="2"/>
        <v>63.677883701907646</v>
      </c>
      <c r="L12" s="399">
        <f t="shared" si="2"/>
        <v>64.076117990150664</v>
      </c>
      <c r="M12" s="399">
        <f t="shared" si="2"/>
        <v>63.574033812085638</v>
      </c>
      <c r="N12" s="399">
        <f t="shared" si="2"/>
        <v>63.36118445112816</v>
      </c>
      <c r="O12" s="399">
        <f t="shared" si="2"/>
        <v>62.562141083985402</v>
      </c>
      <c r="P12" s="399">
        <f t="shared" si="2"/>
        <v>64.402043574116789</v>
      </c>
      <c r="Q12" s="399">
        <f t="shared" si="2"/>
        <v>63.979134208746636</v>
      </c>
      <c r="R12" s="399">
        <f t="shared" si="2"/>
        <v>64.28805544608386</v>
      </c>
      <c r="T12" s="391" t="s">
        <v>521</v>
      </c>
      <c r="U12" s="146" t="s">
        <v>522</v>
      </c>
      <c r="V12" s="392" t="s">
        <v>507</v>
      </c>
    </row>
    <row r="13" spans="1:22" ht="15" customHeight="1">
      <c r="A13" s="87" t="s">
        <v>1055</v>
      </c>
      <c r="B13" s="399">
        <f t="shared" ref="B13:R13" si="3">IF(VentSystem="CFIS",3*B10/-1000,IF(AND(VentSystem="Simple Exhaust",HumControl=1),B10/-1000,IF(AND(VentSystem="Simple Exhaust",HumControl&gt;1),2*B10/-1000,0)))</f>
        <v>-0.11222873704860507</v>
      </c>
      <c r="C13" s="399">
        <f t="shared" si="3"/>
        <v>-0.11194555556736427</v>
      </c>
      <c r="D13" s="399">
        <f t="shared" si="3"/>
        <v>-0.1116555504359731</v>
      </c>
      <c r="E13" s="399">
        <f t="shared" si="3"/>
        <v>-0.11295052759784534</v>
      </c>
      <c r="F13" s="399">
        <f t="shared" si="3"/>
        <v>-0.11250509487969548</v>
      </c>
      <c r="G13" s="399">
        <f t="shared" si="3"/>
        <v>-0.10943445231202419</v>
      </c>
      <c r="H13" s="399">
        <f t="shared" si="3"/>
        <v>-0.11204070757779458</v>
      </c>
      <c r="I13" s="399">
        <f t="shared" si="3"/>
        <v>-0.11105506922273958</v>
      </c>
      <c r="J13" s="399">
        <f t="shared" si="3"/>
        <v>-0.11079681301913144</v>
      </c>
      <c r="K13" s="399">
        <f t="shared" si="3"/>
        <v>-0.1125050948796955</v>
      </c>
      <c r="L13" s="399">
        <f t="shared" si="3"/>
        <v>-0.11320868902853473</v>
      </c>
      <c r="M13" s="399">
        <f t="shared" si="3"/>
        <v>-0.11232161450898524</v>
      </c>
      <c r="N13" s="399">
        <f t="shared" si="3"/>
        <v>-0.11194555556736427</v>
      </c>
      <c r="O13" s="399">
        <f t="shared" si="3"/>
        <v>-0.11053381816958553</v>
      </c>
      <c r="P13" s="399">
        <f t="shared" si="3"/>
        <v>-0.11378452928289186</v>
      </c>
      <c r="Q13" s="399">
        <f t="shared" si="3"/>
        <v>-0.11303733959142516</v>
      </c>
      <c r="R13" s="399">
        <f t="shared" si="3"/>
        <v>-0.11358313683053688</v>
      </c>
      <c r="T13" s="391" t="s">
        <v>523</v>
      </c>
      <c r="U13" s="146" t="s">
        <v>524</v>
      </c>
      <c r="V13" s="392" t="s">
        <v>507</v>
      </c>
    </row>
    <row r="14" spans="1:22" ht="15" customHeight="1">
      <c r="A14" s="87" t="s">
        <v>1056</v>
      </c>
      <c r="B14" s="400">
        <f t="shared" ref="B14:R14" si="4">VLOOKUP(VentSystem,$R$2:$S$4,2,FALSE)</f>
        <v>1</v>
      </c>
      <c r="C14" s="400">
        <f t="shared" si="4"/>
        <v>1</v>
      </c>
      <c r="D14" s="400">
        <f t="shared" si="4"/>
        <v>1</v>
      </c>
      <c r="E14" s="400">
        <f t="shared" si="4"/>
        <v>1</v>
      </c>
      <c r="F14" s="400">
        <f t="shared" si="4"/>
        <v>1</v>
      </c>
      <c r="G14" s="400">
        <f t="shared" si="4"/>
        <v>1</v>
      </c>
      <c r="H14" s="400">
        <f t="shared" si="4"/>
        <v>1</v>
      </c>
      <c r="I14" s="400">
        <f t="shared" si="4"/>
        <v>1</v>
      </c>
      <c r="J14" s="400">
        <f t="shared" si="4"/>
        <v>1</v>
      </c>
      <c r="K14" s="400">
        <f t="shared" si="4"/>
        <v>1</v>
      </c>
      <c r="L14" s="400">
        <f t="shared" si="4"/>
        <v>1</v>
      </c>
      <c r="M14" s="400">
        <f t="shared" si="4"/>
        <v>1</v>
      </c>
      <c r="N14" s="400">
        <f t="shared" si="4"/>
        <v>1</v>
      </c>
      <c r="O14" s="400">
        <f t="shared" si="4"/>
        <v>1</v>
      </c>
      <c r="P14" s="400">
        <f t="shared" si="4"/>
        <v>1</v>
      </c>
      <c r="Q14" s="400">
        <f t="shared" si="4"/>
        <v>1</v>
      </c>
      <c r="R14" s="400">
        <f t="shared" si="4"/>
        <v>1</v>
      </c>
      <c r="T14" s="391" t="s">
        <v>525</v>
      </c>
      <c r="U14" s="146" t="s">
        <v>526</v>
      </c>
      <c r="V14" s="392" t="s">
        <v>513</v>
      </c>
    </row>
    <row r="15" spans="1:22" ht="15" customHeight="1">
      <c r="B15" s="242"/>
      <c r="C15" s="242"/>
      <c r="D15" s="242"/>
      <c r="E15" s="242"/>
      <c r="F15" s="242"/>
      <c r="G15" s="242"/>
      <c r="H15" s="241"/>
      <c r="I15" s="242"/>
      <c r="J15" s="242"/>
      <c r="K15" s="227"/>
      <c r="L15" s="242"/>
      <c r="M15" s="242"/>
      <c r="N15" s="242"/>
      <c r="O15" s="242"/>
      <c r="P15" s="242"/>
      <c r="Q15" s="242"/>
      <c r="T15" s="391" t="s">
        <v>527</v>
      </c>
      <c r="U15" s="146">
        <v>7</v>
      </c>
      <c r="V15" s="392" t="s">
        <v>513</v>
      </c>
    </row>
    <row r="16" spans="1:22" ht="15" customHeight="1">
      <c r="A16" s="91" t="s">
        <v>279</v>
      </c>
      <c r="B16" s="244" t="s">
        <v>705</v>
      </c>
      <c r="C16" s="244" t="s">
        <v>706</v>
      </c>
      <c r="D16" s="96" t="s">
        <v>130</v>
      </c>
      <c r="E16" s="96" t="s">
        <v>281</v>
      </c>
      <c r="F16" s="96" t="s">
        <v>130</v>
      </c>
      <c r="G16" s="96" t="s">
        <v>282</v>
      </c>
      <c r="H16" s="96" t="s">
        <v>569</v>
      </c>
      <c r="I16" s="96" t="s">
        <v>283</v>
      </c>
      <c r="J16" s="96"/>
      <c r="K16" s="96" t="s">
        <v>449</v>
      </c>
      <c r="L16" s="96" t="s">
        <v>450</v>
      </c>
      <c r="M16" s="96" t="s">
        <v>284</v>
      </c>
      <c r="N16" s="96"/>
      <c r="O16" s="96" t="s">
        <v>285</v>
      </c>
      <c r="P16" s="96" t="s">
        <v>286</v>
      </c>
      <c r="Q16" s="96" t="s">
        <v>287</v>
      </c>
      <c r="R16" s="96" t="s">
        <v>0</v>
      </c>
      <c r="T16" s="391" t="s">
        <v>528</v>
      </c>
      <c r="U16" s="146" t="s">
        <v>529</v>
      </c>
      <c r="V16" s="392" t="s">
        <v>513</v>
      </c>
    </row>
    <row r="17" spans="1:22" ht="15" customHeight="1">
      <c r="A17" s="100" t="s">
        <v>288</v>
      </c>
      <c r="B17" s="242">
        <v>50</v>
      </c>
      <c r="C17" s="474">
        <f>E17/1000*-1</f>
        <v>-2.3596035865974516E-2</v>
      </c>
      <c r="D17" s="7" t="s">
        <v>289</v>
      </c>
      <c r="E17" s="49">
        <f>B17/2.119</f>
        <v>23.596035865974514</v>
      </c>
      <c r="F17" s="7" t="s">
        <v>192</v>
      </c>
      <c r="G17" s="7">
        <v>1</v>
      </c>
      <c r="H17" s="49">
        <f>E17*G17</f>
        <v>23.596035865974514</v>
      </c>
      <c r="I17" s="472">
        <f>F29*G17</f>
        <v>10.199999999999999</v>
      </c>
      <c r="K17" s="42">
        <f>E17*10^-3*3600/V_houseSI</f>
        <v>0.11330627578261142</v>
      </c>
      <c r="L17" s="44">
        <f>E17*10^-3*3600/V_houseSI+10/100*A_houseSI*3600/1000/V_houseSI</f>
        <v>0.25730627578261145</v>
      </c>
      <c r="M17" s="46">
        <v>31</v>
      </c>
      <c r="N17" s="47">
        <v>0.25</v>
      </c>
      <c r="O17" s="48">
        <f t="shared" ref="O17:O23" si="5">$H$19*(1+N17)</f>
        <v>41.293062765455403</v>
      </c>
      <c r="P17" s="48">
        <f t="shared" ref="P17:P23" si="6">O17*10^-3/(0.3048^3)*60</f>
        <v>87.495044968294053</v>
      </c>
      <c r="Q17" s="48">
        <f t="shared" ref="Q17:Q23" si="7">$F$50</f>
        <v>16.2</v>
      </c>
      <c r="T17" s="391" t="s">
        <v>530</v>
      </c>
      <c r="U17" s="146">
        <v>4</v>
      </c>
      <c r="V17" s="392" t="s">
        <v>531</v>
      </c>
    </row>
    <row r="18" spans="1:22" ht="15" customHeight="1">
      <c r="A18" s="100" t="s">
        <v>290</v>
      </c>
      <c r="B18" s="242">
        <v>100</v>
      </c>
      <c r="C18" s="474">
        <f>E18/1000*-1</f>
        <v>-4.7192071731949031E-2</v>
      </c>
      <c r="D18" s="7" t="s">
        <v>289</v>
      </c>
      <c r="E18" s="49">
        <f>B18/2.119</f>
        <v>47.192071731949028</v>
      </c>
      <c r="F18" s="7" t="s">
        <v>192</v>
      </c>
      <c r="G18" s="7">
        <v>1</v>
      </c>
      <c r="H18" s="49">
        <f>E18*G18</f>
        <v>47.192071731949028</v>
      </c>
      <c r="I18" s="472">
        <f>F24*G18</f>
        <v>37.200000000000003</v>
      </c>
      <c r="K18" s="42">
        <f>E18*10^-3*3600/V_houseSI</f>
        <v>0.22661255156522284</v>
      </c>
      <c r="L18" s="44">
        <f>E18*10^-3*3600/V_houseSI+10/100*A_houseSI*3600/1000/V_houseSI</f>
        <v>0.37061255156522288</v>
      </c>
      <c r="M18" s="46">
        <v>32</v>
      </c>
      <c r="N18" s="47">
        <v>0.25</v>
      </c>
      <c r="O18" s="48">
        <f t="shared" si="5"/>
        <v>41.293062765455403</v>
      </c>
      <c r="P18" s="48">
        <f t="shared" si="6"/>
        <v>87.495044968294053</v>
      </c>
      <c r="Q18" s="48">
        <f t="shared" si="7"/>
        <v>16.2</v>
      </c>
      <c r="T18" s="391" t="s">
        <v>532</v>
      </c>
      <c r="U18" s="146">
        <v>4</v>
      </c>
      <c r="V18" s="392" t="s">
        <v>531</v>
      </c>
    </row>
    <row r="19" spans="1:22" ht="15" customHeight="1">
      <c r="A19" s="100" t="s">
        <v>291</v>
      </c>
      <c r="B19" s="241">
        <v>70</v>
      </c>
      <c r="C19" s="475">
        <f>E19/1000*-1</f>
        <v>-3.303445021236432E-2</v>
      </c>
      <c r="D19" s="2" t="s">
        <v>289</v>
      </c>
      <c r="E19" s="49">
        <f>B19/2.119</f>
        <v>33.03445021236432</v>
      </c>
      <c r="F19" s="7" t="s">
        <v>192</v>
      </c>
      <c r="G19" s="7">
        <v>1</v>
      </c>
      <c r="H19" s="49">
        <f>E19*G19</f>
        <v>33.03445021236432</v>
      </c>
      <c r="I19" s="472">
        <f>F42</f>
        <v>11.8</v>
      </c>
      <c r="K19" s="42">
        <f>E19*10^-3*3600/V_houseSI</f>
        <v>0.158628786095656</v>
      </c>
      <c r="L19" s="44">
        <f>E19*10^-3*3600/V_houseSI+10/100*A_houseSI*3600/1000/V_houseSI</f>
        <v>0.30262878609565602</v>
      </c>
      <c r="M19" s="46">
        <v>33</v>
      </c>
      <c r="N19" s="47">
        <v>0.25</v>
      </c>
      <c r="O19" s="48">
        <f t="shared" si="5"/>
        <v>41.293062765455403</v>
      </c>
      <c r="P19" s="48">
        <f t="shared" si="6"/>
        <v>87.495044968294053</v>
      </c>
      <c r="Q19" s="48">
        <f t="shared" si="7"/>
        <v>16.2</v>
      </c>
      <c r="T19" s="391" t="s">
        <v>533</v>
      </c>
      <c r="U19" s="146">
        <v>6</v>
      </c>
      <c r="V19" s="392" t="s">
        <v>507</v>
      </c>
    </row>
    <row r="20" spans="1:22" ht="15" customHeight="1">
      <c r="A20" s="100" t="s">
        <v>55</v>
      </c>
      <c r="B20" s="242">
        <v>150</v>
      </c>
      <c r="C20" s="474">
        <f>E20/1000*-1</f>
        <v>-7.0788107597923547E-2</v>
      </c>
      <c r="D20" s="7" t="s">
        <v>289</v>
      </c>
      <c r="E20" s="49">
        <f>B20/2.119</f>
        <v>70.788107597923542</v>
      </c>
      <c r="F20" s="7" t="s">
        <v>192</v>
      </c>
      <c r="G20" s="7">
        <v>1</v>
      </c>
      <c r="H20" s="49">
        <f>E20*G20</f>
        <v>70.788107597923542</v>
      </c>
      <c r="I20" s="473">
        <v>0</v>
      </c>
      <c r="K20" s="42">
        <f>E20*10^-3*3600/V_houseSI</f>
        <v>0.3399188273478343</v>
      </c>
      <c r="L20" s="44">
        <f>E20*10^-3*3600/V_houseSI+10/100*A_houseSI*3600/1000/V_houseSI</f>
        <v>0.48391882734783431</v>
      </c>
      <c r="M20" s="46">
        <v>34</v>
      </c>
      <c r="N20" s="47">
        <v>0.25</v>
      </c>
      <c r="O20" s="48">
        <f t="shared" si="5"/>
        <v>41.293062765455403</v>
      </c>
      <c r="P20" s="48">
        <f t="shared" si="6"/>
        <v>87.495044968294053</v>
      </c>
      <c r="Q20" s="48">
        <f t="shared" si="7"/>
        <v>16.2</v>
      </c>
      <c r="T20" s="391" t="s">
        <v>540</v>
      </c>
      <c r="U20" s="146"/>
      <c r="V20" s="392"/>
    </row>
    <row r="21" spans="1:22" ht="15" customHeight="1">
      <c r="M21" s="46">
        <v>35</v>
      </c>
      <c r="N21" s="47">
        <v>0.25</v>
      </c>
      <c r="O21" s="48">
        <f t="shared" si="5"/>
        <v>41.293062765455403</v>
      </c>
      <c r="P21" s="48">
        <f t="shared" si="6"/>
        <v>87.495044968294053</v>
      </c>
      <c r="Q21" s="48">
        <f t="shared" si="7"/>
        <v>16.2</v>
      </c>
      <c r="T21" s="391" t="s">
        <v>534</v>
      </c>
      <c r="U21" s="146" t="s">
        <v>535</v>
      </c>
      <c r="V21" s="392" t="s">
        <v>536</v>
      </c>
    </row>
    <row r="22" spans="1:22" ht="15" customHeight="1">
      <c r="A22" s="4" t="s">
        <v>292</v>
      </c>
      <c r="M22" s="46">
        <v>36</v>
      </c>
      <c r="N22" s="47">
        <v>0.25</v>
      </c>
      <c r="O22" s="48">
        <f t="shared" si="5"/>
        <v>41.293062765455403</v>
      </c>
      <c r="P22" s="48">
        <f t="shared" si="6"/>
        <v>87.495044968294053</v>
      </c>
      <c r="Q22" s="46">
        <f t="shared" si="7"/>
        <v>16.2</v>
      </c>
      <c r="T22" s="391" t="s">
        <v>537</v>
      </c>
      <c r="U22" s="146" t="s">
        <v>426</v>
      </c>
      <c r="V22" s="392" t="s">
        <v>538</v>
      </c>
    </row>
    <row r="23" spans="1:22" ht="15" customHeight="1" thickBot="1">
      <c r="A23" s="97" t="s">
        <v>293</v>
      </c>
      <c r="B23" s="239" t="s">
        <v>705</v>
      </c>
      <c r="C23" s="240" t="s">
        <v>706</v>
      </c>
      <c r="D23" s="33" t="s">
        <v>294</v>
      </c>
      <c r="E23" s="33" t="s">
        <v>295</v>
      </c>
      <c r="F23" s="33" t="s">
        <v>32</v>
      </c>
      <c r="G23" s="81" t="s">
        <v>296</v>
      </c>
      <c r="H23" s="231" t="s">
        <v>192</v>
      </c>
      <c r="M23" s="46">
        <v>37</v>
      </c>
      <c r="N23" s="47">
        <v>0.25</v>
      </c>
      <c r="O23" s="48">
        <f t="shared" si="5"/>
        <v>41.293062765455403</v>
      </c>
      <c r="P23" s="48">
        <f t="shared" si="6"/>
        <v>87.495044968294053</v>
      </c>
      <c r="Q23" s="46">
        <f t="shared" si="7"/>
        <v>16.2</v>
      </c>
      <c r="T23" s="393" t="s">
        <v>539</v>
      </c>
      <c r="U23" s="394"/>
      <c r="V23" s="395"/>
    </row>
    <row r="24" spans="1:22" ht="15" customHeight="1">
      <c r="A24" s="98" t="s">
        <v>297</v>
      </c>
      <c r="B24" s="50">
        <v>100</v>
      </c>
      <c r="C24" s="229">
        <f>H24/1000*-1</f>
        <v>-4.7192071731949031E-2</v>
      </c>
      <c r="D24" s="50">
        <v>0.8</v>
      </c>
      <c r="E24" s="50">
        <v>0.02</v>
      </c>
      <c r="F24" s="50">
        <v>37.200000000000003</v>
      </c>
      <c r="G24" s="103" t="s">
        <v>481</v>
      </c>
      <c r="H24" s="230">
        <f>B24/2.119</f>
        <v>47.192071731949028</v>
      </c>
      <c r="M24" s="46">
        <v>38</v>
      </c>
      <c r="N24" s="47"/>
      <c r="O24" s="48"/>
      <c r="P24" s="48"/>
      <c r="Q24" s="46"/>
    </row>
    <row r="25" spans="1:22" ht="15" customHeight="1">
      <c r="A25" s="100" t="s">
        <v>298</v>
      </c>
      <c r="B25" s="51">
        <v>100</v>
      </c>
      <c r="C25" s="229">
        <f>H25/1000*-1</f>
        <v>-4.7192071731949031E-2</v>
      </c>
      <c r="D25" s="51">
        <v>0.9</v>
      </c>
      <c r="E25" s="51">
        <v>0.02</v>
      </c>
      <c r="F25" s="51">
        <v>36.700000000000003</v>
      </c>
      <c r="G25" s="103" t="s">
        <v>299</v>
      </c>
      <c r="H25" s="230">
        <f>B25/2.119</f>
        <v>47.192071731949028</v>
      </c>
      <c r="M25" s="46">
        <v>39</v>
      </c>
      <c r="N25" s="47"/>
      <c r="O25" s="48"/>
      <c r="P25" s="48"/>
      <c r="Q25" s="46"/>
    </row>
    <row r="26" spans="1:22" ht="15" customHeight="1">
      <c r="M26" s="46">
        <v>40</v>
      </c>
      <c r="N26" s="47">
        <v>0.25</v>
      </c>
      <c r="O26" s="48">
        <f>$H$19*(1+N26)</f>
        <v>41.293062765455403</v>
      </c>
      <c r="P26" s="48">
        <f>O26*10^-3/(0.3048^3)*60</f>
        <v>87.495044968294053</v>
      </c>
      <c r="Q26" s="46">
        <f>$F$50</f>
        <v>16.2</v>
      </c>
    </row>
    <row r="27" spans="1:22" ht="15" customHeight="1">
      <c r="M27" s="46">
        <v>41</v>
      </c>
      <c r="N27" s="47">
        <v>0.25</v>
      </c>
      <c r="O27" s="48">
        <f>$H$19*(1+N27)</f>
        <v>41.293062765455403</v>
      </c>
      <c r="P27" s="48">
        <f>O27*10^-3/(0.3048^3)*60</f>
        <v>87.495044968294053</v>
      </c>
      <c r="Q27" s="46">
        <f>$F$50</f>
        <v>16.2</v>
      </c>
    </row>
    <row r="28" spans="1:22" ht="15" customHeight="1">
      <c r="A28" s="97" t="s">
        <v>300</v>
      </c>
      <c r="B28" s="237" t="s">
        <v>705</v>
      </c>
      <c r="C28" s="238" t="s">
        <v>706</v>
      </c>
      <c r="D28" s="33" t="s">
        <v>294</v>
      </c>
      <c r="E28" s="33" t="s">
        <v>295</v>
      </c>
      <c r="F28" s="33" t="s">
        <v>32</v>
      </c>
      <c r="G28" s="33" t="s">
        <v>296</v>
      </c>
      <c r="H28" s="231" t="s">
        <v>192</v>
      </c>
      <c r="M28" s="46">
        <v>42</v>
      </c>
      <c r="N28" s="47"/>
      <c r="O28" s="48"/>
      <c r="P28" s="48"/>
      <c r="Q28" s="46"/>
    </row>
    <row r="29" spans="1:22" ht="15" customHeight="1">
      <c r="A29" s="98" t="s">
        <v>301</v>
      </c>
      <c r="B29" s="50">
        <v>50</v>
      </c>
      <c r="C29" s="229">
        <f t="shared" ref="C29:C34" si="8">H29/1000*-1</f>
        <v>-2.3596035865974516E-2</v>
      </c>
      <c r="D29" s="50" t="s">
        <v>302</v>
      </c>
      <c r="E29" s="50">
        <v>0.25</v>
      </c>
      <c r="F29" s="50">
        <v>10.199999999999999</v>
      </c>
      <c r="G29" s="50" t="s">
        <v>303</v>
      </c>
      <c r="H29" s="230">
        <f t="shared" ref="H29:H34" si="9">B29/2.119</f>
        <v>23.596035865974514</v>
      </c>
      <c r="I29" s="49"/>
      <c r="J29" s="242">
        <f>F29/H29</f>
        <v>0.43227599999999999</v>
      </c>
      <c r="K29" s="49"/>
      <c r="M29" s="46">
        <v>43</v>
      </c>
      <c r="N29" s="47"/>
      <c r="O29" s="48"/>
      <c r="P29" s="48"/>
      <c r="Q29" s="46"/>
    </row>
    <row r="30" spans="1:22" ht="15" customHeight="1">
      <c r="A30" s="100" t="s">
        <v>304</v>
      </c>
      <c r="B30" s="51">
        <v>50</v>
      </c>
      <c r="C30" s="229">
        <f t="shared" si="8"/>
        <v>-2.3596035865974516E-2</v>
      </c>
      <c r="D30" s="51" t="s">
        <v>302</v>
      </c>
      <c r="E30" s="51">
        <v>0.25</v>
      </c>
      <c r="F30" s="51">
        <v>10.199999999999999</v>
      </c>
      <c r="G30" s="51" t="s">
        <v>305</v>
      </c>
      <c r="H30" s="230">
        <f t="shared" si="9"/>
        <v>23.596035865974514</v>
      </c>
      <c r="I30" s="49"/>
      <c r="J30" s="242">
        <f>F30/H30</f>
        <v>0.43227599999999999</v>
      </c>
      <c r="K30" s="49"/>
      <c r="M30" s="46">
        <v>44</v>
      </c>
      <c r="N30" s="47"/>
      <c r="O30" s="48"/>
      <c r="P30" s="48"/>
      <c r="Q30" s="46"/>
    </row>
    <row r="31" spans="1:22" ht="15" customHeight="1">
      <c r="A31" s="100" t="s">
        <v>306</v>
      </c>
      <c r="B31" s="7">
        <v>50</v>
      </c>
      <c r="C31" s="229">
        <f t="shared" si="8"/>
        <v>-2.3596035865974516E-2</v>
      </c>
      <c r="D31" s="7" t="s">
        <v>302</v>
      </c>
      <c r="E31" s="7">
        <v>0.25</v>
      </c>
      <c r="F31" s="7">
        <v>11.2</v>
      </c>
      <c r="G31" s="7" t="s">
        <v>303</v>
      </c>
      <c r="H31" s="230">
        <f t="shared" si="9"/>
        <v>23.596035865974514</v>
      </c>
      <c r="I31" s="49"/>
      <c r="J31" s="242">
        <f>F31/H31</f>
        <v>0.47465600000000002</v>
      </c>
      <c r="K31" s="49"/>
      <c r="M31" s="46">
        <v>45</v>
      </c>
      <c r="N31" s="47"/>
      <c r="O31" s="48"/>
      <c r="P31" s="48"/>
      <c r="Q31" s="46"/>
    </row>
    <row r="32" spans="1:22" ht="15" customHeight="1">
      <c r="A32" s="102" t="s">
        <v>307</v>
      </c>
      <c r="B32" s="7">
        <v>50</v>
      </c>
      <c r="C32" s="229">
        <f t="shared" si="8"/>
        <v>-2.3596035865974516E-2</v>
      </c>
      <c r="D32" s="2" t="s">
        <v>302</v>
      </c>
      <c r="E32" s="7">
        <v>0.1</v>
      </c>
      <c r="F32" s="7">
        <v>19.7</v>
      </c>
      <c r="G32" s="2" t="s">
        <v>308</v>
      </c>
      <c r="H32" s="230">
        <f t="shared" si="9"/>
        <v>23.596035865974514</v>
      </c>
      <c r="M32" s="46">
        <v>46</v>
      </c>
      <c r="N32" s="47"/>
      <c r="O32" s="48"/>
      <c r="P32" s="48"/>
      <c r="Q32" s="46"/>
    </row>
    <row r="33" spans="1:17" ht="15" customHeight="1">
      <c r="A33" s="100" t="s">
        <v>309</v>
      </c>
      <c r="B33" s="52">
        <v>50</v>
      </c>
      <c r="C33" s="229">
        <f t="shared" si="8"/>
        <v>-2.3596035865974516E-2</v>
      </c>
      <c r="D33" s="2" t="s">
        <v>302</v>
      </c>
      <c r="E33" s="7">
        <v>0.25</v>
      </c>
      <c r="F33" s="7">
        <v>11.8</v>
      </c>
      <c r="G33" s="2" t="s">
        <v>310</v>
      </c>
      <c r="H33" s="230">
        <f t="shared" si="9"/>
        <v>23.596035865974514</v>
      </c>
      <c r="M33" s="46">
        <v>47</v>
      </c>
      <c r="N33" s="47"/>
      <c r="O33" s="48"/>
      <c r="P33" s="48"/>
      <c r="Q33" s="46"/>
    </row>
    <row r="34" spans="1:17" ht="15" customHeight="1">
      <c r="A34" s="100" t="s">
        <v>480</v>
      </c>
      <c r="B34" s="7">
        <v>50</v>
      </c>
      <c r="C34" s="229">
        <f t="shared" si="8"/>
        <v>-2.3596035865974516E-2</v>
      </c>
      <c r="F34" s="7">
        <v>55</v>
      </c>
      <c r="G34" s="7" t="s">
        <v>479</v>
      </c>
      <c r="H34" s="230">
        <f t="shared" si="9"/>
        <v>23.596035865974514</v>
      </c>
      <c r="M34" s="46">
        <v>48</v>
      </c>
      <c r="N34" s="47"/>
      <c r="O34" s="48"/>
      <c r="P34" s="48"/>
      <c r="Q34" s="46"/>
    </row>
    <row r="35" spans="1:17" ht="15" customHeight="1">
      <c r="M35" s="46">
        <v>49</v>
      </c>
      <c r="N35" s="47"/>
      <c r="O35" s="48"/>
      <c r="P35" s="48"/>
      <c r="Q35" s="46"/>
    </row>
    <row r="36" spans="1:17" ht="15" customHeight="1">
      <c r="A36" s="97" t="s">
        <v>311</v>
      </c>
      <c r="B36" s="236" t="s">
        <v>705</v>
      </c>
      <c r="C36" s="243" t="s">
        <v>706</v>
      </c>
      <c r="D36" s="33" t="s">
        <v>294</v>
      </c>
      <c r="E36" s="33" t="s">
        <v>295</v>
      </c>
      <c r="F36" s="33" t="s">
        <v>32</v>
      </c>
      <c r="G36" s="33" t="s">
        <v>296</v>
      </c>
      <c r="H36" s="231" t="s">
        <v>192</v>
      </c>
      <c r="M36" s="46">
        <v>50</v>
      </c>
      <c r="N36" s="47">
        <v>0.25</v>
      </c>
      <c r="O36" s="48">
        <f>$H$19*(1+N36)</f>
        <v>41.293062765455403</v>
      </c>
      <c r="P36" s="48">
        <f>O36*10^-3/(0.3048^3)*60</f>
        <v>87.495044968294053</v>
      </c>
      <c r="Q36" s="46">
        <f>$F$50</f>
        <v>16.2</v>
      </c>
    </row>
    <row r="37" spans="1:17" ht="15" customHeight="1">
      <c r="A37" s="101" t="s">
        <v>312</v>
      </c>
      <c r="B37" s="53">
        <v>70</v>
      </c>
      <c r="C37" s="229">
        <f t="shared" ref="C37:C42" si="10">H37/1000*-1</f>
        <v>-3.303445021236432E-2</v>
      </c>
      <c r="D37" s="53">
        <v>0.60000000000000009</v>
      </c>
      <c r="E37" s="53" t="s">
        <v>313</v>
      </c>
      <c r="F37" s="53">
        <v>19.399999999999999</v>
      </c>
      <c r="G37" s="53" t="s">
        <v>314</v>
      </c>
      <c r="H37" s="230">
        <f t="shared" ref="H37:H42" si="11">B37/2.119</f>
        <v>33.03445021236432</v>
      </c>
    </row>
    <row r="38" spans="1:17" ht="15" customHeight="1">
      <c r="A38" s="99" t="s">
        <v>315</v>
      </c>
      <c r="B38" s="54">
        <v>72</v>
      </c>
      <c r="C38" s="229">
        <f t="shared" si="10"/>
        <v>-3.3978291647003306E-2</v>
      </c>
      <c r="D38" s="54">
        <v>0.64</v>
      </c>
      <c r="E38" s="54" t="s">
        <v>313</v>
      </c>
      <c r="F38" s="54">
        <v>20</v>
      </c>
      <c r="G38" s="54" t="s">
        <v>316</v>
      </c>
      <c r="H38" s="230">
        <f t="shared" si="11"/>
        <v>33.978291647003303</v>
      </c>
    </row>
    <row r="39" spans="1:17" ht="15" customHeight="1">
      <c r="A39" s="99" t="s">
        <v>317</v>
      </c>
      <c r="B39" s="54">
        <v>68</v>
      </c>
      <c r="C39" s="229">
        <f t="shared" si="10"/>
        <v>-3.2090608777725335E-2</v>
      </c>
      <c r="D39" s="54">
        <v>0.9</v>
      </c>
      <c r="E39" s="54" t="s">
        <v>313</v>
      </c>
      <c r="F39" s="54">
        <v>28.3</v>
      </c>
      <c r="G39" s="54" t="s">
        <v>318</v>
      </c>
      <c r="H39" s="230">
        <f t="shared" si="11"/>
        <v>32.090608777725336</v>
      </c>
    </row>
    <row r="40" spans="1:17" ht="15" customHeight="1">
      <c r="A40" s="99" t="s">
        <v>319</v>
      </c>
      <c r="B40" s="54">
        <v>70</v>
      </c>
      <c r="C40" s="229">
        <f t="shared" si="10"/>
        <v>-3.303445021236432E-2</v>
      </c>
      <c r="D40" s="54">
        <v>0.25</v>
      </c>
      <c r="E40" s="54" t="s">
        <v>313</v>
      </c>
      <c r="F40" s="54">
        <v>24.5</v>
      </c>
      <c r="G40" s="54" t="s">
        <v>320</v>
      </c>
      <c r="H40" s="230">
        <f t="shared" si="11"/>
        <v>33.03445021236432</v>
      </c>
    </row>
    <row r="41" spans="1:17" ht="15" customHeight="1">
      <c r="A41" s="100" t="s">
        <v>321</v>
      </c>
      <c r="B41" s="2">
        <v>70</v>
      </c>
      <c r="C41" s="229">
        <f t="shared" si="10"/>
        <v>-3.303445021236432E-2</v>
      </c>
      <c r="D41" s="2">
        <v>0.30000000000000004</v>
      </c>
      <c r="E41" s="2">
        <v>0.25</v>
      </c>
      <c r="F41" s="2">
        <v>14</v>
      </c>
      <c r="G41" s="2" t="s">
        <v>322</v>
      </c>
      <c r="H41" s="230">
        <f t="shared" si="11"/>
        <v>33.03445021236432</v>
      </c>
      <c r="J41" s="7">
        <f>F41/H41</f>
        <v>0.42380000000000007</v>
      </c>
    </row>
    <row r="42" spans="1:17" ht="15" customHeight="1">
      <c r="A42" s="100" t="s">
        <v>321</v>
      </c>
      <c r="B42" s="7">
        <v>60</v>
      </c>
      <c r="C42" s="229">
        <f t="shared" si="10"/>
        <v>-2.8315243039169418E-2</v>
      </c>
      <c r="D42" s="7">
        <v>0.30000000000000004</v>
      </c>
      <c r="E42" s="7">
        <v>0.25</v>
      </c>
      <c r="F42" s="7">
        <v>11.8</v>
      </c>
      <c r="G42" s="2" t="s">
        <v>322</v>
      </c>
      <c r="H42" s="230">
        <f t="shared" si="11"/>
        <v>28.315243039169417</v>
      </c>
      <c r="J42" s="242">
        <f>F42/H42</f>
        <v>0.41673666666666676</v>
      </c>
    </row>
    <row r="44" spans="1:17" ht="15" customHeight="1">
      <c r="A44" s="97" t="s">
        <v>323</v>
      </c>
      <c r="B44" s="233" t="s">
        <v>705</v>
      </c>
      <c r="C44" s="234" t="s">
        <v>706</v>
      </c>
      <c r="D44" s="33" t="s">
        <v>294</v>
      </c>
      <c r="E44" s="33" t="s">
        <v>295</v>
      </c>
      <c r="F44" s="33" t="s">
        <v>32</v>
      </c>
      <c r="G44" s="33" t="s">
        <v>296</v>
      </c>
      <c r="H44" s="231" t="s">
        <v>192</v>
      </c>
    </row>
    <row r="45" spans="1:17" ht="15" customHeight="1">
      <c r="A45" s="98" t="s">
        <v>324</v>
      </c>
      <c r="B45" s="55">
        <v>83</v>
      </c>
      <c r="C45" s="225">
        <f>H45/1000*-1</f>
        <v>-3.9169419537517687E-2</v>
      </c>
      <c r="D45" s="56">
        <v>0.30000000000000004</v>
      </c>
      <c r="E45" s="50">
        <v>0.25</v>
      </c>
      <c r="F45" s="50">
        <v>16.3</v>
      </c>
      <c r="G45" s="56" t="s">
        <v>325</v>
      </c>
      <c r="H45" s="230">
        <f>B45/2.119</f>
        <v>39.16941953751769</v>
      </c>
    </row>
    <row r="46" spans="1:17" ht="15" customHeight="1">
      <c r="A46" s="99" t="s">
        <v>326</v>
      </c>
      <c r="B46" s="54">
        <v>80</v>
      </c>
      <c r="C46" s="225">
        <f t="shared" ref="C46:C52" si="12">H46/1000*-1</f>
        <v>-3.7753657385559219E-2</v>
      </c>
      <c r="D46" s="54">
        <v>0.7</v>
      </c>
      <c r="E46" s="54" t="s">
        <v>313</v>
      </c>
      <c r="F46" s="54">
        <v>23.6</v>
      </c>
      <c r="G46" s="54" t="s">
        <v>327</v>
      </c>
      <c r="H46" s="230">
        <f t="shared" ref="H46:H52" si="13">B46/2.119</f>
        <v>37.753657385559222</v>
      </c>
    </row>
    <row r="47" spans="1:17" ht="15" customHeight="1">
      <c r="A47" s="99" t="s">
        <v>328</v>
      </c>
      <c r="B47" s="54">
        <v>80</v>
      </c>
      <c r="C47" s="225">
        <f t="shared" si="12"/>
        <v>-3.7753657385559219E-2</v>
      </c>
      <c r="D47" s="54">
        <v>1</v>
      </c>
      <c r="E47" s="54" t="s">
        <v>313</v>
      </c>
      <c r="F47" s="54">
        <v>27.2</v>
      </c>
      <c r="G47" s="54" t="s">
        <v>329</v>
      </c>
      <c r="H47" s="230">
        <f t="shared" si="13"/>
        <v>37.753657385559222</v>
      </c>
    </row>
    <row r="48" spans="1:17" ht="15" customHeight="1">
      <c r="A48" s="100" t="s">
        <v>330</v>
      </c>
      <c r="B48" s="7">
        <v>83</v>
      </c>
      <c r="C48" s="225">
        <f t="shared" si="12"/>
        <v>-3.9169419537517687E-2</v>
      </c>
      <c r="D48" s="7">
        <v>0.7</v>
      </c>
      <c r="E48" s="2" t="s">
        <v>331</v>
      </c>
      <c r="F48" s="7">
        <v>24.11</v>
      </c>
      <c r="G48" s="2" t="s">
        <v>332</v>
      </c>
      <c r="H48" s="230">
        <f t="shared" si="13"/>
        <v>39.16941953751769</v>
      </c>
    </row>
    <row r="49" spans="1:17" ht="15" customHeight="1">
      <c r="A49" s="100" t="s">
        <v>333</v>
      </c>
      <c r="B49" s="7">
        <v>80</v>
      </c>
      <c r="C49" s="225">
        <f t="shared" si="12"/>
        <v>-3.7753657385559219E-2</v>
      </c>
      <c r="D49" s="7">
        <v>0.8</v>
      </c>
      <c r="E49" s="2" t="s">
        <v>331</v>
      </c>
      <c r="F49" s="7">
        <v>28.6</v>
      </c>
      <c r="G49" s="2" t="s">
        <v>334</v>
      </c>
      <c r="H49" s="230">
        <f t="shared" si="13"/>
        <v>37.753657385559222</v>
      </c>
    </row>
    <row r="50" spans="1:17" ht="15" customHeight="1">
      <c r="A50" s="100" t="s">
        <v>321</v>
      </c>
      <c r="B50" s="7">
        <v>80</v>
      </c>
      <c r="C50" s="225">
        <f t="shared" si="12"/>
        <v>-3.7753657385559219E-2</v>
      </c>
      <c r="D50" s="7">
        <v>0.30000000000000004</v>
      </c>
      <c r="E50" s="7">
        <v>0.25</v>
      </c>
      <c r="F50" s="7">
        <v>16.2</v>
      </c>
      <c r="G50" s="2" t="s">
        <v>335</v>
      </c>
      <c r="H50" s="230">
        <f t="shared" si="13"/>
        <v>37.753657385559222</v>
      </c>
      <c r="J50" s="242">
        <f>F50/H50</f>
        <v>0.42909750000000002</v>
      </c>
    </row>
    <row r="51" spans="1:17" ht="15" customHeight="1">
      <c r="A51" s="71" t="s">
        <v>678</v>
      </c>
      <c r="B51" s="219">
        <v>100</v>
      </c>
      <c r="C51" s="232">
        <f t="shared" si="12"/>
        <v>-4.7192071731949031E-2</v>
      </c>
      <c r="D51" s="219">
        <v>0.9</v>
      </c>
      <c r="E51" s="219">
        <v>0.25</v>
      </c>
      <c r="F51" s="219">
        <v>27.3</v>
      </c>
      <c r="G51" s="219" t="s">
        <v>679</v>
      </c>
      <c r="H51" s="230">
        <f t="shared" si="13"/>
        <v>47.192071731949028</v>
      </c>
    </row>
    <row r="52" spans="1:17" ht="15" customHeight="1">
      <c r="A52" s="71" t="s">
        <v>676</v>
      </c>
      <c r="B52" s="219">
        <v>150</v>
      </c>
      <c r="C52" s="232">
        <f t="shared" si="12"/>
        <v>-7.0788107597923547E-2</v>
      </c>
      <c r="D52" s="219">
        <v>0.6</v>
      </c>
      <c r="E52" s="219">
        <v>0.25</v>
      </c>
      <c r="F52" s="219">
        <v>31.4</v>
      </c>
      <c r="G52" s="219" t="s">
        <v>677</v>
      </c>
      <c r="H52" s="230">
        <f t="shared" si="13"/>
        <v>70.788107597923542</v>
      </c>
      <c r="J52" s="242">
        <f>F52/H52</f>
        <v>0.44357733333333338</v>
      </c>
    </row>
    <row r="54" spans="1:17" ht="15" customHeight="1">
      <c r="A54" s="97" t="s">
        <v>680</v>
      </c>
      <c r="B54" s="235" t="s">
        <v>705</v>
      </c>
      <c r="C54" s="243" t="s">
        <v>706</v>
      </c>
      <c r="D54" s="33" t="s">
        <v>681</v>
      </c>
      <c r="E54" s="33" t="s">
        <v>682</v>
      </c>
      <c r="F54" s="33" t="s">
        <v>32</v>
      </c>
      <c r="G54" s="33" t="s">
        <v>296</v>
      </c>
      <c r="H54" s="81" t="s">
        <v>192</v>
      </c>
      <c r="J54" s="7">
        <f>AVERAGE(J29:J31,J41:J42,J50,J52)</f>
        <v>0.43605992857142867</v>
      </c>
    </row>
    <row r="55" spans="1:17" ht="15" customHeight="1">
      <c r="A55" s="98" t="s">
        <v>683</v>
      </c>
      <c r="B55" s="220">
        <v>89</v>
      </c>
      <c r="C55" s="225">
        <f t="shared" ref="C55:C60" si="14">H55/1000*-1</f>
        <v>-4.2000943841434636E-2</v>
      </c>
      <c r="D55" s="56">
        <v>73</v>
      </c>
      <c r="E55" s="50">
        <v>84</v>
      </c>
      <c r="F55" s="50">
        <v>89</v>
      </c>
      <c r="G55" s="56" t="s">
        <v>684</v>
      </c>
      <c r="H55" s="49">
        <f>B55/2.119</f>
        <v>42.000943841434633</v>
      </c>
    </row>
    <row r="56" spans="1:17" ht="15" customHeight="1">
      <c r="A56" s="100" t="s">
        <v>685</v>
      </c>
      <c r="B56" s="7">
        <v>114</v>
      </c>
      <c r="C56" s="225">
        <f t="shared" si="14"/>
        <v>-5.3798961774421887E-2</v>
      </c>
      <c r="D56" s="7">
        <v>78</v>
      </c>
      <c r="E56" s="7">
        <v>86</v>
      </c>
      <c r="F56" s="7">
        <v>98</v>
      </c>
      <c r="G56" s="133" t="s">
        <v>686</v>
      </c>
      <c r="H56" s="49">
        <f>B56/2.119</f>
        <v>53.79896177442189</v>
      </c>
    </row>
    <row r="57" spans="1:17" ht="15" customHeight="1">
      <c r="A57" s="1" t="s">
        <v>687</v>
      </c>
      <c r="B57" s="7">
        <v>155</v>
      </c>
      <c r="C57" s="225">
        <f t="shared" si="14"/>
        <v>-7.3147711184520986E-2</v>
      </c>
      <c r="D57" s="7">
        <v>75</v>
      </c>
      <c r="E57" s="7">
        <v>82</v>
      </c>
      <c r="F57" s="7">
        <v>123</v>
      </c>
      <c r="G57" s="133" t="s">
        <v>688</v>
      </c>
      <c r="H57" s="49">
        <f>B57/2.119</f>
        <v>73.147711184520986</v>
      </c>
    </row>
    <row r="58" spans="1:17" ht="15" customHeight="1">
      <c r="A58" s="126" t="s">
        <v>689</v>
      </c>
      <c r="B58" s="221">
        <f>H58*2.119</f>
        <v>84.76</v>
      </c>
      <c r="C58" s="245">
        <f t="shared" si="14"/>
        <v>-0.04</v>
      </c>
      <c r="D58" s="219">
        <v>68</v>
      </c>
      <c r="E58" s="219">
        <v>75</v>
      </c>
      <c r="F58" s="219">
        <v>64</v>
      </c>
      <c r="G58" s="219" t="s">
        <v>690</v>
      </c>
      <c r="H58" s="221">
        <v>40</v>
      </c>
      <c r="I58" s="222">
        <v>1200</v>
      </c>
    </row>
    <row r="59" spans="1:17" ht="15" customHeight="1">
      <c r="A59" s="126" t="s">
        <v>691</v>
      </c>
      <c r="B59" s="221">
        <f>H59*2.119</f>
        <v>118.66400000000002</v>
      </c>
      <c r="C59" s="245">
        <f t="shared" si="14"/>
        <v>-5.6000000000000001E-2</v>
      </c>
      <c r="D59" s="219">
        <v>65</v>
      </c>
      <c r="E59" s="219">
        <v>75</v>
      </c>
      <c r="F59" s="219">
        <v>114</v>
      </c>
      <c r="G59" s="219" t="s">
        <v>690</v>
      </c>
      <c r="H59" s="221">
        <v>56</v>
      </c>
      <c r="I59" s="222">
        <v>2100</v>
      </c>
    </row>
    <row r="60" spans="1:17" ht="15" customHeight="1">
      <c r="A60" s="126" t="s">
        <v>692</v>
      </c>
      <c r="B60" s="221">
        <f>H60*2.119</f>
        <v>137.73500000000001</v>
      </c>
      <c r="C60" s="245">
        <f t="shared" si="14"/>
        <v>-6.5000000000000002E-2</v>
      </c>
      <c r="D60" s="219">
        <v>64</v>
      </c>
      <c r="E60" s="219">
        <v>72</v>
      </c>
      <c r="F60" s="219">
        <v>124</v>
      </c>
      <c r="G60" s="219" t="s">
        <v>690</v>
      </c>
      <c r="H60" s="221">
        <v>65</v>
      </c>
      <c r="I60" s="222">
        <v>2700</v>
      </c>
    </row>
    <row r="63" spans="1:17" ht="15" customHeight="1">
      <c r="A63" s="1" t="s">
        <v>972</v>
      </c>
    </row>
    <row r="64" spans="1:17" ht="15" customHeight="1">
      <c r="A64" s="71" t="s">
        <v>871</v>
      </c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</row>
    <row r="65" spans="1:19" ht="15" customHeight="1">
      <c r="A65" s="71" t="s">
        <v>876</v>
      </c>
      <c r="B65" s="71"/>
      <c r="C65" s="71" t="s">
        <v>639</v>
      </c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</row>
    <row r="66" spans="1:19" ht="15" customHeight="1">
      <c r="A66" s="71" t="s">
        <v>873</v>
      </c>
      <c r="B66" s="71" t="s">
        <v>872</v>
      </c>
      <c r="C66" s="71" t="s">
        <v>707</v>
      </c>
      <c r="D66" s="71" t="s">
        <v>656</v>
      </c>
      <c r="E66" s="71" t="s">
        <v>657</v>
      </c>
      <c r="F66" s="71" t="s">
        <v>658</v>
      </c>
      <c r="G66" s="71" t="s">
        <v>659</v>
      </c>
      <c r="H66" s="71" t="s">
        <v>660</v>
      </c>
      <c r="I66" s="71" t="s">
        <v>661</v>
      </c>
      <c r="J66" s="71" t="s">
        <v>662</v>
      </c>
      <c r="K66" s="71" t="s">
        <v>663</v>
      </c>
      <c r="L66" s="71" t="s">
        <v>664</v>
      </c>
      <c r="M66" s="71" t="s">
        <v>665</v>
      </c>
      <c r="N66" s="71" t="s">
        <v>666</v>
      </c>
      <c r="O66" s="71" t="s">
        <v>667</v>
      </c>
      <c r="P66" s="71">
        <v>7</v>
      </c>
      <c r="Q66" s="71">
        <v>8</v>
      </c>
    </row>
    <row r="67" spans="1:19" ht="15" customHeight="1">
      <c r="A67" s="71">
        <v>10</v>
      </c>
      <c r="B67" s="71">
        <f>Leakage!AF11</f>
        <v>0.50772882298229516</v>
      </c>
      <c r="C67" s="71">
        <f>($B$67*A_houseSI*Weather!B25)/1.44</f>
        <v>43.351163456369754</v>
      </c>
      <c r="D67" s="71">
        <f>($B$67*A_houseSI*Weather!C25)/1.44</f>
        <v>44.408508906525114</v>
      </c>
      <c r="E67" s="71">
        <f>($B$67*A_houseSI*Weather!D25)/1.44</f>
        <v>45.465854356680474</v>
      </c>
      <c r="F67" s="71">
        <f>($B$67*A_houseSI*Weather!E25)/1.44</f>
        <v>48.637890707146553</v>
      </c>
      <c r="G67" s="71">
        <f>($B$67*A_houseSI*Weather!F25)/1.44</f>
        <v>50.752581607457273</v>
      </c>
      <c r="H67" s="71">
        <f>($B$67*A_houseSI*Weather!G25)/1.44</f>
        <v>63.440727009321598</v>
      </c>
      <c r="I67" s="71">
        <f>($B$67*A_houseSI*Weather!H25)/1.44</f>
        <v>52.867272507767993</v>
      </c>
      <c r="J67" s="71">
        <f>($B$67*A_houseSI*Weather!I25)/1.44</f>
        <v>57.096654308389446</v>
      </c>
      <c r="K67" s="71">
        <f>($B$67*A_houseSI*Weather!J25)/1.44</f>
        <v>58.153999758544799</v>
      </c>
      <c r="L67" s="71">
        <f>($B$67*A_houseSI*Weather!K25)/1.44</f>
        <v>63.440727009321598</v>
      </c>
      <c r="M67" s="71">
        <f>($B$67*A_houseSI*Weather!L25)/1.44</f>
        <v>59.211345208700159</v>
      </c>
      <c r="N67" s="71">
        <f>($B$67*A_houseSI*Weather!M25)/1.44</f>
        <v>64.498072459476958</v>
      </c>
      <c r="O67" s="71">
        <f>($B$67*A_houseSI*Weather!N25)/1.44</f>
        <v>66.612763359787678</v>
      </c>
      <c r="P67" s="71">
        <f>($B$67*A_houseSI*Weather!O25)/1.44</f>
        <v>74.01418151087519</v>
      </c>
      <c r="Q67" s="71">
        <f>($B$67*A_houseSI*Weather!P25)/1.44</f>
        <v>74.01418151087519</v>
      </c>
    </row>
    <row r="68" spans="1:19" ht="15" customHeight="1">
      <c r="A68" s="71">
        <v>7</v>
      </c>
      <c r="B68" s="71">
        <f>Leakage!AF12</f>
        <v>0.3554101760876065</v>
      </c>
      <c r="C68" s="71">
        <f>($B$68*A_houseSI*Weather!B25)/1.44</f>
        <v>30.345814419458819</v>
      </c>
      <c r="D68" s="71">
        <f>($B$68*A_houseSI*Weather!C25)/1.44</f>
        <v>31.085956234567568</v>
      </c>
      <c r="E68" s="71">
        <f>($B$68*A_houseSI*Weather!D25)/1.44</f>
        <v>31.826098049676325</v>
      </c>
      <c r="F68" s="71">
        <f>($B$68*A_houseSI*Weather!E25)/1.44</f>
        <v>34.046523495002582</v>
      </c>
      <c r="G68" s="71">
        <f>($B$68*A_houseSI*Weather!F25)/1.44</f>
        <v>35.526807125220081</v>
      </c>
      <c r="H68" s="71">
        <f>($B$68*A_houseSI*Weather!G25)/1.44</f>
        <v>44.4085089065251</v>
      </c>
      <c r="I68" s="71">
        <f>($B$68*A_houseSI*Weather!H25)/1.44</f>
        <v>37.007090755437581</v>
      </c>
      <c r="J68" s="71">
        <f>($B$68*A_houseSI*Weather!I25)/1.44</f>
        <v>39.967658015872594</v>
      </c>
      <c r="K68" s="71">
        <f>($B$68*A_houseSI*Weather!J25)/1.44</f>
        <v>40.707799830981344</v>
      </c>
      <c r="L68" s="71">
        <f>($B$68*A_houseSI*Weather!K25)/1.44</f>
        <v>44.4085089065251</v>
      </c>
      <c r="M68" s="71">
        <f>($B$68*A_houseSI*Weather!L25)/1.44</f>
        <v>41.447941646090101</v>
      </c>
      <c r="N68" s="71">
        <f>($B$68*A_houseSI*Weather!M25)/1.44</f>
        <v>45.148650721633857</v>
      </c>
      <c r="O68" s="71">
        <f>($B$68*A_houseSI*Weather!N25)/1.44</f>
        <v>46.628934351851356</v>
      </c>
      <c r="P68" s="71">
        <f>($B$68*A_houseSI*Weather!O25)/1.44</f>
        <v>51.809927057612619</v>
      </c>
      <c r="Q68" s="71">
        <f>($B$68*A_houseSI*Weather!P25)/1.44</f>
        <v>51.809927057612619</v>
      </c>
    </row>
    <row r="69" spans="1:19" ht="15" customHeight="1">
      <c r="A69" s="71">
        <v>5</v>
      </c>
      <c r="B69" s="71">
        <f>Leakage!AF13</f>
        <v>0.25386441149114758</v>
      </c>
      <c r="C69" s="71">
        <f>($B$69*A_houseSI*Weather!B25)/1.44</f>
        <v>21.675581728184877</v>
      </c>
      <c r="D69" s="71">
        <f>($B$69*A_houseSI*Weather!C25)/1.44</f>
        <v>22.204254453262557</v>
      </c>
      <c r="E69" s="71">
        <f>($B$69*A_houseSI*Weather!D25)/1.44</f>
        <v>22.732927178340237</v>
      </c>
      <c r="F69" s="71">
        <f>($B$69*A_houseSI*Weather!E25)/1.44</f>
        <v>24.318945353573277</v>
      </c>
      <c r="G69" s="71">
        <f>($B$69*A_houseSI*Weather!F25)/1.44</f>
        <v>25.376290803728637</v>
      </c>
      <c r="H69" s="71">
        <f>($B$69*A_houseSI*Weather!G25)/1.44</f>
        <v>31.720363504660799</v>
      </c>
      <c r="I69" s="71">
        <f>($B$69*A_houseSI*Weather!H25)/1.44</f>
        <v>26.433636253883996</v>
      </c>
      <c r="J69" s="71">
        <f>($B$69*A_houseSI*Weather!I25)/1.44</f>
        <v>28.548327154194723</v>
      </c>
      <c r="K69" s="71">
        <f>($B$69*A_houseSI*Weather!J25)/1.44</f>
        <v>29.0769998792724</v>
      </c>
      <c r="L69" s="71">
        <f>($B$69*A_houseSI*Weather!K25)/1.44</f>
        <v>31.720363504660799</v>
      </c>
      <c r="M69" s="71">
        <f>($B$69*A_houseSI*Weather!L25)/1.44</f>
        <v>29.60567260435008</v>
      </c>
      <c r="N69" s="71">
        <f>($B$69*A_houseSI*Weather!M25)/1.44</f>
        <v>32.249036229738479</v>
      </c>
      <c r="O69" s="71">
        <f>($B$69*A_houseSI*Weather!N25)/1.44</f>
        <v>33.306381679893839</v>
      </c>
      <c r="P69" s="71">
        <f>($B$69*A_houseSI*Weather!O25)/1.44</f>
        <v>37.007090755437595</v>
      </c>
      <c r="Q69" s="71">
        <f>($B$69*A_houseSI*Weather!P25)/1.44</f>
        <v>37.007090755437595</v>
      </c>
    </row>
    <row r="70" spans="1:19" ht="15" customHeight="1">
      <c r="A70" s="71">
        <v>3</v>
      </c>
      <c r="B70" s="71">
        <f>Leakage!AF14</f>
        <v>0.15231864689468858</v>
      </c>
      <c r="C70" s="71">
        <f>($B$70*A_houseSI*Weather!B25)/1.44</f>
        <v>13.005349036910927</v>
      </c>
      <c r="D70" s="71">
        <f>($B$70*A_houseSI*Weather!C25)/1.44</f>
        <v>13.322552671957537</v>
      </c>
      <c r="E70" s="71">
        <f>($B$70*A_houseSI*Weather!D25)/1.44</f>
        <v>13.639756307004143</v>
      </c>
      <c r="F70" s="71">
        <f>($B$70*A_houseSI*Weather!E25)/1.44</f>
        <v>14.59136721214397</v>
      </c>
      <c r="G70" s="71">
        <f>($B$70*A_houseSI*Weather!F25)/1.44</f>
        <v>15.225774482237185</v>
      </c>
      <c r="H70" s="71">
        <f>($B$70*A_houseSI*Weather!G25)/1.44</f>
        <v>19.032218102796481</v>
      </c>
      <c r="I70" s="71">
        <f>($B$70*A_houseSI*Weather!H25)/1.44</f>
        <v>15.860181752330401</v>
      </c>
      <c r="J70" s="71">
        <f>($B$70*A_houseSI*Weather!I25)/1.44</f>
        <v>17.128996292516835</v>
      </c>
      <c r="K70" s="71">
        <f>($B$70*A_houseSI*Weather!J25)/1.44</f>
        <v>17.446199927563441</v>
      </c>
      <c r="L70" s="71">
        <f>($B$70*A_houseSI*Weather!K25)/1.44</f>
        <v>19.032218102796481</v>
      </c>
      <c r="M70" s="71">
        <f>($B$70*A_houseSI*Weather!L25)/1.44</f>
        <v>17.763403562610051</v>
      </c>
      <c r="N70" s="71">
        <f>($B$70*A_houseSI*Weather!M25)/1.44</f>
        <v>19.349421737843091</v>
      </c>
      <c r="O70" s="71">
        <f>($B$70*A_houseSI*Weather!N25)/1.44</f>
        <v>19.983829007936308</v>
      </c>
      <c r="P70" s="71">
        <f>($B$70*A_houseSI*Weather!O25)/1.44</f>
        <v>22.204254453262561</v>
      </c>
      <c r="Q70" s="71">
        <f>($B$70*A_houseSI*Weather!P25)/1.44</f>
        <v>22.204254453262561</v>
      </c>
    </row>
    <row r="71" spans="1:19" ht="15" customHeight="1">
      <c r="A71" s="71">
        <v>1.5</v>
      </c>
      <c r="B71" s="71">
        <f>Leakage!AF15</f>
        <v>7.6159323447344288E-2</v>
      </c>
      <c r="C71" s="71">
        <f>($B$71*A_houseSI*Weather!B25)/1.44</f>
        <v>6.5026745184554633</v>
      </c>
      <c r="D71" s="71">
        <f>($B$71*A_houseSI*Weather!C25)/1.44</f>
        <v>6.6612763359787683</v>
      </c>
      <c r="E71" s="71">
        <f>($B$71*A_houseSI*Weather!D25)/1.44</f>
        <v>6.8198781535020716</v>
      </c>
      <c r="F71" s="71">
        <f>($B$71*A_houseSI*Weather!E25)/1.44</f>
        <v>7.295683606071985</v>
      </c>
      <c r="G71" s="71">
        <f>($B$71*A_houseSI*Weather!F25)/1.44</f>
        <v>7.6128872411185924</v>
      </c>
      <c r="H71" s="71">
        <f>($B$71*A_houseSI*Weather!G25)/1.44</f>
        <v>9.5161090513982405</v>
      </c>
      <c r="I71" s="71">
        <f>($B$71*A_houseSI*Weather!H25)/1.44</f>
        <v>7.9300908761652007</v>
      </c>
      <c r="J71" s="71">
        <f>($B$71*A_houseSI*Weather!I25)/1.44</f>
        <v>8.5644981462584173</v>
      </c>
      <c r="K71" s="71">
        <f>($B$71*A_houseSI*Weather!J25)/1.44</f>
        <v>8.7230999637817206</v>
      </c>
      <c r="L71" s="71">
        <f>($B$71*A_houseSI*Weather!K25)/1.44</f>
        <v>9.5161090513982405</v>
      </c>
      <c r="M71" s="71">
        <f>($B$71*A_houseSI*Weather!L25)/1.44</f>
        <v>8.8817017813050256</v>
      </c>
      <c r="N71" s="71">
        <f>($B$71*A_houseSI*Weather!M25)/1.44</f>
        <v>9.6747108689215455</v>
      </c>
      <c r="O71" s="71">
        <f>($B$71*A_houseSI*Weather!N25)/1.44</f>
        <v>9.9919145039681538</v>
      </c>
      <c r="P71" s="71">
        <f>($B$71*A_houseSI*Weather!O25)/1.44</f>
        <v>11.10212722663128</v>
      </c>
      <c r="Q71" s="71">
        <f>($B$71*A_houseSI*Weather!P25)/1.44</f>
        <v>11.10212722663128</v>
      </c>
    </row>
    <row r="72" spans="1:19" ht="15" customHeight="1">
      <c r="A72" s="71">
        <v>0.6</v>
      </c>
      <c r="B72" s="71">
        <f>Leakage!AF16</f>
        <v>3.0463729378937706E-2</v>
      </c>
      <c r="C72" s="71">
        <f>($B$72*A_houseSI*Weather!B25)/1.44</f>
        <v>2.601069807382185</v>
      </c>
      <c r="D72" s="71">
        <f>($B$72*A_houseSI*Weather!C25)/1.44</f>
        <v>2.6645105343915065</v>
      </c>
      <c r="E72" s="71">
        <f>($B$72*A_houseSI*Weather!D25)/1.44</f>
        <v>2.7279512614008281</v>
      </c>
      <c r="F72" s="71">
        <f>($B$72*A_houseSI*Weather!E25)/1.44</f>
        <v>2.9182734424287933</v>
      </c>
      <c r="G72" s="71">
        <f>($B$72*A_houseSI*Weather!F25)/1.44</f>
        <v>3.045154896447436</v>
      </c>
      <c r="H72" s="71">
        <f>($B$72*A_houseSI*Weather!G25)/1.44</f>
        <v>3.8064436205592949</v>
      </c>
      <c r="I72" s="71">
        <f>($B$72*A_houseSI*Weather!H25)/1.44</f>
        <v>3.1720363504660796</v>
      </c>
      <c r="J72" s="71">
        <f>($B$72*A_houseSI*Weather!I25)/1.44</f>
        <v>3.4257992585033663</v>
      </c>
      <c r="K72" s="71">
        <f>($B$72*A_houseSI*Weather!J25)/1.44</f>
        <v>3.4892399855126879</v>
      </c>
      <c r="L72" s="71">
        <f>($B$72*A_houseSI*Weather!K25)/1.44</f>
        <v>3.8064436205592949</v>
      </c>
      <c r="M72" s="71">
        <f>($B$72*A_houseSI*Weather!L25)/1.44</f>
        <v>3.5526807125220095</v>
      </c>
      <c r="N72" s="71">
        <f>($B$72*A_houseSI*Weather!M25)/1.44</f>
        <v>3.8698843475686164</v>
      </c>
      <c r="O72" s="71">
        <f>($B$72*A_houseSI*Weather!N25)/1.44</f>
        <v>3.99676580158726</v>
      </c>
      <c r="P72" s="71">
        <f>($B$72*A_houseSI*Weather!O25)/1.44</f>
        <v>4.440850890652511</v>
      </c>
      <c r="Q72" s="71">
        <f>($B$72*A_houseSI*Weather!P25)/1.44</f>
        <v>4.440850890652511</v>
      </c>
    </row>
    <row r="73" spans="1:19" ht="15" customHeight="1">
      <c r="A73" s="71" t="s">
        <v>885</v>
      </c>
      <c r="B73" s="71" t="s">
        <v>748</v>
      </c>
      <c r="C73" s="71">
        <v>0</v>
      </c>
      <c r="D73" s="71">
        <v>0</v>
      </c>
      <c r="E73" s="71">
        <v>0</v>
      </c>
      <c r="F73" s="71">
        <v>0</v>
      </c>
      <c r="G73" s="71">
        <v>0</v>
      </c>
      <c r="H73" s="71">
        <v>0</v>
      </c>
      <c r="I73" s="71">
        <v>0</v>
      </c>
      <c r="J73" s="71">
        <v>0</v>
      </c>
      <c r="K73" s="71">
        <v>0</v>
      </c>
      <c r="L73" s="71">
        <v>0</v>
      </c>
      <c r="M73" s="71">
        <v>0</v>
      </c>
      <c r="N73" s="71">
        <v>0</v>
      </c>
      <c r="O73" s="71">
        <v>0</v>
      </c>
      <c r="P73" s="71">
        <v>0</v>
      </c>
      <c r="Q73" s="71">
        <v>0</v>
      </c>
    </row>
    <row r="74" spans="1:19" ht="15" customHeight="1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</row>
    <row r="75" spans="1:19" ht="15" customHeight="1">
      <c r="A75" s="345" t="s">
        <v>874</v>
      </c>
      <c r="B75" s="345"/>
      <c r="C75" s="345"/>
      <c r="D75" s="345"/>
      <c r="E75" s="345"/>
      <c r="F75" s="345"/>
      <c r="G75" s="345"/>
      <c r="H75" s="345"/>
      <c r="I75" s="345"/>
      <c r="J75" s="345"/>
      <c r="K75" s="345"/>
      <c r="L75" s="345"/>
      <c r="M75" s="345"/>
      <c r="N75" s="345"/>
      <c r="O75" s="345"/>
      <c r="P75" s="345"/>
      <c r="Q75" s="345"/>
    </row>
    <row r="76" spans="1:19" ht="15" customHeight="1">
      <c r="A76" s="345" t="s">
        <v>875</v>
      </c>
      <c r="B76" s="345"/>
      <c r="C76" s="345" t="s">
        <v>639</v>
      </c>
      <c r="D76" s="345"/>
      <c r="E76" s="345"/>
      <c r="F76" s="345"/>
      <c r="G76" s="345"/>
      <c r="H76" s="345"/>
      <c r="I76" s="345"/>
      <c r="J76" s="345"/>
      <c r="K76" s="345"/>
      <c r="L76" s="345"/>
      <c r="M76" s="345"/>
      <c r="N76" s="345"/>
      <c r="O76" s="345"/>
      <c r="P76" s="345"/>
      <c r="Q76" s="345"/>
    </row>
    <row r="77" spans="1:19" ht="15" customHeight="1">
      <c r="A77" s="345" t="s">
        <v>873</v>
      </c>
      <c r="B77" s="345" t="s">
        <v>872</v>
      </c>
      <c r="C77" s="345" t="s">
        <v>707</v>
      </c>
      <c r="D77" s="345" t="s">
        <v>656</v>
      </c>
      <c r="E77" s="345" t="s">
        <v>657</v>
      </c>
      <c r="F77" s="345" t="s">
        <v>658</v>
      </c>
      <c r="G77" s="345" t="s">
        <v>659</v>
      </c>
      <c r="H77" s="345" t="s">
        <v>660</v>
      </c>
      <c r="I77" s="345" t="s">
        <v>661</v>
      </c>
      <c r="J77" s="345" t="s">
        <v>662</v>
      </c>
      <c r="K77" s="345" t="s">
        <v>663</v>
      </c>
      <c r="L77" s="345" t="s">
        <v>664</v>
      </c>
      <c r="M77" s="345" t="s">
        <v>665</v>
      </c>
      <c r="N77" s="345" t="s">
        <v>666</v>
      </c>
      <c r="O77" s="345" t="s">
        <v>667</v>
      </c>
      <c r="P77" s="345">
        <v>7</v>
      </c>
      <c r="Q77" s="345">
        <v>8</v>
      </c>
      <c r="R77" s="1" t="s">
        <v>878</v>
      </c>
      <c r="S77" s="1" t="s">
        <v>877</v>
      </c>
    </row>
    <row r="78" spans="1:19" ht="15" customHeight="1">
      <c r="A78" s="345">
        <v>10</v>
      </c>
      <c r="B78" s="345">
        <f>Leakage!AF11</f>
        <v>0.50772882298229516</v>
      </c>
      <c r="C78" s="345">
        <f>IF(Age="existing",IF(Fans!$L$2-Fans!C67&lt;=0,0,Fans!$L$2-Fans!C67),IF(C67&lt;(2/3)*Fans!$L$2,Fans!$L$2-Fans!C67,(1/3)*Fans!$L$2))</f>
        <v>19.660669166666665</v>
      </c>
      <c r="D78" s="345">
        <f>IF(Age="existing",IF(Fans!$L$2-Fans!D67&lt;=0,0,Fans!$L$2-Fans!D67),IF(D67&lt;(2/3)*Fans!$L$2,Fans!$L$2-Fans!D67,(1/3)*Fans!$L$2))</f>
        <v>19.660669166666665</v>
      </c>
      <c r="E78" s="345">
        <f>IF(Age="existing",IF(Fans!$L$2-Fans!E67&lt;=0,0,Fans!$L$2-Fans!E67),IF(E67&lt;(2/3)*Fans!$L$2,Fans!$L$2-Fans!E67,(1/3)*Fans!$L$2))</f>
        <v>19.660669166666665</v>
      </c>
      <c r="F78" s="345">
        <f>IF(Age="existing",IF(Fans!$L$2-Fans!F67&lt;=0,0,Fans!$L$2-Fans!F67),IF(F67&lt;(2/3)*Fans!$L$2,Fans!$L$2-Fans!F67,(1/3)*Fans!$L$2))</f>
        <v>19.660669166666665</v>
      </c>
      <c r="G78" s="345">
        <f>IF(Age="existing",IF(Fans!$L$2-Fans!G67&lt;=0,0,Fans!$L$2-Fans!G67),IF(G67&lt;(2/3)*Fans!$L$2,Fans!$L$2-Fans!G67,(1/3)*Fans!$L$2))</f>
        <v>19.660669166666665</v>
      </c>
      <c r="H78" s="345">
        <f>IF(Age="existing",IF(Fans!$L$2-Fans!H67&lt;=0,0,Fans!$L$2-Fans!H67),IF(H67&lt;(2/3)*Fans!$L$2,Fans!$L$2-Fans!H67,(1/3)*Fans!$L$2))</f>
        <v>19.660669166666665</v>
      </c>
      <c r="I78" s="345">
        <f>IF(Age="existing",IF(Fans!$L$2-Fans!I67&lt;=0,0,Fans!$L$2-Fans!I67),IF(I67&lt;(2/3)*Fans!$L$2,Fans!$L$2-Fans!I67,(1/3)*Fans!$L$2))</f>
        <v>19.660669166666665</v>
      </c>
      <c r="J78" s="345">
        <f>IF(Age="existing",IF(Fans!$L$2-Fans!J67&lt;=0,0,Fans!$L$2-Fans!J67),IF(J67&lt;(2/3)*Fans!$L$2,Fans!$L$2-Fans!J67,(1/3)*Fans!$L$2))</f>
        <v>19.660669166666665</v>
      </c>
      <c r="K78" s="345">
        <f>IF(Age="existing",IF(Fans!$L$2-Fans!K67&lt;=0,0,Fans!$L$2-Fans!K67),IF(K67&lt;(2/3)*Fans!$L$2,Fans!$L$2-Fans!K67,(1/3)*Fans!$L$2))</f>
        <v>19.660669166666665</v>
      </c>
      <c r="L78" s="345">
        <f>IF(Age="existing",IF(Fans!$L$2-Fans!L67&lt;=0,0,Fans!$L$2-Fans!L67),IF(L67&lt;(2/3)*Fans!$L$2,Fans!$L$2-Fans!L67,(1/3)*Fans!$L$2))</f>
        <v>19.660669166666665</v>
      </c>
      <c r="M78" s="345">
        <f>IF(Age="existing",IF(Fans!$L$2-Fans!M67&lt;=0,0,Fans!$L$2-Fans!M67),IF(M67&lt;(2/3)*Fans!$L$2,Fans!$L$2-Fans!M67,(1/3)*Fans!$L$2))</f>
        <v>19.660669166666665</v>
      </c>
      <c r="N78" s="345">
        <f>IF(Age="existing",IF(Fans!$L$2-Fans!N67&lt;=0,0,Fans!$L$2-Fans!N67),IF(N67&lt;(2/3)*Fans!$L$2,Fans!$L$2-Fans!N67,(1/3)*Fans!$L$2))</f>
        <v>19.660669166666665</v>
      </c>
      <c r="O78" s="345">
        <f>IF(Age="existing",IF(Fans!$L$2-Fans!O67&lt;=0,0,Fans!$L$2-Fans!O67),IF(O67&lt;(2/3)*Fans!$L$2,Fans!$L$2-Fans!O67,(1/3)*Fans!$L$2))</f>
        <v>19.660669166666665</v>
      </c>
      <c r="P78" s="345">
        <f>IF(Age="existing",IF(Fans!$L$2-Fans!P67&lt;=0,0,Fans!$L$2-Fans!P67),IF(P67&lt;(2/3)*Fans!$L$2,Fans!$L$2-Fans!P67,(1/3)*Fans!$L$2))</f>
        <v>19.660669166666665</v>
      </c>
      <c r="Q78" s="345">
        <f>IF(Age="existing",IF(Fans!$L$2-Fans!Q67&lt;=0,0,Fans!$L$2-Fans!Q67),IF(Q67&lt;(2/3)*Fans!$L$2,Fans!$L$2-Fans!Q67,(1/3)*Fans!$L$2))</f>
        <v>19.660669166666665</v>
      </c>
      <c r="R78" s="98" t="s">
        <v>301</v>
      </c>
      <c r="S78" s="1">
        <v>50</v>
      </c>
    </row>
    <row r="79" spans="1:19" ht="15" customHeight="1">
      <c r="A79" s="345">
        <v>7</v>
      </c>
      <c r="B79" s="345">
        <f>Leakage!AF12</f>
        <v>0.3554101760876065</v>
      </c>
      <c r="C79" s="345">
        <f>IF(Age="existing",IF(Fans!$L$2-Fans!C68&lt;=0,0,Fans!$L$2-Fans!C68),IF(C68&lt;(2/3)*Fans!$L$2,Fans!$L$2-Fans!C68,(1/3)*Fans!$L$2))</f>
        <v>28.636193080541176</v>
      </c>
      <c r="D79" s="345">
        <f>IF(Age="existing",IF(Fans!$L$2-Fans!D68&lt;=0,0,Fans!$L$2-Fans!D68),IF(D68&lt;(2/3)*Fans!$L$2,Fans!$L$2-Fans!D68,(1/3)*Fans!$L$2))</f>
        <v>27.896051265432426</v>
      </c>
      <c r="E79" s="345">
        <f>IF(Age="existing",IF(Fans!$L$2-Fans!E68&lt;=0,0,Fans!$L$2-Fans!E68),IF(E68&lt;(2/3)*Fans!$L$2,Fans!$L$2-Fans!E68,(1/3)*Fans!$L$2))</f>
        <v>27.155909450323669</v>
      </c>
      <c r="F79" s="345">
        <f>IF(Age="existing",IF(Fans!$L$2-Fans!F68&lt;=0,0,Fans!$L$2-Fans!F68),IF(F68&lt;(2/3)*Fans!$L$2,Fans!$L$2-Fans!F68,(1/3)*Fans!$L$2))</f>
        <v>24.935484004997413</v>
      </c>
      <c r="G79" s="345">
        <f>IF(Age="existing",IF(Fans!$L$2-Fans!G68&lt;=0,0,Fans!$L$2-Fans!G68),IF(G68&lt;(2/3)*Fans!$L$2,Fans!$L$2-Fans!G68,(1/3)*Fans!$L$2))</f>
        <v>23.455200374779913</v>
      </c>
      <c r="H79" s="345">
        <f>IF(Age="existing",IF(Fans!$L$2-Fans!H68&lt;=0,0,Fans!$L$2-Fans!H68),IF(H68&lt;(2/3)*Fans!$L$2,Fans!$L$2-Fans!H68,(1/3)*Fans!$L$2))</f>
        <v>19.660669166666665</v>
      </c>
      <c r="I79" s="345">
        <f>IF(Age="existing",IF(Fans!$L$2-Fans!I68&lt;=0,0,Fans!$L$2-Fans!I68),IF(I68&lt;(2/3)*Fans!$L$2,Fans!$L$2-Fans!I68,(1/3)*Fans!$L$2))</f>
        <v>21.974916744562414</v>
      </c>
      <c r="J79" s="345">
        <f>IF(Age="existing",IF(Fans!$L$2-Fans!J68&lt;=0,0,Fans!$L$2-Fans!J68),IF(J68&lt;(2/3)*Fans!$L$2,Fans!$L$2-Fans!J68,(1/3)*Fans!$L$2))</f>
        <v>19.660669166666665</v>
      </c>
      <c r="K79" s="345">
        <f>IF(Age="existing",IF(Fans!$L$2-Fans!K68&lt;=0,0,Fans!$L$2-Fans!K68),IF(K68&lt;(2/3)*Fans!$L$2,Fans!$L$2-Fans!K68,(1/3)*Fans!$L$2))</f>
        <v>19.660669166666665</v>
      </c>
      <c r="L79" s="345">
        <f>IF(Age="existing",IF(Fans!$L$2-Fans!L68&lt;=0,0,Fans!$L$2-Fans!L68),IF(L68&lt;(2/3)*Fans!$L$2,Fans!$L$2-Fans!L68,(1/3)*Fans!$L$2))</f>
        <v>19.660669166666665</v>
      </c>
      <c r="M79" s="345">
        <f>IF(Age="existing",IF(Fans!$L$2-Fans!M68&lt;=0,0,Fans!$L$2-Fans!M68),IF(M68&lt;(2/3)*Fans!$L$2,Fans!$L$2-Fans!M68,(1/3)*Fans!$L$2))</f>
        <v>19.660669166666665</v>
      </c>
      <c r="N79" s="345">
        <f>IF(Age="existing",IF(Fans!$L$2-Fans!N68&lt;=0,0,Fans!$L$2-Fans!N68),IF(N68&lt;(2/3)*Fans!$L$2,Fans!$L$2-Fans!N68,(1/3)*Fans!$L$2))</f>
        <v>19.660669166666665</v>
      </c>
      <c r="O79" s="345">
        <f>IF(Age="existing",IF(Fans!$L$2-Fans!O68&lt;=0,0,Fans!$L$2-Fans!O68),IF(O68&lt;(2/3)*Fans!$L$2,Fans!$L$2-Fans!O68,(1/3)*Fans!$L$2))</f>
        <v>19.660669166666665</v>
      </c>
      <c r="P79" s="345">
        <f>IF(Age="existing",IF(Fans!$L$2-Fans!P68&lt;=0,0,Fans!$L$2-Fans!P68),IF(P68&lt;(2/3)*Fans!$L$2,Fans!$L$2-Fans!P68,(1/3)*Fans!$L$2))</f>
        <v>19.660669166666665</v>
      </c>
      <c r="Q79" s="345">
        <f>IF(Age="existing",IF(Fans!$L$2-Fans!Q68&lt;=0,0,Fans!$L$2-Fans!Q68),IF(Q68&lt;(2/3)*Fans!$L$2,Fans!$L$2-Fans!Q68,(1/3)*Fans!$L$2))</f>
        <v>19.660669166666665</v>
      </c>
      <c r="R79" s="98" t="s">
        <v>301</v>
      </c>
      <c r="S79" s="1">
        <v>50</v>
      </c>
    </row>
    <row r="80" spans="1:19" ht="15" customHeight="1">
      <c r="A80" s="345">
        <v>5</v>
      </c>
      <c r="B80" s="345">
        <f>Leakage!AF13</f>
        <v>0.25386441149114758</v>
      </c>
      <c r="C80" s="345">
        <f>IF(Age="existing",IF(Fans!$L$2-Fans!C69&lt;=0,0,Fans!$L$2-Fans!C69),IF(C69&lt;(2/3)*Fans!$L$2,Fans!$L$2-Fans!C69,(1/3)*Fans!$L$2))</f>
        <v>37.306425771815114</v>
      </c>
      <c r="D80" s="345">
        <f>IF(Age="existing",IF(Fans!$L$2-Fans!D69&lt;=0,0,Fans!$L$2-Fans!D69),IF(D69&lt;(2/3)*Fans!$L$2,Fans!$L$2-Fans!D69,(1/3)*Fans!$L$2))</f>
        <v>36.777753046737438</v>
      </c>
      <c r="E80" s="345">
        <f>IF(Age="existing",IF(Fans!$L$2-Fans!E69&lt;=0,0,Fans!$L$2-Fans!E69),IF(E69&lt;(2/3)*Fans!$L$2,Fans!$L$2-Fans!E69,(1/3)*Fans!$L$2))</f>
        <v>36.249080321659761</v>
      </c>
      <c r="F80" s="345">
        <f>IF(Age="existing",IF(Fans!$L$2-Fans!F69&lt;=0,0,Fans!$L$2-Fans!F69),IF(F69&lt;(2/3)*Fans!$L$2,Fans!$L$2-Fans!F69,(1/3)*Fans!$L$2))</f>
        <v>34.663062146426718</v>
      </c>
      <c r="G80" s="345">
        <f>IF(Age="existing",IF(Fans!$L$2-Fans!G69&lt;=0,0,Fans!$L$2-Fans!G69),IF(G69&lt;(2/3)*Fans!$L$2,Fans!$L$2-Fans!G69,(1/3)*Fans!$L$2))</f>
        <v>33.605716696271358</v>
      </c>
      <c r="H80" s="345">
        <f>IF(Age="existing",IF(Fans!$L$2-Fans!H69&lt;=0,0,Fans!$L$2-Fans!H69),IF(H69&lt;(2/3)*Fans!$L$2,Fans!$L$2-Fans!H69,(1/3)*Fans!$L$2))</f>
        <v>27.261643995339195</v>
      </c>
      <c r="I80" s="345">
        <f>IF(Age="existing",IF(Fans!$L$2-Fans!I69&lt;=0,0,Fans!$L$2-Fans!I69),IF(I69&lt;(2/3)*Fans!$L$2,Fans!$L$2-Fans!I69,(1/3)*Fans!$L$2))</f>
        <v>32.548371246115998</v>
      </c>
      <c r="J80" s="345">
        <f>IF(Age="existing",IF(Fans!$L$2-Fans!J69&lt;=0,0,Fans!$L$2-Fans!J69),IF(J69&lt;(2/3)*Fans!$L$2,Fans!$L$2-Fans!J69,(1/3)*Fans!$L$2))</f>
        <v>30.433680345805271</v>
      </c>
      <c r="K80" s="345">
        <f>IF(Age="existing",IF(Fans!$L$2-Fans!K69&lt;=0,0,Fans!$L$2-Fans!K69),IF(K69&lt;(2/3)*Fans!$L$2,Fans!$L$2-Fans!K69,(1/3)*Fans!$L$2))</f>
        <v>29.905007620727595</v>
      </c>
      <c r="L80" s="345">
        <f>IF(Age="existing",IF(Fans!$L$2-Fans!L69&lt;=0,0,Fans!$L$2-Fans!L69),IF(L69&lt;(2/3)*Fans!$L$2,Fans!$L$2-Fans!L69,(1/3)*Fans!$L$2))</f>
        <v>27.261643995339195</v>
      </c>
      <c r="M80" s="345">
        <f>IF(Age="existing",IF(Fans!$L$2-Fans!M69&lt;=0,0,Fans!$L$2-Fans!M69),IF(M69&lt;(2/3)*Fans!$L$2,Fans!$L$2-Fans!M69,(1/3)*Fans!$L$2))</f>
        <v>29.376334895649915</v>
      </c>
      <c r="N80" s="345">
        <f>IF(Age="existing",IF(Fans!$L$2-Fans!N69&lt;=0,0,Fans!$L$2-Fans!N69),IF(N69&lt;(2/3)*Fans!$L$2,Fans!$L$2-Fans!N69,(1/3)*Fans!$L$2))</f>
        <v>26.732971270261515</v>
      </c>
      <c r="O80" s="345">
        <f>IF(Age="existing",IF(Fans!$L$2-Fans!O69&lt;=0,0,Fans!$L$2-Fans!O69),IF(O69&lt;(2/3)*Fans!$L$2,Fans!$L$2-Fans!O69,(1/3)*Fans!$L$2))</f>
        <v>25.675625820106156</v>
      </c>
      <c r="P80" s="345">
        <f>IF(Age="existing",IF(Fans!$L$2-Fans!P69&lt;=0,0,Fans!$L$2-Fans!P69),IF(P69&lt;(2/3)*Fans!$L$2,Fans!$L$2-Fans!P69,(1/3)*Fans!$L$2))</f>
        <v>21.9749167445624</v>
      </c>
      <c r="Q80" s="345">
        <f>IF(Age="existing",IF(Fans!$L$2-Fans!Q69&lt;=0,0,Fans!$L$2-Fans!Q69),IF(Q69&lt;(2/3)*Fans!$L$2,Fans!$L$2-Fans!Q69,(1/3)*Fans!$L$2))</f>
        <v>21.9749167445624</v>
      </c>
      <c r="R80" s="98" t="s">
        <v>301</v>
      </c>
      <c r="S80" s="1">
        <v>50</v>
      </c>
    </row>
    <row r="81" spans="1:19" ht="15" customHeight="1">
      <c r="A81" s="345">
        <v>3</v>
      </c>
      <c r="B81" s="345">
        <f>Leakage!AF14</f>
        <v>0.15231864689468858</v>
      </c>
      <c r="C81" s="345">
        <f>IF(Age="existing",IF(Fans!$L$2-Fans!C70&lt;=0,0,Fans!$L$2-Fans!C70),IF(C70&lt;(2/3)*Fans!$L$2,Fans!$L$2-Fans!C70,(1/3)*Fans!$L$2))</f>
        <v>45.976658463089066</v>
      </c>
      <c r="D81" s="345">
        <f>IF(Age="existing",IF(Fans!$L$2-Fans!D70&lt;=0,0,Fans!$L$2-Fans!D70),IF(D70&lt;(2/3)*Fans!$L$2,Fans!$L$2-Fans!D70,(1/3)*Fans!$L$2))</f>
        <v>45.659454828042456</v>
      </c>
      <c r="E81" s="345">
        <f>IF(Age="existing",IF(Fans!$L$2-Fans!E70&lt;=0,0,Fans!$L$2-Fans!E70),IF(E70&lt;(2/3)*Fans!$L$2,Fans!$L$2-Fans!E70,(1/3)*Fans!$L$2))</f>
        <v>45.342251192995853</v>
      </c>
      <c r="F81" s="345">
        <f>IF(Age="existing",IF(Fans!$L$2-Fans!F70&lt;=0,0,Fans!$L$2-Fans!F70),IF(F70&lt;(2/3)*Fans!$L$2,Fans!$L$2-Fans!F70,(1/3)*Fans!$L$2))</f>
        <v>44.390640287856023</v>
      </c>
      <c r="G81" s="345">
        <f>IF(Age="existing",IF(Fans!$L$2-Fans!G70&lt;=0,0,Fans!$L$2-Fans!G70),IF(G70&lt;(2/3)*Fans!$L$2,Fans!$L$2-Fans!G70,(1/3)*Fans!$L$2))</f>
        <v>43.75623301776281</v>
      </c>
      <c r="H81" s="345">
        <f>IF(Age="existing",IF(Fans!$L$2-Fans!H70&lt;=0,0,Fans!$L$2-Fans!H70),IF(H70&lt;(2/3)*Fans!$L$2,Fans!$L$2-Fans!H70,(1/3)*Fans!$L$2))</f>
        <v>39.949789397203517</v>
      </c>
      <c r="I81" s="345">
        <f>IF(Age="existing",IF(Fans!$L$2-Fans!I70&lt;=0,0,Fans!$L$2-Fans!I70),IF(I70&lt;(2/3)*Fans!$L$2,Fans!$L$2-Fans!I70,(1/3)*Fans!$L$2))</f>
        <v>43.12182574766959</v>
      </c>
      <c r="J81" s="345">
        <f>IF(Age="existing",IF(Fans!$L$2-Fans!J70&lt;=0,0,Fans!$L$2-Fans!J70),IF(J70&lt;(2/3)*Fans!$L$2,Fans!$L$2-Fans!J70,(1/3)*Fans!$L$2))</f>
        <v>41.853011207483164</v>
      </c>
      <c r="K81" s="345">
        <f>IF(Age="existing",IF(Fans!$L$2-Fans!K70&lt;=0,0,Fans!$L$2-Fans!K70),IF(K70&lt;(2/3)*Fans!$L$2,Fans!$L$2-Fans!K70,(1/3)*Fans!$L$2))</f>
        <v>41.535807572436553</v>
      </c>
      <c r="L81" s="345">
        <f>IF(Age="existing",IF(Fans!$L$2-Fans!L70&lt;=0,0,Fans!$L$2-Fans!L70),IF(L70&lt;(2/3)*Fans!$L$2,Fans!$L$2-Fans!L70,(1/3)*Fans!$L$2))</f>
        <v>39.949789397203517</v>
      </c>
      <c r="M81" s="345">
        <f>IF(Age="existing",IF(Fans!$L$2-Fans!M70&lt;=0,0,Fans!$L$2-Fans!M70),IF(M70&lt;(2/3)*Fans!$L$2,Fans!$L$2-Fans!M70,(1/3)*Fans!$L$2))</f>
        <v>41.218603937389943</v>
      </c>
      <c r="N81" s="345">
        <f>IF(Age="existing",IF(Fans!$L$2-Fans!N70&lt;=0,0,Fans!$L$2-Fans!N70),IF(N70&lt;(2/3)*Fans!$L$2,Fans!$L$2-Fans!N70,(1/3)*Fans!$L$2))</f>
        <v>39.632585762156907</v>
      </c>
      <c r="O81" s="345">
        <f>IF(Age="existing",IF(Fans!$L$2-Fans!O70&lt;=0,0,Fans!$L$2-Fans!O70),IF(O70&lt;(2/3)*Fans!$L$2,Fans!$L$2-Fans!O70,(1/3)*Fans!$L$2))</f>
        <v>38.998178492063687</v>
      </c>
      <c r="P81" s="345">
        <f>IF(Age="existing",IF(Fans!$L$2-Fans!P70&lt;=0,0,Fans!$L$2-Fans!P70),IF(P70&lt;(2/3)*Fans!$L$2,Fans!$L$2-Fans!P70,(1/3)*Fans!$L$2))</f>
        <v>36.777753046737431</v>
      </c>
      <c r="Q81" s="345">
        <f>IF(Age="existing",IF(Fans!$L$2-Fans!Q70&lt;=0,0,Fans!$L$2-Fans!Q70),IF(Q70&lt;(2/3)*Fans!$L$2,Fans!$L$2-Fans!Q70,(1/3)*Fans!$L$2))</f>
        <v>36.777753046737431</v>
      </c>
      <c r="R81" s="100" t="s">
        <v>321</v>
      </c>
      <c r="S81" s="1">
        <v>70</v>
      </c>
    </row>
    <row r="82" spans="1:19" ht="15" customHeight="1">
      <c r="A82" s="345">
        <v>1.5</v>
      </c>
      <c r="B82" s="345">
        <f>Leakage!AF15</f>
        <v>7.6159323447344288E-2</v>
      </c>
      <c r="C82" s="345">
        <f>IF(Age="existing",IF(Fans!$L$2-Fans!C71&lt;=0,0,Fans!$L$2-Fans!C71),IF(C71&lt;(2/3)*Fans!$L$2,Fans!$L$2-Fans!C71,(1/3)*Fans!$L$2))</f>
        <v>52.47933298154453</v>
      </c>
      <c r="D82" s="345">
        <f>IF(Age="existing",IF(Fans!$L$2-Fans!D71&lt;=0,0,Fans!$L$2-Fans!D71),IF(D71&lt;(2/3)*Fans!$L$2,Fans!$L$2-Fans!D71,(1/3)*Fans!$L$2))</f>
        <v>52.320731164021225</v>
      </c>
      <c r="E82" s="345">
        <f>IF(Age="existing",IF(Fans!$L$2-Fans!E71&lt;=0,0,Fans!$L$2-Fans!E71),IF(E71&lt;(2/3)*Fans!$L$2,Fans!$L$2-Fans!E71,(1/3)*Fans!$L$2))</f>
        <v>52.16212934649792</v>
      </c>
      <c r="F82" s="345">
        <f>IF(Age="existing",IF(Fans!$L$2-Fans!F71&lt;=0,0,Fans!$L$2-Fans!F71),IF(F71&lt;(2/3)*Fans!$L$2,Fans!$L$2-Fans!F71,(1/3)*Fans!$L$2))</f>
        <v>51.686323893928012</v>
      </c>
      <c r="G82" s="345">
        <f>IF(Age="existing",IF(Fans!$L$2-Fans!G71&lt;=0,0,Fans!$L$2-Fans!G71),IF(G71&lt;(2/3)*Fans!$L$2,Fans!$L$2-Fans!G71,(1/3)*Fans!$L$2))</f>
        <v>51.369120258881402</v>
      </c>
      <c r="H82" s="345">
        <f>IF(Age="existing",IF(Fans!$L$2-Fans!H71&lt;=0,0,Fans!$L$2-Fans!H71),IF(H71&lt;(2/3)*Fans!$L$2,Fans!$L$2-Fans!H71,(1/3)*Fans!$L$2))</f>
        <v>49.465898448601756</v>
      </c>
      <c r="I82" s="345">
        <f>IF(Age="existing",IF(Fans!$L$2-Fans!I71&lt;=0,0,Fans!$L$2-Fans!I71),IF(I71&lt;(2/3)*Fans!$L$2,Fans!$L$2-Fans!I71,(1/3)*Fans!$L$2))</f>
        <v>51.051916623834792</v>
      </c>
      <c r="J82" s="345">
        <f>IF(Age="existing",IF(Fans!$L$2-Fans!J71&lt;=0,0,Fans!$L$2-Fans!J71),IF(J71&lt;(2/3)*Fans!$L$2,Fans!$L$2-Fans!J71,(1/3)*Fans!$L$2))</f>
        <v>50.417509353741579</v>
      </c>
      <c r="K82" s="345">
        <f>IF(Age="existing",IF(Fans!$L$2-Fans!K71&lt;=0,0,Fans!$L$2-Fans!K71),IF(K71&lt;(2/3)*Fans!$L$2,Fans!$L$2-Fans!K71,(1/3)*Fans!$L$2))</f>
        <v>50.258907536218274</v>
      </c>
      <c r="L82" s="345">
        <f>IF(Age="existing",IF(Fans!$L$2-Fans!L71&lt;=0,0,Fans!$L$2-Fans!L71),IF(L71&lt;(2/3)*Fans!$L$2,Fans!$L$2-Fans!L71,(1/3)*Fans!$L$2))</f>
        <v>49.465898448601756</v>
      </c>
      <c r="M82" s="345">
        <f>IF(Age="existing",IF(Fans!$L$2-Fans!M71&lt;=0,0,Fans!$L$2-Fans!M71),IF(M71&lt;(2/3)*Fans!$L$2,Fans!$L$2-Fans!M71,(1/3)*Fans!$L$2))</f>
        <v>50.100305718694969</v>
      </c>
      <c r="N82" s="345">
        <f>IF(Age="existing",IF(Fans!$L$2-Fans!N71&lt;=0,0,Fans!$L$2-Fans!N71),IF(N71&lt;(2/3)*Fans!$L$2,Fans!$L$2-Fans!N71,(1/3)*Fans!$L$2))</f>
        <v>49.307296631078451</v>
      </c>
      <c r="O82" s="345">
        <f>IF(Age="existing",IF(Fans!$L$2-Fans!O71&lt;=0,0,Fans!$L$2-Fans!O71),IF(O71&lt;(2/3)*Fans!$L$2,Fans!$L$2-Fans!O71,(1/3)*Fans!$L$2))</f>
        <v>48.990092996031841</v>
      </c>
      <c r="P82" s="345">
        <f>IF(Age="existing",IF(Fans!$L$2-Fans!P71&lt;=0,0,Fans!$L$2-Fans!P71),IF(P71&lt;(2/3)*Fans!$L$2,Fans!$L$2-Fans!P71,(1/3)*Fans!$L$2))</f>
        <v>47.879880273368713</v>
      </c>
      <c r="Q82" s="345">
        <f>IF(Age="existing",IF(Fans!$L$2-Fans!Q71&lt;=0,0,Fans!$L$2-Fans!Q71),IF(Q71&lt;(2/3)*Fans!$L$2,Fans!$L$2-Fans!Q71,(1/3)*Fans!$L$2))</f>
        <v>47.879880273368713</v>
      </c>
      <c r="R82" s="100" t="s">
        <v>321</v>
      </c>
      <c r="S82" s="1">
        <v>80</v>
      </c>
    </row>
    <row r="83" spans="1:19" ht="15" customHeight="1">
      <c r="A83" s="345">
        <v>0.6</v>
      </c>
      <c r="B83" s="345">
        <f>Leakage!AF16</f>
        <v>3.0463729378937706E-2</v>
      </c>
      <c r="C83" s="345">
        <f>IF(Age="existing",IF(Fans!$L$2-Fans!C72&lt;=0,0,Fans!$L$2-Fans!C72),IF(C72&lt;(2/3)*Fans!$L$2,Fans!$L$2-Fans!C72,(1/3)*Fans!$L$2))</f>
        <v>56.380937692617806</v>
      </c>
      <c r="D83" s="345">
        <f>IF(Age="existing",IF(Fans!$L$2-Fans!D72&lt;=0,0,Fans!$L$2-Fans!D72),IF(D72&lt;(2/3)*Fans!$L$2,Fans!$L$2-Fans!D72,(1/3)*Fans!$L$2))</f>
        <v>56.317496965608491</v>
      </c>
      <c r="E83" s="345">
        <f>IF(Age="existing",IF(Fans!$L$2-Fans!E72&lt;=0,0,Fans!$L$2-Fans!E72),IF(E72&lt;(2/3)*Fans!$L$2,Fans!$L$2-Fans!E72,(1/3)*Fans!$L$2))</f>
        <v>56.254056238599169</v>
      </c>
      <c r="F83" s="345">
        <f>IF(Age="existing",IF(Fans!$L$2-Fans!F72&lt;=0,0,Fans!$L$2-Fans!F72),IF(F72&lt;(2/3)*Fans!$L$2,Fans!$L$2-Fans!F72,(1/3)*Fans!$L$2))</f>
        <v>56.063734057571203</v>
      </c>
      <c r="G83" s="345">
        <f>IF(Age="existing",IF(Fans!$L$2-Fans!G72&lt;=0,0,Fans!$L$2-Fans!G72),IF(G72&lt;(2/3)*Fans!$L$2,Fans!$L$2-Fans!G72,(1/3)*Fans!$L$2))</f>
        <v>55.936852603552559</v>
      </c>
      <c r="H83" s="345">
        <f>IF(Age="existing",IF(Fans!$L$2-Fans!H72&lt;=0,0,Fans!$L$2-Fans!H72),IF(H72&lt;(2/3)*Fans!$L$2,Fans!$L$2-Fans!H72,(1/3)*Fans!$L$2))</f>
        <v>55.175563879440702</v>
      </c>
      <c r="I83" s="345">
        <f>IF(Age="existing",IF(Fans!$L$2-Fans!I72&lt;=0,0,Fans!$L$2-Fans!I72),IF(I72&lt;(2/3)*Fans!$L$2,Fans!$L$2-Fans!I72,(1/3)*Fans!$L$2))</f>
        <v>55.809971149533915</v>
      </c>
      <c r="J83" s="345">
        <f>IF(Age="existing",IF(Fans!$L$2-Fans!J72&lt;=0,0,Fans!$L$2-Fans!J72),IF(J72&lt;(2/3)*Fans!$L$2,Fans!$L$2-Fans!J72,(1/3)*Fans!$L$2))</f>
        <v>55.556208241496627</v>
      </c>
      <c r="K83" s="345">
        <f>IF(Age="existing",IF(Fans!$L$2-Fans!K72&lt;=0,0,Fans!$L$2-Fans!K72),IF(K72&lt;(2/3)*Fans!$L$2,Fans!$L$2-Fans!K72,(1/3)*Fans!$L$2))</f>
        <v>55.492767514487305</v>
      </c>
      <c r="L83" s="345">
        <f>IF(Age="existing",IF(Fans!$L$2-Fans!L72&lt;=0,0,Fans!$L$2-Fans!L72),IF(L72&lt;(2/3)*Fans!$L$2,Fans!$L$2-Fans!L72,(1/3)*Fans!$L$2))</f>
        <v>55.175563879440702</v>
      </c>
      <c r="M83" s="345">
        <f>IF(Age="existing",IF(Fans!$L$2-Fans!M72&lt;=0,0,Fans!$L$2-Fans!M72),IF(M72&lt;(2/3)*Fans!$L$2,Fans!$L$2-Fans!M72,(1/3)*Fans!$L$2))</f>
        <v>55.429326787477983</v>
      </c>
      <c r="N83" s="345">
        <f>IF(Age="existing",IF(Fans!$L$2-Fans!N72&lt;=0,0,Fans!$L$2-Fans!N72),IF(N72&lt;(2/3)*Fans!$L$2,Fans!$L$2-Fans!N72,(1/3)*Fans!$L$2))</f>
        <v>55.11212315243138</v>
      </c>
      <c r="O83" s="345">
        <f>IF(Age="existing",IF(Fans!$L$2-Fans!O72&lt;=0,0,Fans!$L$2-Fans!O72),IF(O72&lt;(2/3)*Fans!$L$2,Fans!$L$2-Fans!O72,(1/3)*Fans!$L$2))</f>
        <v>54.985241698412736</v>
      </c>
      <c r="P83" s="345">
        <f>IF(Age="existing",IF(Fans!$L$2-Fans!P72&lt;=0,0,Fans!$L$2-Fans!P72),IF(P72&lt;(2/3)*Fans!$L$2,Fans!$L$2-Fans!P72,(1/3)*Fans!$L$2))</f>
        <v>54.541156609347482</v>
      </c>
      <c r="Q83" s="345">
        <f>IF(Age="existing",IF(Fans!$L$2-Fans!Q72&lt;=0,0,Fans!$L$2-Fans!Q72),IF(Q72&lt;(2/3)*Fans!$L$2,Fans!$L$2-Fans!Q72,(1/3)*Fans!$L$2))</f>
        <v>54.541156609347482</v>
      </c>
      <c r="R83" s="126" t="s">
        <v>689</v>
      </c>
      <c r="S83" s="1">
        <v>84.5</v>
      </c>
    </row>
    <row r="84" spans="1:19" ht="15" customHeight="1">
      <c r="A84" s="345" t="s">
        <v>885</v>
      </c>
      <c r="B84" s="345" t="s">
        <v>748</v>
      </c>
      <c r="C84" s="346">
        <f>$L$2</f>
        <v>58.982007499999995</v>
      </c>
      <c r="D84" s="346">
        <f t="shared" ref="D84:Q84" si="15">$L$2</f>
        <v>58.982007499999995</v>
      </c>
      <c r="E84" s="346">
        <f t="shared" si="15"/>
        <v>58.982007499999995</v>
      </c>
      <c r="F84" s="346">
        <f t="shared" si="15"/>
        <v>58.982007499999995</v>
      </c>
      <c r="G84" s="346">
        <f t="shared" si="15"/>
        <v>58.982007499999995</v>
      </c>
      <c r="H84" s="346">
        <f t="shared" si="15"/>
        <v>58.982007499999995</v>
      </c>
      <c r="I84" s="346">
        <f t="shared" si="15"/>
        <v>58.982007499999995</v>
      </c>
      <c r="J84" s="346">
        <f t="shared" si="15"/>
        <v>58.982007499999995</v>
      </c>
      <c r="K84" s="346">
        <f t="shared" si="15"/>
        <v>58.982007499999995</v>
      </c>
      <c r="L84" s="346">
        <f t="shared" si="15"/>
        <v>58.982007499999995</v>
      </c>
      <c r="M84" s="346">
        <f t="shared" si="15"/>
        <v>58.982007499999995</v>
      </c>
      <c r="N84" s="346">
        <f t="shared" si="15"/>
        <v>58.982007499999995</v>
      </c>
      <c r="O84" s="346">
        <f t="shared" si="15"/>
        <v>58.982007499999995</v>
      </c>
      <c r="P84" s="346">
        <f t="shared" si="15"/>
        <v>58.982007499999995</v>
      </c>
      <c r="Q84" s="346">
        <f t="shared" si="15"/>
        <v>58.982007499999995</v>
      </c>
      <c r="R84" s="344"/>
    </row>
    <row r="85" spans="1:19" ht="15" customHeight="1">
      <c r="A85" s="345"/>
      <c r="B85" s="347"/>
      <c r="C85" s="347"/>
      <c r="D85" s="347"/>
      <c r="E85" s="347"/>
      <c r="F85" s="347"/>
      <c r="G85" s="347"/>
      <c r="H85" s="347"/>
      <c r="I85" s="347"/>
      <c r="J85" s="347"/>
      <c r="K85" s="347"/>
      <c r="L85" s="347"/>
      <c r="M85" s="347"/>
      <c r="N85" s="347"/>
      <c r="O85" s="347"/>
      <c r="P85" s="347"/>
      <c r="Q85" s="347"/>
    </row>
    <row r="86" spans="1:19" ht="15" customHeight="1">
      <c r="A86" s="71" t="s">
        <v>886</v>
      </c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</row>
    <row r="87" spans="1:19" ht="15" customHeight="1">
      <c r="A87" s="71" t="s">
        <v>875</v>
      </c>
      <c r="B87" s="71"/>
      <c r="C87" s="71" t="s">
        <v>639</v>
      </c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</row>
    <row r="88" spans="1:19" ht="15" customHeight="1">
      <c r="A88" s="71" t="s">
        <v>873</v>
      </c>
      <c r="B88" s="71" t="s">
        <v>872</v>
      </c>
      <c r="C88" s="71" t="s">
        <v>707</v>
      </c>
      <c r="D88" s="71" t="s">
        <v>656</v>
      </c>
      <c r="E88" s="71" t="s">
        <v>657</v>
      </c>
      <c r="F88" s="71" t="s">
        <v>658</v>
      </c>
      <c r="G88" s="71" t="s">
        <v>659</v>
      </c>
      <c r="H88" s="71" t="s">
        <v>660</v>
      </c>
      <c r="I88" s="71" t="s">
        <v>661</v>
      </c>
      <c r="J88" s="71" t="s">
        <v>662</v>
      </c>
      <c r="K88" s="71" t="s">
        <v>663</v>
      </c>
      <c r="L88" s="71" t="s">
        <v>664</v>
      </c>
      <c r="M88" s="71" t="s">
        <v>665</v>
      </c>
      <c r="N88" s="71" t="s">
        <v>666</v>
      </c>
      <c r="O88" s="71" t="s">
        <v>667</v>
      </c>
      <c r="P88" s="71">
        <v>7</v>
      </c>
      <c r="Q88" s="71">
        <v>8</v>
      </c>
    </row>
    <row r="89" spans="1:19" ht="15" customHeight="1">
      <c r="A89" s="71">
        <v>10</v>
      </c>
      <c r="B89" s="219">
        <f>Leakage!AF11</f>
        <v>0.50772882298229516</v>
      </c>
      <c r="C89" s="219">
        <f>1.1*C78</f>
        <v>21.626736083333334</v>
      </c>
      <c r="D89" s="219">
        <f t="shared" ref="D89:Q89" si="16">1.1*D78</f>
        <v>21.626736083333334</v>
      </c>
      <c r="E89" s="219">
        <f t="shared" si="16"/>
        <v>21.626736083333334</v>
      </c>
      <c r="F89" s="219">
        <f t="shared" si="16"/>
        <v>21.626736083333334</v>
      </c>
      <c r="G89" s="219">
        <f t="shared" si="16"/>
        <v>21.626736083333334</v>
      </c>
      <c r="H89" s="219">
        <f t="shared" si="16"/>
        <v>21.626736083333334</v>
      </c>
      <c r="I89" s="219">
        <f t="shared" si="16"/>
        <v>21.626736083333334</v>
      </c>
      <c r="J89" s="219">
        <f t="shared" si="16"/>
        <v>21.626736083333334</v>
      </c>
      <c r="K89" s="219">
        <f t="shared" si="16"/>
        <v>21.626736083333334</v>
      </c>
      <c r="L89" s="219">
        <f t="shared" si="16"/>
        <v>21.626736083333334</v>
      </c>
      <c r="M89" s="219">
        <f t="shared" si="16"/>
        <v>21.626736083333334</v>
      </c>
      <c r="N89" s="219">
        <f t="shared" si="16"/>
        <v>21.626736083333334</v>
      </c>
      <c r="O89" s="219">
        <f t="shared" si="16"/>
        <v>21.626736083333334</v>
      </c>
      <c r="P89" s="219">
        <f t="shared" si="16"/>
        <v>21.626736083333334</v>
      </c>
      <c r="Q89" s="219">
        <f t="shared" si="16"/>
        <v>21.626736083333334</v>
      </c>
    </row>
    <row r="90" spans="1:19" ht="15" customHeight="1">
      <c r="A90" s="71">
        <v>7</v>
      </c>
      <c r="B90" s="219">
        <f>Leakage!AF12</f>
        <v>0.3554101760876065</v>
      </c>
      <c r="C90" s="219">
        <f t="shared" ref="C90:Q90" si="17">1.1*C79</f>
        <v>31.499812388595295</v>
      </c>
      <c r="D90" s="219">
        <f t="shared" si="17"/>
        <v>30.68565639197567</v>
      </c>
      <c r="E90" s="219">
        <f t="shared" si="17"/>
        <v>29.871500395356037</v>
      </c>
      <c r="F90" s="219">
        <f t="shared" si="17"/>
        <v>27.429032405497157</v>
      </c>
      <c r="G90" s="219">
        <f t="shared" si="17"/>
        <v>25.800720412257906</v>
      </c>
      <c r="H90" s="219">
        <f t="shared" si="17"/>
        <v>21.626736083333334</v>
      </c>
      <c r="I90" s="219">
        <f t="shared" si="17"/>
        <v>24.172408419018659</v>
      </c>
      <c r="J90" s="219">
        <f t="shared" si="17"/>
        <v>21.626736083333334</v>
      </c>
      <c r="K90" s="219">
        <f t="shared" si="17"/>
        <v>21.626736083333334</v>
      </c>
      <c r="L90" s="219">
        <f t="shared" si="17"/>
        <v>21.626736083333334</v>
      </c>
      <c r="M90" s="219">
        <f t="shared" si="17"/>
        <v>21.626736083333334</v>
      </c>
      <c r="N90" s="219">
        <f t="shared" si="17"/>
        <v>21.626736083333334</v>
      </c>
      <c r="O90" s="219">
        <f t="shared" si="17"/>
        <v>21.626736083333334</v>
      </c>
      <c r="P90" s="219">
        <f t="shared" si="17"/>
        <v>21.626736083333334</v>
      </c>
      <c r="Q90" s="219">
        <f t="shared" si="17"/>
        <v>21.626736083333334</v>
      </c>
    </row>
    <row r="91" spans="1:19" ht="15" customHeight="1">
      <c r="A91" s="71">
        <v>5</v>
      </c>
      <c r="B91" s="219">
        <f>Leakage!AF13</f>
        <v>0.25386441149114758</v>
      </c>
      <c r="C91" s="219">
        <f t="shared" ref="C91:Q91" si="18">1.1*C80</f>
        <v>41.037068348996627</v>
      </c>
      <c r="D91" s="219">
        <f t="shared" si="18"/>
        <v>40.455528351411182</v>
      </c>
      <c r="E91" s="219">
        <f t="shared" si="18"/>
        <v>39.873988353825737</v>
      </c>
      <c r="F91" s="219">
        <f t="shared" si="18"/>
        <v>38.129368361069396</v>
      </c>
      <c r="G91" s="219">
        <f t="shared" si="18"/>
        <v>36.9662883658985</v>
      </c>
      <c r="H91" s="219">
        <f t="shared" si="18"/>
        <v>29.987808394873117</v>
      </c>
      <c r="I91" s="219">
        <f t="shared" si="18"/>
        <v>35.803208370727603</v>
      </c>
      <c r="J91" s="219">
        <f t="shared" si="18"/>
        <v>33.477048380385803</v>
      </c>
      <c r="K91" s="219">
        <f t="shared" si="18"/>
        <v>32.895508382800358</v>
      </c>
      <c r="L91" s="219">
        <f t="shared" si="18"/>
        <v>29.987808394873117</v>
      </c>
      <c r="M91" s="219">
        <f t="shared" si="18"/>
        <v>32.313968385214906</v>
      </c>
      <c r="N91" s="219">
        <f t="shared" si="18"/>
        <v>29.406268397287668</v>
      </c>
      <c r="O91" s="219">
        <f t="shared" si="18"/>
        <v>28.243188402116772</v>
      </c>
      <c r="P91" s="219">
        <f t="shared" si="18"/>
        <v>24.172408419018641</v>
      </c>
      <c r="Q91" s="219">
        <f t="shared" si="18"/>
        <v>24.172408419018641</v>
      </c>
    </row>
    <row r="92" spans="1:19" ht="15" customHeight="1">
      <c r="A92" s="71">
        <v>3</v>
      </c>
      <c r="B92" s="219">
        <f>Leakage!AF14</f>
        <v>0.15231864689468858</v>
      </c>
      <c r="C92" s="219">
        <f t="shared" ref="C92:Q92" si="19">1.1*C81</f>
        <v>50.57432430939798</v>
      </c>
      <c r="D92" s="219">
        <f t="shared" si="19"/>
        <v>50.225400310846709</v>
      </c>
      <c r="E92" s="219">
        <f t="shared" si="19"/>
        <v>49.876476312295445</v>
      </c>
      <c r="F92" s="219">
        <f t="shared" si="19"/>
        <v>48.829704316641632</v>
      </c>
      <c r="G92" s="219">
        <f t="shared" si="19"/>
        <v>48.131856319539096</v>
      </c>
      <c r="H92" s="219">
        <f t="shared" si="19"/>
        <v>43.944768336923872</v>
      </c>
      <c r="I92" s="219">
        <f t="shared" si="19"/>
        <v>47.434008322436554</v>
      </c>
      <c r="J92" s="219">
        <f t="shared" si="19"/>
        <v>46.038312328231484</v>
      </c>
      <c r="K92" s="219">
        <f t="shared" si="19"/>
        <v>45.689388329680213</v>
      </c>
      <c r="L92" s="219">
        <f t="shared" si="19"/>
        <v>43.944768336923872</v>
      </c>
      <c r="M92" s="219">
        <f t="shared" si="19"/>
        <v>45.340464331128942</v>
      </c>
      <c r="N92" s="219">
        <f t="shared" si="19"/>
        <v>43.595844338372601</v>
      </c>
      <c r="O92" s="219">
        <f t="shared" si="19"/>
        <v>42.897996341270058</v>
      </c>
      <c r="P92" s="219">
        <f t="shared" si="19"/>
        <v>40.455528351411175</v>
      </c>
      <c r="Q92" s="219">
        <f t="shared" si="19"/>
        <v>40.455528351411175</v>
      </c>
    </row>
    <row r="93" spans="1:19" ht="15" customHeight="1">
      <c r="A93" s="71">
        <v>1.5</v>
      </c>
      <c r="B93" s="219">
        <f>Leakage!AF15</f>
        <v>7.6159323447344288E-2</v>
      </c>
      <c r="C93" s="219">
        <f t="shared" ref="C93:Q93" si="20">1.1*C82</f>
        <v>57.727266279698988</v>
      </c>
      <c r="D93" s="219">
        <f t="shared" si="20"/>
        <v>57.552804280423352</v>
      </c>
      <c r="E93" s="219">
        <f t="shared" si="20"/>
        <v>57.378342281147717</v>
      </c>
      <c r="F93" s="219">
        <f t="shared" si="20"/>
        <v>56.854956283320817</v>
      </c>
      <c r="G93" s="219">
        <f t="shared" si="20"/>
        <v>56.506032284769546</v>
      </c>
      <c r="H93" s="219">
        <f t="shared" si="20"/>
        <v>54.412488293461934</v>
      </c>
      <c r="I93" s="219">
        <f t="shared" si="20"/>
        <v>56.157108286218275</v>
      </c>
      <c r="J93" s="219">
        <f t="shared" si="20"/>
        <v>55.45926028911574</v>
      </c>
      <c r="K93" s="219">
        <f t="shared" si="20"/>
        <v>55.284798289840104</v>
      </c>
      <c r="L93" s="219">
        <f t="shared" si="20"/>
        <v>54.412488293461934</v>
      </c>
      <c r="M93" s="219">
        <f t="shared" si="20"/>
        <v>55.110336290564469</v>
      </c>
      <c r="N93" s="219">
        <f t="shared" si="20"/>
        <v>54.238026294186298</v>
      </c>
      <c r="O93" s="219">
        <f t="shared" si="20"/>
        <v>53.889102295635027</v>
      </c>
      <c r="P93" s="219">
        <f t="shared" si="20"/>
        <v>52.667868300705585</v>
      </c>
      <c r="Q93" s="219">
        <f t="shared" si="20"/>
        <v>52.667868300705585</v>
      </c>
    </row>
    <row r="94" spans="1:19" ht="15" customHeight="1">
      <c r="A94" s="71">
        <v>0.6</v>
      </c>
      <c r="B94" s="219">
        <f>Leakage!AF16</f>
        <v>3.0463729378937706E-2</v>
      </c>
      <c r="C94" s="219">
        <f t="shared" ref="C94:Q94" si="21">1.1*C83</f>
        <v>62.019031461879592</v>
      </c>
      <c r="D94" s="219">
        <f t="shared" si="21"/>
        <v>61.949246662169344</v>
      </c>
      <c r="E94" s="219">
        <f t="shared" si="21"/>
        <v>61.879461862459088</v>
      </c>
      <c r="F94" s="219">
        <f t="shared" si="21"/>
        <v>61.670107463328328</v>
      </c>
      <c r="G94" s="219">
        <f t="shared" si="21"/>
        <v>61.530537863907817</v>
      </c>
      <c r="H94" s="219">
        <f t="shared" si="21"/>
        <v>60.693120267384778</v>
      </c>
      <c r="I94" s="219">
        <f t="shared" si="21"/>
        <v>61.390968264487313</v>
      </c>
      <c r="J94" s="219">
        <f t="shared" si="21"/>
        <v>61.111829065646297</v>
      </c>
      <c r="K94" s="219">
        <f t="shared" si="21"/>
        <v>61.042044265936042</v>
      </c>
      <c r="L94" s="219">
        <f t="shared" si="21"/>
        <v>60.693120267384778</v>
      </c>
      <c r="M94" s="219">
        <f t="shared" si="21"/>
        <v>60.972259466225786</v>
      </c>
      <c r="N94" s="219">
        <f t="shared" si="21"/>
        <v>60.623335467674522</v>
      </c>
      <c r="O94" s="219">
        <f t="shared" si="21"/>
        <v>60.483765868254011</v>
      </c>
      <c r="P94" s="219">
        <f t="shared" si="21"/>
        <v>59.995272270282236</v>
      </c>
      <c r="Q94" s="219">
        <f t="shared" si="21"/>
        <v>59.995272270282236</v>
      </c>
    </row>
    <row r="95" spans="1:19" ht="15" customHeight="1">
      <c r="A95" s="71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</row>
    <row r="96" spans="1:19" ht="15" customHeight="1">
      <c r="A96" s="345" t="s">
        <v>880</v>
      </c>
      <c r="B96" s="347"/>
      <c r="C96" s="347"/>
      <c r="D96" s="347"/>
      <c r="E96" s="347"/>
      <c r="F96" s="347"/>
      <c r="G96" s="347"/>
      <c r="H96" s="347"/>
      <c r="I96" s="347"/>
      <c r="J96" s="347"/>
      <c r="K96" s="347"/>
      <c r="L96" s="347"/>
      <c r="M96" s="347"/>
      <c r="N96" s="347"/>
      <c r="O96" s="347"/>
      <c r="P96" s="347"/>
      <c r="Q96" s="347"/>
    </row>
    <row r="97" spans="1:17" ht="15" customHeight="1">
      <c r="A97" s="345" t="s">
        <v>881</v>
      </c>
      <c r="B97" s="347"/>
      <c r="C97" s="345" t="s">
        <v>639</v>
      </c>
      <c r="D97" s="345"/>
      <c r="E97" s="345"/>
      <c r="F97" s="345"/>
      <c r="G97" s="345"/>
      <c r="H97" s="345"/>
      <c r="I97" s="345"/>
      <c r="J97" s="345"/>
      <c r="K97" s="345"/>
      <c r="L97" s="345"/>
      <c r="M97" s="345"/>
      <c r="N97" s="345"/>
      <c r="O97" s="345"/>
      <c r="P97" s="345"/>
      <c r="Q97" s="345"/>
    </row>
    <row r="98" spans="1:17" ht="15" customHeight="1">
      <c r="A98" s="345" t="s">
        <v>873</v>
      </c>
      <c r="B98" s="347"/>
      <c r="C98" s="345" t="s">
        <v>707</v>
      </c>
      <c r="D98" s="345" t="s">
        <v>656</v>
      </c>
      <c r="E98" s="345" t="s">
        <v>657</v>
      </c>
      <c r="F98" s="345" t="s">
        <v>658</v>
      </c>
      <c r="G98" s="345" t="s">
        <v>659</v>
      </c>
      <c r="H98" s="345" t="s">
        <v>660</v>
      </c>
      <c r="I98" s="345" t="s">
        <v>661</v>
      </c>
      <c r="J98" s="345" t="s">
        <v>662</v>
      </c>
      <c r="K98" s="345" t="s">
        <v>663</v>
      </c>
      <c r="L98" s="345" t="s">
        <v>664</v>
      </c>
      <c r="M98" s="345" t="s">
        <v>665</v>
      </c>
      <c r="N98" s="345" t="s">
        <v>666</v>
      </c>
      <c r="O98" s="345" t="s">
        <v>667</v>
      </c>
      <c r="P98" s="345">
        <v>7</v>
      </c>
      <c r="Q98" s="345">
        <v>8</v>
      </c>
    </row>
    <row r="99" spans="1:17" ht="15" customHeight="1">
      <c r="A99" s="345">
        <v>10</v>
      </c>
      <c r="B99" s="347">
        <f>Leakage!AF11</f>
        <v>0.50772882298229516</v>
      </c>
      <c r="C99" s="347">
        <f>C78*0.4361</f>
        <v>8.5740178235833326</v>
      </c>
      <c r="D99" s="347">
        <f t="shared" ref="D99:Q99" si="22">D78*0.4361</f>
        <v>8.5740178235833326</v>
      </c>
      <c r="E99" s="347">
        <f t="shared" si="22"/>
        <v>8.5740178235833326</v>
      </c>
      <c r="F99" s="347">
        <f t="shared" si="22"/>
        <v>8.5740178235833326</v>
      </c>
      <c r="G99" s="347">
        <f t="shared" si="22"/>
        <v>8.5740178235833326</v>
      </c>
      <c r="H99" s="347">
        <f t="shared" si="22"/>
        <v>8.5740178235833326</v>
      </c>
      <c r="I99" s="347">
        <f t="shared" si="22"/>
        <v>8.5740178235833326</v>
      </c>
      <c r="J99" s="347">
        <f t="shared" si="22"/>
        <v>8.5740178235833326</v>
      </c>
      <c r="K99" s="347">
        <f t="shared" si="22"/>
        <v>8.5740178235833326</v>
      </c>
      <c r="L99" s="347">
        <f t="shared" si="22"/>
        <v>8.5740178235833326</v>
      </c>
      <c r="M99" s="347">
        <f t="shared" si="22"/>
        <v>8.5740178235833326</v>
      </c>
      <c r="N99" s="347">
        <f t="shared" si="22"/>
        <v>8.5740178235833326</v>
      </c>
      <c r="O99" s="347">
        <f t="shared" si="22"/>
        <v>8.5740178235833326</v>
      </c>
      <c r="P99" s="347">
        <f t="shared" si="22"/>
        <v>8.5740178235833326</v>
      </c>
      <c r="Q99" s="347">
        <f t="shared" si="22"/>
        <v>8.5740178235833326</v>
      </c>
    </row>
    <row r="100" spans="1:17" ht="15" customHeight="1">
      <c r="A100" s="345">
        <v>7</v>
      </c>
      <c r="B100" s="347">
        <f>Leakage!AF12</f>
        <v>0.3554101760876065</v>
      </c>
      <c r="C100" s="347">
        <f t="shared" ref="C100:Q100" si="23">C79*0.4361</f>
        <v>12.488243802424007</v>
      </c>
      <c r="D100" s="347">
        <f t="shared" si="23"/>
        <v>12.16546795685508</v>
      </c>
      <c r="E100" s="347">
        <f t="shared" si="23"/>
        <v>11.842692111286151</v>
      </c>
      <c r="F100" s="347">
        <f t="shared" si="23"/>
        <v>10.874364574579371</v>
      </c>
      <c r="G100" s="347">
        <f t="shared" si="23"/>
        <v>10.22881288344152</v>
      </c>
      <c r="H100" s="347">
        <f t="shared" si="23"/>
        <v>8.5740178235833326</v>
      </c>
      <c r="I100" s="347">
        <f t="shared" si="23"/>
        <v>9.5832611923036684</v>
      </c>
      <c r="J100" s="347">
        <f t="shared" si="23"/>
        <v>8.5740178235833326</v>
      </c>
      <c r="K100" s="347">
        <f t="shared" si="23"/>
        <v>8.5740178235833326</v>
      </c>
      <c r="L100" s="347">
        <f t="shared" si="23"/>
        <v>8.5740178235833326</v>
      </c>
      <c r="M100" s="347">
        <f t="shared" si="23"/>
        <v>8.5740178235833326</v>
      </c>
      <c r="N100" s="347">
        <f t="shared" si="23"/>
        <v>8.5740178235833326</v>
      </c>
      <c r="O100" s="347">
        <f t="shared" si="23"/>
        <v>8.5740178235833326</v>
      </c>
      <c r="P100" s="347">
        <f t="shared" si="23"/>
        <v>8.5740178235833326</v>
      </c>
      <c r="Q100" s="347">
        <f t="shared" si="23"/>
        <v>8.5740178235833326</v>
      </c>
    </row>
    <row r="101" spans="1:17" ht="15" customHeight="1">
      <c r="A101" s="345">
        <v>5</v>
      </c>
      <c r="B101" s="347">
        <f>Leakage!AF13</f>
        <v>0.25386441149114758</v>
      </c>
      <c r="C101" s="347">
        <f t="shared" ref="C101:Q101" si="24">C80*0.4361</f>
        <v>16.269332279088569</v>
      </c>
      <c r="D101" s="347">
        <f t="shared" si="24"/>
        <v>16.038778103682198</v>
      </c>
      <c r="E101" s="347">
        <f t="shared" si="24"/>
        <v>15.808223928275821</v>
      </c>
      <c r="F101" s="347">
        <f t="shared" si="24"/>
        <v>15.116561402056691</v>
      </c>
      <c r="G101" s="347">
        <f t="shared" si="24"/>
        <v>14.655453051243938</v>
      </c>
      <c r="H101" s="347">
        <f t="shared" si="24"/>
        <v>11.888802946367424</v>
      </c>
      <c r="I101" s="347">
        <f t="shared" si="24"/>
        <v>14.194344700431186</v>
      </c>
      <c r="J101" s="347">
        <f t="shared" si="24"/>
        <v>13.272127998805679</v>
      </c>
      <c r="K101" s="347">
        <f t="shared" si="24"/>
        <v>13.041573823399304</v>
      </c>
      <c r="L101" s="347">
        <f t="shared" si="24"/>
        <v>11.888802946367424</v>
      </c>
      <c r="M101" s="347">
        <f t="shared" si="24"/>
        <v>12.811019647992927</v>
      </c>
      <c r="N101" s="347">
        <f t="shared" si="24"/>
        <v>11.658248770961047</v>
      </c>
      <c r="O101" s="347">
        <f t="shared" si="24"/>
        <v>11.197140420148294</v>
      </c>
      <c r="P101" s="347">
        <f t="shared" si="24"/>
        <v>9.583261192303663</v>
      </c>
      <c r="Q101" s="347">
        <f t="shared" si="24"/>
        <v>9.583261192303663</v>
      </c>
    </row>
    <row r="102" spans="1:17" ht="15" customHeight="1">
      <c r="A102" s="345">
        <v>3</v>
      </c>
      <c r="B102" s="347">
        <f>Leakage!AF14</f>
        <v>0.15231864689468858</v>
      </c>
      <c r="C102" s="347">
        <f t="shared" ref="C102:Q102" si="25">C81*0.4361</f>
        <v>20.050420755753141</v>
      </c>
      <c r="D102" s="347">
        <f t="shared" si="25"/>
        <v>19.912088250509314</v>
      </c>
      <c r="E102" s="347">
        <f t="shared" si="25"/>
        <v>19.77375574526549</v>
      </c>
      <c r="F102" s="347">
        <f t="shared" si="25"/>
        <v>19.358758229534011</v>
      </c>
      <c r="G102" s="347">
        <f t="shared" si="25"/>
        <v>19.08209321904636</v>
      </c>
      <c r="H102" s="347">
        <f t="shared" si="25"/>
        <v>17.422103156120453</v>
      </c>
      <c r="I102" s="347">
        <f t="shared" si="25"/>
        <v>18.805428208558709</v>
      </c>
      <c r="J102" s="347">
        <f t="shared" si="25"/>
        <v>18.252098187583407</v>
      </c>
      <c r="K102" s="347">
        <f t="shared" si="25"/>
        <v>18.113765682339579</v>
      </c>
      <c r="L102" s="347">
        <f t="shared" si="25"/>
        <v>17.422103156120453</v>
      </c>
      <c r="M102" s="347">
        <f t="shared" si="25"/>
        <v>17.975433177095752</v>
      </c>
      <c r="N102" s="347">
        <f t="shared" si="25"/>
        <v>17.283770650876626</v>
      </c>
      <c r="O102" s="347">
        <f t="shared" si="25"/>
        <v>17.007105640388975</v>
      </c>
      <c r="P102" s="347">
        <f t="shared" si="25"/>
        <v>16.038778103682194</v>
      </c>
      <c r="Q102" s="347">
        <f t="shared" si="25"/>
        <v>16.038778103682194</v>
      </c>
    </row>
    <row r="103" spans="1:17" ht="15" customHeight="1">
      <c r="A103" s="345">
        <v>1.5</v>
      </c>
      <c r="B103" s="347">
        <f>Leakage!AF15</f>
        <v>7.6159323447344288E-2</v>
      </c>
      <c r="C103" s="347">
        <f t="shared" ref="C103:Q103" si="26">C82*0.4361</f>
        <v>22.886237113251568</v>
      </c>
      <c r="D103" s="347">
        <f t="shared" si="26"/>
        <v>22.817070860629656</v>
      </c>
      <c r="E103" s="347">
        <f t="shared" si="26"/>
        <v>22.747904608007744</v>
      </c>
      <c r="F103" s="347">
        <f t="shared" si="26"/>
        <v>22.540405850142005</v>
      </c>
      <c r="G103" s="347">
        <f t="shared" si="26"/>
        <v>22.402073344898177</v>
      </c>
      <c r="H103" s="347">
        <f t="shared" si="26"/>
        <v>21.572078313435224</v>
      </c>
      <c r="I103" s="347">
        <f t="shared" si="26"/>
        <v>22.263740839654353</v>
      </c>
      <c r="J103" s="347">
        <f t="shared" si="26"/>
        <v>21.987075829166702</v>
      </c>
      <c r="K103" s="347">
        <f t="shared" si="26"/>
        <v>21.91790957654479</v>
      </c>
      <c r="L103" s="347">
        <f t="shared" si="26"/>
        <v>21.572078313435224</v>
      </c>
      <c r="M103" s="347">
        <f t="shared" si="26"/>
        <v>21.848743323922875</v>
      </c>
      <c r="N103" s="347">
        <f t="shared" si="26"/>
        <v>21.502912060813312</v>
      </c>
      <c r="O103" s="347">
        <f t="shared" si="26"/>
        <v>21.364579555569485</v>
      </c>
      <c r="P103" s="347">
        <f t="shared" si="26"/>
        <v>20.880415787216094</v>
      </c>
      <c r="Q103" s="347">
        <f t="shared" si="26"/>
        <v>20.880415787216094</v>
      </c>
    </row>
    <row r="104" spans="1:17" ht="15" customHeight="1">
      <c r="A104" s="345">
        <v>0.6</v>
      </c>
      <c r="B104" s="347">
        <f>Leakage!AF16</f>
        <v>3.0463729378937706E-2</v>
      </c>
      <c r="C104" s="347">
        <f t="shared" ref="C104:Q104" si="27">C83*0.4361</f>
        <v>24.587726927750623</v>
      </c>
      <c r="D104" s="347">
        <f t="shared" si="27"/>
        <v>24.560060426701863</v>
      </c>
      <c r="E104" s="347">
        <f t="shared" si="27"/>
        <v>24.532393925653096</v>
      </c>
      <c r="F104" s="347">
        <f t="shared" si="27"/>
        <v>24.449394422506803</v>
      </c>
      <c r="G104" s="347">
        <f t="shared" si="27"/>
        <v>24.394061420409269</v>
      </c>
      <c r="H104" s="347">
        <f t="shared" si="27"/>
        <v>24.062063407824091</v>
      </c>
      <c r="I104" s="347">
        <f t="shared" si="27"/>
        <v>24.338728418311739</v>
      </c>
      <c r="J104" s="347">
        <f t="shared" si="27"/>
        <v>24.228062414116678</v>
      </c>
      <c r="K104" s="347">
        <f t="shared" si="27"/>
        <v>24.200395913067911</v>
      </c>
      <c r="L104" s="347">
        <f t="shared" si="27"/>
        <v>24.062063407824091</v>
      </c>
      <c r="M104" s="347">
        <f t="shared" si="27"/>
        <v>24.172729412019148</v>
      </c>
      <c r="N104" s="347">
        <f t="shared" si="27"/>
        <v>24.034396906775324</v>
      </c>
      <c r="O104" s="347">
        <f t="shared" si="27"/>
        <v>23.979063904677794</v>
      </c>
      <c r="P104" s="347">
        <f t="shared" si="27"/>
        <v>23.785398397336436</v>
      </c>
      <c r="Q104" s="347">
        <f t="shared" si="27"/>
        <v>23.785398397336436</v>
      </c>
    </row>
    <row r="105" spans="1:17" ht="15" customHeight="1">
      <c r="A105" s="345" t="s">
        <v>885</v>
      </c>
      <c r="B105" s="347" t="s">
        <v>748</v>
      </c>
      <c r="C105" s="347">
        <f t="shared" ref="C105:Q105" si="28">C84*0.4361</f>
        <v>25.722053470749998</v>
      </c>
      <c r="D105" s="347">
        <f t="shared" si="28"/>
        <v>25.722053470749998</v>
      </c>
      <c r="E105" s="347">
        <f t="shared" si="28"/>
        <v>25.722053470749998</v>
      </c>
      <c r="F105" s="347">
        <f t="shared" si="28"/>
        <v>25.722053470749998</v>
      </c>
      <c r="G105" s="347">
        <f t="shared" si="28"/>
        <v>25.722053470749998</v>
      </c>
      <c r="H105" s="347">
        <f t="shared" si="28"/>
        <v>25.722053470749998</v>
      </c>
      <c r="I105" s="347">
        <f t="shared" si="28"/>
        <v>25.722053470749998</v>
      </c>
      <c r="J105" s="347">
        <f t="shared" si="28"/>
        <v>25.722053470749998</v>
      </c>
      <c r="K105" s="347">
        <f t="shared" si="28"/>
        <v>25.722053470749998</v>
      </c>
      <c r="L105" s="347">
        <f t="shared" si="28"/>
        <v>25.722053470749998</v>
      </c>
      <c r="M105" s="347">
        <f t="shared" si="28"/>
        <v>25.722053470749998</v>
      </c>
      <c r="N105" s="347">
        <f t="shared" si="28"/>
        <v>25.722053470749998</v>
      </c>
      <c r="O105" s="347">
        <f t="shared" si="28"/>
        <v>25.722053470749998</v>
      </c>
      <c r="P105" s="347">
        <f t="shared" si="28"/>
        <v>25.722053470749998</v>
      </c>
      <c r="Q105" s="347">
        <f t="shared" si="28"/>
        <v>25.722053470749998</v>
      </c>
    </row>
    <row r="106" spans="1:17" ht="15" customHeight="1">
      <c r="A106" s="345"/>
      <c r="B106" s="347"/>
      <c r="C106" s="347"/>
      <c r="D106" s="347"/>
      <c r="E106" s="347"/>
      <c r="F106" s="347"/>
      <c r="G106" s="347"/>
      <c r="H106" s="347"/>
      <c r="I106" s="347"/>
      <c r="J106" s="347"/>
      <c r="K106" s="347"/>
      <c r="L106" s="347"/>
      <c r="M106" s="347"/>
      <c r="N106" s="347"/>
      <c r="O106" s="347"/>
      <c r="P106" s="347"/>
      <c r="Q106" s="347"/>
    </row>
    <row r="107" spans="1:17" ht="15" customHeight="1">
      <c r="A107" s="345"/>
      <c r="B107" s="347"/>
      <c r="C107" s="347"/>
      <c r="D107" s="347"/>
      <c r="E107" s="347"/>
      <c r="F107" s="347"/>
      <c r="G107" s="347">
        <f>43.3*0.4361</f>
        <v>18.883129999999998</v>
      </c>
      <c r="H107" s="347"/>
      <c r="I107" s="347"/>
      <c r="J107" s="347"/>
      <c r="K107" s="347"/>
      <c r="L107" s="347"/>
      <c r="M107" s="347"/>
      <c r="N107" s="347"/>
      <c r="O107" s="347"/>
      <c r="P107" s="347"/>
      <c r="Q107" s="347"/>
    </row>
    <row r="108" spans="1:17" ht="15" customHeight="1">
      <c r="A108" s="71" t="s">
        <v>887</v>
      </c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</row>
    <row r="109" spans="1:17" ht="15" customHeight="1">
      <c r="A109" s="71" t="s">
        <v>881</v>
      </c>
      <c r="B109" s="219"/>
      <c r="C109" s="71" t="s">
        <v>639</v>
      </c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</row>
    <row r="110" spans="1:17" ht="15" customHeight="1">
      <c r="A110" s="71" t="s">
        <v>873</v>
      </c>
      <c r="B110" s="219"/>
      <c r="C110" s="71" t="s">
        <v>707</v>
      </c>
      <c r="D110" s="71" t="s">
        <v>656</v>
      </c>
      <c r="E110" s="71" t="s">
        <v>657</v>
      </c>
      <c r="F110" s="71" t="s">
        <v>658</v>
      </c>
      <c r="G110" s="71" t="s">
        <v>659</v>
      </c>
      <c r="H110" s="71" t="s">
        <v>660</v>
      </c>
      <c r="I110" s="71" t="s">
        <v>661</v>
      </c>
      <c r="J110" s="71" t="s">
        <v>662</v>
      </c>
      <c r="K110" s="71" t="s">
        <v>663</v>
      </c>
      <c r="L110" s="71" t="s">
        <v>664</v>
      </c>
      <c r="M110" s="71" t="s">
        <v>665</v>
      </c>
      <c r="N110" s="71" t="s">
        <v>666</v>
      </c>
      <c r="O110" s="71" t="s">
        <v>667</v>
      </c>
      <c r="P110" s="71">
        <v>7</v>
      </c>
      <c r="Q110" s="71">
        <v>8</v>
      </c>
    </row>
    <row r="111" spans="1:17" ht="15" customHeight="1">
      <c r="A111" s="71">
        <v>10</v>
      </c>
      <c r="B111" s="219">
        <f>Leakage!AF11</f>
        <v>0.50772882298229516</v>
      </c>
      <c r="C111" s="219">
        <f>C99*1.1</f>
        <v>9.4314196059416666</v>
      </c>
      <c r="D111" s="219">
        <f t="shared" ref="D111:Q111" si="29">D99*1.1</f>
        <v>9.4314196059416666</v>
      </c>
      <c r="E111" s="219">
        <f t="shared" si="29"/>
        <v>9.4314196059416666</v>
      </c>
      <c r="F111" s="219">
        <f t="shared" si="29"/>
        <v>9.4314196059416666</v>
      </c>
      <c r="G111" s="219">
        <f t="shared" si="29"/>
        <v>9.4314196059416666</v>
      </c>
      <c r="H111" s="219">
        <f t="shared" si="29"/>
        <v>9.4314196059416666</v>
      </c>
      <c r="I111" s="219">
        <f t="shared" si="29"/>
        <v>9.4314196059416666</v>
      </c>
      <c r="J111" s="219">
        <f t="shared" si="29"/>
        <v>9.4314196059416666</v>
      </c>
      <c r="K111" s="219">
        <f t="shared" si="29"/>
        <v>9.4314196059416666</v>
      </c>
      <c r="L111" s="219">
        <f t="shared" si="29"/>
        <v>9.4314196059416666</v>
      </c>
      <c r="M111" s="219">
        <f t="shared" si="29"/>
        <v>9.4314196059416666</v>
      </c>
      <c r="N111" s="219">
        <f t="shared" si="29"/>
        <v>9.4314196059416666</v>
      </c>
      <c r="O111" s="219">
        <f t="shared" si="29"/>
        <v>9.4314196059416666</v>
      </c>
      <c r="P111" s="219">
        <f t="shared" si="29"/>
        <v>9.4314196059416666</v>
      </c>
      <c r="Q111" s="219">
        <f t="shared" si="29"/>
        <v>9.4314196059416666</v>
      </c>
    </row>
    <row r="112" spans="1:17" ht="15" customHeight="1">
      <c r="A112" s="71">
        <v>7</v>
      </c>
      <c r="B112" s="219">
        <f>Leakage!AF12</f>
        <v>0.3554101760876065</v>
      </c>
      <c r="C112" s="219">
        <f t="shared" ref="C112:Q112" si="30">C100*1.1</f>
        <v>13.737068182666409</v>
      </c>
      <c r="D112" s="219">
        <f t="shared" si="30"/>
        <v>13.38201475254059</v>
      </c>
      <c r="E112" s="219">
        <f t="shared" si="30"/>
        <v>13.026961322414767</v>
      </c>
      <c r="F112" s="219">
        <f t="shared" si="30"/>
        <v>11.961801032037309</v>
      </c>
      <c r="G112" s="219">
        <f t="shared" si="30"/>
        <v>11.251694171785674</v>
      </c>
      <c r="H112" s="219">
        <f t="shared" si="30"/>
        <v>9.4314196059416666</v>
      </c>
      <c r="I112" s="219">
        <f t="shared" si="30"/>
        <v>10.541587311534036</v>
      </c>
      <c r="J112" s="219">
        <f t="shared" si="30"/>
        <v>9.4314196059416666</v>
      </c>
      <c r="K112" s="219">
        <f t="shared" si="30"/>
        <v>9.4314196059416666</v>
      </c>
      <c r="L112" s="219">
        <f t="shared" si="30"/>
        <v>9.4314196059416666</v>
      </c>
      <c r="M112" s="219">
        <f t="shared" si="30"/>
        <v>9.4314196059416666</v>
      </c>
      <c r="N112" s="219">
        <f t="shared" si="30"/>
        <v>9.4314196059416666</v>
      </c>
      <c r="O112" s="219">
        <f t="shared" si="30"/>
        <v>9.4314196059416666</v>
      </c>
      <c r="P112" s="219">
        <f t="shared" si="30"/>
        <v>9.4314196059416666</v>
      </c>
      <c r="Q112" s="219">
        <f t="shared" si="30"/>
        <v>9.4314196059416666</v>
      </c>
    </row>
    <row r="113" spans="1:17" ht="15" customHeight="1">
      <c r="A113" s="71">
        <v>5</v>
      </c>
      <c r="B113" s="219">
        <f>Leakage!AF13</f>
        <v>0.25386441149114758</v>
      </c>
      <c r="C113" s="219">
        <f t="shared" ref="C113:Q113" si="31">C101*1.1</f>
        <v>17.896265506997427</v>
      </c>
      <c r="D113" s="219">
        <f t="shared" si="31"/>
        <v>17.642655914050419</v>
      </c>
      <c r="E113" s="219">
        <f t="shared" si="31"/>
        <v>17.389046321103404</v>
      </c>
      <c r="F113" s="219">
        <f t="shared" si="31"/>
        <v>16.628217542262362</v>
      </c>
      <c r="G113" s="219">
        <f t="shared" si="31"/>
        <v>16.120998356368332</v>
      </c>
      <c r="H113" s="219">
        <f t="shared" si="31"/>
        <v>13.077683241004166</v>
      </c>
      <c r="I113" s="219">
        <f t="shared" si="31"/>
        <v>15.613779170474306</v>
      </c>
      <c r="J113" s="219">
        <f t="shared" si="31"/>
        <v>14.599340798686248</v>
      </c>
      <c r="K113" s="219">
        <f t="shared" si="31"/>
        <v>14.345731205739236</v>
      </c>
      <c r="L113" s="219">
        <f t="shared" si="31"/>
        <v>13.077683241004166</v>
      </c>
      <c r="M113" s="219">
        <f t="shared" si="31"/>
        <v>14.092121612792221</v>
      </c>
      <c r="N113" s="219">
        <f t="shared" si="31"/>
        <v>12.824073648057151</v>
      </c>
      <c r="O113" s="219">
        <f t="shared" si="31"/>
        <v>12.316854462163125</v>
      </c>
      <c r="P113" s="219">
        <f t="shared" si="31"/>
        <v>10.54158731153403</v>
      </c>
      <c r="Q113" s="219">
        <f t="shared" si="31"/>
        <v>10.54158731153403</v>
      </c>
    </row>
    <row r="114" spans="1:17" ht="15" customHeight="1">
      <c r="A114" s="71">
        <v>3</v>
      </c>
      <c r="B114" s="219">
        <f>Leakage!AF14</f>
        <v>0.15231864689468858</v>
      </c>
      <c r="C114" s="219">
        <f t="shared" ref="C114:Q114" si="32">C102*1.1</f>
        <v>22.055462831328455</v>
      </c>
      <c r="D114" s="219">
        <f t="shared" si="32"/>
        <v>21.903297075560246</v>
      </c>
      <c r="E114" s="219">
        <f t="shared" si="32"/>
        <v>21.751131319792041</v>
      </c>
      <c r="F114" s="219">
        <f t="shared" si="32"/>
        <v>21.294634052487414</v>
      </c>
      <c r="G114" s="219">
        <f t="shared" si="32"/>
        <v>20.990302540950999</v>
      </c>
      <c r="H114" s="219">
        <f t="shared" si="32"/>
        <v>19.164313471732502</v>
      </c>
      <c r="I114" s="219">
        <f t="shared" si="32"/>
        <v>20.685971029414581</v>
      </c>
      <c r="J114" s="219">
        <f t="shared" si="32"/>
        <v>20.077308006341749</v>
      </c>
      <c r="K114" s="219">
        <f t="shared" si="32"/>
        <v>19.92514225057354</v>
      </c>
      <c r="L114" s="219">
        <f t="shared" si="32"/>
        <v>19.164313471732502</v>
      </c>
      <c r="M114" s="219">
        <f t="shared" si="32"/>
        <v>19.772976494805327</v>
      </c>
      <c r="N114" s="219">
        <f t="shared" si="32"/>
        <v>19.012147715964289</v>
      </c>
      <c r="O114" s="219">
        <f t="shared" si="32"/>
        <v>18.707816204427875</v>
      </c>
      <c r="P114" s="219">
        <f t="shared" si="32"/>
        <v>17.642655914050415</v>
      </c>
      <c r="Q114" s="219">
        <f t="shared" si="32"/>
        <v>17.642655914050415</v>
      </c>
    </row>
    <row r="115" spans="1:17" ht="15" customHeight="1">
      <c r="A115" s="71">
        <v>1.5</v>
      </c>
      <c r="B115" s="219">
        <f>Leakage!AF15</f>
        <v>7.6159323447344288E-2</v>
      </c>
      <c r="C115" s="219">
        <f t="shared" ref="C115:Q115" si="33">C103*1.1</f>
        <v>25.174860824576726</v>
      </c>
      <c r="D115" s="219">
        <f t="shared" si="33"/>
        <v>25.098777946692625</v>
      </c>
      <c r="E115" s="219">
        <f t="shared" si="33"/>
        <v>25.02269506880852</v>
      </c>
      <c r="F115" s="219">
        <f t="shared" si="33"/>
        <v>24.794446435156207</v>
      </c>
      <c r="G115" s="219">
        <f t="shared" si="33"/>
        <v>24.642280679387998</v>
      </c>
      <c r="H115" s="219">
        <f t="shared" si="33"/>
        <v>23.729286144778747</v>
      </c>
      <c r="I115" s="219">
        <f t="shared" si="33"/>
        <v>24.490114923619792</v>
      </c>
      <c r="J115" s="219">
        <f t="shared" si="33"/>
        <v>24.185783412083374</v>
      </c>
      <c r="K115" s="219">
        <f t="shared" si="33"/>
        <v>24.10970053419927</v>
      </c>
      <c r="L115" s="219">
        <f t="shared" si="33"/>
        <v>23.729286144778747</v>
      </c>
      <c r="M115" s="219">
        <f t="shared" si="33"/>
        <v>24.033617656315165</v>
      </c>
      <c r="N115" s="219">
        <f t="shared" si="33"/>
        <v>23.653203266894646</v>
      </c>
      <c r="O115" s="219">
        <f t="shared" si="33"/>
        <v>23.501037511126434</v>
      </c>
      <c r="P115" s="219">
        <f t="shared" si="33"/>
        <v>22.968457365937706</v>
      </c>
      <c r="Q115" s="219">
        <f t="shared" si="33"/>
        <v>22.968457365937706</v>
      </c>
    </row>
    <row r="116" spans="1:17" ht="15" customHeight="1">
      <c r="A116" s="71">
        <v>0.6</v>
      </c>
      <c r="B116" s="219">
        <f>Leakage!AF16</f>
        <v>3.0463729378937706E-2</v>
      </c>
      <c r="C116" s="219">
        <f t="shared" ref="C116:Q116" si="34">C104*1.1</f>
        <v>27.046499620525687</v>
      </c>
      <c r="D116" s="219">
        <f t="shared" si="34"/>
        <v>27.016066469372053</v>
      </c>
      <c r="E116" s="219">
        <f t="shared" si="34"/>
        <v>26.985633318218408</v>
      </c>
      <c r="F116" s="219">
        <f t="shared" si="34"/>
        <v>26.894333864757485</v>
      </c>
      <c r="G116" s="219">
        <f t="shared" si="34"/>
        <v>26.833467562450199</v>
      </c>
      <c r="H116" s="219">
        <f t="shared" si="34"/>
        <v>26.468269748606502</v>
      </c>
      <c r="I116" s="219">
        <f t="shared" si="34"/>
        <v>26.772601260142913</v>
      </c>
      <c r="J116" s="219">
        <f t="shared" si="34"/>
        <v>26.650868655528349</v>
      </c>
      <c r="K116" s="219">
        <f t="shared" si="34"/>
        <v>26.620435504374704</v>
      </c>
      <c r="L116" s="219">
        <f t="shared" si="34"/>
        <v>26.468269748606502</v>
      </c>
      <c r="M116" s="219">
        <f t="shared" si="34"/>
        <v>26.590002353221067</v>
      </c>
      <c r="N116" s="219">
        <f t="shared" si="34"/>
        <v>26.437836597452858</v>
      </c>
      <c r="O116" s="219">
        <f t="shared" si="34"/>
        <v>26.376970295145576</v>
      </c>
      <c r="P116" s="219">
        <f t="shared" si="34"/>
        <v>26.163938237070081</v>
      </c>
      <c r="Q116" s="219">
        <f t="shared" si="34"/>
        <v>26.163938237070081</v>
      </c>
    </row>
    <row r="117" spans="1:17" ht="15" customHeight="1">
      <c r="A117" s="71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</row>
  </sheetData>
  <hyperlinks>
    <hyperlink ref="G24" r:id="rId1"/>
    <hyperlink ref="G25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51"/>
  <sheetViews>
    <sheetView topLeftCell="A4" workbookViewId="0">
      <selection activeCell="B25" sqref="B25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336</v>
      </c>
      <c r="B1" s="4"/>
      <c r="C1" s="4"/>
      <c r="D1" s="4"/>
      <c r="E1" s="4"/>
      <c r="G1" s="5" t="s">
        <v>590</v>
      </c>
      <c r="O1" s="557" t="s">
        <v>573</v>
      </c>
      <c r="P1" s="157" t="s">
        <v>596</v>
      </c>
      <c r="Q1" s="157" t="s">
        <v>598</v>
      </c>
      <c r="R1" s="152" t="s">
        <v>599</v>
      </c>
    </row>
    <row r="2" spans="1:19" ht="15" customHeight="1">
      <c r="A2" s="14" t="s">
        <v>547</v>
      </c>
      <c r="G2" s="57" t="s">
        <v>589</v>
      </c>
      <c r="O2" s="558"/>
      <c r="P2" s="158" t="s">
        <v>597</v>
      </c>
      <c r="Q2" s="158" t="s">
        <v>597</v>
      </c>
      <c r="R2" s="156" t="s">
        <v>600</v>
      </c>
    </row>
    <row r="3" spans="1:19" ht="15" customHeight="1">
      <c r="G3" s="5" t="s">
        <v>591</v>
      </c>
      <c r="O3" s="154">
        <v>2</v>
      </c>
      <c r="P3" s="159">
        <v>7.8</v>
      </c>
      <c r="Q3" s="159">
        <v>3.2</v>
      </c>
      <c r="R3" s="153" t="s">
        <v>601</v>
      </c>
    </row>
    <row r="4" spans="1:19" ht="15" customHeight="1">
      <c r="A4" s="108" t="s">
        <v>482</v>
      </c>
      <c r="B4" s="109" t="s">
        <v>280</v>
      </c>
      <c r="C4" s="109" t="s">
        <v>130</v>
      </c>
      <c r="D4" s="109" t="s">
        <v>337</v>
      </c>
      <c r="E4" s="109" t="s">
        <v>130</v>
      </c>
      <c r="G4" s="5" t="s">
        <v>452</v>
      </c>
      <c r="O4" s="154">
        <v>3</v>
      </c>
      <c r="P4" s="159">
        <v>12.1</v>
      </c>
      <c r="Q4" s="159">
        <v>3.6</v>
      </c>
      <c r="R4" s="153" t="s">
        <v>602</v>
      </c>
    </row>
    <row r="5" spans="1:19" ht="15" customHeight="1">
      <c r="A5" s="83" t="s">
        <v>338</v>
      </c>
      <c r="B5" s="352">
        <f>SUM(A40:A43,A45,A47:A51)+SUM(B40:B41)*A_houseFT+SUM(C40:C43,C45,C47:C51)*Nbedrooms</f>
        <v>80078.817411194846</v>
      </c>
      <c r="C5" s="5" t="s">
        <v>339</v>
      </c>
      <c r="D5" s="523">
        <f>B5/24/3412</f>
        <v>0.97790662137547446</v>
      </c>
      <c r="E5" s="5" t="s">
        <v>554</v>
      </c>
      <c r="O5" s="154">
        <v>4</v>
      </c>
      <c r="P5" s="159">
        <v>13.8</v>
      </c>
      <c r="Q5" s="159">
        <v>4</v>
      </c>
      <c r="R5" s="153" t="s">
        <v>603</v>
      </c>
    </row>
    <row r="6" spans="1:19" ht="15" customHeight="1">
      <c r="D6" s="328">
        <f>1000*D5</f>
        <v>977.90662137547451</v>
      </c>
      <c r="E6" s="5" t="s">
        <v>32</v>
      </c>
      <c r="G6" s="305"/>
      <c r="O6" s="155">
        <v>5</v>
      </c>
      <c r="P6" s="158">
        <v>14.7</v>
      </c>
      <c r="Q6" s="158">
        <v>4.4000000000000004</v>
      </c>
      <c r="R6" s="156" t="s">
        <v>604</v>
      </c>
    </row>
    <row r="7" spans="1:19" ht="15" customHeight="1">
      <c r="O7" s="151" t="s">
        <v>612</v>
      </c>
      <c r="P7" s="20"/>
      <c r="Q7" s="20"/>
      <c r="R7" s="20"/>
    </row>
    <row r="8" spans="1:19" s="139" customFormat="1" ht="15" customHeight="1">
      <c r="O8" s="151"/>
      <c r="P8" s="20"/>
      <c r="Q8" s="20"/>
      <c r="R8" s="20"/>
    </row>
    <row r="9" spans="1:19" ht="45" customHeight="1">
      <c r="O9" s="557" t="s">
        <v>605</v>
      </c>
      <c r="P9" s="559" t="s">
        <v>573</v>
      </c>
      <c r="Q9" s="157" t="s">
        <v>482</v>
      </c>
      <c r="R9" s="152" t="s">
        <v>607</v>
      </c>
      <c r="S9" s="152" t="s">
        <v>607</v>
      </c>
    </row>
    <row r="10" spans="1:19" ht="15" customHeight="1">
      <c r="A10" s="110" t="s">
        <v>483</v>
      </c>
      <c r="B10" s="111" t="s">
        <v>280</v>
      </c>
      <c r="C10" s="111" t="s">
        <v>130</v>
      </c>
      <c r="D10" s="111" t="s">
        <v>131</v>
      </c>
      <c r="E10" s="111" t="s">
        <v>130</v>
      </c>
      <c r="G10" s="5" t="s">
        <v>580</v>
      </c>
      <c r="O10" s="558"/>
      <c r="P10" s="560"/>
      <c r="Q10" s="158" t="s">
        <v>606</v>
      </c>
      <c r="R10" s="156" t="s">
        <v>597</v>
      </c>
      <c r="S10" s="156" t="s">
        <v>606</v>
      </c>
    </row>
    <row r="11" spans="1:19" ht="15" customHeight="1">
      <c r="A11" s="105" t="s">
        <v>338</v>
      </c>
      <c r="B11" s="70"/>
      <c r="C11" s="70"/>
      <c r="D11" s="70">
        <f>VLOOKUP(OccDensity,A29:F37,6,FALSE)</f>
        <v>6.5</v>
      </c>
      <c r="E11" s="70" t="s">
        <v>340</v>
      </c>
      <c r="G11" s="5" t="s">
        <v>574</v>
      </c>
      <c r="O11" s="154" t="s">
        <v>608</v>
      </c>
      <c r="P11" s="159">
        <v>4</v>
      </c>
      <c r="Q11" s="159">
        <v>464</v>
      </c>
      <c r="R11" s="153">
        <v>9.8000000000000007</v>
      </c>
      <c r="S11" s="153">
        <v>277</v>
      </c>
    </row>
    <row r="12" spans="1:19" ht="15" customHeight="1">
      <c r="A12" s="106"/>
      <c r="B12" s="70"/>
      <c r="C12" s="70"/>
      <c r="D12" s="482">
        <f>D11/24/60/60</f>
        <v>7.5231481481481474E-5</v>
      </c>
      <c r="E12" s="70" t="s">
        <v>341</v>
      </c>
      <c r="G12" s="5" t="s">
        <v>575</v>
      </c>
      <c r="O12" s="154" t="s">
        <v>609</v>
      </c>
      <c r="P12" s="159">
        <v>4</v>
      </c>
      <c r="Q12" s="159">
        <v>628.9</v>
      </c>
      <c r="R12" s="153">
        <v>9.8000000000000007</v>
      </c>
      <c r="S12" s="153">
        <v>277</v>
      </c>
    </row>
    <row r="13" spans="1:19" ht="15" customHeight="1">
      <c r="G13" s="5" t="s">
        <v>576</v>
      </c>
      <c r="O13" s="160" t="s">
        <v>610</v>
      </c>
      <c r="P13" s="158">
        <v>5</v>
      </c>
      <c r="Q13" s="158">
        <v>738.8</v>
      </c>
      <c r="R13" s="156">
        <v>10.3</v>
      </c>
      <c r="S13" s="156">
        <v>291</v>
      </c>
    </row>
    <row r="14" spans="1:19" ht="15" customHeight="1">
      <c r="G14" s="5" t="s">
        <v>577</v>
      </c>
      <c r="O14" s="150" t="s">
        <v>611</v>
      </c>
    </row>
    <row r="15" spans="1:19" ht="15" customHeight="1">
      <c r="A15" s="4" t="s">
        <v>548</v>
      </c>
      <c r="G15" s="5" t="s">
        <v>578</v>
      </c>
    </row>
    <row r="16" spans="1:19" ht="15" customHeight="1">
      <c r="A16" s="14" t="s">
        <v>549</v>
      </c>
      <c r="G16" s="5" t="s">
        <v>579</v>
      </c>
      <c r="Q16" s="305" t="s">
        <v>813</v>
      </c>
      <c r="R16" s="305" t="s">
        <v>814</v>
      </c>
      <c r="S16" s="305" t="s">
        <v>815</v>
      </c>
    </row>
    <row r="17" spans="1:18" ht="15" customHeight="1">
      <c r="P17" s="305" t="s">
        <v>339</v>
      </c>
      <c r="Q17" s="336">
        <v>43316</v>
      </c>
      <c r="R17" s="336">
        <v>4687</v>
      </c>
    </row>
    <row r="18" spans="1:18" ht="15" customHeight="1">
      <c r="A18" s="108" t="s">
        <v>550</v>
      </c>
      <c r="B18" s="81" t="s">
        <v>32</v>
      </c>
      <c r="C18" s="81" t="s">
        <v>554</v>
      </c>
      <c r="P18" s="305" t="s">
        <v>32</v>
      </c>
      <c r="Q18" s="17">
        <f>(Q17/24)/3.412</f>
        <v>528.96639312231343</v>
      </c>
      <c r="R18" s="17">
        <f>(R17/24)/3.412</f>
        <v>57.236713559984366</v>
      </c>
    </row>
    <row r="19" spans="1:18" ht="15" customHeight="1">
      <c r="A19" s="94" t="s">
        <v>551</v>
      </c>
      <c r="B19" s="15">
        <f>136+2.2*A_houseSI+22*B22</f>
        <v>883.73611000000005</v>
      </c>
      <c r="C19" s="17">
        <f>B19/1000</f>
        <v>0.88373611000000007</v>
      </c>
      <c r="Q19" s="305" t="s">
        <v>816</v>
      </c>
    </row>
    <row r="20" spans="1:18" ht="15" customHeight="1">
      <c r="A20" s="94" t="s">
        <v>552</v>
      </c>
      <c r="B20" s="15">
        <f>20+0.22*A_houseSI+12*'Internal gains'!B22</f>
        <v>133.97361100000001</v>
      </c>
      <c r="C20" s="17">
        <f>B20/1000</f>
        <v>0.13397361099999999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90" t="s">
        <v>1159</v>
      </c>
      <c r="B22" s="405">
        <f>VLOOKUP(CONCATENATE(OccDensity,HomeSize),C28:G37,5,FALSE)</f>
        <v>4</v>
      </c>
      <c r="F22" s="305"/>
      <c r="G22" s="305"/>
    </row>
    <row r="23" spans="1:18" ht="15" customHeight="1">
      <c r="A23" s="290" t="s">
        <v>1158</v>
      </c>
      <c r="B23" s="405">
        <f>Noccupants-1</f>
        <v>3</v>
      </c>
      <c r="F23" s="305"/>
      <c r="G23" s="305"/>
      <c r="H23" s="305"/>
    </row>
    <row r="24" spans="1:18" ht="15" customHeight="1">
      <c r="A24" s="290" t="s">
        <v>973</v>
      </c>
      <c r="B24" s="337" t="str">
        <f>CONCATENATE("sched", VLOOKUP(CONCATENATE(OccDensity,HomeSize),C28:F37,3,FALSE), ".txt")</f>
        <v>sched1.txt</v>
      </c>
    </row>
    <row r="28" spans="1:18" ht="15" customHeight="1">
      <c r="A28" s="305" t="s">
        <v>897</v>
      </c>
      <c r="B28" s="305" t="s">
        <v>903</v>
      </c>
      <c r="C28" s="305" t="s">
        <v>904</v>
      </c>
      <c r="D28" s="305" t="s">
        <v>901</v>
      </c>
      <c r="E28" s="305" t="s">
        <v>902</v>
      </c>
      <c r="F28" s="305" t="s">
        <v>483</v>
      </c>
      <c r="G28" s="305" t="s">
        <v>905</v>
      </c>
      <c r="H28" s="305" t="s">
        <v>923</v>
      </c>
      <c r="O28" s="305"/>
    </row>
    <row r="29" spans="1:18" ht="15" customHeight="1">
      <c r="A29" s="305" t="s">
        <v>899</v>
      </c>
      <c r="B29" s="305" t="s">
        <v>893</v>
      </c>
      <c r="C29" s="5" t="str">
        <f>CONCATENATE(A29,B29)</f>
        <v>LowSmall</v>
      </c>
      <c r="D29" s="305">
        <v>1</v>
      </c>
      <c r="E29" s="5">
        <v>1</v>
      </c>
      <c r="F29" s="5">
        <v>3</v>
      </c>
      <c r="G29" s="305">
        <v>2</v>
      </c>
      <c r="H29" s="305">
        <f>29200</f>
        <v>29200</v>
      </c>
      <c r="J29" s="305"/>
      <c r="K29" s="305"/>
    </row>
    <row r="30" spans="1:18" ht="15" customHeight="1">
      <c r="A30" s="305" t="s">
        <v>898</v>
      </c>
      <c r="B30" s="305" t="s">
        <v>893</v>
      </c>
      <c r="C30" s="305" t="str">
        <f t="shared" ref="C30:C37" si="0">CONCATENATE(A30,B30)</f>
        <v>MedSmall</v>
      </c>
      <c r="D30" s="305">
        <v>2</v>
      </c>
      <c r="E30" s="5">
        <v>1</v>
      </c>
      <c r="F30" s="5">
        <v>6.5</v>
      </c>
      <c r="G30" s="305">
        <v>4</v>
      </c>
      <c r="H30" s="305">
        <f>2*29200</f>
        <v>58400</v>
      </c>
      <c r="J30" s="305"/>
      <c r="K30" s="305"/>
    </row>
    <row r="31" spans="1:18" ht="15" customHeight="1">
      <c r="A31" s="305" t="s">
        <v>900</v>
      </c>
      <c r="B31" s="305" t="s">
        <v>893</v>
      </c>
      <c r="C31" s="305" t="str">
        <f t="shared" si="0"/>
        <v>HighSmall</v>
      </c>
      <c r="D31" s="305">
        <v>3</v>
      </c>
      <c r="E31" s="5">
        <v>3</v>
      </c>
      <c r="F31" s="5">
        <v>11.8</v>
      </c>
      <c r="G31" s="305">
        <v>6</v>
      </c>
      <c r="H31" s="305">
        <f>3*29200</f>
        <v>87600</v>
      </c>
      <c r="J31" s="305"/>
      <c r="K31" s="305"/>
    </row>
    <row r="32" spans="1:18" ht="15" customHeight="1">
      <c r="A32" s="305" t="s">
        <v>899</v>
      </c>
      <c r="B32" s="305" t="s">
        <v>898</v>
      </c>
      <c r="C32" s="305" t="str">
        <f t="shared" si="0"/>
        <v>LowMed</v>
      </c>
      <c r="D32" s="305">
        <v>1</v>
      </c>
      <c r="E32" s="5">
        <v>1</v>
      </c>
      <c r="F32" s="305">
        <v>3</v>
      </c>
      <c r="G32" s="305">
        <v>2</v>
      </c>
      <c r="H32" s="305">
        <f>29200</f>
        <v>29200</v>
      </c>
      <c r="J32" s="305"/>
      <c r="K32" s="305"/>
    </row>
    <row r="33" spans="1:11" ht="15" customHeight="1">
      <c r="A33" s="305" t="s">
        <v>898</v>
      </c>
      <c r="B33" s="305" t="s">
        <v>898</v>
      </c>
      <c r="C33" s="305" t="str">
        <f t="shared" si="0"/>
        <v>MedMed</v>
      </c>
      <c r="D33" s="305">
        <v>2</v>
      </c>
      <c r="E33" s="5">
        <v>1</v>
      </c>
      <c r="F33" s="305">
        <v>6.5</v>
      </c>
      <c r="G33" s="305">
        <v>4</v>
      </c>
      <c r="H33" s="305">
        <f>2*29200</f>
        <v>58400</v>
      </c>
      <c r="J33" s="305"/>
      <c r="K33" s="305"/>
    </row>
    <row r="34" spans="1:11" ht="15" customHeight="1">
      <c r="A34" s="305" t="s">
        <v>900</v>
      </c>
      <c r="B34" s="305" t="s">
        <v>898</v>
      </c>
      <c r="C34" s="305" t="str">
        <f t="shared" si="0"/>
        <v>HighMed</v>
      </c>
      <c r="D34" s="305">
        <v>3</v>
      </c>
      <c r="E34" s="5">
        <v>3</v>
      </c>
      <c r="F34" s="305">
        <v>11.8</v>
      </c>
      <c r="G34" s="305">
        <v>6</v>
      </c>
      <c r="H34" s="305">
        <f>3*29200</f>
        <v>87600</v>
      </c>
      <c r="J34" s="305"/>
      <c r="K34" s="305"/>
    </row>
    <row r="35" spans="1:11" ht="15" customHeight="1">
      <c r="A35" s="305" t="s">
        <v>899</v>
      </c>
      <c r="B35" s="305" t="s">
        <v>894</v>
      </c>
      <c r="C35" s="305" t="str">
        <f t="shared" si="0"/>
        <v>LowLarge</v>
      </c>
      <c r="D35" s="305">
        <v>1</v>
      </c>
      <c r="E35" s="5">
        <v>1</v>
      </c>
      <c r="F35" s="305">
        <v>3</v>
      </c>
      <c r="G35" s="305">
        <v>2</v>
      </c>
      <c r="H35" s="305">
        <f>29200</f>
        <v>29200</v>
      </c>
      <c r="J35" s="305"/>
      <c r="K35" s="305"/>
    </row>
    <row r="36" spans="1:11" ht="15" customHeight="1">
      <c r="A36" s="305" t="s">
        <v>898</v>
      </c>
      <c r="B36" s="305" t="s">
        <v>894</v>
      </c>
      <c r="C36" s="305" t="str">
        <f t="shared" si="0"/>
        <v>MedLarge</v>
      </c>
      <c r="D36" s="305">
        <v>2</v>
      </c>
      <c r="E36" s="5">
        <v>1</v>
      </c>
      <c r="F36" s="305">
        <v>6.5</v>
      </c>
      <c r="G36" s="305">
        <v>4</v>
      </c>
      <c r="H36" s="305">
        <f>2*29200</f>
        <v>58400</v>
      </c>
      <c r="J36" s="305"/>
      <c r="K36" s="305"/>
    </row>
    <row r="37" spans="1:11" ht="15" customHeight="1">
      <c r="A37" s="305" t="s">
        <v>900</v>
      </c>
      <c r="B37" s="305" t="s">
        <v>894</v>
      </c>
      <c r="C37" s="305" t="str">
        <f t="shared" si="0"/>
        <v>HighLarge</v>
      </c>
      <c r="D37" s="305">
        <v>3</v>
      </c>
      <c r="E37" s="5">
        <v>3</v>
      </c>
      <c r="F37" s="305">
        <v>11.8</v>
      </c>
      <c r="G37" s="305">
        <v>6</v>
      </c>
      <c r="H37" s="305">
        <f>3*29200</f>
        <v>87600</v>
      </c>
      <c r="J37" s="305"/>
      <c r="K37" s="305"/>
    </row>
    <row r="39" spans="1:11" ht="15" customHeight="1">
      <c r="A39" s="305" t="s">
        <v>925</v>
      </c>
      <c r="B39" s="305" t="s">
        <v>926</v>
      </c>
      <c r="C39" s="305" t="s">
        <v>221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958</v>
      </c>
      <c r="E40" s="305" t="s">
        <v>927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959</v>
      </c>
      <c r="E41" s="5" t="s">
        <v>1022</v>
      </c>
    </row>
    <row r="42" spans="1:11" ht="15" customHeight="1">
      <c r="A42" s="305">
        <v>5955</v>
      </c>
      <c r="B42" s="305">
        <v>0</v>
      </c>
      <c r="C42" s="305">
        <v>168</v>
      </c>
      <c r="D42" s="5" t="s">
        <v>960</v>
      </c>
    </row>
    <row r="43" spans="1:11" ht="15" customHeight="1">
      <c r="A43" s="5">
        <v>3861</v>
      </c>
      <c r="B43" s="305">
        <v>0</v>
      </c>
      <c r="C43" s="5">
        <v>645</v>
      </c>
      <c r="D43" s="5" t="s">
        <v>961</v>
      </c>
    </row>
    <row r="44" spans="1:11" ht="15" customHeight="1">
      <c r="A44" s="305">
        <v>2228</v>
      </c>
      <c r="B44" s="305">
        <v>0</v>
      </c>
      <c r="C44" s="305">
        <v>262</v>
      </c>
      <c r="D44" s="5" t="s">
        <v>962</v>
      </c>
    </row>
    <row r="45" spans="1:11" ht="15" customHeight="1">
      <c r="A45" s="305">
        <v>3934</v>
      </c>
      <c r="B45" s="305">
        <v>0</v>
      </c>
      <c r="C45" s="305">
        <v>470</v>
      </c>
      <c r="D45" s="5" t="s">
        <v>963</v>
      </c>
    </row>
    <row r="46" spans="1:11" ht="15" customHeight="1">
      <c r="A46" s="5">
        <v>661</v>
      </c>
      <c r="B46" s="305">
        <v>0</v>
      </c>
      <c r="C46" s="305">
        <v>188</v>
      </c>
      <c r="D46" s="5" t="s">
        <v>964</v>
      </c>
    </row>
    <row r="47" spans="1:11" ht="15" customHeight="1">
      <c r="A47" s="305">
        <v>685</v>
      </c>
      <c r="B47" s="305">
        <v>0</v>
      </c>
      <c r="C47" s="305">
        <v>194</v>
      </c>
      <c r="D47" s="5" t="s">
        <v>965</v>
      </c>
    </row>
    <row r="48" spans="1:11" ht="15" customHeight="1">
      <c r="A48" s="305">
        <v>219</v>
      </c>
      <c r="B48" s="305">
        <v>0</v>
      </c>
      <c r="C48" s="305">
        <v>87</v>
      </c>
      <c r="D48" s="5" t="s">
        <v>966</v>
      </c>
    </row>
    <row r="49" spans="1:4" ht="15" customHeight="1">
      <c r="A49" s="5">
        <v>95</v>
      </c>
      <c r="B49" s="305">
        <v>0</v>
      </c>
      <c r="C49" s="305">
        <v>26</v>
      </c>
      <c r="D49" s="5" t="s">
        <v>967</v>
      </c>
    </row>
    <row r="50" spans="1:4" ht="15" customHeight="1">
      <c r="A50" s="305">
        <v>-1227</v>
      </c>
      <c r="B50" s="305">
        <v>0</v>
      </c>
      <c r="C50" s="305">
        <v>-409</v>
      </c>
      <c r="D50" s="5" t="s">
        <v>968</v>
      </c>
    </row>
    <row r="51" spans="1:4" ht="15" customHeight="1">
      <c r="A51" s="305">
        <v>0</v>
      </c>
      <c r="B51" s="305">
        <v>0</v>
      </c>
      <c r="C51" s="305">
        <v>3716</v>
      </c>
      <c r="D51" s="5" t="s">
        <v>553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K42"/>
  <sheetViews>
    <sheetView workbookViewId="0">
      <selection activeCell="H31" sqref="H31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7" ht="15" customHeight="1">
      <c r="A1" s="4" t="s">
        <v>342</v>
      </c>
      <c r="G1" s="4"/>
    </row>
    <row r="2" spans="1:7" ht="15" customHeight="1">
      <c r="A2" s="143" t="s">
        <v>564</v>
      </c>
    </row>
    <row r="3" spans="1:7" ht="15" customHeight="1">
      <c r="A3" s="14" t="s">
        <v>343</v>
      </c>
    </row>
    <row r="4" spans="1:7" ht="15" customHeight="1">
      <c r="A4" s="14" t="s">
        <v>344</v>
      </c>
    </row>
    <row r="5" spans="1:7" ht="15" customHeight="1">
      <c r="A5" s="14" t="s">
        <v>345</v>
      </c>
    </row>
    <row r="6" spans="1:7" ht="15" customHeight="1">
      <c r="A6" s="14" t="s">
        <v>1276</v>
      </c>
    </row>
    <row r="7" spans="1:7" ht="15" customHeight="1">
      <c r="A7" s="14"/>
    </row>
    <row r="9" spans="1:7" ht="15" customHeight="1">
      <c r="A9" s="123"/>
      <c r="B9" s="109" t="s">
        <v>280</v>
      </c>
      <c r="C9" s="109" t="s">
        <v>130</v>
      </c>
      <c r="D9" s="109" t="s">
        <v>281</v>
      </c>
      <c r="E9" s="109" t="s">
        <v>130</v>
      </c>
      <c r="F9" s="109" t="s">
        <v>1</v>
      </c>
    </row>
    <row r="10" spans="1:7" ht="15" customHeight="1">
      <c r="A10" s="100" t="s">
        <v>346</v>
      </c>
      <c r="B10" s="18"/>
      <c r="C10" s="1" t="s">
        <v>137</v>
      </c>
      <c r="D10" s="25">
        <f>IF( A_2nd_floor &gt;0,A_2nd_floor/300, A_ceilingSI/300)</f>
        <v>0.99960016666666662</v>
      </c>
      <c r="E10" s="1" t="s">
        <v>138</v>
      </c>
      <c r="F10" s="14" t="s">
        <v>347</v>
      </c>
      <c r="G10" s="1" t="s">
        <v>818</v>
      </c>
    </row>
    <row r="11" spans="1:7" ht="15" customHeight="1">
      <c r="A11" s="126" t="s">
        <v>348</v>
      </c>
      <c r="D11" s="25">
        <f>IF(A_2nd_floor&gt;0,0.003*A_2nd_floor,0.003*A_ceilingSI)</f>
        <v>0.89964014999999997</v>
      </c>
      <c r="E11" s="1" t="s">
        <v>138</v>
      </c>
      <c r="F11" s="14" t="s">
        <v>1275</v>
      </c>
    </row>
    <row r="12" spans="1:7" ht="15" customHeight="1">
      <c r="A12" s="100" t="s">
        <v>349</v>
      </c>
      <c r="D12" s="488">
        <f>D10-(D11*2/3)</f>
        <v>0.3998400666666666</v>
      </c>
      <c r="E12" s="1" t="s">
        <v>138</v>
      </c>
      <c r="F12" s="14" t="s">
        <v>350</v>
      </c>
    </row>
    <row r="13" spans="1:7" ht="15" customHeight="1">
      <c r="A13" s="100" t="s">
        <v>351</v>
      </c>
      <c r="D13" s="1">
        <v>0.6</v>
      </c>
      <c r="F13"/>
    </row>
    <row r="14" spans="1:7" ht="15" customHeight="1">
      <c r="A14" s="100" t="s">
        <v>1246</v>
      </c>
      <c r="D14" s="469">
        <v>0.65</v>
      </c>
      <c r="F14" s="290"/>
    </row>
    <row r="15" spans="1:7" ht="15" customHeight="1">
      <c r="A15" s="484" t="s">
        <v>352</v>
      </c>
      <c r="B15" s="485"/>
      <c r="C15" s="485"/>
      <c r="D15" s="486">
        <f>D11*D13/(SQRT(1.2/2)*4^(D14-0.5))</f>
        <v>0.5660247946157696</v>
      </c>
      <c r="E15" s="485" t="s">
        <v>1222</v>
      </c>
    </row>
    <row r="18" spans="1:11" ht="15" customHeight="1">
      <c r="A18" s="108" t="s">
        <v>353</v>
      </c>
      <c r="B18" s="124"/>
      <c r="C18" s="124"/>
      <c r="D18" s="124"/>
      <c r="E18" s="124"/>
      <c r="F18" s="1" t="s">
        <v>1</v>
      </c>
    </row>
    <row r="19" spans="1:11" ht="15" customHeight="1">
      <c r="A19" s="100" t="s">
        <v>77</v>
      </c>
      <c r="C19" s="2"/>
      <c r="D19" s="487">
        <v>0.35</v>
      </c>
      <c r="E19" s="1" t="s">
        <v>11</v>
      </c>
      <c r="F19" s="5" t="s">
        <v>354</v>
      </c>
      <c r="K19" s="1" t="s">
        <v>453</v>
      </c>
    </row>
    <row r="20" spans="1:11" ht="15" customHeight="1">
      <c r="A20" s="100" t="s">
        <v>355</v>
      </c>
      <c r="C20" s="2"/>
      <c r="D20" s="487">
        <v>0.35</v>
      </c>
      <c r="E20" s="1" t="s">
        <v>11</v>
      </c>
      <c r="F20" s="5" t="s">
        <v>356</v>
      </c>
      <c r="K20" s="1" t="s">
        <v>454</v>
      </c>
    </row>
    <row r="21" spans="1:11" ht="15" customHeight="1">
      <c r="A21" s="100" t="s">
        <v>357</v>
      </c>
      <c r="C21" s="2"/>
      <c r="D21" s="487">
        <v>0.1</v>
      </c>
      <c r="E21" s="1" t="s">
        <v>11</v>
      </c>
      <c r="F21" s="5" t="s">
        <v>358</v>
      </c>
    </row>
    <row r="22" spans="1:11" ht="15" customHeight="1">
      <c r="A22" s="100" t="s">
        <v>359</v>
      </c>
      <c r="C22" s="2"/>
      <c r="D22" s="487">
        <v>0.1</v>
      </c>
      <c r="E22" s="1" t="s">
        <v>11</v>
      </c>
      <c r="F22" s="5" t="s">
        <v>360</v>
      </c>
    </row>
    <row r="23" spans="1:11" ht="15" customHeight="1">
      <c r="A23" s="100" t="s">
        <v>361</v>
      </c>
      <c r="C23" s="2"/>
      <c r="D23" s="487">
        <v>0.1</v>
      </c>
      <c r="E23" s="1" t="s">
        <v>11</v>
      </c>
      <c r="F23" s="5" t="s">
        <v>362</v>
      </c>
    </row>
    <row r="24" spans="1:11" ht="15" customHeight="1">
      <c r="A24" s="100" t="s">
        <v>363</v>
      </c>
      <c r="D24" s="1">
        <f>SUM(D19:D23)</f>
        <v>0.99999999999999989</v>
      </c>
    </row>
    <row r="26" spans="1:11" ht="15" customHeight="1">
      <c r="A26" s="108" t="s">
        <v>572</v>
      </c>
      <c r="B26" s="109"/>
      <c r="C26" s="109"/>
    </row>
    <row r="27" spans="1:11" ht="15" customHeight="1">
      <c r="A27" s="100" t="s">
        <v>457</v>
      </c>
      <c r="B27" s="14"/>
      <c r="C27" s="18">
        <f>W_houseSI/2</f>
        <v>6.1224999999999996</v>
      </c>
    </row>
    <row r="28" spans="1:11" ht="15" customHeight="1">
      <c r="A28" s="100" t="s">
        <v>458</v>
      </c>
      <c r="C28" s="18">
        <f>L_houseSI</f>
        <v>24.49</v>
      </c>
    </row>
    <row r="29" spans="1:11" ht="15" customHeight="1">
      <c r="A29" s="100" t="s">
        <v>459</v>
      </c>
      <c r="C29" s="25" t="e">
        <f>C27*Geometry!#REF!</f>
        <v>#REF!</v>
      </c>
    </row>
    <row r="30" spans="1:11" ht="15" customHeight="1">
      <c r="A30" s="100" t="s">
        <v>460</v>
      </c>
      <c r="C30" s="25" t="e">
        <f>SQRT(C27^2+Geometry!#REF!^2)*Attic!C28</f>
        <v>#REF!</v>
      </c>
    </row>
    <row r="31" spans="1:11" ht="15" customHeight="1">
      <c r="A31" s="100" t="s">
        <v>461</v>
      </c>
      <c r="B31" s="20"/>
      <c r="C31" s="147" t="e">
        <f>C29/(C29*2+C30*2)</f>
        <v>#REF!</v>
      </c>
    </row>
    <row r="32" spans="1:11" ht="15" customHeight="1">
      <c r="A32" s="100" t="s">
        <v>462</v>
      </c>
      <c r="C32" s="25" t="e">
        <f>C30/(2*(C29+C30))</f>
        <v>#REF!</v>
      </c>
    </row>
    <row r="35" spans="1:4" ht="15" customHeight="1">
      <c r="A35" s="1" t="s">
        <v>1267</v>
      </c>
      <c r="B35" s="1">
        <f>HVAC!C27 * (SQRT(1.20411 / (2 * 2)) / 1)</f>
        <v>0.22993743866145203</v>
      </c>
      <c r="D35" s="1">
        <f xml:space="preserve"> SQRT(1.20411 / 2) * 4^(D14 - 0.5)</f>
        <v>0.95527207509191736</v>
      </c>
    </row>
    <row r="36" spans="1:4" ht="15" customHeight="1">
      <c r="A36" s="1" t="s">
        <v>1268</v>
      </c>
      <c r="B36" s="1">
        <f>1*B35*SQRT(2/1.20411)*4^(0.5-0.65)</f>
        <v>0.24070361173211011</v>
      </c>
    </row>
    <row r="37" spans="1:4" ht="15" customHeight="1">
      <c r="A37" s="1" t="s">
        <v>1273</v>
      </c>
      <c r="B37" s="1">
        <f>B36*Leakage!H14</f>
        <v>6.0175902933027527E-2</v>
      </c>
    </row>
    <row r="38" spans="1:4" ht="15" customHeight="1">
      <c r="A38" s="1" t="s">
        <v>1269</v>
      </c>
      <c r="B38" s="1">
        <f>Leakage!H32</f>
        <v>4.6856257812500003E-2</v>
      </c>
    </row>
    <row r="39" spans="1:4" ht="15" customHeight="1">
      <c r="A39" s="1" t="s">
        <v>1274</v>
      </c>
      <c r="B39" s="1">
        <f>B38*Leakage!H14</f>
        <v>1.1714064453125001E-2</v>
      </c>
    </row>
    <row r="40" spans="1:4" ht="15" customHeight="1">
      <c r="A40" s="1" t="s">
        <v>1270</v>
      </c>
      <c r="B40" s="1">
        <f>D15 * SQRT(1.20411 / 2) * 4^(D14 - 0.5)</f>
        <v>0.5407076801060825</v>
      </c>
    </row>
    <row r="41" spans="1:4" ht="15" customHeight="1">
      <c r="A41" s="1" t="s">
        <v>1271</v>
      </c>
      <c r="B41" s="1">
        <f>B39 * SQRT(1.20411 / 2) * 4^(D14 - 0.5)</f>
        <v>1.1190118657897185E-2</v>
      </c>
    </row>
    <row r="42" spans="1:4" ht="15" customHeight="1">
      <c r="A42" s="1" t="s">
        <v>1272</v>
      </c>
      <c r="B42" s="1">
        <f>B37 * SQRT(1.20411 / 2) * 4^(D14 - 0.5)</f>
        <v>5.7484359665363007E-2</v>
      </c>
    </row>
  </sheetData>
  <phoneticPr fontId="63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D18" sqref="D18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102</v>
      </c>
      <c r="G1" s="4" t="s">
        <v>364</v>
      </c>
    </row>
    <row r="2" spans="1:43" ht="15" customHeight="1">
      <c r="A2" s="14" t="s">
        <v>637</v>
      </c>
      <c r="G2" s="14" t="s">
        <v>365</v>
      </c>
    </row>
    <row r="4" spans="1:43" ht="15" customHeight="1">
      <c r="A4" s="108" t="s">
        <v>1264</v>
      </c>
      <c r="B4" s="109" t="s">
        <v>280</v>
      </c>
      <c r="C4" s="109" t="s">
        <v>130</v>
      </c>
      <c r="D4" s="109" t="s">
        <v>281</v>
      </c>
      <c r="E4" s="109" t="s">
        <v>130</v>
      </c>
      <c r="G4" s="5" t="s">
        <v>368</v>
      </c>
      <c r="P4" s="17"/>
    </row>
    <row r="5" spans="1:43" ht="15" customHeight="1">
      <c r="A5" s="112" t="s">
        <v>367</v>
      </c>
      <c r="B5" s="5">
        <v>1</v>
      </c>
      <c r="C5" s="5" t="s">
        <v>11</v>
      </c>
      <c r="G5" s="305" t="s">
        <v>382</v>
      </c>
      <c r="H5" s="104"/>
      <c r="I5" s="104"/>
      <c r="J5" s="108" t="s">
        <v>366</v>
      </c>
      <c r="K5" s="104"/>
      <c r="P5" s="17"/>
    </row>
    <row r="6" spans="1:43" ht="15" customHeight="1">
      <c r="A6" s="94" t="s">
        <v>369</v>
      </c>
      <c r="B6" s="5">
        <v>0.65</v>
      </c>
      <c r="C6" s="5" t="s">
        <v>11</v>
      </c>
      <c r="G6" s="94">
        <v>4</v>
      </c>
      <c r="J6" s="17">
        <v>2.5000000000000001E-2</v>
      </c>
      <c r="K6" s="5" t="s">
        <v>134</v>
      </c>
      <c r="P6" s="17"/>
    </row>
    <row r="7" spans="1:43" ht="15" customHeight="1">
      <c r="A7" s="94" t="s">
        <v>370</v>
      </c>
      <c r="B7" s="5">
        <v>0.05</v>
      </c>
      <c r="C7" s="5" t="s">
        <v>11</v>
      </c>
      <c r="G7" s="94">
        <v>6</v>
      </c>
      <c r="J7" s="17">
        <f>J6*1.5</f>
        <v>3.7500000000000006E-2</v>
      </c>
      <c r="K7" s="5" t="s">
        <v>134</v>
      </c>
      <c r="P7" s="17"/>
    </row>
    <row r="8" spans="1:43" ht="15" customHeight="1">
      <c r="A8" s="94" t="s">
        <v>371</v>
      </c>
      <c r="B8" s="5">
        <v>0.1</v>
      </c>
      <c r="C8" s="5" t="s">
        <v>11</v>
      </c>
      <c r="G8" s="94">
        <v>8</v>
      </c>
      <c r="J8" s="17">
        <f>J6*2</f>
        <v>0.05</v>
      </c>
      <c r="K8" s="5" t="s">
        <v>134</v>
      </c>
      <c r="P8" s="17"/>
    </row>
    <row r="9" spans="1:43" ht="15" customHeight="1">
      <c r="A9" s="94" t="s">
        <v>372</v>
      </c>
      <c r="B9" s="5">
        <f>0.27*A_houseFT*IF(Stories=1,B5,B6)</f>
        <v>871.55665769644793</v>
      </c>
      <c r="C9" s="5" t="s">
        <v>557</v>
      </c>
      <c r="D9" s="17">
        <f>B9*0.3048^2</f>
        <v>80.970263032239416</v>
      </c>
      <c r="E9" s="5" t="s">
        <v>556</v>
      </c>
      <c r="G9" s="94">
        <v>1</v>
      </c>
      <c r="J9" s="17">
        <f>J6/4</f>
        <v>6.2500000000000003E-3</v>
      </c>
      <c r="K9" s="5" t="s">
        <v>134</v>
      </c>
      <c r="P9" s="17"/>
    </row>
    <row r="10" spans="1:43" ht="15" customHeight="1">
      <c r="A10" s="94" t="s">
        <v>373</v>
      </c>
      <c r="B10" s="5">
        <f>A_houseFT*IF(Stories=1,B7,B8)</f>
        <v>161.39938105489776</v>
      </c>
      <c r="C10" s="139" t="s">
        <v>557</v>
      </c>
      <c r="D10" s="17">
        <f>B10*0.3048^2</f>
        <v>14.994493154118409</v>
      </c>
      <c r="E10" s="139" t="s">
        <v>556</v>
      </c>
      <c r="P10" s="17"/>
    </row>
    <row r="11" spans="1:43" ht="15" customHeight="1">
      <c r="A11" s="23" t="s">
        <v>374</v>
      </c>
      <c r="G11" s="4" t="s">
        <v>245</v>
      </c>
      <c r="P11" s="17"/>
      <c r="Z11" s="4" t="s">
        <v>246</v>
      </c>
      <c r="AI11" s="17"/>
    </row>
    <row r="12" spans="1:43" ht="15" customHeight="1">
      <c r="A12" s="489" t="s">
        <v>375</v>
      </c>
      <c r="B12" s="490">
        <f>D12/(0.3048/12)</f>
        <v>9.8425196850393686</v>
      </c>
      <c r="C12" s="491" t="s">
        <v>217</v>
      </c>
      <c r="D12" s="495">
        <v>0.25</v>
      </c>
      <c r="E12" s="491" t="s">
        <v>134</v>
      </c>
      <c r="F12"/>
      <c r="G12" s="109" t="s">
        <v>376</v>
      </c>
      <c r="H12" s="82" t="s">
        <v>11</v>
      </c>
      <c r="I12" s="109">
        <v>1</v>
      </c>
      <c r="J12" s="109">
        <v>2</v>
      </c>
      <c r="K12" s="109">
        <v>3</v>
      </c>
      <c r="L12" s="109">
        <v>4</v>
      </c>
      <c r="M12" s="109">
        <v>5</v>
      </c>
      <c r="N12" s="109">
        <v>6</v>
      </c>
      <c r="O12" s="109">
        <v>7</v>
      </c>
      <c r="P12" s="109">
        <v>8</v>
      </c>
      <c r="Q12" s="109">
        <v>9</v>
      </c>
      <c r="R12" s="109">
        <v>10</v>
      </c>
      <c r="S12" s="109">
        <v>11</v>
      </c>
      <c r="T12" s="109">
        <v>12</v>
      </c>
      <c r="U12" s="109">
        <v>13</v>
      </c>
      <c r="V12" s="109">
        <v>14</v>
      </c>
      <c r="W12" s="109">
        <v>15</v>
      </c>
      <c r="X12" s="109">
        <v>16</v>
      </c>
      <c r="Z12" s="109" t="s">
        <v>376</v>
      </c>
      <c r="AA12" s="82" t="s">
        <v>11</v>
      </c>
      <c r="AB12" s="109">
        <v>1</v>
      </c>
      <c r="AC12" s="109">
        <v>2</v>
      </c>
      <c r="AD12" s="109">
        <v>3</v>
      </c>
      <c r="AE12" s="109">
        <v>4</v>
      </c>
      <c r="AF12" s="109">
        <v>5</v>
      </c>
      <c r="AG12" s="109">
        <v>6</v>
      </c>
      <c r="AH12" s="109">
        <v>7</v>
      </c>
      <c r="AI12" s="109">
        <v>8</v>
      </c>
      <c r="AJ12" s="109">
        <v>9</v>
      </c>
      <c r="AK12" s="109">
        <v>10</v>
      </c>
      <c r="AL12" s="109">
        <v>11</v>
      </c>
      <c r="AM12" s="109">
        <v>12</v>
      </c>
      <c r="AN12" s="109">
        <v>13</v>
      </c>
      <c r="AO12" s="109">
        <v>14</v>
      </c>
      <c r="AP12" s="109">
        <v>15</v>
      </c>
      <c r="AQ12" s="109">
        <v>16</v>
      </c>
    </row>
    <row r="13" spans="1:43" ht="15" customHeight="1">
      <c r="A13" s="489" t="s">
        <v>377</v>
      </c>
      <c r="B13" s="490">
        <f>D13/(0.3048/12)</f>
        <v>17.716535433070867</v>
      </c>
      <c r="C13" s="491" t="s">
        <v>217</v>
      </c>
      <c r="D13" s="495">
        <v>0.45</v>
      </c>
      <c r="E13" s="491" t="s">
        <v>134</v>
      </c>
      <c r="F13"/>
      <c r="G13" s="5" t="s">
        <v>15</v>
      </c>
      <c r="H13" s="83" t="s">
        <v>588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305">
        <v>8</v>
      </c>
      <c r="Z13" s="5" t="s">
        <v>15</v>
      </c>
      <c r="AA13" s="83" t="s">
        <v>588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492" t="s">
        <v>378</v>
      </c>
      <c r="B14" s="493">
        <f>D14/(0.3048/12)</f>
        <v>30.921187535332606</v>
      </c>
      <c r="C14" s="494" t="s">
        <v>217</v>
      </c>
      <c r="D14" s="493">
        <f>PI()*D12</f>
        <v>0.78539816339744828</v>
      </c>
      <c r="E14" s="494" t="s">
        <v>134</v>
      </c>
      <c r="F14"/>
      <c r="G14" s="58" t="s">
        <v>366</v>
      </c>
      <c r="H14" s="86" t="s">
        <v>134</v>
      </c>
      <c r="I14" s="486">
        <f>VLOOKUP(I13,$G$6:$J$9,4,FALSE)</f>
        <v>0.05</v>
      </c>
      <c r="J14" s="486">
        <f t="shared" ref="J14:X14" si="1">VLOOKUP(J13,$G$6:$J$9,4,FALSE)</f>
        <v>0.05</v>
      </c>
      <c r="K14" s="486">
        <f t="shared" si="1"/>
        <v>0.05</v>
      </c>
      <c r="L14" s="486">
        <f t="shared" si="1"/>
        <v>0.05</v>
      </c>
      <c r="M14" s="486">
        <f t="shared" si="1"/>
        <v>0.05</v>
      </c>
      <c r="N14" s="486">
        <f t="shared" si="1"/>
        <v>0.05</v>
      </c>
      <c r="O14" s="486">
        <f t="shared" si="1"/>
        <v>0.05</v>
      </c>
      <c r="P14" s="486">
        <f t="shared" si="1"/>
        <v>0.05</v>
      </c>
      <c r="Q14" s="486">
        <f t="shared" si="1"/>
        <v>0.05</v>
      </c>
      <c r="R14" s="486">
        <f t="shared" si="1"/>
        <v>0.05</v>
      </c>
      <c r="S14" s="486">
        <f t="shared" si="1"/>
        <v>0.05</v>
      </c>
      <c r="T14" s="486">
        <f t="shared" si="1"/>
        <v>0.05</v>
      </c>
      <c r="U14" s="486">
        <f t="shared" si="1"/>
        <v>0.05</v>
      </c>
      <c r="V14" s="486">
        <f t="shared" si="1"/>
        <v>0.05</v>
      </c>
      <c r="W14" s="486">
        <f t="shared" si="1"/>
        <v>0.05</v>
      </c>
      <c r="X14" s="486">
        <f t="shared" si="1"/>
        <v>0.05</v>
      </c>
      <c r="Y14" s="295">
        <f>VLOOKUP(Y13,$G$6:$J$9,4,FALSE)</f>
        <v>0.05</v>
      </c>
      <c r="Z14" s="58" t="s">
        <v>366</v>
      </c>
      <c r="AA14" s="86" t="s">
        <v>134</v>
      </c>
      <c r="AB14" s="295">
        <f>VLOOKUP(AB13,$G$6:$J$9,4,FALSE)</f>
        <v>0.05</v>
      </c>
      <c r="AC14" s="295">
        <f t="shared" ref="AC14:AQ14" si="2">VLOOKUP(AC13,$G$6:$J$9,4,FALSE)</f>
        <v>0.05</v>
      </c>
      <c r="AD14" s="295">
        <f t="shared" si="2"/>
        <v>0.05</v>
      </c>
      <c r="AE14" s="295">
        <f t="shared" si="2"/>
        <v>0.05</v>
      </c>
      <c r="AF14" s="295">
        <f t="shared" si="2"/>
        <v>0.05</v>
      </c>
      <c r="AG14" s="295">
        <f t="shared" si="2"/>
        <v>0.05</v>
      </c>
      <c r="AH14" s="295">
        <f t="shared" si="2"/>
        <v>0.05</v>
      </c>
      <c r="AI14" s="295">
        <f t="shared" si="2"/>
        <v>0.05</v>
      </c>
      <c r="AJ14" s="295">
        <f t="shared" si="2"/>
        <v>0.05</v>
      </c>
      <c r="AK14" s="295">
        <f t="shared" si="2"/>
        <v>0.05</v>
      </c>
      <c r="AL14" s="295">
        <f t="shared" si="2"/>
        <v>0.05</v>
      </c>
      <c r="AM14" s="295">
        <f t="shared" si="2"/>
        <v>0.05</v>
      </c>
      <c r="AN14" s="295">
        <f t="shared" si="2"/>
        <v>0.05</v>
      </c>
      <c r="AO14" s="295">
        <f t="shared" si="2"/>
        <v>0.05</v>
      </c>
      <c r="AP14" s="295">
        <f t="shared" si="2"/>
        <v>0.05</v>
      </c>
      <c r="AQ14" s="295">
        <f t="shared" si="2"/>
        <v>0.05</v>
      </c>
    </row>
    <row r="15" spans="1:43" ht="15" customHeight="1">
      <c r="A15" s="492" t="s">
        <v>379</v>
      </c>
      <c r="B15" s="493">
        <f>D15/(0.3048/12)</f>
        <v>55.658137563598693</v>
      </c>
      <c r="C15" s="494" t="s">
        <v>217</v>
      </c>
      <c r="D15" s="493">
        <f>PI()*D13</f>
        <v>1.4137166941154069</v>
      </c>
      <c r="E15" s="494" t="s">
        <v>134</v>
      </c>
      <c r="G15" s="5" t="s">
        <v>380</v>
      </c>
      <c r="H15" s="83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305">
        <v>0.7</v>
      </c>
      <c r="Z15" s="5" t="s">
        <v>380</v>
      </c>
      <c r="AA15" s="83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489" t="s">
        <v>381</v>
      </c>
      <c r="B16" s="490">
        <f>D16/0.3048</f>
        <v>338.23668254676801</v>
      </c>
      <c r="C16" s="491" t="s">
        <v>133</v>
      </c>
      <c r="D16" s="496">
        <f>D9/D14</f>
        <v>103.09454084025489</v>
      </c>
      <c r="E16" s="491" t="s">
        <v>134</v>
      </c>
      <c r="G16" s="58" t="s">
        <v>382</v>
      </c>
      <c r="H16" s="86" t="s">
        <v>587</v>
      </c>
      <c r="I16" s="486">
        <f t="shared" ref="I16:X16" si="3">(I13+I15)/5.678</f>
        <v>1.5322296583303978</v>
      </c>
      <c r="J16" s="486">
        <f t="shared" si="3"/>
        <v>1.5322296583303978</v>
      </c>
      <c r="K16" s="486">
        <f t="shared" si="3"/>
        <v>1.5322296583303978</v>
      </c>
      <c r="L16" s="486">
        <f t="shared" si="3"/>
        <v>1.5322296583303978</v>
      </c>
      <c r="M16" s="486">
        <f t="shared" si="3"/>
        <v>1.5322296583303978</v>
      </c>
      <c r="N16" s="486">
        <f t="shared" si="3"/>
        <v>1.5322296583303978</v>
      </c>
      <c r="O16" s="486">
        <f t="shared" si="3"/>
        <v>1.5322296583303978</v>
      </c>
      <c r="P16" s="486">
        <f t="shared" si="3"/>
        <v>1.5322296583303978</v>
      </c>
      <c r="Q16" s="486">
        <f t="shared" si="3"/>
        <v>1.5322296583303978</v>
      </c>
      <c r="R16" s="486">
        <f t="shared" si="3"/>
        <v>1.5322296583303978</v>
      </c>
      <c r="S16" s="486">
        <f t="shared" si="3"/>
        <v>1.5322296583303978</v>
      </c>
      <c r="T16" s="486">
        <f t="shared" si="3"/>
        <v>1.5322296583303978</v>
      </c>
      <c r="U16" s="486">
        <f t="shared" si="3"/>
        <v>1.5322296583303978</v>
      </c>
      <c r="V16" s="486">
        <f t="shared" si="3"/>
        <v>1.5322296583303978</v>
      </c>
      <c r="W16" s="486">
        <f t="shared" si="3"/>
        <v>1.5322296583303978</v>
      </c>
      <c r="X16" s="486">
        <f t="shared" si="3"/>
        <v>1.5322296583303978</v>
      </c>
      <c r="Y16" s="295">
        <f>(Y13+Y15)/5.678</f>
        <v>1.5322296583303978</v>
      </c>
      <c r="Z16" s="58" t="s">
        <v>382</v>
      </c>
      <c r="AA16" s="86" t="s">
        <v>587</v>
      </c>
      <c r="AB16" s="39">
        <f t="shared" ref="AB16:AQ16" si="4">(AB13+AB15)/5.678</f>
        <v>1.5322296583303978</v>
      </c>
      <c r="AC16" s="39">
        <f t="shared" si="4"/>
        <v>1.5322296583303978</v>
      </c>
      <c r="AD16" s="39">
        <f t="shared" si="4"/>
        <v>1.5322296583303978</v>
      </c>
      <c r="AE16" s="39">
        <f t="shared" si="4"/>
        <v>1.5322296583303978</v>
      </c>
      <c r="AF16" s="39">
        <f t="shared" si="4"/>
        <v>1.5322296583303978</v>
      </c>
      <c r="AG16" s="39">
        <f t="shared" si="4"/>
        <v>1.5322296583303978</v>
      </c>
      <c r="AH16" s="39">
        <f t="shared" si="4"/>
        <v>1.5322296583303978</v>
      </c>
      <c r="AI16" s="39">
        <f t="shared" si="4"/>
        <v>1.5322296583303978</v>
      </c>
      <c r="AJ16" s="39">
        <f t="shared" si="4"/>
        <v>1.5322296583303978</v>
      </c>
      <c r="AK16" s="39">
        <f t="shared" si="4"/>
        <v>1.5322296583303978</v>
      </c>
      <c r="AL16" s="39">
        <f t="shared" si="4"/>
        <v>1.5322296583303978</v>
      </c>
      <c r="AM16" s="39">
        <f t="shared" si="4"/>
        <v>1.5322296583303978</v>
      </c>
      <c r="AN16" s="39">
        <f t="shared" si="4"/>
        <v>1.5322296583303978</v>
      </c>
      <c r="AO16" s="39">
        <f t="shared" si="4"/>
        <v>1.5322296583303978</v>
      </c>
      <c r="AP16" s="39">
        <f t="shared" si="4"/>
        <v>1.5322296583303978</v>
      </c>
      <c r="AQ16" s="39">
        <f t="shared" si="4"/>
        <v>1.5322296583303978</v>
      </c>
    </row>
    <row r="17" spans="1:6" ht="15" customHeight="1">
      <c r="A17" s="489" t="s">
        <v>383</v>
      </c>
      <c r="B17" s="490">
        <f>D17/0.3048</f>
        <v>34.798012607692179</v>
      </c>
      <c r="C17" s="491" t="s">
        <v>133</v>
      </c>
      <c r="D17" s="496">
        <f>D10/D15</f>
        <v>10.606434242824577</v>
      </c>
      <c r="E17" s="491" t="s">
        <v>134</v>
      </c>
    </row>
    <row r="18" spans="1:6" ht="15" customHeight="1">
      <c r="A18" s="290" t="s">
        <v>1282</v>
      </c>
      <c r="D18" s="327">
        <v>0</v>
      </c>
      <c r="F18" s="313" t="s">
        <v>1284</v>
      </c>
    </row>
    <row r="19" spans="1:6" ht="15" customHeight="1">
      <c r="A19" s="290" t="s">
        <v>1283</v>
      </c>
      <c r="D19" s="327">
        <v>0</v>
      </c>
      <c r="F19" s="313" t="s">
        <v>1286</v>
      </c>
    </row>
    <row r="20" spans="1:6" ht="15" customHeight="1">
      <c r="A20" s="290" t="s">
        <v>113</v>
      </c>
      <c r="D20" s="327">
        <v>0.6</v>
      </c>
      <c r="F20" s="305" t="s">
        <v>114</v>
      </c>
    </row>
    <row r="21" spans="1:6" ht="15" customHeight="1">
      <c r="A21" s="290" t="s">
        <v>115</v>
      </c>
      <c r="D21" s="327">
        <v>0.6</v>
      </c>
      <c r="F21" s="305" t="s">
        <v>116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AD211"/>
  <sheetViews>
    <sheetView topLeftCell="A179" zoomScale="85" zoomScaleNormal="85" zoomScalePageLayoutView="85" workbookViewId="0">
      <selection activeCell="D199" sqref="D199"/>
    </sheetView>
  </sheetViews>
  <sheetFormatPr baseColWidth="10" defaultColWidth="8.6640625" defaultRowHeight="15" customHeight="1" x14ac:dyDescent="0"/>
  <cols>
    <col min="1" max="1" width="18.5" style="5" customWidth="1"/>
    <col min="2" max="2" width="12.1640625" style="5" bestFit="1" customWidth="1"/>
    <col min="3" max="3" width="15.6640625" style="5" customWidth="1"/>
    <col min="4" max="4" width="12.83203125" style="5" customWidth="1"/>
    <col min="5" max="5" width="10.332031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83203125" style="5" bestFit="1" customWidth="1"/>
    <col min="10" max="10" width="14.5" style="5" bestFit="1" customWidth="1"/>
    <col min="11" max="11" width="15.83203125" style="5" bestFit="1" customWidth="1"/>
    <col min="12" max="12" width="15.1640625" style="5" bestFit="1" customWidth="1"/>
    <col min="13" max="13" width="11.6640625" style="5" bestFit="1" customWidth="1"/>
    <col min="14" max="14" width="10" style="5" customWidth="1"/>
    <col min="15" max="16" width="10.33203125" style="5" bestFit="1" customWidth="1"/>
    <col min="17" max="17" width="12.1640625" style="5" bestFit="1" customWidth="1"/>
    <col min="18" max="18" width="10.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305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0" ht="15" customHeight="1">
      <c r="A1" s="73" t="s">
        <v>384</v>
      </c>
      <c r="Z1" s="115" t="s">
        <v>385</v>
      </c>
      <c r="AA1" s="116"/>
      <c r="AB1" s="117" t="s">
        <v>386</v>
      </c>
      <c r="AC1" s="117" t="s">
        <v>387</v>
      </c>
      <c r="AD1" s="116" t="s">
        <v>388</v>
      </c>
    </row>
    <row r="2" spans="1:30" ht="17.25" customHeight="1">
      <c r="A2" s="74" t="s">
        <v>389</v>
      </c>
      <c r="H2" s="290"/>
      <c r="J2" s="5" t="s">
        <v>733</v>
      </c>
      <c r="Z2" s="118"/>
      <c r="AA2" s="119"/>
      <c r="AB2" s="120" t="s">
        <v>484</v>
      </c>
      <c r="AC2" s="120" t="s">
        <v>485</v>
      </c>
      <c r="AD2" s="119" t="s">
        <v>392</v>
      </c>
    </row>
    <row r="3" spans="1:30" ht="15" customHeight="1">
      <c r="A3" s="4" t="s">
        <v>393</v>
      </c>
      <c r="H3" s="290"/>
      <c r="J3" s="5" t="s">
        <v>734</v>
      </c>
      <c r="N3" s="5" t="s">
        <v>736</v>
      </c>
      <c r="P3" s="59"/>
      <c r="Q3" s="59"/>
      <c r="R3" s="59"/>
      <c r="S3" s="59"/>
      <c r="Z3" s="115" t="s">
        <v>394</v>
      </c>
      <c r="AA3" s="116" t="s">
        <v>395</v>
      </c>
      <c r="AB3" s="114">
        <v>2.2000000000000002</v>
      </c>
      <c r="AC3" s="114">
        <v>45.8</v>
      </c>
      <c r="AD3" s="112">
        <v>4.9000000000000004</v>
      </c>
    </row>
    <row r="4" spans="1:30" ht="15" customHeight="1">
      <c r="A4" s="14" t="s">
        <v>396</v>
      </c>
      <c r="H4" s="290"/>
      <c r="I4" s="60"/>
      <c r="J4" s="60" t="s">
        <v>735</v>
      </c>
      <c r="K4" s="60"/>
      <c r="L4" s="60"/>
      <c r="M4" s="60"/>
      <c r="N4" s="60" t="s">
        <v>737</v>
      </c>
      <c r="O4" s="60"/>
      <c r="P4" s="60"/>
      <c r="Q4" s="60"/>
      <c r="R4" s="60"/>
      <c r="Z4" s="118"/>
      <c r="AA4" s="119" t="s">
        <v>397</v>
      </c>
      <c r="AB4" s="87">
        <v>5</v>
      </c>
      <c r="AC4" s="87">
        <v>113.2</v>
      </c>
      <c r="AD4" s="94">
        <v>7.5</v>
      </c>
    </row>
    <row r="5" spans="1:30" ht="15" customHeight="1">
      <c r="A5" s="14"/>
      <c r="I5" s="60"/>
      <c r="J5" s="60"/>
      <c r="K5" s="60"/>
      <c r="L5" s="60"/>
      <c r="M5" s="60"/>
      <c r="N5" s="60"/>
      <c r="O5" s="60"/>
      <c r="P5" s="60"/>
      <c r="Q5" s="61"/>
      <c r="R5" s="61"/>
      <c r="S5" s="16"/>
      <c r="Z5" s="118"/>
      <c r="AA5" s="119" t="s">
        <v>398</v>
      </c>
      <c r="AB5" s="87">
        <v>0.8</v>
      </c>
      <c r="AC5" s="87">
        <v>20.100000000000001</v>
      </c>
      <c r="AD5" s="94">
        <v>2.8</v>
      </c>
    </row>
    <row r="6" spans="1:30" ht="15" customHeight="1">
      <c r="D6" s="5" t="s">
        <v>1</v>
      </c>
      <c r="I6" s="60"/>
      <c r="J6" s="60" t="s">
        <v>738</v>
      </c>
      <c r="K6" s="60"/>
      <c r="L6" s="60"/>
      <c r="M6" s="62"/>
      <c r="N6" s="63"/>
      <c r="O6" s="60"/>
      <c r="P6" s="64"/>
      <c r="Q6" s="61"/>
      <c r="R6" s="61"/>
      <c r="S6" s="16"/>
      <c r="Z6" s="118"/>
      <c r="AA6" s="119" t="s">
        <v>399</v>
      </c>
      <c r="AB6" s="87">
        <v>0.7</v>
      </c>
      <c r="AC6" s="87">
        <v>16.899999999999999</v>
      </c>
      <c r="AD6" s="94">
        <v>1</v>
      </c>
    </row>
    <row r="7" spans="1:30" s="305" customFormat="1" ht="15" customHeight="1">
      <c r="I7" s="313"/>
      <c r="J7" s="313"/>
      <c r="K7" s="313"/>
      <c r="L7" s="313"/>
      <c r="M7" s="62"/>
      <c r="N7" s="63"/>
      <c r="O7" s="313"/>
      <c r="P7" s="287"/>
      <c r="Q7" s="61"/>
      <c r="R7" s="61"/>
      <c r="S7" s="293"/>
      <c r="Z7" s="118"/>
      <c r="AA7" s="119"/>
      <c r="AB7" s="87"/>
      <c r="AC7" s="87"/>
      <c r="AD7" s="228"/>
    </row>
    <row r="8" spans="1:30" s="305" customFormat="1" ht="15" customHeight="1">
      <c r="C8" s="266" t="s">
        <v>707</v>
      </c>
      <c r="D8" s="314" t="s">
        <v>656</v>
      </c>
      <c r="E8" s="314" t="s">
        <v>657</v>
      </c>
      <c r="F8" s="314" t="s">
        <v>658</v>
      </c>
      <c r="G8" s="314" t="s">
        <v>659</v>
      </c>
      <c r="H8" s="314" t="s">
        <v>660</v>
      </c>
      <c r="I8" s="314" t="s">
        <v>661</v>
      </c>
      <c r="J8" s="314" t="s">
        <v>662</v>
      </c>
      <c r="K8" s="314" t="s">
        <v>663</v>
      </c>
      <c r="L8" s="314" t="s">
        <v>664</v>
      </c>
      <c r="M8" s="314" t="s">
        <v>665</v>
      </c>
      <c r="N8" s="314" t="s">
        <v>666</v>
      </c>
      <c r="O8" s="314" t="s">
        <v>667</v>
      </c>
      <c r="P8" s="314">
        <v>7</v>
      </c>
      <c r="Q8" s="266">
        <v>8</v>
      </c>
      <c r="R8" s="305" t="s">
        <v>917</v>
      </c>
      <c r="S8" s="305" t="s">
        <v>918</v>
      </c>
      <c r="Z8" s="118"/>
      <c r="AA8" s="119"/>
      <c r="AB8" s="87"/>
      <c r="AC8" s="87"/>
      <c r="AD8" s="228"/>
    </row>
    <row r="9" spans="1:30" ht="15" customHeight="1">
      <c r="A9" s="70" t="s">
        <v>400</v>
      </c>
      <c r="B9" s="70">
        <v>13</v>
      </c>
      <c r="C9" s="5">
        <v>18</v>
      </c>
      <c r="D9" s="305">
        <v>18</v>
      </c>
      <c r="E9" s="305">
        <v>18</v>
      </c>
      <c r="F9" s="70">
        <v>15</v>
      </c>
      <c r="G9" s="70">
        <v>15</v>
      </c>
      <c r="H9" s="70">
        <v>15</v>
      </c>
      <c r="I9" s="70">
        <v>15</v>
      </c>
      <c r="J9" s="70">
        <v>15</v>
      </c>
      <c r="K9" s="60">
        <v>13</v>
      </c>
      <c r="L9" s="313">
        <v>13</v>
      </c>
      <c r="M9" s="313">
        <v>13</v>
      </c>
      <c r="N9" s="313">
        <v>13</v>
      </c>
      <c r="O9" s="313">
        <v>13</v>
      </c>
      <c r="P9" s="313">
        <v>13</v>
      </c>
      <c r="Q9" s="313">
        <v>13</v>
      </c>
      <c r="R9" s="5">
        <f>D9</f>
        <v>18</v>
      </c>
      <c r="S9" s="5">
        <f>F9</f>
        <v>15</v>
      </c>
      <c r="T9" s="70" t="s">
        <v>11</v>
      </c>
      <c r="U9" s="74" t="s">
        <v>401</v>
      </c>
      <c r="Z9" s="118"/>
      <c r="AA9" s="119" t="s">
        <v>402</v>
      </c>
      <c r="AB9" s="87">
        <v>31.9</v>
      </c>
      <c r="AC9" s="87">
        <v>37</v>
      </c>
      <c r="AD9" s="94">
        <v>19.8</v>
      </c>
    </row>
    <row r="10" spans="1:30" ht="15" customHeight="1">
      <c r="A10" s="58" t="s">
        <v>393</v>
      </c>
      <c r="B10" s="483">
        <v>11</v>
      </c>
      <c r="C10" s="327">
        <v>15.2</v>
      </c>
      <c r="D10" s="327">
        <v>15.2</v>
      </c>
      <c r="E10" s="327">
        <v>15.2</v>
      </c>
      <c r="F10" s="327">
        <v>13</v>
      </c>
      <c r="G10" s="327">
        <v>13</v>
      </c>
      <c r="H10" s="327">
        <v>13</v>
      </c>
      <c r="I10" s="327">
        <v>13</v>
      </c>
      <c r="J10" s="327">
        <v>13</v>
      </c>
      <c r="K10" s="327">
        <v>11.1</v>
      </c>
      <c r="L10" s="327">
        <v>11.1</v>
      </c>
      <c r="M10" s="327">
        <v>11.1</v>
      </c>
      <c r="N10" s="327">
        <v>11.1</v>
      </c>
      <c r="O10" s="327">
        <v>11.1</v>
      </c>
      <c r="P10" s="327">
        <v>11.1</v>
      </c>
      <c r="Q10" s="327">
        <v>11.1</v>
      </c>
      <c r="R10" s="327">
        <f>D10</f>
        <v>15.2</v>
      </c>
      <c r="S10" s="327">
        <f>F10</f>
        <v>13</v>
      </c>
      <c r="T10" s="58" t="s">
        <v>11</v>
      </c>
      <c r="U10" s="17" t="s">
        <v>403</v>
      </c>
      <c r="Z10" s="121"/>
      <c r="AA10" s="107"/>
      <c r="AB10" s="104"/>
      <c r="AC10" s="104"/>
      <c r="AD10" s="89"/>
    </row>
    <row r="11" spans="1:30" ht="15" customHeight="1">
      <c r="I11" s="60"/>
      <c r="J11" s="60"/>
      <c r="K11" s="60"/>
      <c r="L11" s="60"/>
      <c r="M11" s="62"/>
      <c r="N11" s="63"/>
      <c r="O11" s="60"/>
      <c r="P11" s="64"/>
      <c r="Q11" s="61"/>
      <c r="R11" s="61"/>
      <c r="S11" s="16"/>
      <c r="Z11" s="115" t="s">
        <v>486</v>
      </c>
      <c r="AA11" s="116" t="s">
        <v>395</v>
      </c>
      <c r="AB11" s="114">
        <v>2</v>
      </c>
      <c r="AC11" s="114">
        <v>32.6</v>
      </c>
      <c r="AD11" s="112">
        <v>6.5</v>
      </c>
    </row>
    <row r="12" spans="1:30" ht="15" customHeight="1">
      <c r="A12" s="14"/>
      <c r="I12" s="60"/>
      <c r="J12" s="60"/>
      <c r="K12" s="60"/>
      <c r="L12" s="60"/>
      <c r="M12" s="62"/>
      <c r="N12" s="63"/>
      <c r="O12" s="60"/>
      <c r="P12" s="64"/>
      <c r="Q12" s="61"/>
      <c r="R12" s="61"/>
      <c r="S12" s="16"/>
      <c r="Z12" s="118"/>
      <c r="AA12" s="119" t="s">
        <v>408</v>
      </c>
      <c r="AB12" s="87">
        <v>2.1</v>
      </c>
      <c r="AC12" s="87">
        <v>45.7</v>
      </c>
      <c r="AD12" s="94">
        <v>7.5</v>
      </c>
    </row>
    <row r="13" spans="1:30" ht="15" customHeight="1">
      <c r="A13" s="4" t="s">
        <v>404</v>
      </c>
      <c r="C13" s="266" t="s">
        <v>707</v>
      </c>
      <c r="D13" s="314" t="s">
        <v>656</v>
      </c>
      <c r="E13" s="314" t="s">
        <v>657</v>
      </c>
      <c r="F13" s="314" t="s">
        <v>658</v>
      </c>
      <c r="G13" s="314" t="s">
        <v>659</v>
      </c>
      <c r="H13" s="314" t="s">
        <v>660</v>
      </c>
      <c r="I13" s="314" t="s">
        <v>661</v>
      </c>
      <c r="J13" s="314" t="s">
        <v>662</v>
      </c>
      <c r="K13" s="314" t="s">
        <v>663</v>
      </c>
      <c r="L13" s="314" t="s">
        <v>664</v>
      </c>
      <c r="M13" s="314" t="s">
        <v>665</v>
      </c>
      <c r="N13" s="314" t="s">
        <v>666</v>
      </c>
      <c r="O13" s="314" t="s">
        <v>667</v>
      </c>
      <c r="P13" s="314">
        <v>7</v>
      </c>
      <c r="Q13" s="266">
        <v>8</v>
      </c>
      <c r="R13" s="305" t="s">
        <v>917</v>
      </c>
      <c r="S13" s="305" t="s">
        <v>918</v>
      </c>
      <c r="Z13" s="118"/>
      <c r="AA13" s="119" t="s">
        <v>410</v>
      </c>
      <c r="AB13" s="87">
        <v>1.8</v>
      </c>
      <c r="AC13" s="87">
        <v>24.2</v>
      </c>
      <c r="AD13" s="94">
        <v>4.4000000000000004</v>
      </c>
    </row>
    <row r="14" spans="1:30" ht="15" customHeight="1">
      <c r="A14" s="70" t="s">
        <v>405</v>
      </c>
      <c r="B14" s="349">
        <v>0.8</v>
      </c>
      <c r="C14" s="501">
        <v>0.8</v>
      </c>
      <c r="D14" s="501">
        <v>0.8</v>
      </c>
      <c r="E14" s="501">
        <v>0.8</v>
      </c>
      <c r="F14" s="501">
        <v>0.9</v>
      </c>
      <c r="G14" s="501">
        <v>0.9</v>
      </c>
      <c r="H14" s="501">
        <v>0.9</v>
      </c>
      <c r="I14" s="501">
        <v>0.9</v>
      </c>
      <c r="J14" s="501">
        <v>0.9</v>
      </c>
      <c r="K14" s="501">
        <v>0.94</v>
      </c>
      <c r="L14" s="501">
        <v>0.94</v>
      </c>
      <c r="M14" s="501">
        <v>0.94</v>
      </c>
      <c r="N14" s="501">
        <v>0.94</v>
      </c>
      <c r="O14" s="501">
        <v>0.94</v>
      </c>
      <c r="P14" s="501">
        <v>0.94</v>
      </c>
      <c r="Q14" s="501">
        <v>0.94</v>
      </c>
      <c r="R14" s="502">
        <f>D14</f>
        <v>0.8</v>
      </c>
      <c r="S14" s="502">
        <f>F14</f>
        <v>0.9</v>
      </c>
      <c r="Z14" s="118"/>
      <c r="AA14" s="119" t="s">
        <v>406</v>
      </c>
      <c r="AB14" s="87">
        <v>7.2</v>
      </c>
      <c r="AC14" s="87">
        <v>35.1</v>
      </c>
      <c r="AD14" s="94">
        <v>27.9</v>
      </c>
    </row>
    <row r="15" spans="1:30" ht="15" customHeight="1">
      <c r="S15" s="14" t="s">
        <v>1</v>
      </c>
      <c r="Z15" s="121"/>
      <c r="AA15" s="107"/>
      <c r="AB15" s="104"/>
      <c r="AC15" s="104"/>
      <c r="AD15" s="89"/>
    </row>
    <row r="16" spans="1:30" ht="15" customHeight="1">
      <c r="A16" s="109" t="s">
        <v>376</v>
      </c>
      <c r="B16" s="108"/>
      <c r="C16" s="266" t="s">
        <v>707</v>
      </c>
      <c r="D16" s="306" t="s">
        <v>656</v>
      </c>
      <c r="E16" s="306" t="s">
        <v>657</v>
      </c>
      <c r="F16" s="306" t="s">
        <v>658</v>
      </c>
      <c r="G16" s="306" t="s">
        <v>659</v>
      </c>
      <c r="H16" s="306" t="s">
        <v>660</v>
      </c>
      <c r="I16" s="306" t="s">
        <v>661</v>
      </c>
      <c r="J16" s="306" t="s">
        <v>662</v>
      </c>
      <c r="K16" s="306" t="s">
        <v>663</v>
      </c>
      <c r="L16" s="306" t="s">
        <v>664</v>
      </c>
      <c r="M16" s="306" t="s">
        <v>665</v>
      </c>
      <c r="N16" s="306" t="s">
        <v>666</v>
      </c>
      <c r="O16" s="306" t="s">
        <v>667</v>
      </c>
      <c r="P16" s="306">
        <v>7</v>
      </c>
      <c r="Q16" s="266">
        <v>8</v>
      </c>
      <c r="R16" s="305" t="s">
        <v>917</v>
      </c>
      <c r="S16" s="305" t="s">
        <v>918</v>
      </c>
      <c r="Z16" s="115" t="s">
        <v>487</v>
      </c>
      <c r="AA16" s="116" t="s">
        <v>395</v>
      </c>
      <c r="AB16" s="114">
        <v>2.1</v>
      </c>
      <c r="AC16" s="114">
        <v>33</v>
      </c>
      <c r="AD16" s="112">
        <v>6.3</v>
      </c>
    </row>
    <row r="17" spans="1:30" ht="15" customHeight="1">
      <c r="A17" s="5" t="s">
        <v>407</v>
      </c>
      <c r="B17" s="100" t="s">
        <v>390</v>
      </c>
      <c r="C17" s="137">
        <f>VLOOKUP(CONCATENATE(HVAC!C16,HomeSize),HVAC!$D$57:$K$75,8,FALSE)</f>
        <v>0.7466563786008229</v>
      </c>
      <c r="D17" s="312">
        <f>VLOOKUP(CONCATENATE(HVAC!D16,HomeSize),HVAC!$D$57:$K$75,8,FALSE)</f>
        <v>0.65519547325102878</v>
      </c>
      <c r="E17" s="312" t="e">
        <f>VLOOKUP(CONCATENATE(HVAC!E16,HomeSize),HVAC!$D$57:$K$75,8,FALSE)</f>
        <v>#N/A</v>
      </c>
      <c r="F17" s="312">
        <f>VLOOKUP(CONCATENATE(HVAC!F16,HomeSize),HVAC!$D$57:$K$75,8,FALSE)</f>
        <v>0.71116255144032914</v>
      </c>
      <c r="G17" s="312" t="e">
        <f>VLOOKUP(CONCATENATE(HVAC!G16,HomeSize),HVAC!$D$57:$K$75,8,FALSE)</f>
        <v>#N/A</v>
      </c>
      <c r="H17" s="312" t="e">
        <f>VLOOKUP(CONCATENATE(HVAC!H16,HomeSize),HVAC!$D$57:$K$75,8,FALSE)</f>
        <v>#N/A</v>
      </c>
      <c r="I17" s="312">
        <f>VLOOKUP(CONCATENATE(HVAC!I16,HomeSize),HVAC!$D$57:$K$75,8,FALSE)</f>
        <v>0.64277263374485594</v>
      </c>
      <c r="J17" s="312" t="e">
        <f>VLOOKUP(CONCATENATE(HVAC!J16,HomeSize),HVAC!$D$57:$K$75,8,FALSE)</f>
        <v>#N/A</v>
      </c>
      <c r="K17" s="312" t="e">
        <f>VLOOKUP(CONCATENATE(HVAC!K16,HomeSize),HVAC!$D$57:$K$75,8,FALSE)</f>
        <v>#N/A</v>
      </c>
      <c r="L17" s="312" t="e">
        <f>VLOOKUP(CONCATENATE(HVAC!L16,HomeSize),HVAC!$D$57:$K$75,8,FALSE)</f>
        <v>#N/A</v>
      </c>
      <c r="M17" s="312" t="e">
        <f>VLOOKUP(CONCATENATE(HVAC!M16,HomeSize),HVAC!$D$57:$K$75,8,FALSE)</f>
        <v>#N/A</v>
      </c>
      <c r="N17" s="312" t="e">
        <f>VLOOKUP(CONCATENATE(HVAC!N16,HomeSize),HVAC!$D$57:$K$75,8,FALSE)</f>
        <v>#N/A</v>
      </c>
      <c r="O17" s="312" t="e">
        <f>VLOOKUP(CONCATENATE(HVAC!O16,HomeSize),HVAC!$D$57:$K$75,8,FALSE)</f>
        <v>#N/A</v>
      </c>
      <c r="P17" s="312" t="e">
        <f>VLOOKUP(CONCATENATE(HVAC!P16,HomeSize),HVAC!$D$57:$K$75,8,FALSE)</f>
        <v>#N/A</v>
      </c>
      <c r="Q17" s="312" t="e">
        <f>VLOOKUP(CONCATENATE(HVAC!Q16,HomeSize),HVAC!$D$57:$K$75,8,FALSE)</f>
        <v>#N/A</v>
      </c>
      <c r="R17" s="312">
        <f>VLOOKUP(CONCATENATE(HVAC!R16,HomeSize),HVAC!$D$57:$K$75,8,FALSE)</f>
        <v>0.63117283950617287</v>
      </c>
      <c r="S17" s="312">
        <f>VLOOKUP(CONCATENATE(HVAC!S16,HomeSize),HVAC!$D$57:$K$75,8,FALSE)</f>
        <v>0.70421810699588472</v>
      </c>
      <c r="Z17" s="118"/>
      <c r="AA17" s="119" t="s">
        <v>408</v>
      </c>
      <c r="AB17" s="87">
        <v>2.1</v>
      </c>
      <c r="AC17" s="87">
        <v>35.1</v>
      </c>
      <c r="AD17" s="94">
        <v>6.7</v>
      </c>
    </row>
    <row r="18" spans="1:30" ht="15" customHeight="1">
      <c r="A18" s="5" t="s">
        <v>409</v>
      </c>
      <c r="B18" s="100" t="s">
        <v>391</v>
      </c>
      <c r="C18" s="137">
        <f>VLOOKUP(CONCATENATE(HVAC!C16,HomeSize),HVAC!$D$57:$K$75,7,FALSE)</f>
        <v>3.2225308641975308</v>
      </c>
      <c r="D18" s="312">
        <f>VLOOKUP(CONCATENATE(HVAC!D16,HomeSize),HVAC!$D$57:$K$75,7,FALSE)</f>
        <v>7.4259259259259256</v>
      </c>
      <c r="E18" s="312" t="e">
        <f>VLOOKUP(CONCATENATE(HVAC!E16,HomeSize),HVAC!$D$57:$K$75,7,FALSE)</f>
        <v>#N/A</v>
      </c>
      <c r="F18" s="312">
        <f>VLOOKUP(CONCATENATE(HVAC!F16,HomeSize),HVAC!$D$57:$K$75,7,FALSE)</f>
        <v>9.1395061728395053</v>
      </c>
      <c r="G18" s="312" t="e">
        <f>VLOOKUP(CONCATENATE(HVAC!G16,HomeSize),HVAC!$D$57:$K$75,7,FALSE)</f>
        <v>#N/A</v>
      </c>
      <c r="H18" s="312" t="e">
        <f>VLOOKUP(CONCATENATE(HVAC!H16,HomeSize),HVAC!$D$57:$K$75,7,FALSE)</f>
        <v>#N/A</v>
      </c>
      <c r="I18" s="312">
        <f>VLOOKUP(CONCATENATE(HVAC!I16,HomeSize),HVAC!$D$57:$K$75,7,FALSE)</f>
        <v>10.729938271604937</v>
      </c>
      <c r="J18" s="312" t="e">
        <f>VLOOKUP(CONCATENATE(HVAC!J16,HomeSize),HVAC!$D$57:$K$75,7,FALSE)</f>
        <v>#N/A</v>
      </c>
      <c r="K18" s="312" t="e">
        <f>VLOOKUP(CONCATENATE(HVAC!K16,HomeSize),HVAC!$D$57:$K$75,7,FALSE)</f>
        <v>#N/A</v>
      </c>
      <c r="L18" s="312" t="e">
        <f>VLOOKUP(CONCATENATE(HVAC!L16,HomeSize),HVAC!$D$57:$K$75,7,FALSE)</f>
        <v>#N/A</v>
      </c>
      <c r="M18" s="312" t="e">
        <f>VLOOKUP(CONCATENATE(HVAC!M16,HomeSize),HVAC!$D$57:$K$75,7,FALSE)</f>
        <v>#N/A</v>
      </c>
      <c r="N18" s="312" t="e">
        <f>VLOOKUP(CONCATENATE(HVAC!N16,HomeSize),HVAC!$D$57:$K$75,7,FALSE)</f>
        <v>#N/A</v>
      </c>
      <c r="O18" s="312" t="e">
        <f>VLOOKUP(CONCATENATE(HVAC!O16,HomeSize),HVAC!$D$57:$K$75,7,FALSE)</f>
        <v>#N/A</v>
      </c>
      <c r="P18" s="312" t="e">
        <f>VLOOKUP(CONCATENATE(HVAC!P16,HomeSize),HVAC!$D$57:$K$75,7,FALSE)</f>
        <v>#N/A</v>
      </c>
      <c r="Q18" s="312" t="e">
        <f>VLOOKUP(CONCATENATE(HVAC!Q16,HomeSize),HVAC!$D$57:$K$75,7,FALSE)</f>
        <v>#N/A</v>
      </c>
      <c r="R18" s="312">
        <f>VLOOKUP(CONCATENATE(HVAC!R16,HomeSize),HVAC!$D$57:$K$75,7,FALSE)</f>
        <v>5.4438271604938269</v>
      </c>
      <c r="S18" s="312">
        <f>VLOOKUP(CONCATENATE(HVAC!S16,HomeSize),HVAC!$D$57:$K$75,7,FALSE)</f>
        <v>7.4669753086419748</v>
      </c>
      <c r="Z18" s="118"/>
      <c r="AA18" s="119" t="s">
        <v>410</v>
      </c>
      <c r="AB18" s="87">
        <v>1.9</v>
      </c>
      <c r="AC18" s="87">
        <v>31.9</v>
      </c>
      <c r="AD18" s="94">
        <v>5.6</v>
      </c>
    </row>
    <row r="19" spans="1:30" ht="15" customHeight="1">
      <c r="A19" s="5" t="s">
        <v>1025</v>
      </c>
      <c r="B19" s="94" t="s">
        <v>411</v>
      </c>
      <c r="C19" s="137">
        <f>C17*A_houseFT/1000</f>
        <v>2.4101975473372845</v>
      </c>
      <c r="D19" s="137">
        <f t="shared" ref="D19:Q19" si="0">D17*A_houseFT/1000</f>
        <v>2.1149628770537374</v>
      </c>
      <c r="E19" s="137" t="e">
        <f t="shared" si="0"/>
        <v>#N/A</v>
      </c>
      <c r="F19" s="137">
        <f t="shared" si="0"/>
        <v>2.29562391263782</v>
      </c>
      <c r="G19" s="137" t="e">
        <f t="shared" si="0"/>
        <v>#N/A</v>
      </c>
      <c r="H19" s="137" t="e">
        <f t="shared" si="0"/>
        <v>#N/A</v>
      </c>
      <c r="I19" s="137">
        <f t="shared" si="0"/>
        <v>2.0748621049089246</v>
      </c>
      <c r="J19" s="137" t="e">
        <f t="shared" si="0"/>
        <v>#N/A</v>
      </c>
      <c r="K19" s="137" t="e">
        <f t="shared" si="0"/>
        <v>#N/A</v>
      </c>
      <c r="L19" s="137" t="e">
        <f t="shared" si="0"/>
        <v>#N/A</v>
      </c>
      <c r="M19" s="137" t="e">
        <f t="shared" si="0"/>
        <v>#N/A</v>
      </c>
      <c r="N19" s="137" t="e">
        <f t="shared" si="0"/>
        <v>#N/A</v>
      </c>
      <c r="O19" s="137" t="e">
        <f t="shared" si="0"/>
        <v>#N/A</v>
      </c>
      <c r="P19" s="137" t="e">
        <f t="shared" si="0"/>
        <v>#N/A</v>
      </c>
      <c r="Q19" s="137" t="e">
        <f t="shared" si="0"/>
        <v>#N/A</v>
      </c>
      <c r="R19" s="312">
        <f>R17*A_houseFT/1000</f>
        <v>2.0374181126991724</v>
      </c>
      <c r="S19" s="312">
        <f>S17*A_houseFT/1000</f>
        <v>2.2732073319357511</v>
      </c>
      <c r="Z19" s="118"/>
      <c r="AA19" s="119" t="s">
        <v>406</v>
      </c>
      <c r="AB19" s="87">
        <v>5.2</v>
      </c>
      <c r="AC19" s="87">
        <v>5.4</v>
      </c>
      <c r="AD19" s="94">
        <v>10.199999999999999</v>
      </c>
    </row>
    <row r="20" spans="1:30" s="305" customFormat="1" ht="15" customHeight="1">
      <c r="A20" s="305" t="s">
        <v>1026</v>
      </c>
      <c r="B20" s="228" t="s">
        <v>1027</v>
      </c>
      <c r="C20" s="319">
        <f t="shared" ref="C20:S20" si="1">C18*(A_houseFT/1000)</f>
        <v>10.402289738235725</v>
      </c>
      <c r="D20" s="319">
        <f t="shared" si="1"/>
        <v>23.970796964079259</v>
      </c>
      <c r="E20" s="319" t="e">
        <f t="shared" si="1"/>
        <v>#N/A</v>
      </c>
      <c r="F20" s="319">
        <f t="shared" si="1"/>
        <v>29.502212788874271</v>
      </c>
      <c r="G20" s="319" t="e">
        <f t="shared" si="1"/>
        <v>#N/A</v>
      </c>
      <c r="H20" s="319" t="e">
        <f t="shared" si="1"/>
        <v>#N/A</v>
      </c>
      <c r="I20" s="319">
        <f t="shared" si="1"/>
        <v>34.636107915885923</v>
      </c>
      <c r="J20" s="319" t="e">
        <f t="shared" si="1"/>
        <v>#N/A</v>
      </c>
      <c r="K20" s="319" t="e">
        <f t="shared" si="1"/>
        <v>#N/A</v>
      </c>
      <c r="L20" s="319" t="e">
        <f t="shared" si="1"/>
        <v>#N/A</v>
      </c>
      <c r="M20" s="319" t="e">
        <f t="shared" si="1"/>
        <v>#N/A</v>
      </c>
      <c r="N20" s="319" t="e">
        <f t="shared" si="1"/>
        <v>#N/A</v>
      </c>
      <c r="O20" s="319" t="e">
        <f t="shared" si="1"/>
        <v>#N/A</v>
      </c>
      <c r="P20" s="319" t="e">
        <f t="shared" si="1"/>
        <v>#N/A</v>
      </c>
      <c r="Q20" s="319" t="e">
        <f t="shared" si="1"/>
        <v>#N/A</v>
      </c>
      <c r="R20" s="319">
        <f t="shared" si="1"/>
        <v>17.572606685470902</v>
      </c>
      <c r="S20" s="319">
        <f t="shared" si="1"/>
        <v>24.103303863340376</v>
      </c>
      <c r="Z20" s="118"/>
      <c r="AA20" s="119"/>
      <c r="AB20" s="87"/>
      <c r="AC20" s="87"/>
      <c r="AD20" s="228"/>
    </row>
    <row r="21" spans="1:30" s="305" customFormat="1" ht="15" customHeight="1">
      <c r="A21" s="305" t="s">
        <v>1288</v>
      </c>
      <c r="B21" s="228" t="s">
        <v>289</v>
      </c>
      <c r="C21" s="522">
        <f>VLOOKUP(CONCATENATE(C16,HomeSize),HVAC!$D$57:$K$75,5,FALSE)*C19</f>
        <v>856.10216881420342</v>
      </c>
      <c r="D21" s="522">
        <f>VLOOKUP(CONCATENATE(D16,HomeSize),HVAC!$D$57:$K$75,5,FALSE)*D19</f>
        <v>751.23481392948747</v>
      </c>
      <c r="E21" s="522" t="e">
        <f>VLOOKUP(CONCATENATE(E16,HomeSize),HVAC!$D$57:$K$75,5,FALSE)*E19</f>
        <v>#N/A</v>
      </c>
      <c r="F21" s="522">
        <f>VLOOKUP(CONCATENATE(F16,HomeSize),HVAC!$D$57:$K$75,5,FALSE)*F19</f>
        <v>886.34039266946229</v>
      </c>
      <c r="G21" s="522" t="e">
        <f>VLOOKUP(CONCATENATE(G16,HomeSize),HVAC!$D$57:$K$75,5,FALSE)*G19</f>
        <v>#N/A</v>
      </c>
      <c r="H21" s="522" t="e">
        <f>VLOOKUP(CONCATENATE(H16,HomeSize),HVAC!$D$57:$K$75,5,FALSE)*H19</f>
        <v>#N/A</v>
      </c>
      <c r="I21" s="522">
        <f>VLOOKUP(CONCATENATE(I16,HomeSize),HVAC!$D$57:$K$75,5,FALSE)*I19</f>
        <v>801.10425870533584</v>
      </c>
      <c r="J21" s="522" t="e">
        <f>VLOOKUP(CONCATENATE(J16,HomeSize),HVAC!$D$57:$K$75,5,FALSE)*J19</f>
        <v>#N/A</v>
      </c>
      <c r="K21" s="522" t="e">
        <f>VLOOKUP(CONCATENATE(K16,HomeSize),HVAC!$D$57:$K$75,5,FALSE)*K19</f>
        <v>#N/A</v>
      </c>
      <c r="L21" s="522" t="e">
        <f>VLOOKUP(CONCATENATE(L16,HomeSize),HVAC!$D$57:$K$75,5,FALSE)*L19</f>
        <v>#N/A</v>
      </c>
      <c r="M21" s="522" t="e">
        <f>VLOOKUP(CONCATENATE(M16,HomeSize),HVAC!$D$57:$K$75,5,FALSE)*M19</f>
        <v>#N/A</v>
      </c>
      <c r="N21" s="522" t="e">
        <f>VLOOKUP(CONCATENATE(N16,HomeSize),HVAC!$D$57:$K$75,5,FALSE)*N19</f>
        <v>#N/A</v>
      </c>
      <c r="O21" s="522" t="e">
        <f>VLOOKUP(CONCATENATE(O16,HomeSize),HVAC!$D$57:$K$75,5,FALSE)*O19</f>
        <v>#N/A</v>
      </c>
      <c r="P21" s="522" t="e">
        <f>VLOOKUP(CONCATENATE(P16,HomeSize),HVAC!$D$57:$K$75,5,FALSE)*P19</f>
        <v>#N/A</v>
      </c>
      <c r="Q21" s="522" t="e">
        <f>VLOOKUP(CONCATENATE(Q16,HomeSize),HVAC!$D$57:$K$75,5,FALSE)*Q19</f>
        <v>#N/A</v>
      </c>
      <c r="R21" s="522">
        <f>VLOOKUP(CONCATENATE(R16,HomeSize),HVAC!$D$57:$K$75,5,FALSE)*R19</f>
        <v>723.69091363074597</v>
      </c>
      <c r="S21" s="522">
        <f>VLOOKUP(CONCATENATE(S16,HomeSize),HVAC!$D$57:$K$75,5,FALSE)*S19</f>
        <v>877.68535086039356</v>
      </c>
      <c r="Z21" s="118"/>
      <c r="AA21" s="119"/>
      <c r="AB21" s="87"/>
      <c r="AC21" s="87"/>
      <c r="AD21" s="228"/>
    </row>
    <row r="22" spans="1:30" s="305" customFormat="1" ht="15" customHeight="1">
      <c r="A22" s="305" t="s">
        <v>1289</v>
      </c>
      <c r="B22" s="228" t="s">
        <v>289</v>
      </c>
      <c r="C22" s="522">
        <f>16.8*C20</f>
        <v>174.75846760236018</v>
      </c>
      <c r="D22" s="522">
        <f t="shared" ref="D22:S22" si="2">16.8*D20</f>
        <v>402.70938899653157</v>
      </c>
      <c r="E22" s="522" t="e">
        <f t="shared" si="2"/>
        <v>#N/A</v>
      </c>
      <c r="F22" s="522">
        <f t="shared" si="2"/>
        <v>495.6371748530878</v>
      </c>
      <c r="G22" s="522" t="e">
        <f t="shared" si="2"/>
        <v>#N/A</v>
      </c>
      <c r="H22" s="522" t="e">
        <f t="shared" si="2"/>
        <v>#N/A</v>
      </c>
      <c r="I22" s="522">
        <f t="shared" si="2"/>
        <v>581.88661298688351</v>
      </c>
      <c r="J22" s="522" t="e">
        <f t="shared" si="2"/>
        <v>#N/A</v>
      </c>
      <c r="K22" s="522" t="e">
        <f t="shared" si="2"/>
        <v>#N/A</v>
      </c>
      <c r="L22" s="522" t="e">
        <f t="shared" si="2"/>
        <v>#N/A</v>
      </c>
      <c r="M22" s="522" t="e">
        <f t="shared" si="2"/>
        <v>#N/A</v>
      </c>
      <c r="N22" s="522" t="e">
        <f t="shared" si="2"/>
        <v>#N/A</v>
      </c>
      <c r="O22" s="522" t="e">
        <f t="shared" si="2"/>
        <v>#N/A</v>
      </c>
      <c r="P22" s="522" t="e">
        <f t="shared" si="2"/>
        <v>#N/A</v>
      </c>
      <c r="Q22" s="522" t="e">
        <f t="shared" si="2"/>
        <v>#N/A</v>
      </c>
      <c r="R22" s="522">
        <f t="shared" si="2"/>
        <v>295.21979231591115</v>
      </c>
      <c r="S22" s="522">
        <f t="shared" si="2"/>
        <v>404.93550490411832</v>
      </c>
      <c r="Z22" s="118"/>
      <c r="AA22" s="119"/>
      <c r="AB22" s="87"/>
      <c r="AC22" s="87"/>
      <c r="AD22" s="228"/>
    </row>
    <row r="23" spans="1:30" s="305" customFormat="1" ht="15" customHeight="1">
      <c r="A23" s="305" t="s">
        <v>1290</v>
      </c>
      <c r="B23" s="228" t="s">
        <v>640</v>
      </c>
      <c r="C23" s="522">
        <f>IF(C22&gt;C21*0.8,C20,(C21*0.8/C22)*C20)</f>
        <v>40.766769943533497</v>
      </c>
      <c r="D23" s="522">
        <f t="shared" ref="D23:S23" si="3">IF(D22&gt;D21*0.8,D20,(D21*0.8/D22)*D20)</f>
        <v>35.773086377594637</v>
      </c>
      <c r="E23" s="522" t="e">
        <f t="shared" si="3"/>
        <v>#N/A</v>
      </c>
      <c r="F23" s="522">
        <f t="shared" si="3"/>
        <v>42.206685365212486</v>
      </c>
      <c r="G23" s="522" t="e">
        <f t="shared" si="3"/>
        <v>#N/A</v>
      </c>
      <c r="H23" s="522" t="e">
        <f t="shared" si="3"/>
        <v>#N/A</v>
      </c>
      <c r="I23" s="522">
        <f t="shared" si="3"/>
        <v>38.147821843111238</v>
      </c>
      <c r="J23" s="522" t="e">
        <f t="shared" si="3"/>
        <v>#N/A</v>
      </c>
      <c r="K23" s="522" t="e">
        <f t="shared" si="3"/>
        <v>#N/A</v>
      </c>
      <c r="L23" s="522" t="e">
        <f t="shared" si="3"/>
        <v>#N/A</v>
      </c>
      <c r="M23" s="522" t="e">
        <f t="shared" si="3"/>
        <v>#N/A</v>
      </c>
      <c r="N23" s="522" t="e">
        <f t="shared" si="3"/>
        <v>#N/A</v>
      </c>
      <c r="O23" s="522" t="e">
        <f t="shared" si="3"/>
        <v>#N/A</v>
      </c>
      <c r="P23" s="522" t="e">
        <f t="shared" si="3"/>
        <v>#N/A</v>
      </c>
      <c r="Q23" s="522" t="e">
        <f t="shared" si="3"/>
        <v>#N/A</v>
      </c>
      <c r="R23" s="522">
        <f t="shared" si="3"/>
        <v>34.46147207765457</v>
      </c>
      <c r="S23" s="522">
        <f t="shared" si="3"/>
        <v>41.7945405171616</v>
      </c>
      <c r="U23" s="305" t="s">
        <v>1410</v>
      </c>
      <c r="Z23" s="118"/>
      <c r="AA23" s="119"/>
      <c r="AB23" s="87"/>
      <c r="AC23" s="87"/>
      <c r="AD23" s="228"/>
    </row>
    <row r="24" spans="1:30" ht="15" customHeight="1">
      <c r="A24" s="58" t="s">
        <v>1291</v>
      </c>
      <c r="B24" s="113" t="s">
        <v>411</v>
      </c>
      <c r="C24" s="497">
        <f>ROUNDUP(C19*2,0)/2</f>
        <v>2.5</v>
      </c>
      <c r="D24" s="497">
        <f t="shared" ref="D24:S24" si="4">ROUNDUP(D19*2,0)/2</f>
        <v>2.5</v>
      </c>
      <c r="E24" s="497" t="e">
        <f t="shared" si="4"/>
        <v>#N/A</v>
      </c>
      <c r="F24" s="497">
        <f t="shared" si="4"/>
        <v>2.5</v>
      </c>
      <c r="G24" s="497" t="e">
        <f>ROUNDUP(G19*2,0)/2</f>
        <v>#N/A</v>
      </c>
      <c r="H24" s="497" t="e">
        <f t="shared" si="4"/>
        <v>#N/A</v>
      </c>
      <c r="I24" s="497">
        <f t="shared" si="4"/>
        <v>2.5</v>
      </c>
      <c r="J24" s="497" t="e">
        <f t="shared" si="4"/>
        <v>#N/A</v>
      </c>
      <c r="K24" s="497" t="e">
        <f t="shared" si="4"/>
        <v>#N/A</v>
      </c>
      <c r="L24" s="497" t="e">
        <f t="shared" si="4"/>
        <v>#N/A</v>
      </c>
      <c r="M24" s="497" t="e">
        <f t="shared" si="4"/>
        <v>#N/A</v>
      </c>
      <c r="N24" s="497" t="e">
        <f t="shared" si="4"/>
        <v>#N/A</v>
      </c>
      <c r="O24" s="497" t="e">
        <f t="shared" si="4"/>
        <v>#N/A</v>
      </c>
      <c r="P24" s="497" t="e">
        <f t="shared" si="4"/>
        <v>#N/A</v>
      </c>
      <c r="Q24" s="497" t="e">
        <f t="shared" si="4"/>
        <v>#N/A</v>
      </c>
      <c r="R24" s="497">
        <f t="shared" si="4"/>
        <v>2.5</v>
      </c>
      <c r="S24" s="497">
        <f t="shared" si="4"/>
        <v>2.5</v>
      </c>
      <c r="Z24" s="121"/>
      <c r="AA24" s="107"/>
      <c r="AB24" s="104"/>
      <c r="AC24" s="104"/>
      <c r="AD24" s="89"/>
    </row>
    <row r="25" spans="1:30" ht="15" customHeight="1">
      <c r="A25" s="58" t="s">
        <v>1291</v>
      </c>
      <c r="B25" s="113" t="s">
        <v>412</v>
      </c>
      <c r="C25" s="497">
        <f>C24*12</f>
        <v>30</v>
      </c>
      <c r="D25" s="497">
        <f t="shared" ref="D25:S25" si="5">D24*12</f>
        <v>30</v>
      </c>
      <c r="E25" s="497" t="e">
        <f t="shared" si="5"/>
        <v>#N/A</v>
      </c>
      <c r="F25" s="497">
        <f t="shared" si="5"/>
        <v>30</v>
      </c>
      <c r="G25" s="497" t="e">
        <f t="shared" si="5"/>
        <v>#N/A</v>
      </c>
      <c r="H25" s="497" t="e">
        <f t="shared" si="5"/>
        <v>#N/A</v>
      </c>
      <c r="I25" s="497">
        <f t="shared" si="5"/>
        <v>30</v>
      </c>
      <c r="J25" s="497" t="e">
        <f t="shared" si="5"/>
        <v>#N/A</v>
      </c>
      <c r="K25" s="497" t="e">
        <f t="shared" si="5"/>
        <v>#N/A</v>
      </c>
      <c r="L25" s="497" t="e">
        <f t="shared" si="5"/>
        <v>#N/A</v>
      </c>
      <c r="M25" s="497" t="e">
        <f t="shared" si="5"/>
        <v>#N/A</v>
      </c>
      <c r="N25" s="497" t="e">
        <f t="shared" si="5"/>
        <v>#N/A</v>
      </c>
      <c r="O25" s="497" t="e">
        <f t="shared" si="5"/>
        <v>#N/A</v>
      </c>
      <c r="P25" s="497" t="e">
        <f t="shared" si="5"/>
        <v>#N/A</v>
      </c>
      <c r="Q25" s="497" t="e">
        <f t="shared" si="5"/>
        <v>#N/A</v>
      </c>
      <c r="R25" s="497">
        <f t="shared" si="5"/>
        <v>30</v>
      </c>
      <c r="S25" s="497">
        <f t="shared" si="5"/>
        <v>30</v>
      </c>
      <c r="Z25" s="118" t="s">
        <v>488</v>
      </c>
      <c r="AA25" s="119" t="s">
        <v>395</v>
      </c>
      <c r="AB25" s="87">
        <v>1.8</v>
      </c>
      <c r="AC25" s="87">
        <v>39.299999999999997</v>
      </c>
      <c r="AD25" s="94">
        <v>4.5999999999999996</v>
      </c>
    </row>
    <row r="26" spans="1:30" ht="15" customHeight="1">
      <c r="A26" s="58" t="s">
        <v>1292</v>
      </c>
      <c r="B26" s="113" t="s">
        <v>412</v>
      </c>
      <c r="C26" s="498">
        <f>ROUNDUP(C23/10,0)*10</f>
        <v>50</v>
      </c>
      <c r="D26" s="498">
        <f>ROUNDUP(D23/10,0)*10</f>
        <v>40</v>
      </c>
      <c r="E26" s="498" t="e">
        <f>ROUNDUP(E23/10,0)*10</f>
        <v>#N/A</v>
      </c>
      <c r="F26" s="498">
        <f>ROUNDUP(F23/10,0)*10</f>
        <v>50</v>
      </c>
      <c r="G26" s="498" t="e">
        <f t="shared" ref="G26:S26" si="6">ROUNDUP(G23/10,0)*10</f>
        <v>#N/A</v>
      </c>
      <c r="H26" s="498" t="e">
        <f t="shared" si="6"/>
        <v>#N/A</v>
      </c>
      <c r="I26" s="498">
        <f t="shared" si="6"/>
        <v>40</v>
      </c>
      <c r="J26" s="498" t="e">
        <f t="shared" si="6"/>
        <v>#N/A</v>
      </c>
      <c r="K26" s="498" t="e">
        <f t="shared" si="6"/>
        <v>#N/A</v>
      </c>
      <c r="L26" s="498" t="e">
        <f t="shared" si="6"/>
        <v>#N/A</v>
      </c>
      <c r="M26" s="498" t="e">
        <f t="shared" si="6"/>
        <v>#N/A</v>
      </c>
      <c r="N26" s="498" t="e">
        <f t="shared" si="6"/>
        <v>#N/A</v>
      </c>
      <c r="O26" s="498" t="e">
        <f t="shared" si="6"/>
        <v>#N/A</v>
      </c>
      <c r="P26" s="498" t="e">
        <f t="shared" si="6"/>
        <v>#N/A</v>
      </c>
      <c r="Q26" s="498" t="e">
        <f t="shared" si="6"/>
        <v>#N/A</v>
      </c>
      <c r="R26" s="498">
        <f t="shared" si="6"/>
        <v>40</v>
      </c>
      <c r="S26" s="498">
        <f t="shared" si="6"/>
        <v>50</v>
      </c>
      <c r="Z26" s="118"/>
      <c r="AA26" s="119" t="s">
        <v>397</v>
      </c>
      <c r="AB26" s="87">
        <v>2.6</v>
      </c>
      <c r="AC26" s="87">
        <v>56.3</v>
      </c>
      <c r="AD26" s="94">
        <v>6</v>
      </c>
    </row>
    <row r="27" spans="1:30" ht="15" customHeight="1">
      <c r="A27" s="58" t="s">
        <v>413</v>
      </c>
      <c r="B27" s="113" t="s">
        <v>414</v>
      </c>
      <c r="C27" s="486">
        <f>VLOOKUP(CONCATENATE(C16,HomeSize),HVAC!$D$57:$K$75,5,FALSE)*C24*0.3048^3/60</f>
        <v>0.41908932956160005</v>
      </c>
      <c r="D27" s="486">
        <f>VLOOKUP(CONCATENATE(D16,HomeSize),HVAC!$D$57:$K$75,5,FALSE)*D24*0.3048^3/60</f>
        <v>0.41908932956160005</v>
      </c>
      <c r="E27" s="486" t="e">
        <f>VLOOKUP(CONCATENATE(E16,HomeSize),HVAC!$D$57:$K$75,5,FALSE)*E24*0.3048^3/60</f>
        <v>#N/A</v>
      </c>
      <c r="F27" s="486">
        <f>VLOOKUP(CONCATENATE(F16,HomeSize),HVAC!$D$57:$K$75,5,FALSE)*F24*0.3048^3/60</f>
        <v>0.45554726954880009</v>
      </c>
      <c r="G27" s="486" t="e">
        <f>VLOOKUP(CONCATENATE(G16,HomeSize),HVAC!$D$57:$K$75,5,FALSE)*G24*0.3048^3/60</f>
        <v>#N/A</v>
      </c>
      <c r="H27" s="486" t="e">
        <f>VLOOKUP(CONCATENATE(H16,HomeSize),HVAC!$D$57:$K$75,5,FALSE)*H24*0.3048^3/60</f>
        <v>#N/A</v>
      </c>
      <c r="I27" s="486">
        <f>VLOOKUP(CONCATENATE(I16,HomeSize),HVAC!$D$57:$K$75,5,FALSE)*I24*0.3048^3/60</f>
        <v>0.45554726954880009</v>
      </c>
      <c r="J27" s="486" t="e">
        <f>VLOOKUP(CONCATENATE(J16,HomeSize),HVAC!$D$57:$K$75,5,FALSE)*J24*0.3048^3/60</f>
        <v>#N/A</v>
      </c>
      <c r="K27" s="486" t="e">
        <f>VLOOKUP(CONCATENATE(K16,HomeSize),HVAC!$D$57:$K$75,5,FALSE)*K24*0.3048^3/60</f>
        <v>#N/A</v>
      </c>
      <c r="L27" s="486" t="e">
        <f>VLOOKUP(CONCATENATE(L16,HomeSize),HVAC!$D$57:$K$75,5,FALSE)*L24*0.3048^3/60</f>
        <v>#N/A</v>
      </c>
      <c r="M27" s="486" t="e">
        <f>VLOOKUP(CONCATENATE(M16,HomeSize),HVAC!$D$57:$K$75,5,FALSE)*M24*0.3048^3/60</f>
        <v>#N/A</v>
      </c>
      <c r="N27" s="486" t="e">
        <f>VLOOKUP(CONCATENATE(N16,HomeSize),HVAC!$D$57:$K$75,5,FALSE)*N24*0.3048^3/60</f>
        <v>#N/A</v>
      </c>
      <c r="O27" s="486" t="e">
        <f>VLOOKUP(CONCATENATE(O16,HomeSize),HVAC!$D$57:$K$75,5,FALSE)*O24*0.3048^3/60</f>
        <v>#N/A</v>
      </c>
      <c r="P27" s="486" t="e">
        <f>VLOOKUP(CONCATENATE(P16,HomeSize),HVAC!$D$57:$K$75,5,FALSE)*P24*0.3048^3/60</f>
        <v>#N/A</v>
      </c>
      <c r="Q27" s="486" t="e">
        <f>VLOOKUP(CONCATENATE(Q16,HomeSize),HVAC!$D$57:$K$75,5,FALSE)*Q24*0.3048^3/60</f>
        <v>#N/A</v>
      </c>
      <c r="R27" s="486">
        <f>VLOOKUP(CONCATENATE(R16,HomeSize),HVAC!$D$57:$K$75,5,FALSE)*R24*0.3048^3/60</f>
        <v>0.41908932956160005</v>
      </c>
      <c r="S27" s="486">
        <f>VLOOKUP(CONCATENATE(S16,HomeSize),HVAC!$D$57:$K$75,5,FALSE)*S24*0.3048^3/60</f>
        <v>0.45554726954880009</v>
      </c>
      <c r="U27" s="1" t="s">
        <v>415</v>
      </c>
      <c r="Z27" s="118"/>
      <c r="AA27" s="119" t="s">
        <v>398</v>
      </c>
      <c r="AB27" s="87">
        <v>0.8</v>
      </c>
      <c r="AC27" s="87">
        <v>20.100000000000001</v>
      </c>
      <c r="AD27" s="94">
        <v>3.2</v>
      </c>
    </row>
    <row r="28" spans="1:30" ht="15" customHeight="1">
      <c r="A28" s="58" t="s">
        <v>416</v>
      </c>
      <c r="B28" s="113" t="s">
        <v>414</v>
      </c>
      <c r="C28" s="486">
        <f>16.8*C26*(1/2119)</f>
        <v>0.39641340254837187</v>
      </c>
      <c r="D28" s="486">
        <f t="shared" ref="D28:S28" si="7">16.8*D26*(1/2119)</f>
        <v>0.31713072203869752</v>
      </c>
      <c r="E28" s="486" t="e">
        <f t="shared" si="7"/>
        <v>#N/A</v>
      </c>
      <c r="F28" s="486">
        <f t="shared" si="7"/>
        <v>0.39641340254837187</v>
      </c>
      <c r="G28" s="486" t="e">
        <f t="shared" si="7"/>
        <v>#N/A</v>
      </c>
      <c r="H28" s="486" t="e">
        <f t="shared" si="7"/>
        <v>#N/A</v>
      </c>
      <c r="I28" s="486">
        <f t="shared" si="7"/>
        <v>0.31713072203869752</v>
      </c>
      <c r="J28" s="486" t="e">
        <f t="shared" si="7"/>
        <v>#N/A</v>
      </c>
      <c r="K28" s="486" t="e">
        <f t="shared" si="7"/>
        <v>#N/A</v>
      </c>
      <c r="L28" s="486" t="e">
        <f t="shared" si="7"/>
        <v>#N/A</v>
      </c>
      <c r="M28" s="486" t="e">
        <f t="shared" si="7"/>
        <v>#N/A</v>
      </c>
      <c r="N28" s="486" t="e">
        <f t="shared" si="7"/>
        <v>#N/A</v>
      </c>
      <c r="O28" s="486" t="e">
        <f t="shared" si="7"/>
        <v>#N/A</v>
      </c>
      <c r="P28" s="486" t="e">
        <f t="shared" si="7"/>
        <v>#N/A</v>
      </c>
      <c r="Q28" s="486" t="e">
        <f t="shared" si="7"/>
        <v>#N/A</v>
      </c>
      <c r="R28" s="486">
        <f t="shared" si="7"/>
        <v>0.31713072203869752</v>
      </c>
      <c r="S28" s="486">
        <f t="shared" si="7"/>
        <v>0.39641340254837187</v>
      </c>
      <c r="U28" s="65" t="s">
        <v>417</v>
      </c>
      <c r="Z28" s="118"/>
      <c r="AA28" s="119" t="s">
        <v>406</v>
      </c>
      <c r="AB28" s="87">
        <v>33.6</v>
      </c>
      <c r="AC28" s="87">
        <v>31.1</v>
      </c>
      <c r="AD28" s="94">
        <v>13.7</v>
      </c>
    </row>
    <row r="29" spans="1:30" ht="15" customHeight="1">
      <c r="A29" s="58" t="s">
        <v>418</v>
      </c>
      <c r="B29" s="113" t="s">
        <v>32</v>
      </c>
      <c r="C29" s="499">
        <f>C27*2119*0.167</f>
        <v>148.3043983199521</v>
      </c>
      <c r="D29" s="499">
        <f t="shared" ref="D29:S29" si="8">D27*2119*0.167</f>
        <v>148.3043983199521</v>
      </c>
      <c r="E29" s="499" t="e">
        <f t="shared" si="8"/>
        <v>#N/A</v>
      </c>
      <c r="F29" s="499">
        <f t="shared" si="8"/>
        <v>161.20587891704255</v>
      </c>
      <c r="G29" s="499" t="e">
        <f t="shared" si="8"/>
        <v>#N/A</v>
      </c>
      <c r="H29" s="499" t="e">
        <f t="shared" si="8"/>
        <v>#N/A</v>
      </c>
      <c r="I29" s="499">
        <f t="shared" si="8"/>
        <v>161.20587891704255</v>
      </c>
      <c r="J29" s="499" t="e">
        <f t="shared" si="8"/>
        <v>#N/A</v>
      </c>
      <c r="K29" s="499" t="e">
        <f t="shared" si="8"/>
        <v>#N/A</v>
      </c>
      <c r="L29" s="499" t="e">
        <f t="shared" si="8"/>
        <v>#N/A</v>
      </c>
      <c r="M29" s="499" t="e">
        <f t="shared" si="8"/>
        <v>#N/A</v>
      </c>
      <c r="N29" s="499" t="e">
        <f t="shared" si="8"/>
        <v>#N/A</v>
      </c>
      <c r="O29" s="499" t="e">
        <f t="shared" si="8"/>
        <v>#N/A</v>
      </c>
      <c r="P29" s="499" t="e">
        <f t="shared" si="8"/>
        <v>#N/A</v>
      </c>
      <c r="Q29" s="499" t="e">
        <f t="shared" si="8"/>
        <v>#N/A</v>
      </c>
      <c r="R29" s="499">
        <f t="shared" si="8"/>
        <v>148.3043983199521</v>
      </c>
      <c r="S29" s="499">
        <f t="shared" si="8"/>
        <v>161.20587891704255</v>
      </c>
      <c r="U29" s="1" t="s">
        <v>730</v>
      </c>
      <c r="Z29" s="118"/>
      <c r="AA29" s="119"/>
      <c r="AB29" s="87"/>
      <c r="AC29" s="87"/>
      <c r="AD29" s="94"/>
    </row>
    <row r="30" spans="1:30" ht="15" customHeight="1">
      <c r="A30" s="58" t="s">
        <v>419</v>
      </c>
      <c r="B30" s="113" t="s">
        <v>32</v>
      </c>
      <c r="C30" s="499">
        <f>C28*2119*0.167</f>
        <v>140.28</v>
      </c>
      <c r="D30" s="499">
        <f t="shared" ref="D30:S30" si="9">D28*2119*0.167</f>
        <v>112.224</v>
      </c>
      <c r="E30" s="499" t="e">
        <f t="shared" si="9"/>
        <v>#N/A</v>
      </c>
      <c r="F30" s="499">
        <f t="shared" si="9"/>
        <v>140.28</v>
      </c>
      <c r="G30" s="499" t="e">
        <f t="shared" si="9"/>
        <v>#N/A</v>
      </c>
      <c r="H30" s="499" t="e">
        <f t="shared" si="9"/>
        <v>#N/A</v>
      </c>
      <c r="I30" s="499">
        <f t="shared" si="9"/>
        <v>112.224</v>
      </c>
      <c r="J30" s="499" t="e">
        <f t="shared" si="9"/>
        <v>#N/A</v>
      </c>
      <c r="K30" s="499" t="e">
        <f t="shared" si="9"/>
        <v>#N/A</v>
      </c>
      <c r="L30" s="499" t="e">
        <f t="shared" si="9"/>
        <v>#N/A</v>
      </c>
      <c r="M30" s="499" t="e">
        <f t="shared" si="9"/>
        <v>#N/A</v>
      </c>
      <c r="N30" s="499" t="e">
        <f t="shared" si="9"/>
        <v>#N/A</v>
      </c>
      <c r="O30" s="499" t="e">
        <f t="shared" si="9"/>
        <v>#N/A</v>
      </c>
      <c r="P30" s="499" t="e">
        <f t="shared" si="9"/>
        <v>#N/A</v>
      </c>
      <c r="Q30" s="499" t="e">
        <f t="shared" si="9"/>
        <v>#N/A</v>
      </c>
      <c r="R30" s="499">
        <f t="shared" si="9"/>
        <v>112.224</v>
      </c>
      <c r="S30" s="499">
        <f t="shared" si="9"/>
        <v>140.28</v>
      </c>
      <c r="U30" s="1" t="s">
        <v>731</v>
      </c>
      <c r="Z30" s="115" t="s">
        <v>489</v>
      </c>
      <c r="AA30" s="116" t="s">
        <v>395</v>
      </c>
      <c r="AB30" s="114">
        <v>1.6</v>
      </c>
      <c r="AC30" s="114">
        <v>40.5</v>
      </c>
      <c r="AD30" s="112">
        <v>3.9</v>
      </c>
    </row>
    <row r="31" spans="1:30" ht="15" customHeight="1">
      <c r="A31" s="58" t="s">
        <v>420</v>
      </c>
      <c r="B31" s="113" t="s">
        <v>421</v>
      </c>
      <c r="C31" s="500">
        <f>C27*Ducts!$D$18/(25^Ducts!$D$20)</f>
        <v>0</v>
      </c>
      <c r="D31" s="500">
        <f>D27*Ducts!$D$18/(25^Ducts!$D$20)</f>
        <v>0</v>
      </c>
      <c r="E31" s="500" t="e">
        <f>E27*Ducts!$D$18/(25^Ducts!$D$20)</f>
        <v>#N/A</v>
      </c>
      <c r="F31" s="500">
        <f>F27*Ducts!$D$18/(25^Ducts!$D$20)</f>
        <v>0</v>
      </c>
      <c r="G31" s="500" t="e">
        <f>G27*Ducts!$D$18/(25^Ducts!$D$20)</f>
        <v>#N/A</v>
      </c>
      <c r="H31" s="500" t="e">
        <f>H27*Ducts!$D$18/(25^Ducts!$D$20)</f>
        <v>#N/A</v>
      </c>
      <c r="I31" s="500">
        <f>I27*Ducts!$D$18/(25^Ducts!$D$20)</f>
        <v>0</v>
      </c>
      <c r="J31" s="500" t="e">
        <f>J27*Ducts!$D$18/(25^Ducts!$D$20)</f>
        <v>#N/A</v>
      </c>
      <c r="K31" s="500" t="e">
        <f>K27*Ducts!$D$18/(25^Ducts!$D$20)</f>
        <v>#N/A</v>
      </c>
      <c r="L31" s="500" t="e">
        <f>L27*Ducts!$D$18/(25^Ducts!$D$20)</f>
        <v>#N/A</v>
      </c>
      <c r="M31" s="500" t="e">
        <f>M27*Ducts!$D$18/(25^Ducts!$D$20)</f>
        <v>#N/A</v>
      </c>
      <c r="N31" s="500" t="e">
        <f>N27*Ducts!$D$18/(25^Ducts!$D$20)</f>
        <v>#N/A</v>
      </c>
      <c r="O31" s="500" t="e">
        <f>O27*Ducts!$D$18/(25^Ducts!$D$20)</f>
        <v>#N/A</v>
      </c>
      <c r="P31" s="500" t="e">
        <f>P27*Ducts!$D$18/(25^Ducts!$D$20)</f>
        <v>#N/A</v>
      </c>
      <c r="Q31" s="500" t="e">
        <f>Q27*Ducts!$D$18/(25^Ducts!$D$20)</f>
        <v>#N/A</v>
      </c>
      <c r="R31" s="500">
        <f>R27*Ducts!$D$18/(25^Ducts!$D$20)</f>
        <v>0</v>
      </c>
      <c r="S31" s="500">
        <f>S27*Ducts!$D$18/(25^Ducts!$D$20)</f>
        <v>0</v>
      </c>
      <c r="U31" s="1" t="s">
        <v>422</v>
      </c>
      <c r="Z31" s="118"/>
      <c r="AA31" s="119" t="s">
        <v>408</v>
      </c>
      <c r="AB31" s="87">
        <v>2</v>
      </c>
      <c r="AC31" s="87">
        <v>55.5</v>
      </c>
      <c r="AD31" s="94">
        <v>5</v>
      </c>
    </row>
    <row r="32" spans="1:30" ht="15" customHeight="1">
      <c r="A32" s="58" t="s">
        <v>423</v>
      </c>
      <c r="B32" s="113" t="s">
        <v>421</v>
      </c>
      <c r="C32" s="500">
        <f>C27*Ducts!$D$19/(25^Ducts!$D$21)</f>
        <v>0</v>
      </c>
      <c r="D32" s="500">
        <f>D27*Ducts!$D$19/(25^Ducts!$D$21)</f>
        <v>0</v>
      </c>
      <c r="E32" s="500" t="e">
        <f>E27*Ducts!$D$19/(25^Ducts!$D$21)</f>
        <v>#N/A</v>
      </c>
      <c r="F32" s="500">
        <f>F27*Ducts!$D$19/(25^Ducts!$D$21)</f>
        <v>0</v>
      </c>
      <c r="G32" s="500" t="e">
        <f>G27*Ducts!$D$19/(25^Ducts!$D$21)</f>
        <v>#N/A</v>
      </c>
      <c r="H32" s="500" t="e">
        <f>H27*Ducts!$D$19/(25^Ducts!$D$21)</f>
        <v>#N/A</v>
      </c>
      <c r="I32" s="500">
        <f>I27*Ducts!$D$19/(25^Ducts!$D$21)</f>
        <v>0</v>
      </c>
      <c r="J32" s="500" t="e">
        <f>J27*Ducts!$D$19/(25^Ducts!$D$21)</f>
        <v>#N/A</v>
      </c>
      <c r="K32" s="500" t="e">
        <f>K27*Ducts!$D$19/(25^Ducts!$D$21)</f>
        <v>#N/A</v>
      </c>
      <c r="L32" s="500" t="e">
        <f>L27*Ducts!$D$19/(25^Ducts!$D$21)</f>
        <v>#N/A</v>
      </c>
      <c r="M32" s="500" t="e">
        <f>M27*Ducts!$D$19/(25^Ducts!$D$21)</f>
        <v>#N/A</v>
      </c>
      <c r="N32" s="500" t="e">
        <f>N27*Ducts!$D$19/(25^Ducts!$D$21)</f>
        <v>#N/A</v>
      </c>
      <c r="O32" s="500" t="e">
        <f>O27*Ducts!$D$19/(25^Ducts!$D$21)</f>
        <v>#N/A</v>
      </c>
      <c r="P32" s="500" t="e">
        <f>P27*Ducts!$D$19/(25^Ducts!$D$21)</f>
        <v>#N/A</v>
      </c>
      <c r="Q32" s="500" t="e">
        <f>Q27*Ducts!$D$19/(25^Ducts!$D$21)</f>
        <v>#N/A</v>
      </c>
      <c r="R32" s="500">
        <f>R27*Ducts!$D$19/(25^Ducts!$D$21)</f>
        <v>0</v>
      </c>
      <c r="S32" s="500">
        <f>S27*Ducts!$D$19/(25^Ducts!$D$21)</f>
        <v>0</v>
      </c>
      <c r="U32" s="5" t="s">
        <v>1024</v>
      </c>
      <c r="Z32" s="118"/>
      <c r="AA32" s="119" t="s">
        <v>410</v>
      </c>
      <c r="AB32" s="87">
        <v>1.1000000000000001</v>
      </c>
      <c r="AC32" s="87">
        <v>30.9</v>
      </c>
      <c r="AD32" s="94">
        <v>2.8</v>
      </c>
    </row>
    <row r="33" spans="1:30" ht="15" customHeight="1">
      <c r="C33" s="305"/>
      <c r="D33" s="305"/>
      <c r="E33" s="305"/>
      <c r="F33" s="305"/>
      <c r="G33" s="305"/>
      <c r="H33" s="305"/>
      <c r="I33" s="305"/>
      <c r="J33" s="305"/>
      <c r="K33" s="305"/>
      <c r="L33" s="305"/>
      <c r="M33" s="305"/>
      <c r="N33" s="305"/>
      <c r="O33" s="305"/>
      <c r="P33" s="305"/>
      <c r="Q33" s="305"/>
      <c r="R33" s="305"/>
      <c r="S33" s="305"/>
      <c r="U33" s="5">
        <f>1/2119</f>
        <v>4.7192071731949034E-4</v>
      </c>
      <c r="Z33" s="118"/>
      <c r="AA33" s="119" t="s">
        <v>406</v>
      </c>
      <c r="AB33" s="87">
        <v>22</v>
      </c>
      <c r="AC33" s="87">
        <v>21.2</v>
      </c>
      <c r="AD33" s="94">
        <v>20.9</v>
      </c>
    </row>
    <row r="34" spans="1:30" ht="15" customHeight="1">
      <c r="A34" s="14" t="s">
        <v>424</v>
      </c>
      <c r="S34" s="14"/>
      <c r="Z34" s="121"/>
      <c r="AA34" s="107"/>
      <c r="AB34" s="104"/>
      <c r="AC34" s="104"/>
      <c r="AD34" s="89"/>
    </row>
    <row r="35" spans="1:30" ht="15" customHeight="1">
      <c r="A35" s="66" t="s">
        <v>425</v>
      </c>
      <c r="Z35" s="115" t="s">
        <v>490</v>
      </c>
      <c r="AA35" s="116" t="s">
        <v>395</v>
      </c>
      <c r="AB35" s="114">
        <v>2.2999999999999998</v>
      </c>
      <c r="AC35" s="114">
        <v>46.6</v>
      </c>
      <c r="AD35" s="112">
        <v>5</v>
      </c>
    </row>
    <row r="36" spans="1:30" ht="15" customHeight="1">
      <c r="Z36" s="118"/>
      <c r="AA36" s="119" t="s">
        <v>408</v>
      </c>
      <c r="AB36" s="87">
        <v>2.6</v>
      </c>
      <c r="AC36" s="87">
        <v>58.7</v>
      </c>
      <c r="AD36" s="94">
        <v>6</v>
      </c>
    </row>
    <row r="37" spans="1:30" ht="15" customHeight="1">
      <c r="A37" s="143" t="s">
        <v>643</v>
      </c>
      <c r="Z37" s="118"/>
      <c r="AA37" s="119" t="s">
        <v>410</v>
      </c>
      <c r="AB37" s="87">
        <v>1.5</v>
      </c>
      <c r="AC37" s="87">
        <v>26.2</v>
      </c>
      <c r="AD37" s="94">
        <v>4</v>
      </c>
    </row>
    <row r="38" spans="1:30" ht="15" customHeight="1">
      <c r="B38" s="94"/>
      <c r="C38" s="187" t="s">
        <v>407</v>
      </c>
      <c r="D38" s="188"/>
      <c r="E38" s="202" t="s">
        <v>651</v>
      </c>
      <c r="F38" s="187" t="s">
        <v>409</v>
      </c>
      <c r="G38" s="188"/>
      <c r="H38" s="202" t="s">
        <v>651</v>
      </c>
      <c r="I38" s="187" t="s">
        <v>407</v>
      </c>
      <c r="J38" s="187"/>
      <c r="K38" s="188"/>
      <c r="L38" s="187" t="s">
        <v>409</v>
      </c>
      <c r="M38" s="193"/>
      <c r="T38" s="305"/>
      <c r="U38" s="305"/>
      <c r="Z38" s="121"/>
      <c r="AA38" s="107" t="s">
        <v>406</v>
      </c>
      <c r="AB38" s="104">
        <v>13.2</v>
      </c>
      <c r="AC38" s="104">
        <v>19.2</v>
      </c>
      <c r="AD38" s="89">
        <v>15.4</v>
      </c>
    </row>
    <row r="39" spans="1:30" ht="15" customHeight="1">
      <c r="A39" s="189" t="s">
        <v>638</v>
      </c>
      <c r="B39" s="308" t="s">
        <v>639</v>
      </c>
      <c r="C39" s="191" t="s">
        <v>554</v>
      </c>
      <c r="D39" s="192" t="s">
        <v>640</v>
      </c>
      <c r="E39" s="203" t="s">
        <v>192</v>
      </c>
      <c r="F39" s="191" t="s">
        <v>554</v>
      </c>
      <c r="G39" s="192" t="s">
        <v>640</v>
      </c>
      <c r="H39" s="203" t="s">
        <v>192</v>
      </c>
      <c r="I39" s="191" t="s">
        <v>641</v>
      </c>
      <c r="J39" s="191" t="s">
        <v>642</v>
      </c>
      <c r="K39" s="190" t="s">
        <v>644</v>
      </c>
      <c r="L39" s="191" t="s">
        <v>641</v>
      </c>
      <c r="M39" s="195" t="s">
        <v>642</v>
      </c>
      <c r="O39" s="281" t="s">
        <v>724</v>
      </c>
      <c r="P39" s="313" t="s">
        <v>725</v>
      </c>
      <c r="Q39" s="305" t="s">
        <v>729</v>
      </c>
      <c r="R39" s="5" t="s">
        <v>727</v>
      </c>
      <c r="S39" s="5" t="s">
        <v>726</v>
      </c>
      <c r="T39" s="5" t="s">
        <v>728</v>
      </c>
      <c r="U39" s="5" t="s">
        <v>725</v>
      </c>
      <c r="V39" s="305" t="s">
        <v>729</v>
      </c>
      <c r="Z39" s="115" t="s">
        <v>491</v>
      </c>
      <c r="AA39" s="116" t="s">
        <v>395</v>
      </c>
      <c r="AB39" s="114">
        <v>2.9</v>
      </c>
      <c r="AC39" s="114">
        <v>61.7</v>
      </c>
      <c r="AD39" s="112">
        <v>4.9000000000000004</v>
      </c>
    </row>
    <row r="40" spans="1:30" ht="15" customHeight="1">
      <c r="A40" s="183" t="s">
        <v>722</v>
      </c>
      <c r="B40" s="265" t="s">
        <v>707</v>
      </c>
      <c r="C40" s="282">
        <f>D40*0.29307107</f>
        <v>20.514974899999999</v>
      </c>
      <c r="D40" s="197">
        <v>70</v>
      </c>
      <c r="E40" s="93">
        <v>2400</v>
      </c>
      <c r="F40" s="196">
        <v>14.7</v>
      </c>
      <c r="G40" s="197">
        <v>50</v>
      </c>
      <c r="H40" s="93">
        <v>757</v>
      </c>
      <c r="I40" s="317">
        <f>C40/(A_houseSI/100)</f>
        <v>6.8410602505901945</v>
      </c>
      <c r="J40" s="317">
        <f>D40/(A_houseFT/1000)</f>
        <v>21.685337187318726</v>
      </c>
      <c r="K40" s="315">
        <f>J40/12</f>
        <v>1.8071114322765605</v>
      </c>
      <c r="L40" s="196">
        <v>7.5</v>
      </c>
      <c r="M40" s="196">
        <v>23.8</v>
      </c>
      <c r="O40" s="320">
        <f>C$27/0.00047194745</f>
        <v>887.9999872053553</v>
      </c>
      <c r="P40" s="283">
        <f>O40/C29</f>
        <v>5.9876847704110769</v>
      </c>
      <c r="Q40" s="293">
        <f>O40/6</f>
        <v>147.99999786755922</v>
      </c>
      <c r="R40" s="319">
        <f>C28</f>
        <v>0.39641340254837187</v>
      </c>
      <c r="S40" s="293">
        <f>R40/0.00047194745</f>
        <v>839.95241959326586</v>
      </c>
      <c r="T40" s="293">
        <f>C30</f>
        <v>140.28</v>
      </c>
      <c r="U40" s="312">
        <f>S40/T40</f>
        <v>5.9876847704110769</v>
      </c>
      <c r="V40" s="293">
        <f t="shared" ref="V40:V48" si="10">S40/6</f>
        <v>139.99206993221097</v>
      </c>
      <c r="W40" s="293"/>
      <c r="X40" s="293"/>
      <c r="Y40" s="293"/>
      <c r="Z40" s="118"/>
      <c r="AA40" s="119" t="s">
        <v>408</v>
      </c>
      <c r="AB40" s="87">
        <v>5</v>
      </c>
      <c r="AC40" s="87">
        <v>113.2</v>
      </c>
      <c r="AD40" s="94">
        <v>5.8</v>
      </c>
    </row>
    <row r="41" spans="1:30" ht="15" customHeight="1">
      <c r="A41" s="302" t="s">
        <v>708</v>
      </c>
      <c r="B41" s="311" t="s">
        <v>656</v>
      </c>
      <c r="C41" s="309">
        <v>11.869378335</v>
      </c>
      <c r="D41" s="310">
        <v>40.5</v>
      </c>
      <c r="E41" s="307">
        <v>1350</v>
      </c>
      <c r="F41" s="309">
        <v>14.653553499999999</v>
      </c>
      <c r="G41" s="310">
        <v>50</v>
      </c>
      <c r="H41" s="307">
        <v>730</v>
      </c>
      <c r="I41" s="309">
        <v>6.0838535761892958</v>
      </c>
      <c r="J41" s="309">
        <v>19.285714285714285</v>
      </c>
      <c r="K41" s="315">
        <v>1.607142857142857</v>
      </c>
      <c r="L41" s="309">
        <v>7.5109303409744381</v>
      </c>
      <c r="M41" s="309">
        <v>23.80952380952381</v>
      </c>
      <c r="O41" s="320">
        <f>D$27/0.00047194745</f>
        <v>887.9999872053553</v>
      </c>
      <c r="P41" s="283">
        <f>O41/D29</f>
        <v>5.9876847704110769</v>
      </c>
      <c r="Q41" s="293">
        <f t="shared" ref="Q41:Q54" si="11">O41/6</f>
        <v>147.99999786755922</v>
      </c>
      <c r="R41" s="319">
        <f>D28</f>
        <v>0.31713072203869752</v>
      </c>
      <c r="S41" s="293">
        <f t="shared" ref="S41:S54" si="12">R41/0.00047194745</f>
        <v>671.96193567461273</v>
      </c>
      <c r="T41" s="293">
        <f>D30</f>
        <v>112.224</v>
      </c>
      <c r="U41" s="312">
        <f t="shared" ref="U41:U54" si="13">S41/T41</f>
        <v>5.9876847704110769</v>
      </c>
      <c r="V41" s="293">
        <f t="shared" si="10"/>
        <v>111.99365594576879</v>
      </c>
      <c r="W41" s="293"/>
      <c r="X41" s="293"/>
      <c r="Y41" s="293"/>
      <c r="Z41" s="118"/>
      <c r="AA41" s="119" t="s">
        <v>410</v>
      </c>
      <c r="AB41" s="87">
        <v>2.2000000000000002</v>
      </c>
      <c r="AC41" s="87">
        <v>38</v>
      </c>
      <c r="AD41" s="94">
        <v>3</v>
      </c>
    </row>
    <row r="42" spans="1:30" ht="15" customHeight="1">
      <c r="A42" s="302" t="s">
        <v>709</v>
      </c>
      <c r="B42" s="303" t="s">
        <v>657</v>
      </c>
      <c r="C42" s="309">
        <v>18.903084015000001</v>
      </c>
      <c r="D42" s="310">
        <v>64.5</v>
      </c>
      <c r="E42" s="307">
        <v>2150</v>
      </c>
      <c r="F42" s="309">
        <v>14.653553499999999</v>
      </c>
      <c r="G42" s="310">
        <v>50</v>
      </c>
      <c r="H42" s="307">
        <v>757</v>
      </c>
      <c r="I42" s="309">
        <v>9.6891001398570271</v>
      </c>
      <c r="J42" s="309">
        <v>30.714285714285712</v>
      </c>
      <c r="K42" s="315">
        <v>2.5595238095238093</v>
      </c>
      <c r="L42" s="309">
        <v>7.5109303409744381</v>
      </c>
      <c r="M42" s="309">
        <v>23.80952380952381</v>
      </c>
      <c r="N42" s="183"/>
      <c r="O42" s="320" t="e">
        <f>E$27/0.00047194745</f>
        <v>#N/A</v>
      </c>
      <c r="P42" s="283" t="e">
        <f>O42/E29</f>
        <v>#N/A</v>
      </c>
      <c r="Q42" s="293" t="e">
        <f t="shared" si="11"/>
        <v>#N/A</v>
      </c>
      <c r="R42" s="319" t="e">
        <f>E28</f>
        <v>#N/A</v>
      </c>
      <c r="S42" s="293" t="e">
        <f t="shared" si="12"/>
        <v>#N/A</v>
      </c>
      <c r="T42" s="293" t="e">
        <f>E30</f>
        <v>#N/A</v>
      </c>
      <c r="U42" s="312" t="e">
        <f t="shared" si="13"/>
        <v>#N/A</v>
      </c>
      <c r="V42" s="293" t="e">
        <f t="shared" si="10"/>
        <v>#N/A</v>
      </c>
      <c r="W42" s="293"/>
      <c r="X42" s="293"/>
      <c r="Y42" s="293"/>
      <c r="Z42" s="118"/>
      <c r="AA42" s="119" t="s">
        <v>406</v>
      </c>
      <c r="AB42" s="87">
        <v>25.7</v>
      </c>
      <c r="AC42" s="87">
        <v>37.4</v>
      </c>
      <c r="AD42" s="94">
        <v>15.9</v>
      </c>
    </row>
    <row r="43" spans="1:30" ht="15" customHeight="1">
      <c r="A43" s="302" t="s">
        <v>710</v>
      </c>
      <c r="B43" s="303" t="s">
        <v>658</v>
      </c>
      <c r="C43" s="309">
        <v>11.429771729999999</v>
      </c>
      <c r="D43" s="310">
        <v>39</v>
      </c>
      <c r="E43" s="307">
        <v>1300</v>
      </c>
      <c r="F43" s="309">
        <v>21.980330249999998</v>
      </c>
      <c r="G43" s="310">
        <v>75</v>
      </c>
      <c r="H43" s="307">
        <v>1102</v>
      </c>
      <c r="I43" s="309">
        <v>5.8585256659600615</v>
      </c>
      <c r="J43" s="309">
        <v>18.571428571428569</v>
      </c>
      <c r="K43" s="315">
        <v>1.5476190476190474</v>
      </c>
      <c r="L43" s="309">
        <v>11.266395511461656</v>
      </c>
      <c r="M43" s="309">
        <v>35.714285714285715</v>
      </c>
      <c r="N43" s="183"/>
      <c r="O43" s="320">
        <f>F$27/0.00047194745</f>
        <v>965.24998609230772</v>
      </c>
      <c r="P43" s="283">
        <f>O43/F29</f>
        <v>5.9876847704110761</v>
      </c>
      <c r="Q43" s="293">
        <f t="shared" si="11"/>
        <v>160.87499768205129</v>
      </c>
      <c r="R43" s="319">
        <f>F28</f>
        <v>0.39641340254837187</v>
      </c>
      <c r="S43" s="293">
        <f t="shared" si="12"/>
        <v>839.95241959326586</v>
      </c>
      <c r="T43" s="293">
        <f>F30</f>
        <v>140.28</v>
      </c>
      <c r="U43" s="312">
        <f t="shared" si="13"/>
        <v>5.9876847704110769</v>
      </c>
      <c r="V43" s="293">
        <f t="shared" si="10"/>
        <v>139.99206993221097</v>
      </c>
      <c r="W43" s="293"/>
      <c r="X43" s="293"/>
      <c r="Y43" s="293"/>
      <c r="Z43" s="121"/>
      <c r="AA43" s="107"/>
      <c r="AB43" s="104"/>
      <c r="AC43" s="104"/>
      <c r="AD43" s="89"/>
    </row>
    <row r="44" spans="1:30" ht="15" customHeight="1">
      <c r="A44" s="302" t="s">
        <v>711</v>
      </c>
      <c r="B44" s="303" t="s">
        <v>659</v>
      </c>
      <c r="C44" s="309">
        <v>13.18819815</v>
      </c>
      <c r="D44" s="310">
        <v>45</v>
      </c>
      <c r="E44" s="307">
        <v>1500</v>
      </c>
      <c r="F44" s="309">
        <v>14.653553499999999</v>
      </c>
      <c r="G44" s="310">
        <v>50</v>
      </c>
      <c r="H44" s="307">
        <v>839</v>
      </c>
      <c r="I44" s="309">
        <v>6.759837306876995</v>
      </c>
      <c r="J44" s="309">
        <v>21.428571428571427</v>
      </c>
      <c r="K44" s="315">
        <v>1.7857142857142856</v>
      </c>
      <c r="L44" s="309">
        <v>7.5109303409744381</v>
      </c>
      <c r="M44" s="309">
        <v>23.80952380952381</v>
      </c>
      <c r="N44" s="183"/>
      <c r="O44" s="320" t="e">
        <f>G$27/0.00047194745</f>
        <v>#N/A</v>
      </c>
      <c r="P44" s="283" t="e">
        <f>O44/G29</f>
        <v>#N/A</v>
      </c>
      <c r="Q44" s="293" t="e">
        <f t="shared" si="11"/>
        <v>#N/A</v>
      </c>
      <c r="R44" s="319" t="e">
        <f>G28</f>
        <v>#N/A</v>
      </c>
      <c r="S44" s="293" t="e">
        <f t="shared" si="12"/>
        <v>#N/A</v>
      </c>
      <c r="T44" s="293" t="e">
        <f>G30</f>
        <v>#N/A</v>
      </c>
      <c r="U44" s="312" t="e">
        <f t="shared" si="13"/>
        <v>#N/A</v>
      </c>
      <c r="V44" s="293" t="e">
        <f t="shared" si="10"/>
        <v>#N/A</v>
      </c>
      <c r="W44" s="293"/>
      <c r="X44" s="293"/>
      <c r="Y44" s="293"/>
    </row>
    <row r="45" spans="1:30" ht="15" customHeight="1">
      <c r="A45" s="302" t="s">
        <v>712</v>
      </c>
      <c r="B45" s="303" t="s">
        <v>660</v>
      </c>
      <c r="C45" s="309">
        <v>4.7770584410000003</v>
      </c>
      <c r="D45" s="310">
        <v>16.3</v>
      </c>
      <c r="E45" s="307">
        <v>543</v>
      </c>
      <c r="F45" s="309">
        <v>10.550558519999999</v>
      </c>
      <c r="G45" s="310">
        <v>36</v>
      </c>
      <c r="H45" s="307">
        <v>509</v>
      </c>
      <c r="I45" s="309">
        <v>2.4485632911576669</v>
      </c>
      <c r="J45" s="309">
        <v>7.7619047619047619</v>
      </c>
      <c r="K45" s="315">
        <v>0.64682539682539686</v>
      </c>
      <c r="L45" s="309">
        <v>5.4078698455015957</v>
      </c>
      <c r="M45" s="309">
        <v>17.142857142857142</v>
      </c>
      <c r="N45" s="183"/>
      <c r="O45" s="320" t="e">
        <f>H$27/0.00047194745</f>
        <v>#N/A</v>
      </c>
      <c r="P45" s="283" t="e">
        <f>O45/H29</f>
        <v>#N/A</v>
      </c>
      <c r="Q45" s="293" t="e">
        <f t="shared" si="11"/>
        <v>#N/A</v>
      </c>
      <c r="R45" s="319" t="e">
        <f>H28</f>
        <v>#N/A</v>
      </c>
      <c r="S45" s="293" t="e">
        <f t="shared" si="12"/>
        <v>#N/A</v>
      </c>
      <c r="T45" s="293" t="e">
        <f>H30</f>
        <v>#N/A</v>
      </c>
      <c r="U45" s="312" t="e">
        <f t="shared" si="13"/>
        <v>#N/A</v>
      </c>
      <c r="V45" s="293" t="e">
        <f t="shared" si="10"/>
        <v>#N/A</v>
      </c>
      <c r="W45" s="293"/>
      <c r="X45" s="293"/>
      <c r="Y45" s="293"/>
    </row>
    <row r="46" spans="1:30" ht="15" customHeight="1">
      <c r="A46" s="302" t="s">
        <v>713</v>
      </c>
      <c r="B46" s="303" t="s">
        <v>661</v>
      </c>
      <c r="C46" s="309">
        <v>9.4955026679999985</v>
      </c>
      <c r="D46" s="310">
        <v>32.4</v>
      </c>
      <c r="E46" s="307">
        <v>1080</v>
      </c>
      <c r="F46" s="309">
        <v>14.653553499999999</v>
      </c>
      <c r="G46" s="310">
        <v>50</v>
      </c>
      <c r="H46" s="307">
        <v>731</v>
      </c>
      <c r="I46" s="309">
        <v>4.8670828609514354</v>
      </c>
      <c r="J46" s="309">
        <v>15.428571428571427</v>
      </c>
      <c r="K46" s="315">
        <v>1.2857142857142856</v>
      </c>
      <c r="L46" s="309">
        <v>7.5109303409744381</v>
      </c>
      <c r="M46" s="309">
        <v>23.80952380952381</v>
      </c>
      <c r="N46" s="183"/>
      <c r="O46" s="320">
        <f>I$27/0.00047194745</f>
        <v>965.24998609230772</v>
      </c>
      <c r="P46" s="283">
        <f>O46/I29</f>
        <v>5.9876847704110761</v>
      </c>
      <c r="Q46" s="293">
        <f t="shared" si="11"/>
        <v>160.87499768205129</v>
      </c>
      <c r="R46" s="319">
        <f>I28</f>
        <v>0.31713072203869752</v>
      </c>
      <c r="S46" s="293">
        <f t="shared" si="12"/>
        <v>671.96193567461273</v>
      </c>
      <c r="T46" s="293">
        <f>I30</f>
        <v>112.224</v>
      </c>
      <c r="U46" s="312">
        <f t="shared" si="13"/>
        <v>5.9876847704110769</v>
      </c>
      <c r="V46" s="293">
        <f t="shared" si="10"/>
        <v>111.99365594576879</v>
      </c>
      <c r="W46" s="293"/>
      <c r="X46" s="293"/>
      <c r="Y46" s="293"/>
    </row>
    <row r="47" spans="1:30" ht="15" customHeight="1">
      <c r="A47" s="302" t="s">
        <v>714</v>
      </c>
      <c r="B47" s="303" t="s">
        <v>662</v>
      </c>
      <c r="C47" s="309">
        <v>9.4955026679999985</v>
      </c>
      <c r="D47" s="310">
        <v>32.4</v>
      </c>
      <c r="E47" s="307">
        <v>1080</v>
      </c>
      <c r="F47" s="309">
        <v>14.653553499999999</v>
      </c>
      <c r="G47" s="310">
        <v>50</v>
      </c>
      <c r="H47" s="307">
        <v>884</v>
      </c>
      <c r="I47" s="309">
        <v>4.8670828609514354</v>
      </c>
      <c r="J47" s="309">
        <v>15.428571428571427</v>
      </c>
      <c r="K47" s="315">
        <v>1.2857142857142856</v>
      </c>
      <c r="L47" s="309">
        <v>7.5109303409744381</v>
      </c>
      <c r="M47" s="309">
        <v>23.80952380952381</v>
      </c>
      <c r="N47" s="183"/>
      <c r="O47" s="320" t="e">
        <f>J$27/0.00047194745</f>
        <v>#N/A</v>
      </c>
      <c r="P47" s="283" t="e">
        <f>O47/J29</f>
        <v>#N/A</v>
      </c>
      <c r="Q47" s="293" t="e">
        <f t="shared" si="11"/>
        <v>#N/A</v>
      </c>
      <c r="R47" s="319" t="e">
        <f>J28</f>
        <v>#N/A</v>
      </c>
      <c r="S47" s="293" t="e">
        <f t="shared" si="12"/>
        <v>#N/A</v>
      </c>
      <c r="T47" s="293" t="e">
        <f>J30</f>
        <v>#N/A</v>
      </c>
      <c r="U47" s="312" t="e">
        <f t="shared" si="13"/>
        <v>#N/A</v>
      </c>
      <c r="V47" s="293" t="e">
        <f t="shared" si="10"/>
        <v>#N/A</v>
      </c>
      <c r="W47" s="293"/>
      <c r="X47" s="293"/>
      <c r="Y47" s="293"/>
    </row>
    <row r="48" spans="1:30" ht="15" customHeight="1">
      <c r="A48" s="302" t="s">
        <v>715</v>
      </c>
      <c r="B48" s="303" t="s">
        <v>663</v>
      </c>
      <c r="C48" s="309">
        <v>6.44756354</v>
      </c>
      <c r="D48" s="310">
        <v>22</v>
      </c>
      <c r="E48" s="307">
        <v>733</v>
      </c>
      <c r="F48" s="309">
        <v>14.653553499999999</v>
      </c>
      <c r="G48" s="310">
        <v>50</v>
      </c>
      <c r="H48" s="307">
        <v>733</v>
      </c>
      <c r="I48" s="309">
        <v>3.3048093500287528</v>
      </c>
      <c r="J48" s="309">
        <v>10.476190476190476</v>
      </c>
      <c r="K48" s="315">
        <v>0.87301587301587302</v>
      </c>
      <c r="L48" s="309">
        <v>7.5109303409744381</v>
      </c>
      <c r="M48" s="309">
        <v>23.80952380952381</v>
      </c>
      <c r="N48" s="183"/>
      <c r="O48" s="320" t="e">
        <f>K$27/0.00047194745</f>
        <v>#N/A</v>
      </c>
      <c r="P48" s="283" t="e">
        <f>O48/K29</f>
        <v>#N/A</v>
      </c>
      <c r="Q48" s="293" t="e">
        <f t="shared" si="11"/>
        <v>#N/A</v>
      </c>
      <c r="R48" s="319" t="e">
        <f>K28</f>
        <v>#N/A</v>
      </c>
      <c r="S48" s="293" t="e">
        <f t="shared" si="12"/>
        <v>#N/A</v>
      </c>
      <c r="T48" s="293" t="e">
        <f>K30</f>
        <v>#N/A</v>
      </c>
      <c r="U48" s="312" t="e">
        <f t="shared" si="13"/>
        <v>#N/A</v>
      </c>
      <c r="V48" s="293" t="e">
        <f t="shared" si="10"/>
        <v>#N/A</v>
      </c>
      <c r="W48" s="293">
        <v>122.22222046119754</v>
      </c>
      <c r="X48" s="293"/>
      <c r="Y48" s="293"/>
    </row>
    <row r="49" spans="1:25" ht="15" customHeight="1">
      <c r="A49" s="302" t="s">
        <v>716</v>
      </c>
      <c r="B49" s="303" t="s">
        <v>664</v>
      </c>
      <c r="C49" s="309">
        <v>7.7370762479999993</v>
      </c>
      <c r="D49" s="310">
        <v>26.4</v>
      </c>
      <c r="E49" s="307">
        <v>880</v>
      </c>
      <c r="F49" s="309">
        <v>21.980330249999998</v>
      </c>
      <c r="G49" s="310">
        <v>75</v>
      </c>
      <c r="H49" s="307">
        <v>1116</v>
      </c>
      <c r="I49" s="309">
        <v>3.9657712200345032</v>
      </c>
      <c r="J49" s="309">
        <v>12.571428571428569</v>
      </c>
      <c r="K49" s="315">
        <v>1.0476190476190474</v>
      </c>
      <c r="L49" s="309">
        <v>11.266395511461656</v>
      </c>
      <c r="M49" s="309">
        <v>35.714285714285715</v>
      </c>
      <c r="N49" s="183"/>
      <c r="O49" s="320" t="e">
        <f>L$27/0.00047194745</f>
        <v>#N/A</v>
      </c>
      <c r="P49" s="283" t="e">
        <f>O49/L29</f>
        <v>#N/A</v>
      </c>
      <c r="Q49" s="293" t="e">
        <f t="shared" si="11"/>
        <v>#N/A</v>
      </c>
      <c r="R49" s="319" t="e">
        <f>L28</f>
        <v>#N/A</v>
      </c>
      <c r="S49" s="293" t="e">
        <f t="shared" si="12"/>
        <v>#N/A</v>
      </c>
      <c r="T49" s="293" t="e">
        <f>L30</f>
        <v>#N/A</v>
      </c>
      <c r="U49" s="312" t="e">
        <f t="shared" si="13"/>
        <v>#N/A</v>
      </c>
      <c r="V49" s="293">
        <v>146.66666455343704</v>
      </c>
      <c r="X49" s="293"/>
      <c r="Y49" s="293"/>
    </row>
    <row r="50" spans="1:25" ht="17.25" customHeight="1">
      <c r="A50" s="302" t="s">
        <v>717</v>
      </c>
      <c r="B50" s="303" t="s">
        <v>665</v>
      </c>
      <c r="C50" s="309">
        <v>8.9093605279999988</v>
      </c>
      <c r="D50" s="310">
        <v>30.4</v>
      </c>
      <c r="E50" s="307">
        <v>1013</v>
      </c>
      <c r="F50" s="309">
        <v>21.980330249999998</v>
      </c>
      <c r="G50" s="310">
        <v>75</v>
      </c>
      <c r="H50" s="307">
        <v>1211</v>
      </c>
      <c r="I50" s="309">
        <v>4.5666456473124581</v>
      </c>
      <c r="J50" s="309">
        <v>14.476190476190474</v>
      </c>
      <c r="K50" s="315">
        <v>1.2063492063492063</v>
      </c>
      <c r="L50" s="309">
        <v>11.266395511461656</v>
      </c>
      <c r="M50" s="309">
        <v>35.714285714285715</v>
      </c>
      <c r="N50" s="183"/>
      <c r="O50" s="320" t="e">
        <f>M$27/0.00047194745</f>
        <v>#N/A</v>
      </c>
      <c r="P50" s="283" t="e">
        <f>O50/M29</f>
        <v>#N/A</v>
      </c>
      <c r="Q50" s="293" t="e">
        <f t="shared" si="11"/>
        <v>#N/A</v>
      </c>
      <c r="R50" s="319" t="e">
        <f>M28</f>
        <v>#N/A</v>
      </c>
      <c r="S50" s="293" t="e">
        <f t="shared" si="12"/>
        <v>#N/A</v>
      </c>
      <c r="T50" s="293" t="e">
        <f>M30</f>
        <v>#N/A</v>
      </c>
      <c r="U50" s="312" t="e">
        <f t="shared" si="13"/>
        <v>#N/A</v>
      </c>
      <c r="V50" s="293" t="e">
        <f>S50/6</f>
        <v>#N/A</v>
      </c>
      <c r="W50" s="293"/>
      <c r="X50" s="293"/>
      <c r="Y50" s="293"/>
    </row>
    <row r="51" spans="1:25" ht="15" customHeight="1">
      <c r="A51" s="302" t="s">
        <v>718</v>
      </c>
      <c r="B51" s="303" t="s">
        <v>666</v>
      </c>
      <c r="C51" s="309">
        <v>6.5647919679999998</v>
      </c>
      <c r="D51" s="310">
        <v>22.4</v>
      </c>
      <c r="E51" s="307">
        <v>747</v>
      </c>
      <c r="F51" s="309">
        <v>21.980330249999998</v>
      </c>
      <c r="G51" s="310">
        <v>75</v>
      </c>
      <c r="H51" s="307">
        <v>1104</v>
      </c>
      <c r="I51" s="309">
        <v>3.3648967927565483</v>
      </c>
      <c r="J51" s="309">
        <v>10.666666666666666</v>
      </c>
      <c r="K51" s="315">
        <v>0.88888888888888884</v>
      </c>
      <c r="L51" s="309">
        <v>11.266395511461656</v>
      </c>
      <c r="M51" s="309">
        <v>35.714285714285715</v>
      </c>
      <c r="N51" s="183"/>
      <c r="O51" s="320" t="e">
        <f>N$27/0.00047194745</f>
        <v>#N/A</v>
      </c>
      <c r="P51" s="283" t="e">
        <f>O51/N29</f>
        <v>#N/A</v>
      </c>
      <c r="Q51" s="293" t="e">
        <f t="shared" si="11"/>
        <v>#N/A</v>
      </c>
      <c r="R51" s="319" t="e">
        <f>N28</f>
        <v>#N/A</v>
      </c>
      <c r="S51" s="293" t="e">
        <f t="shared" si="12"/>
        <v>#N/A</v>
      </c>
      <c r="T51" s="293" t="e">
        <f>N30</f>
        <v>#N/A</v>
      </c>
      <c r="U51" s="312" t="e">
        <f t="shared" si="13"/>
        <v>#N/A</v>
      </c>
      <c r="V51" s="293">
        <v>124.44444265140113</v>
      </c>
      <c r="X51" s="293"/>
      <c r="Y51" s="293"/>
    </row>
    <row r="52" spans="1:25" ht="15" customHeight="1">
      <c r="A52" s="302" t="s">
        <v>719</v>
      </c>
      <c r="B52" s="303" t="s">
        <v>667</v>
      </c>
      <c r="C52" s="309">
        <v>8.1473757459999998</v>
      </c>
      <c r="D52" s="310">
        <v>27.8</v>
      </c>
      <c r="E52" s="307">
        <v>927</v>
      </c>
      <c r="F52" s="309">
        <v>29.307106999999998</v>
      </c>
      <c r="G52" s="310">
        <v>100</v>
      </c>
      <c r="H52" s="307">
        <v>1678</v>
      </c>
      <c r="I52" s="309">
        <v>4.1760772695817874</v>
      </c>
      <c r="J52" s="309">
        <v>13.238095238095237</v>
      </c>
      <c r="K52" s="315">
        <v>1.103174603174603</v>
      </c>
      <c r="L52" s="309">
        <v>15.021860681948876</v>
      </c>
      <c r="M52" s="309">
        <v>47.61904761904762</v>
      </c>
      <c r="N52" s="183"/>
      <c r="O52" s="320" t="e">
        <f>O$27/0.00047194745</f>
        <v>#N/A</v>
      </c>
      <c r="P52" s="283" t="e">
        <f>O52/O29</f>
        <v>#N/A</v>
      </c>
      <c r="Q52" s="293" t="e">
        <f t="shared" si="11"/>
        <v>#N/A</v>
      </c>
      <c r="R52" s="319" t="e">
        <f>O28</f>
        <v>#N/A</v>
      </c>
      <c r="S52" s="293" t="e">
        <f t="shared" si="12"/>
        <v>#N/A</v>
      </c>
      <c r="T52" s="293" t="e">
        <f>O30</f>
        <v>#N/A</v>
      </c>
      <c r="U52" s="312" t="e">
        <f t="shared" si="13"/>
        <v>#N/A</v>
      </c>
      <c r="V52" s="293">
        <v>154.44444221914964</v>
      </c>
      <c r="X52" s="293"/>
      <c r="Y52" s="293"/>
    </row>
    <row r="53" spans="1:25" ht="15" customHeight="1">
      <c r="A53" s="302" t="s">
        <v>720</v>
      </c>
      <c r="B53" s="304" t="s">
        <v>668</v>
      </c>
      <c r="C53" s="309">
        <v>5.9200356139999997</v>
      </c>
      <c r="D53" s="310">
        <v>20.2</v>
      </c>
      <c r="E53" s="307">
        <v>673</v>
      </c>
      <c r="F53" s="309">
        <v>29.307106999999998</v>
      </c>
      <c r="G53" s="310">
        <v>100</v>
      </c>
      <c r="H53" s="307">
        <v>1531</v>
      </c>
      <c r="I53" s="309">
        <v>3.0344158577536731</v>
      </c>
      <c r="J53" s="309">
        <v>9.6190476190476186</v>
      </c>
      <c r="K53" s="315">
        <v>0.80158730158730152</v>
      </c>
      <c r="L53" s="309">
        <v>15.021860681948876</v>
      </c>
      <c r="M53" s="309">
        <v>47.61904761904762</v>
      </c>
      <c r="N53" s="183"/>
      <c r="O53" s="320" t="e">
        <f>P$27/0.00047194745</f>
        <v>#N/A</v>
      </c>
      <c r="P53" s="283" t="e">
        <f>O53/P29</f>
        <v>#N/A</v>
      </c>
      <c r="Q53" s="293" t="e">
        <f t="shared" si="11"/>
        <v>#N/A</v>
      </c>
      <c r="R53" s="319" t="e">
        <f>P28</f>
        <v>#N/A</v>
      </c>
      <c r="S53" s="293" t="e">
        <f t="shared" si="12"/>
        <v>#N/A</v>
      </c>
      <c r="T53" s="293" t="e">
        <f>P30</f>
        <v>#N/A</v>
      </c>
      <c r="U53" s="312" t="e">
        <f t="shared" si="13"/>
        <v>#N/A</v>
      </c>
      <c r="V53" s="293">
        <v>112.22222060528139</v>
      </c>
      <c r="X53" s="293"/>
      <c r="Y53" s="293"/>
    </row>
    <row r="54" spans="1:25" ht="15" customHeight="1">
      <c r="A54" s="183" t="s">
        <v>721</v>
      </c>
      <c r="B54" s="301">
        <v>8</v>
      </c>
      <c r="C54" s="309">
        <v>5.9200356139999997</v>
      </c>
      <c r="D54" s="310">
        <v>20.2</v>
      </c>
      <c r="E54" s="307">
        <v>673</v>
      </c>
      <c r="F54" s="309">
        <f>G54*0.29307107</f>
        <v>36.633883749999995</v>
      </c>
      <c r="G54" s="310">
        <v>125</v>
      </c>
      <c r="H54" s="307">
        <v>1750</v>
      </c>
      <c r="I54" s="309">
        <v>3.0344158577536731</v>
      </c>
      <c r="J54" s="309">
        <v>9.6190476190476186</v>
      </c>
      <c r="K54" s="315">
        <v>0.80158730158730152</v>
      </c>
      <c r="L54" s="309">
        <f>F54/(A_houseSI/100)</f>
        <v>12.216179018911062</v>
      </c>
      <c r="M54" s="309">
        <f>G54/(A_houseFT/1000)</f>
        <v>38.7238164059263</v>
      </c>
      <c r="N54" s="183"/>
      <c r="O54" s="320" t="e">
        <f>Q$27/0.00047194745</f>
        <v>#N/A</v>
      </c>
      <c r="P54" s="283" t="e">
        <f>O54/Q29</f>
        <v>#N/A</v>
      </c>
      <c r="Q54" s="293" t="e">
        <f t="shared" si="11"/>
        <v>#N/A</v>
      </c>
      <c r="R54" s="319" t="e">
        <f>Q28</f>
        <v>#N/A</v>
      </c>
      <c r="S54" s="293" t="e">
        <f t="shared" si="12"/>
        <v>#N/A</v>
      </c>
      <c r="T54" s="293" t="e">
        <f>Q30</f>
        <v>#N/A</v>
      </c>
      <c r="U54" s="312" t="e">
        <f t="shared" si="13"/>
        <v>#N/A</v>
      </c>
      <c r="V54" s="293">
        <v>112.22222060528139</v>
      </c>
      <c r="X54" s="293"/>
      <c r="Y54" s="293"/>
    </row>
    <row r="55" spans="1:25" ht="15" customHeight="1">
      <c r="A55" s="183"/>
      <c r="B55" s="186"/>
      <c r="C55" s="196"/>
      <c r="D55" s="197"/>
      <c r="E55" s="93"/>
      <c r="F55" s="196"/>
      <c r="G55" s="197"/>
      <c r="H55" s="93"/>
      <c r="I55" s="196"/>
      <c r="J55" s="196"/>
      <c r="K55" s="194"/>
      <c r="L55" s="196"/>
      <c r="M55" s="196"/>
      <c r="N55" s="183"/>
      <c r="O55" s="283"/>
      <c r="P55" s="283"/>
    </row>
    <row r="57" spans="1:25" ht="15" customHeight="1">
      <c r="A57" s="350" t="s">
        <v>385</v>
      </c>
      <c r="B57" s="305" t="s">
        <v>639</v>
      </c>
      <c r="C57" s="350" t="s">
        <v>892</v>
      </c>
      <c r="D57" s="305" t="s">
        <v>904</v>
      </c>
      <c r="E57" s="350" t="s">
        <v>911</v>
      </c>
      <c r="F57" s="350" t="s">
        <v>912</v>
      </c>
      <c r="G57" s="350" t="s">
        <v>913</v>
      </c>
      <c r="H57" s="350" t="s">
        <v>914</v>
      </c>
      <c r="I57" s="350" t="s">
        <v>915</v>
      </c>
      <c r="J57" s="305" t="s">
        <v>916</v>
      </c>
      <c r="K57" s="305" t="s">
        <v>1023</v>
      </c>
    </row>
    <row r="58" spans="1:25" ht="15" customHeight="1">
      <c r="A58" s="290" t="s">
        <v>850</v>
      </c>
      <c r="B58" s="305" t="s">
        <v>707</v>
      </c>
      <c r="C58" s="290" t="s">
        <v>893</v>
      </c>
      <c r="D58" s="5" t="str">
        <f>CONCATENATE(B58,C58)</f>
        <v>1ASmall</v>
      </c>
      <c r="E58" s="290">
        <v>4902</v>
      </c>
      <c r="F58" s="290">
        <v>16746</v>
      </c>
      <c r="G58" s="290">
        <v>0.71</v>
      </c>
      <c r="H58" s="290">
        <v>355.2</v>
      </c>
      <c r="I58" s="290">
        <v>1081</v>
      </c>
      <c r="J58" s="5">
        <f>E58/(I58/1000)/1000</f>
        <v>4.534690101757632</v>
      </c>
      <c r="K58" s="5">
        <f>F58/(I58/1000)/12000</f>
        <v>1.2909343200740055</v>
      </c>
    </row>
    <row r="59" spans="1:25" ht="15" customHeight="1">
      <c r="A59" s="290" t="s">
        <v>850</v>
      </c>
      <c r="B59" s="305" t="s">
        <v>707</v>
      </c>
      <c r="C59" s="290" t="s">
        <v>898</v>
      </c>
      <c r="D59" s="305" t="str">
        <f t="shared" ref="D59:D75" si="14">CONCATENATE(B59,C59)</f>
        <v>1AMed</v>
      </c>
      <c r="E59" s="290">
        <v>7714</v>
      </c>
      <c r="F59" s="290">
        <v>22942</v>
      </c>
      <c r="G59" s="290">
        <v>0.71</v>
      </c>
      <c r="H59" s="290">
        <v>355.2</v>
      </c>
      <c r="I59" s="290">
        <v>2145</v>
      </c>
      <c r="J59" s="305">
        <f t="shared" ref="J59:J75" si="15">E59/(I59/1000)/1000</f>
        <v>3.5962703962703961</v>
      </c>
      <c r="K59" s="305">
        <f t="shared" ref="K59:K75" si="16">F59/(I59/1000)/12000</f>
        <v>0.89129759129759123</v>
      </c>
    </row>
    <row r="60" spans="1:25" ht="15" customHeight="1">
      <c r="A60" s="290" t="s">
        <v>850</v>
      </c>
      <c r="B60" s="305" t="s">
        <v>707</v>
      </c>
      <c r="C60" s="290" t="s">
        <v>894</v>
      </c>
      <c r="D60" s="305" t="str">
        <f t="shared" si="14"/>
        <v>1ALarge</v>
      </c>
      <c r="E60" s="290">
        <v>10441</v>
      </c>
      <c r="F60" s="290">
        <v>29030</v>
      </c>
      <c r="G60" s="290">
        <v>0.71</v>
      </c>
      <c r="H60" s="290">
        <v>355.2</v>
      </c>
      <c r="I60" s="290">
        <v>3240</v>
      </c>
      <c r="J60" s="305">
        <f t="shared" si="15"/>
        <v>3.2225308641975308</v>
      </c>
      <c r="K60" s="305">
        <f t="shared" si="16"/>
        <v>0.7466563786008229</v>
      </c>
    </row>
    <row r="61" spans="1:25" ht="15" customHeight="1">
      <c r="A61" s="290" t="s">
        <v>851</v>
      </c>
      <c r="B61" s="305" t="s">
        <v>656</v>
      </c>
      <c r="C61" s="290" t="s">
        <v>893</v>
      </c>
      <c r="D61" s="305" t="str">
        <f t="shared" si="14"/>
        <v>2ASmall</v>
      </c>
      <c r="E61" s="290">
        <v>11317</v>
      </c>
      <c r="F61" s="290">
        <v>16392</v>
      </c>
      <c r="G61" s="290">
        <v>0.71</v>
      </c>
      <c r="H61" s="290">
        <v>355.2</v>
      </c>
      <c r="I61" s="290">
        <v>1081</v>
      </c>
      <c r="J61" s="305">
        <f t="shared" si="15"/>
        <v>10.469010175763183</v>
      </c>
      <c r="K61" s="305">
        <f t="shared" si="16"/>
        <v>1.2636447733580021</v>
      </c>
    </row>
    <row r="62" spans="1:25" ht="15" customHeight="1">
      <c r="A62" s="290" t="s">
        <v>851</v>
      </c>
      <c r="B62" s="305" t="s">
        <v>656</v>
      </c>
      <c r="C62" s="290" t="s">
        <v>898</v>
      </c>
      <c r="D62" s="305" t="str">
        <f t="shared" si="14"/>
        <v>2AMed</v>
      </c>
      <c r="E62" s="290">
        <v>17963</v>
      </c>
      <c r="F62" s="290">
        <v>20710</v>
      </c>
      <c r="G62" s="290">
        <v>0.71</v>
      </c>
      <c r="H62" s="290">
        <v>355.2</v>
      </c>
      <c r="I62" s="290">
        <v>2145</v>
      </c>
      <c r="J62" s="305">
        <f t="shared" si="15"/>
        <v>8.3743589743589748</v>
      </c>
      <c r="K62" s="305">
        <f t="shared" si="16"/>
        <v>0.80458430458430452</v>
      </c>
    </row>
    <row r="63" spans="1:25" ht="15" customHeight="1">
      <c r="A63" s="290" t="s">
        <v>851</v>
      </c>
      <c r="B63" s="305" t="s">
        <v>656</v>
      </c>
      <c r="C63" s="290" t="s">
        <v>894</v>
      </c>
      <c r="D63" s="305" t="str">
        <f t="shared" si="14"/>
        <v>2ALarge</v>
      </c>
      <c r="E63" s="290">
        <v>24060</v>
      </c>
      <c r="F63" s="290">
        <v>25474</v>
      </c>
      <c r="G63" s="290">
        <v>0.71</v>
      </c>
      <c r="H63" s="290">
        <v>355.2</v>
      </c>
      <c r="I63" s="290">
        <v>3240</v>
      </c>
      <c r="J63" s="305">
        <f t="shared" si="15"/>
        <v>7.4259259259259256</v>
      </c>
      <c r="K63" s="305">
        <f t="shared" si="16"/>
        <v>0.65519547325102878</v>
      </c>
    </row>
    <row r="64" spans="1:25" ht="15" customHeight="1">
      <c r="A64" s="290" t="s">
        <v>910</v>
      </c>
      <c r="B64" s="305" t="s">
        <v>917</v>
      </c>
      <c r="C64" s="290" t="s">
        <v>893</v>
      </c>
      <c r="D64" s="305" t="str">
        <f t="shared" si="14"/>
        <v>2AoSmall</v>
      </c>
      <c r="E64" s="290">
        <v>8232</v>
      </c>
      <c r="F64" s="290">
        <v>15557</v>
      </c>
      <c r="G64" s="290">
        <v>0.71</v>
      </c>
      <c r="H64" s="290">
        <v>355.2</v>
      </c>
      <c r="I64" s="290">
        <v>1081</v>
      </c>
      <c r="J64" s="305">
        <f t="shared" si="15"/>
        <v>7.6151711378353379</v>
      </c>
      <c r="K64" s="305">
        <f t="shared" si="16"/>
        <v>1.1992753623188406</v>
      </c>
    </row>
    <row r="65" spans="1:19" ht="15" customHeight="1">
      <c r="A65" s="290" t="s">
        <v>910</v>
      </c>
      <c r="B65" s="305" t="s">
        <v>917</v>
      </c>
      <c r="C65" s="290" t="s">
        <v>898</v>
      </c>
      <c r="D65" s="305" t="str">
        <f t="shared" si="14"/>
        <v>2AoMed</v>
      </c>
      <c r="E65" s="290">
        <v>13131</v>
      </c>
      <c r="F65" s="290">
        <v>20179</v>
      </c>
      <c r="G65" s="290">
        <v>0.71</v>
      </c>
      <c r="H65" s="290">
        <v>355.2</v>
      </c>
      <c r="I65" s="290">
        <v>2145</v>
      </c>
      <c r="J65" s="305">
        <f t="shared" si="15"/>
        <v>6.1216783216783215</v>
      </c>
      <c r="K65" s="305">
        <f t="shared" si="16"/>
        <v>0.78395493395493399</v>
      </c>
    </row>
    <row r="66" spans="1:19" ht="15" customHeight="1">
      <c r="A66" s="290" t="s">
        <v>910</v>
      </c>
      <c r="B66" s="305" t="s">
        <v>917</v>
      </c>
      <c r="C66" s="290" t="s">
        <v>894</v>
      </c>
      <c r="D66" s="305" t="str">
        <f t="shared" si="14"/>
        <v>2AoLarge</v>
      </c>
      <c r="E66" s="290">
        <v>17638</v>
      </c>
      <c r="F66" s="290">
        <v>24540</v>
      </c>
      <c r="G66" s="290">
        <v>0.71</v>
      </c>
      <c r="H66" s="290">
        <v>355.2</v>
      </c>
      <c r="I66" s="290">
        <v>3240</v>
      </c>
      <c r="J66" s="305">
        <f t="shared" si="15"/>
        <v>5.4438271604938269</v>
      </c>
      <c r="K66" s="305">
        <f t="shared" si="16"/>
        <v>0.63117283950617287</v>
      </c>
    </row>
    <row r="67" spans="1:19" ht="15" customHeight="1">
      <c r="A67" s="290" t="s">
        <v>909</v>
      </c>
      <c r="B67" s="305" t="s">
        <v>918</v>
      </c>
      <c r="C67" s="290" t="s">
        <v>893</v>
      </c>
      <c r="D67" s="305" t="str">
        <f t="shared" si="14"/>
        <v>3AcSmall</v>
      </c>
      <c r="E67" s="290">
        <v>11408</v>
      </c>
      <c r="F67" s="290">
        <v>15807</v>
      </c>
      <c r="G67" s="290">
        <v>0.71</v>
      </c>
      <c r="H67" s="290">
        <v>386.1</v>
      </c>
      <c r="I67" s="290">
        <v>1081</v>
      </c>
      <c r="J67" s="305">
        <f t="shared" si="15"/>
        <v>10.553191489361703</v>
      </c>
      <c r="K67" s="305">
        <f t="shared" si="16"/>
        <v>1.2185476410730807</v>
      </c>
    </row>
    <row r="68" spans="1:19" ht="15" customHeight="1">
      <c r="A68" s="290" t="s">
        <v>909</v>
      </c>
      <c r="B68" s="305" t="s">
        <v>918</v>
      </c>
      <c r="C68" s="290" t="s">
        <v>898</v>
      </c>
      <c r="D68" s="305" t="str">
        <f t="shared" si="14"/>
        <v>3AcMed</v>
      </c>
      <c r="E68" s="290">
        <v>18078</v>
      </c>
      <c r="F68" s="290">
        <v>21834</v>
      </c>
      <c r="G68" s="290">
        <v>0.71</v>
      </c>
      <c r="H68" s="290">
        <v>386.1</v>
      </c>
      <c r="I68" s="290">
        <v>2145</v>
      </c>
      <c r="J68" s="305">
        <f t="shared" si="15"/>
        <v>8.4279720279720269</v>
      </c>
      <c r="K68" s="305">
        <f t="shared" si="16"/>
        <v>0.84825174825174832</v>
      </c>
    </row>
    <row r="69" spans="1:19" ht="15" customHeight="1">
      <c r="A69" s="290" t="s">
        <v>909</v>
      </c>
      <c r="B69" s="305" t="s">
        <v>918</v>
      </c>
      <c r="C69" s="290" t="s">
        <v>894</v>
      </c>
      <c r="D69" s="305" t="str">
        <f t="shared" si="14"/>
        <v>3AcLarge</v>
      </c>
      <c r="E69" s="290">
        <v>24193</v>
      </c>
      <c r="F69" s="290">
        <v>27380</v>
      </c>
      <c r="G69" s="290">
        <v>0.71</v>
      </c>
      <c r="H69" s="290">
        <v>386.1</v>
      </c>
      <c r="I69" s="290">
        <v>3240</v>
      </c>
      <c r="J69" s="305">
        <f t="shared" si="15"/>
        <v>7.4669753086419748</v>
      </c>
      <c r="K69" s="305">
        <f t="shared" si="16"/>
        <v>0.70421810699588472</v>
      </c>
    </row>
    <row r="70" spans="1:19" ht="15" customHeight="1">
      <c r="A70" s="290" t="s">
        <v>853</v>
      </c>
      <c r="B70" s="305" t="s">
        <v>658</v>
      </c>
      <c r="C70" s="290" t="s">
        <v>893</v>
      </c>
      <c r="D70" s="305" t="str">
        <f t="shared" si="14"/>
        <v>3ASmall</v>
      </c>
      <c r="E70" s="290">
        <v>14052</v>
      </c>
      <c r="F70" s="290">
        <v>16010</v>
      </c>
      <c r="G70" s="290">
        <v>0.71</v>
      </c>
      <c r="H70" s="290">
        <v>386.1</v>
      </c>
      <c r="I70" s="290">
        <v>1081</v>
      </c>
      <c r="J70" s="305">
        <f t="shared" si="15"/>
        <v>12.999074930619798</v>
      </c>
      <c r="K70" s="305">
        <f t="shared" si="16"/>
        <v>1.2341967314215234</v>
      </c>
    </row>
    <row r="71" spans="1:19" ht="15" customHeight="1">
      <c r="A71" s="290" t="s">
        <v>853</v>
      </c>
      <c r="B71" s="305" t="s">
        <v>658</v>
      </c>
      <c r="C71" s="290" t="s">
        <v>898</v>
      </c>
      <c r="D71" s="305" t="str">
        <f t="shared" si="14"/>
        <v>3AMed</v>
      </c>
      <c r="E71" s="290">
        <v>22180</v>
      </c>
      <c r="F71" s="290">
        <v>22090</v>
      </c>
      <c r="G71" s="290">
        <v>0.71</v>
      </c>
      <c r="H71" s="290">
        <v>386.1</v>
      </c>
      <c r="I71" s="290">
        <v>2145</v>
      </c>
      <c r="J71" s="305">
        <f t="shared" si="15"/>
        <v>10.340326340326341</v>
      </c>
      <c r="K71" s="305">
        <f t="shared" si="16"/>
        <v>0.8581973581973581</v>
      </c>
    </row>
    <row r="72" spans="1:19" ht="15" customHeight="1">
      <c r="A72" s="290" t="s">
        <v>853</v>
      </c>
      <c r="B72" s="305" t="s">
        <v>658</v>
      </c>
      <c r="C72" s="290" t="s">
        <v>894</v>
      </c>
      <c r="D72" s="305" t="str">
        <f t="shared" si="14"/>
        <v>3ALarge</v>
      </c>
      <c r="E72" s="290">
        <v>29612</v>
      </c>
      <c r="F72" s="290">
        <v>27650</v>
      </c>
      <c r="G72" s="290">
        <v>0.71</v>
      </c>
      <c r="H72" s="290">
        <v>386.1</v>
      </c>
      <c r="I72" s="290">
        <v>3240</v>
      </c>
      <c r="J72" s="305">
        <f t="shared" si="15"/>
        <v>9.1395061728395053</v>
      </c>
      <c r="K72" s="305">
        <f t="shared" si="16"/>
        <v>0.71116255144032914</v>
      </c>
    </row>
    <row r="73" spans="1:19" ht="15" customHeight="1">
      <c r="A73" s="290" t="s">
        <v>856</v>
      </c>
      <c r="B73" s="305" t="s">
        <v>661</v>
      </c>
      <c r="C73" s="290" t="s">
        <v>893</v>
      </c>
      <c r="D73" s="305" t="str">
        <f t="shared" si="14"/>
        <v>4ASmall</v>
      </c>
      <c r="E73" s="290">
        <v>16394</v>
      </c>
      <c r="F73" s="290">
        <v>14550</v>
      </c>
      <c r="G73" s="290">
        <v>0.71</v>
      </c>
      <c r="H73" s="290">
        <v>386.1</v>
      </c>
      <c r="I73" s="290">
        <v>1081</v>
      </c>
      <c r="J73" s="305">
        <f t="shared" si="15"/>
        <v>15.165587419056431</v>
      </c>
      <c r="K73" s="305">
        <f t="shared" si="16"/>
        <v>1.1216466234967624</v>
      </c>
    </row>
    <row r="74" spans="1:19" ht="15" customHeight="1">
      <c r="A74" s="290" t="s">
        <v>856</v>
      </c>
      <c r="B74" s="305" t="s">
        <v>661</v>
      </c>
      <c r="C74" s="290" t="s">
        <v>898</v>
      </c>
      <c r="D74" s="305" t="str">
        <f t="shared" si="14"/>
        <v>4AMed</v>
      </c>
      <c r="E74" s="290">
        <v>25980</v>
      </c>
      <c r="F74" s="290">
        <v>20012</v>
      </c>
      <c r="G74" s="290">
        <v>0.71</v>
      </c>
      <c r="H74" s="290">
        <v>386.1</v>
      </c>
      <c r="I74" s="290">
        <v>2145</v>
      </c>
      <c r="J74" s="305">
        <f t="shared" si="15"/>
        <v>12.111888111888113</v>
      </c>
      <c r="K74" s="305">
        <f t="shared" si="16"/>
        <v>0.77746697746697757</v>
      </c>
      <c r="M74" s="305" t="s">
        <v>924</v>
      </c>
    </row>
    <row r="75" spans="1:19" ht="15" customHeight="1">
      <c r="A75" s="290" t="s">
        <v>856</v>
      </c>
      <c r="B75" s="305" t="s">
        <v>661</v>
      </c>
      <c r="C75" s="290" t="s">
        <v>894</v>
      </c>
      <c r="D75" s="305" t="str">
        <f t="shared" si="14"/>
        <v>4ALarge</v>
      </c>
      <c r="E75" s="290">
        <v>34765</v>
      </c>
      <c r="F75" s="290">
        <v>24991</v>
      </c>
      <c r="G75" s="290">
        <v>0.71</v>
      </c>
      <c r="H75" s="290">
        <v>386.1</v>
      </c>
      <c r="I75" s="290">
        <v>3240</v>
      </c>
      <c r="J75" s="305">
        <f t="shared" si="15"/>
        <v>10.729938271604937</v>
      </c>
      <c r="K75" s="305">
        <f t="shared" si="16"/>
        <v>0.64277263374485594</v>
      </c>
    </row>
    <row r="80" spans="1:19" ht="15" customHeight="1">
      <c r="A80" s="332" t="s">
        <v>775</v>
      </c>
      <c r="B80" s="241" t="s">
        <v>771</v>
      </c>
      <c r="C80" s="241">
        <v>0.8</v>
      </c>
      <c r="D80" s="241">
        <v>0.8</v>
      </c>
      <c r="E80" s="241">
        <v>0.8</v>
      </c>
      <c r="F80" s="241">
        <v>0.9</v>
      </c>
      <c r="G80" s="241">
        <v>0.9</v>
      </c>
      <c r="H80" s="241">
        <v>0.9</v>
      </c>
      <c r="I80" s="241">
        <v>0.9</v>
      </c>
      <c r="J80" s="241">
        <v>0.9</v>
      </c>
      <c r="K80" s="241">
        <v>0.94</v>
      </c>
      <c r="L80" s="241">
        <v>0.94</v>
      </c>
      <c r="M80" s="241">
        <v>0.94</v>
      </c>
      <c r="N80" s="241">
        <v>0.94</v>
      </c>
      <c r="O80" s="241">
        <v>0.94</v>
      </c>
      <c r="P80" s="241">
        <v>0.94</v>
      </c>
      <c r="Q80" s="241">
        <v>0.94</v>
      </c>
      <c r="R80" s="305"/>
      <c r="S80" s="305" t="s">
        <v>777</v>
      </c>
    </row>
    <row r="81" spans="1:19" ht="15" customHeight="1">
      <c r="A81" s="241"/>
      <c r="B81" s="241" t="s">
        <v>772</v>
      </c>
      <c r="C81" s="241">
        <v>18</v>
      </c>
      <c r="D81" s="241">
        <v>18</v>
      </c>
      <c r="E81" s="241">
        <v>18</v>
      </c>
      <c r="F81" s="241">
        <v>15</v>
      </c>
      <c r="G81" s="241">
        <v>15</v>
      </c>
      <c r="H81" s="241">
        <v>15</v>
      </c>
      <c r="I81" s="241">
        <v>15</v>
      </c>
      <c r="J81" s="241">
        <v>15</v>
      </c>
      <c r="K81" s="241">
        <v>13</v>
      </c>
      <c r="L81" s="241">
        <v>13</v>
      </c>
      <c r="M81" s="241">
        <v>13</v>
      </c>
      <c r="N81" s="241">
        <v>13</v>
      </c>
      <c r="O81" s="241">
        <v>13</v>
      </c>
      <c r="P81" s="241">
        <v>13</v>
      </c>
      <c r="Q81" s="241">
        <v>13</v>
      </c>
      <c r="R81" s="305"/>
      <c r="S81" s="305"/>
    </row>
    <row r="82" spans="1:19" ht="15" customHeight="1">
      <c r="A82" s="241"/>
      <c r="B82" s="241" t="s">
        <v>773</v>
      </c>
      <c r="C82" s="241">
        <v>8.1999999999999993</v>
      </c>
      <c r="D82" s="241">
        <v>8.1999999999999993</v>
      </c>
      <c r="E82" s="241">
        <v>8.1999999999999993</v>
      </c>
      <c r="F82" s="241">
        <v>9</v>
      </c>
      <c r="G82" s="241">
        <v>9</v>
      </c>
      <c r="H82" s="241">
        <v>9</v>
      </c>
      <c r="I82" s="241">
        <v>9</v>
      </c>
      <c r="J82" s="241">
        <v>9</v>
      </c>
      <c r="K82" s="241">
        <v>10</v>
      </c>
      <c r="L82" s="241">
        <v>10</v>
      </c>
      <c r="M82" s="241">
        <v>10</v>
      </c>
      <c r="N82" s="241">
        <v>10</v>
      </c>
      <c r="O82" s="241">
        <v>10</v>
      </c>
      <c r="P82" s="241">
        <v>10</v>
      </c>
      <c r="Q82" s="241">
        <v>10</v>
      </c>
      <c r="R82" s="305"/>
      <c r="S82" s="305"/>
    </row>
    <row r="85" spans="1:19" ht="41" customHeight="1">
      <c r="C85" s="516" t="s">
        <v>802</v>
      </c>
      <c r="D85" s="517" t="s">
        <v>794</v>
      </c>
      <c r="E85" s="516" t="s">
        <v>405</v>
      </c>
      <c r="F85" s="516" t="s">
        <v>800</v>
      </c>
      <c r="G85" s="516" t="s">
        <v>801</v>
      </c>
      <c r="H85" s="241"/>
      <c r="I85" s="273" t="s">
        <v>810</v>
      </c>
      <c r="J85" s="241"/>
      <c r="K85" s="241"/>
      <c r="S85" s="305" t="s">
        <v>781</v>
      </c>
    </row>
    <row r="86" spans="1:19" ht="15" customHeight="1">
      <c r="C86" s="241"/>
      <c r="D86" s="275" t="s">
        <v>795</v>
      </c>
      <c r="E86" s="241">
        <v>90</v>
      </c>
      <c r="F86" s="334">
        <v>5.0000000000000001E-3</v>
      </c>
      <c r="G86" s="334">
        <v>1.4999999999999999E-2</v>
      </c>
      <c r="H86" s="241"/>
      <c r="I86" s="241"/>
      <c r="J86" s="241"/>
      <c r="K86" s="241"/>
    </row>
    <row r="87" spans="1:19" ht="15" customHeight="1">
      <c r="C87" s="241"/>
      <c r="D87" s="275" t="s">
        <v>796</v>
      </c>
      <c r="E87" s="241">
        <v>80</v>
      </c>
      <c r="F87" s="334">
        <v>5.0000000000000001E-3</v>
      </c>
      <c r="G87" s="334">
        <v>1.4999999999999999E-2</v>
      </c>
      <c r="H87" s="241"/>
      <c r="I87" s="241"/>
      <c r="J87" s="241"/>
      <c r="K87" s="241"/>
    </row>
    <row r="88" spans="1:19" ht="15" customHeight="1">
      <c r="C88" s="241"/>
      <c r="D88" s="275" t="s">
        <v>797</v>
      </c>
      <c r="E88" s="241">
        <v>78</v>
      </c>
      <c r="F88" s="334">
        <v>5.0000000000000001E-3</v>
      </c>
      <c r="G88" s="334">
        <v>1.4999999999999999E-2</v>
      </c>
      <c r="H88" s="241"/>
      <c r="I88" s="241"/>
      <c r="J88" s="241"/>
      <c r="K88" s="241"/>
    </row>
    <row r="89" spans="1:19" ht="15" customHeight="1">
      <c r="C89" s="241"/>
      <c r="D89" s="518" t="s">
        <v>798</v>
      </c>
      <c r="E89" s="241">
        <v>75</v>
      </c>
      <c r="F89" s="334">
        <v>5.0000000000000001E-3</v>
      </c>
      <c r="G89" s="334">
        <v>1.4999999999999999E-2</v>
      </c>
      <c r="H89" s="241"/>
      <c r="I89" s="241"/>
      <c r="J89" s="241"/>
      <c r="K89" s="241"/>
      <c r="R89" s="305"/>
    </row>
    <row r="90" spans="1:19" ht="15" customHeight="1">
      <c r="C90" s="241"/>
      <c r="D90" s="518" t="s">
        <v>799</v>
      </c>
      <c r="E90" s="241">
        <v>64</v>
      </c>
      <c r="F90" s="334">
        <v>5.0000000000000001E-3</v>
      </c>
      <c r="G90" s="334">
        <v>1.4999999999999999E-2</v>
      </c>
      <c r="H90" s="241"/>
      <c r="I90" s="241"/>
      <c r="J90" s="241"/>
      <c r="K90" s="241"/>
      <c r="R90" s="305"/>
    </row>
    <row r="91" spans="1:19" ht="15" customHeight="1">
      <c r="C91" s="241"/>
      <c r="D91" s="333"/>
      <c r="E91" s="241"/>
      <c r="F91" s="241"/>
      <c r="G91" s="241"/>
      <c r="H91" s="241"/>
      <c r="I91" s="241"/>
      <c r="J91" s="241"/>
      <c r="K91" s="241"/>
      <c r="R91" s="305"/>
    </row>
    <row r="92" spans="1:19" ht="42">
      <c r="C92" s="519" t="s">
        <v>809</v>
      </c>
      <c r="D92" s="520" t="s">
        <v>803</v>
      </c>
      <c r="E92" s="519" t="s">
        <v>804</v>
      </c>
      <c r="F92" s="519" t="s">
        <v>805</v>
      </c>
      <c r="G92" s="519" t="s">
        <v>806</v>
      </c>
      <c r="H92" s="519" t="s">
        <v>800</v>
      </c>
      <c r="I92" s="519" t="s">
        <v>801</v>
      </c>
      <c r="J92" s="241"/>
      <c r="K92" s="241"/>
    </row>
    <row r="93" spans="1:19" ht="15" customHeight="1">
      <c r="C93" s="241"/>
      <c r="D93" s="275" t="s">
        <v>807</v>
      </c>
      <c r="E93" s="241">
        <v>6.5</v>
      </c>
      <c r="F93" s="241">
        <v>6.4</v>
      </c>
      <c r="G93" s="241"/>
      <c r="H93" s="241">
        <v>0.01</v>
      </c>
      <c r="I93" s="241">
        <v>0.03</v>
      </c>
      <c r="J93" s="241"/>
      <c r="K93" s="241"/>
    </row>
    <row r="94" spans="1:19" ht="15" customHeight="1">
      <c r="C94" s="241"/>
      <c r="D94" s="275" t="s">
        <v>808</v>
      </c>
      <c r="E94" s="241">
        <v>6.5</v>
      </c>
      <c r="F94" s="241">
        <v>6.4</v>
      </c>
      <c r="G94" s="241">
        <v>6</v>
      </c>
      <c r="H94" s="241">
        <v>0.01</v>
      </c>
      <c r="I94" s="241">
        <v>0.03</v>
      </c>
      <c r="J94" s="241"/>
      <c r="K94" s="241"/>
    </row>
    <row r="98" spans="1:20" ht="15" customHeight="1">
      <c r="A98" s="5" t="s">
        <v>1351</v>
      </c>
    </row>
    <row r="99" spans="1:20" ht="15" customHeight="1">
      <c r="A99" s="5" t="s">
        <v>1352</v>
      </c>
    </row>
    <row r="100" spans="1:20" ht="15" customHeight="1">
      <c r="A100" s="5" t="s">
        <v>1370</v>
      </c>
      <c r="B100" s="5">
        <f>70-Weather!B28</f>
        <v>23</v>
      </c>
      <c r="C100" s="305">
        <f>70-Weather!C28</f>
        <v>38</v>
      </c>
      <c r="D100" s="305">
        <f>70-Weather!D28</f>
        <v>36</v>
      </c>
      <c r="E100" s="305">
        <f>70-Weather!E28</f>
        <v>52</v>
      </c>
      <c r="F100" s="305">
        <f>70-Weather!F28</f>
        <v>46</v>
      </c>
      <c r="G100" s="305">
        <f>70-Weather!G28</f>
        <v>32</v>
      </c>
      <c r="H100" s="305">
        <f>70-Weather!H28</f>
        <v>57</v>
      </c>
      <c r="I100" s="305">
        <f>70-Weather!I28</f>
        <v>54</v>
      </c>
      <c r="J100" s="305">
        <f>70-Weather!J28</f>
        <v>47</v>
      </c>
      <c r="K100" s="305">
        <f>70-Weather!K28</f>
        <v>70</v>
      </c>
      <c r="L100" s="305">
        <f>70-Weather!L28</f>
        <v>60</v>
      </c>
      <c r="M100" s="305">
        <f>70-Weather!M28</f>
        <v>77</v>
      </c>
      <c r="N100" s="305">
        <f>70-Weather!N28</f>
        <v>86</v>
      </c>
      <c r="O100" s="305">
        <f>70-Weather!O28</f>
        <v>86</v>
      </c>
      <c r="P100" s="305">
        <f>70-Weather!P28</f>
        <v>117</v>
      </c>
      <c r="Q100" s="305">
        <f>70-Weather!Q28</f>
        <v>32</v>
      </c>
      <c r="R100" s="305">
        <f>70-Weather!R28</f>
        <v>42</v>
      </c>
      <c r="S100" s="305"/>
      <c r="T100" s="305"/>
    </row>
    <row r="101" spans="1:20" s="305" customFormat="1" ht="15" customHeight="1">
      <c r="A101" s="305" t="s">
        <v>1371</v>
      </c>
      <c r="B101" s="305">
        <f>Weather!B29-70</f>
        <v>20</v>
      </c>
      <c r="C101" s="305">
        <f>Weather!C29-70</f>
        <v>24</v>
      </c>
      <c r="D101" s="305">
        <f>Weather!D29-70</f>
        <v>37</v>
      </c>
      <c r="E101" s="305">
        <f>Weather!E29-70</f>
        <v>25</v>
      </c>
      <c r="F101" s="305">
        <f>Weather!F29-70</f>
        <v>28</v>
      </c>
      <c r="G101" s="305">
        <f>Weather!G29-70</f>
        <v>7</v>
      </c>
      <c r="H101" s="305">
        <f>Weather!H29-70</f>
        <v>21</v>
      </c>
      <c r="I101" s="305">
        <f>Weather!I29-70</f>
        <v>24</v>
      </c>
      <c r="J101" s="305">
        <f>Weather!J29-70</f>
        <v>18</v>
      </c>
      <c r="K101" s="305">
        <f>Weather!K29-70</f>
        <v>21</v>
      </c>
      <c r="L101" s="305">
        <f>Weather!L29-70</f>
        <v>24</v>
      </c>
      <c r="M101" s="305">
        <f>Weather!M29-70</f>
        <v>15</v>
      </c>
      <c r="N101" s="305">
        <f>Weather!N29-70</f>
        <v>18</v>
      </c>
      <c r="O101" s="305">
        <f>Weather!O29-70</f>
        <v>12</v>
      </c>
      <c r="P101" s="305">
        <f>Weather!P29-70</f>
        <v>8</v>
      </c>
      <c r="Q101" s="305">
        <f>Weather!Q29-70</f>
        <v>23</v>
      </c>
      <c r="R101" s="305">
        <f>Weather!R29-70</f>
        <v>22</v>
      </c>
    </row>
    <row r="102" spans="1:20" s="305" customFormat="1" ht="15" customHeight="1"/>
    <row r="103" spans="1:20" s="305" customFormat="1" ht="15" customHeight="1">
      <c r="A103" s="23" t="s">
        <v>1382</v>
      </c>
    </row>
    <row r="104" spans="1:20" s="305" customFormat="1" ht="15" customHeight="1"/>
    <row r="105" spans="1:20" ht="15" customHeight="1">
      <c r="A105" s="563" t="s">
        <v>258</v>
      </c>
      <c r="B105" s="5">
        <f>(1/UA!F6)*UA!$B$6*UA!$C$6*10.7639+(1/UA!F9*UA!$B$9*UA!$C$9*10.7639)</f>
        <v>121.89326315423379</v>
      </c>
      <c r="C105" s="305">
        <f>(1/UA!G6)*UA!$B$6*UA!$C$6*10.7639+(1/UA!G9*UA!$B$9*UA!$C$9*10.7639)</f>
        <v>121.89326315423379</v>
      </c>
      <c r="D105" s="305">
        <f>(1/UA!H6)*UA!$B$6*UA!$C$6*10.7639+(1/UA!H9*UA!$B$9*UA!$C$9*10.7639)</f>
        <v>121.89326315423379</v>
      </c>
      <c r="E105" s="305">
        <f>(1/UA!I6)*UA!$B$6*UA!$C$6*10.7639+(1/UA!I9*UA!$B$9*UA!$C$9*10.7639)</f>
        <v>82.030618641957972</v>
      </c>
      <c r="F105" s="305">
        <f>(1/UA!J6)*UA!$B$6*UA!$C$6*10.7639+(1/UA!J9*UA!$B$9*UA!$C$9*10.7639)</f>
        <v>82.030618641957972</v>
      </c>
      <c r="G105" s="305">
        <f>(1/UA!K6)*UA!$B$6*UA!$C$6*10.7639+(1/UA!K9*UA!$B$9*UA!$C$9*10.7639)</f>
        <v>82.030618641957972</v>
      </c>
      <c r="H105" s="305">
        <f>(1/UA!L6)*UA!$B$6*UA!$C$6*10.7639+(1/UA!L9*UA!$B$9*UA!$C$9*10.7639)</f>
        <v>82.030618641957972</v>
      </c>
      <c r="I105" s="305">
        <f>(1/UA!M6)*UA!$B$6*UA!$C$6*10.7639+(1/UA!M9*UA!$B$9*UA!$C$9*10.7639)</f>
        <v>82.030618641957972</v>
      </c>
      <c r="J105" s="305">
        <f>(1/UA!N6)*UA!$B$6*UA!$C$6*10.7639+(1/UA!N9*UA!$B$9*UA!$C$9*10.7639)</f>
        <v>82.030618641957972</v>
      </c>
      <c r="K105" s="305">
        <f>(1/UA!O6)*UA!$B$6*UA!$C$6*10.7639+(1/UA!O9*UA!$B$9*UA!$C$9*10.7639)</f>
        <v>82.030618641957972</v>
      </c>
      <c r="L105" s="305">
        <f>(1/UA!P6)*UA!$B$6*UA!$C$6*10.7639+(1/UA!P9*UA!$B$9*UA!$C$9*10.7639)</f>
        <v>82.030618641957972</v>
      </c>
      <c r="M105" s="305">
        <f>(1/UA!Q6)*UA!$B$6*UA!$C$6*10.7639+(1/UA!Q9*UA!$B$9*UA!$C$9*10.7639)</f>
        <v>67.224493537398374</v>
      </c>
      <c r="N105" s="305">
        <f>(1/UA!R6)*UA!$B$6*UA!$C$6*10.7639+(1/UA!R9*UA!$B$9*UA!$C$9*10.7639)</f>
        <v>67.224493537398374</v>
      </c>
      <c r="O105" s="305">
        <f>(1/UA!S6)*UA!$B$6*UA!$C$6*10.7639+(1/UA!S9*UA!$B$9*UA!$C$9*10.7639)</f>
        <v>67.224493537398374</v>
      </c>
      <c r="P105" s="305">
        <f>(1/UA!T6)*UA!$B$6*UA!$C$6*10.7639+(1/UA!T9*UA!$B$9*UA!$C$9*10.7639)</f>
        <v>67.224493537398374</v>
      </c>
      <c r="Q105" s="305">
        <f>(1/UA!U6)*UA!$B$6*UA!$C$6*10.7639+(1/UA!U9*UA!$B$9*UA!$C$9*10.7639)</f>
        <v>121.89326315423379</v>
      </c>
      <c r="R105" s="305">
        <f>(1/UA!V6)*UA!$B$6*UA!$C$6*10.7639+(1/UA!V9*UA!$B$9*UA!$C$9*10.7639)</f>
        <v>82.030618641957972</v>
      </c>
    </row>
    <row r="106" spans="1:20" ht="15" customHeight="1">
      <c r="A106" s="563" t="s">
        <v>260</v>
      </c>
      <c r="B106" s="305">
        <f>(1/UA!F7)*UA!$B$7*UA!$C$7*10.7639</f>
        <v>258.23030961559999</v>
      </c>
      <c r="C106" s="305">
        <f>(1/UA!G7)*UA!$B$7*UA!$C$7*10.7639</f>
        <v>258.23030961559999</v>
      </c>
      <c r="D106" s="305">
        <f>(1/UA!H7)*UA!$B$7*UA!$C$7*10.7639</f>
        <v>258.23030961559999</v>
      </c>
      <c r="E106" s="305">
        <f>(1/UA!I7)*UA!$B$7*UA!$C$7*10.7639</f>
        <v>193.67273221169998</v>
      </c>
      <c r="F106" s="305">
        <f>(1/UA!J7)*UA!$B$7*UA!$C$7*10.7639</f>
        <v>193.67273221169998</v>
      </c>
      <c r="G106" s="305">
        <f>(1/UA!K7)*UA!$B$7*UA!$C$7*10.7639</f>
        <v>193.67273221169998</v>
      </c>
      <c r="H106" s="305">
        <f>(1/UA!L7)*UA!$B$7*UA!$C$7*10.7639</f>
        <v>193.67273221169998</v>
      </c>
      <c r="I106" s="305">
        <f>(1/UA!M7)*UA!$B$7*UA!$C$7*10.7639</f>
        <v>193.67273221169998</v>
      </c>
      <c r="J106" s="305">
        <f>(1/UA!N7)*UA!$B$7*UA!$C$7*10.7639</f>
        <v>174.30545899053001</v>
      </c>
      <c r="K106" s="305">
        <f>(1/UA!O7)*UA!$B$7*UA!$C$7*10.7639</f>
        <v>174.30545899053001</v>
      </c>
      <c r="L106" s="305">
        <f>(1/UA!P7)*UA!$B$7*UA!$C$7*10.7639</f>
        <v>174.30545899053001</v>
      </c>
      <c r="M106" s="305">
        <f>(1/UA!Q7)*UA!$B$7*UA!$C$7*10.7639</f>
        <v>174.30545899053001</v>
      </c>
      <c r="N106" s="305">
        <f>(1/UA!R7)*UA!$B$7*UA!$C$7*10.7639</f>
        <v>174.30545899053001</v>
      </c>
      <c r="O106" s="305">
        <f>(1/UA!S7)*UA!$B$7*UA!$C$7*10.7639</f>
        <v>174.30545899053001</v>
      </c>
      <c r="P106" s="305">
        <f>(1/UA!T7)*UA!$B$7*UA!$C$7*10.7639</f>
        <v>174.30545899053001</v>
      </c>
      <c r="Q106" s="305">
        <f>(1/UA!U7)*UA!$B$7*UA!$C$7*10.7639</f>
        <v>258.23030961559999</v>
      </c>
      <c r="R106" s="305">
        <f>(1/UA!V7)*UA!$B$7*UA!$C$7*10.7639</f>
        <v>193.67273221169998</v>
      </c>
    </row>
    <row r="107" spans="1:20" ht="15" customHeight="1">
      <c r="A107" s="563" t="s">
        <v>261</v>
      </c>
      <c r="B107" s="305">
        <f>(1/UA!F8)*UA!$B$8*UA!$C$8*10.7639</f>
        <v>248.29837463038459</v>
      </c>
      <c r="C107" s="305">
        <f>(1/UA!G8)*UA!$B$8*UA!$C$8*10.7639</f>
        <v>248.29837463038459</v>
      </c>
      <c r="D107" s="305">
        <f>(1/UA!H8)*UA!$B$8*UA!$C$8*10.7639</f>
        <v>248.29837463038459</v>
      </c>
      <c r="E107" s="305">
        <f>(1/UA!I8)*UA!$B$8*UA!$C$8*10.7639</f>
        <v>169.88836158921049</v>
      </c>
      <c r="F107" s="305">
        <f>(1/UA!J8)*UA!$B$8*UA!$C$8*10.7639</f>
        <v>169.88836158921049</v>
      </c>
      <c r="G107" s="305">
        <f>(1/UA!K8)*UA!$B$8*UA!$C$8*10.7639</f>
        <v>169.88836158921049</v>
      </c>
      <c r="H107" s="305">
        <f>(1/UA!L8)*UA!$B$8*UA!$C$8*10.7639</f>
        <v>169.88836158921049</v>
      </c>
      <c r="I107" s="305">
        <f>(1/UA!M8)*UA!$B$8*UA!$C$8*10.7639</f>
        <v>169.88836158921049</v>
      </c>
      <c r="J107" s="305">
        <f>(1/UA!N8)*UA!$B$8*UA!$C$8*10.7639</f>
        <v>107.59596233983332</v>
      </c>
      <c r="K107" s="305">
        <f>(1/UA!O8)*UA!$B$8*UA!$C$8*10.7639</f>
        <v>107.59596233983332</v>
      </c>
      <c r="L107" s="305">
        <f>(1/UA!P8)*UA!$B$8*UA!$C$8*10.7639</f>
        <v>107.59596233983332</v>
      </c>
      <c r="M107" s="305">
        <f>(1/UA!Q8)*UA!$B$8*UA!$C$8*10.7639</f>
        <v>107.59596233983332</v>
      </c>
      <c r="N107" s="305">
        <f>(1/UA!R8)*UA!$B$8*UA!$C$8*10.7639</f>
        <v>107.59596233983332</v>
      </c>
      <c r="O107" s="305">
        <f>(1/UA!S8)*UA!$B$8*UA!$C$8*10.7639</f>
        <v>84.944180794605245</v>
      </c>
      <c r="P107" s="305">
        <f>(1/UA!T8)*UA!$B$8*UA!$C$8*10.7639</f>
        <v>84.944180794605245</v>
      </c>
      <c r="Q107" s="305">
        <f>(1/UA!U8)*UA!$B$8*UA!$C$8*10.7639</f>
        <v>248.29837463038459</v>
      </c>
      <c r="R107" s="305">
        <f>(1/UA!V8)*UA!$B$8*UA!$C$8*10.7639</f>
        <v>169.88836158921049</v>
      </c>
    </row>
    <row r="108" spans="1:20" ht="15" customHeight="1">
      <c r="A108" s="170" t="s">
        <v>1353</v>
      </c>
      <c r="B108" s="5">
        <f>(1/UA!F20+UA!$B$20)*planareaSI*10.7639</f>
        <v>172.15353974373329</v>
      </c>
      <c r="C108" s="305">
        <f>(1/UA!G20+UA!$B$20)*planareaSI*10.7639</f>
        <v>149.50175819850526</v>
      </c>
      <c r="D108" s="305">
        <f>(1/UA!H20+UA!$B$20)*planareaSI*10.7639</f>
        <v>149.50175819850526</v>
      </c>
      <c r="E108" s="305">
        <f>(1/UA!I20+UA!$B$20)*planareaSI*10.7639</f>
        <v>149.50175819850526</v>
      </c>
      <c r="F108" s="305">
        <f>(1/UA!J20+UA!$B$20)*planareaSI*10.7639</f>
        <v>149.50175819850526</v>
      </c>
      <c r="G108" s="305">
        <f>(1/UA!K20+UA!$B$20)*planareaSI*10.7639</f>
        <v>149.50175819850526</v>
      </c>
      <c r="H108" s="305">
        <f>(1/UA!L20+UA!$B$20)*planareaSI*10.7639</f>
        <v>130.43265638747141</v>
      </c>
      <c r="I108" s="305">
        <f>(1/UA!M20+UA!$B$20)*planareaSI*10.7639</f>
        <v>130.43265638747141</v>
      </c>
      <c r="J108" s="305">
        <f>(1/UA!N20+UA!$B$20)*planareaSI*10.7639</f>
        <v>130.43265638747141</v>
      </c>
      <c r="K108" s="305">
        <f>(1/UA!O20+UA!$B$20)*planareaSI*10.7639</f>
        <v>130.43265638747141</v>
      </c>
      <c r="L108" s="305">
        <f>(1/UA!P20+UA!$B$20)*planareaSI*10.7639</f>
        <v>130.43265638747141</v>
      </c>
      <c r="M108" s="305">
        <f>(1/UA!Q20+UA!$B$20)*planareaSI*10.7639</f>
        <v>130.43265638747141</v>
      </c>
      <c r="N108" s="305">
        <f>(1/UA!R20+UA!$B$20)*planareaSI*10.7639</f>
        <v>130.43265638747141</v>
      </c>
      <c r="O108" s="305">
        <f>(1/UA!S20+UA!$B$20)*planareaSI*10.7639</f>
        <v>130.43265638747141</v>
      </c>
      <c r="P108" s="305">
        <f>(1/UA!T20+UA!$B$20)*planareaSI*10.7639</f>
        <v>130.43265638747141</v>
      </c>
      <c r="Q108" s="305">
        <f>(1/UA!U20+UA!$B$20)*planareaSI*10.7639</f>
        <v>149.50175819850526</v>
      </c>
      <c r="R108" s="305">
        <f>(1/UA!V20+UA!$B$20)*planareaSI*10.7639</f>
        <v>149.50175819850526</v>
      </c>
    </row>
    <row r="109" spans="1:20" ht="15" customHeight="1">
      <c r="A109" s="170" t="s">
        <v>1366</v>
      </c>
      <c r="B109" s="5">
        <f>SUM(B105:B108)</f>
        <v>800.5754871439517</v>
      </c>
      <c r="C109" s="305">
        <f t="shared" ref="C109:M109" si="17">SUM(C105:C108)</f>
        <v>777.9237055987237</v>
      </c>
      <c r="D109" s="305">
        <f t="shared" si="17"/>
        <v>777.9237055987237</v>
      </c>
      <c r="E109" s="305">
        <f t="shared" si="17"/>
        <v>595.09347064137376</v>
      </c>
      <c r="F109" s="305">
        <f t="shared" si="17"/>
        <v>595.09347064137376</v>
      </c>
      <c r="G109" s="305">
        <f t="shared" si="17"/>
        <v>595.09347064137376</v>
      </c>
      <c r="H109" s="305">
        <f t="shared" si="17"/>
        <v>576.02436883033988</v>
      </c>
      <c r="I109" s="305">
        <f t="shared" si="17"/>
        <v>576.02436883033988</v>
      </c>
      <c r="J109" s="305">
        <f t="shared" si="17"/>
        <v>494.36469635979273</v>
      </c>
      <c r="K109" s="305">
        <f t="shared" si="17"/>
        <v>494.36469635979273</v>
      </c>
      <c r="L109" s="305">
        <f t="shared" si="17"/>
        <v>494.36469635979273</v>
      </c>
      <c r="M109" s="305">
        <f t="shared" si="17"/>
        <v>479.55857125523312</v>
      </c>
      <c r="N109" s="305">
        <f t="shared" ref="N109" si="18">SUM(N105:N108)</f>
        <v>479.55857125523312</v>
      </c>
      <c r="O109" s="305">
        <f t="shared" ref="O109" si="19">SUM(O105:O108)</f>
        <v>456.90678971000506</v>
      </c>
      <c r="P109" s="305">
        <f t="shared" ref="P109" si="20">SUM(P105:P108)</f>
        <v>456.90678971000506</v>
      </c>
      <c r="Q109" s="305">
        <f t="shared" ref="Q109" si="21">SUM(Q105:Q108)</f>
        <v>777.9237055987237</v>
      </c>
      <c r="R109" s="305">
        <f t="shared" ref="R109" si="22">SUM(R105:R108)</f>
        <v>595.09347064137376</v>
      </c>
    </row>
    <row r="110" spans="1:20" s="305" customFormat="1" ht="15" customHeight="1">
      <c r="A110" s="170" t="s">
        <v>1407</v>
      </c>
      <c r="B110" s="305">
        <f>B109*B100</f>
        <v>18413.236204310888</v>
      </c>
      <c r="C110" s="305">
        <f t="shared" ref="C110:M110" si="23">C109*C100</f>
        <v>29561.100812751502</v>
      </c>
      <c r="D110" s="305">
        <f t="shared" si="23"/>
        <v>28005.253401554051</v>
      </c>
      <c r="E110" s="305">
        <f t="shared" si="23"/>
        <v>30944.860473351437</v>
      </c>
      <c r="F110" s="305">
        <f t="shared" si="23"/>
        <v>27374.299649503191</v>
      </c>
      <c r="G110" s="305">
        <f t="shared" si="23"/>
        <v>19042.99106052396</v>
      </c>
      <c r="H110" s="305">
        <f t="shared" si="23"/>
        <v>32833.389023329371</v>
      </c>
      <c r="I110" s="305">
        <f t="shared" si="23"/>
        <v>31105.315916838354</v>
      </c>
      <c r="J110" s="305">
        <f t="shared" si="23"/>
        <v>23235.140728910257</v>
      </c>
      <c r="K110" s="305">
        <f t="shared" si="23"/>
        <v>34605.528745185489</v>
      </c>
      <c r="L110" s="305">
        <f t="shared" si="23"/>
        <v>29661.881781587563</v>
      </c>
      <c r="M110" s="305">
        <f t="shared" si="23"/>
        <v>36926.009986652949</v>
      </c>
      <c r="N110" s="305">
        <f t="shared" ref="N110" si="24">N109*N100</f>
        <v>41242.037127950047</v>
      </c>
      <c r="O110" s="305">
        <f t="shared" ref="O110" si="25">O109*O100</f>
        <v>39293.983915060438</v>
      </c>
      <c r="P110" s="305">
        <f t="shared" ref="P110" si="26">P109*P100</f>
        <v>53458.094396070592</v>
      </c>
      <c r="Q110" s="305">
        <f t="shared" ref="Q110" si="27">Q109*Q100</f>
        <v>24893.558579159158</v>
      </c>
      <c r="R110" s="305">
        <f t="shared" ref="R110" si="28">R109*R100</f>
        <v>24993.925766937697</v>
      </c>
    </row>
    <row r="111" spans="1:20" s="305" customFormat="1" ht="15" customHeight="1"/>
    <row r="112" spans="1:20" s="305" customFormat="1" ht="15" customHeight="1"/>
    <row r="113" spans="1:18" s="305" customFormat="1" ht="15" customHeight="1">
      <c r="A113" s="23" t="s">
        <v>1354</v>
      </c>
    </row>
    <row r="114" spans="1:18" s="305" customFormat="1" ht="15" customHeight="1">
      <c r="E114" s="5">
        <f>IF(Stories=1,1.6,IF(Stories=2,2,2.3))*Leakage!H31*1550</f>
        <v>110.67001845238094</v>
      </c>
      <c r="F114" s="305">
        <f>IF(Stories=1,0.6,IF(Stories=2,0.7,0.8))*Leakage!H31*1550</f>
        <v>41.501256919642856</v>
      </c>
    </row>
    <row r="115" spans="1:18" ht="15" customHeight="1">
      <c r="A115" s="5" t="s">
        <v>1354</v>
      </c>
      <c r="B115" s="305">
        <f>2.11888*Fans!B9</f>
        <v>27.556773967329821</v>
      </c>
      <c r="C115" s="305">
        <f>2.11888*Fans!C9</f>
        <v>28.228890405557383</v>
      </c>
      <c r="D115" s="305">
        <f>2.11888*Fans!D9</f>
        <v>28.901006843784938</v>
      </c>
      <c r="E115" s="305">
        <f>2.11888*Fans!E9</f>
        <v>25.764463465389671</v>
      </c>
      <c r="F115" s="305">
        <f>2.11888*Fans!F9</f>
        <v>26.884657529102267</v>
      </c>
      <c r="G115" s="305">
        <f>2.11888*Fans!G9</f>
        <v>33.605821911377838</v>
      </c>
      <c r="H115" s="305">
        <f>2.11888*Fans!H9</f>
        <v>28.004851592814859</v>
      </c>
      <c r="I115" s="305">
        <f>2.11888*Fans!I9</f>
        <v>30.245239720240054</v>
      </c>
      <c r="J115" s="305">
        <f>2.11888*Fans!J9</f>
        <v>30.805336752096348</v>
      </c>
      <c r="K115" s="305">
        <f>2.11888*Fans!K9</f>
        <v>26.884657529102256</v>
      </c>
      <c r="L115" s="305">
        <f>2.11888*Fans!L9</f>
        <v>25.092347027162113</v>
      </c>
      <c r="M115" s="305">
        <f>2.11888*Fans!M9</f>
        <v>27.332735154587301</v>
      </c>
      <c r="N115" s="305">
        <f>2.11888*Fans!N9</f>
        <v>28.228890405557372</v>
      </c>
      <c r="O115" s="305">
        <f>2.11888*Fans!O9</f>
        <v>31.365433783952636</v>
      </c>
      <c r="P115" s="305">
        <f>2.11888*Fans!P9</f>
        <v>23.524075337964486</v>
      </c>
      <c r="Q115" s="305">
        <f>2.11888*Fans!Q9</f>
        <v>25.540424652647157</v>
      </c>
      <c r="R115" s="305">
        <f>2.11888*Fans!R9</f>
        <v>24.084172369820781</v>
      </c>
    </row>
    <row r="116" spans="1:18" ht="15" customHeight="1">
      <c r="A116" s="5" t="s">
        <v>1367</v>
      </c>
      <c r="B116" s="5">
        <f>B115/(B115+Fans!B10*2.11888)</f>
        <v>0.18815686023880515</v>
      </c>
      <c r="C116" s="305">
        <f>C115/(C115+Fans!C10*2.11888)</f>
        <v>0.19225758192301495</v>
      </c>
      <c r="D116" s="305">
        <f>D115/(D115+Fans!D10*2.11888)</f>
        <v>0.1963472144119198</v>
      </c>
      <c r="E116" s="305">
        <f>E115/(E115+Fans!E10*2.11888)</f>
        <v>0.17716208003639716</v>
      </c>
      <c r="F116" s="305">
        <f>F115/(F115+Fans!F10*2.11888)</f>
        <v>0.18404435579138029</v>
      </c>
      <c r="G116" s="305">
        <f>G115/(G115+Fans!G10*2.11888)</f>
        <v>0.22472037755945512</v>
      </c>
      <c r="H116" s="305">
        <f>H115/(H115+Fans!H10*2.11888)</f>
        <v>0.19089194086389893</v>
      </c>
      <c r="I116" s="305">
        <f>I115/(I115+Fans!I10*2.11888)</f>
        <v>0.20449593559395352</v>
      </c>
      <c r="J116" s="305">
        <f>J115/(J115+Fans!J10*2.11888)</f>
        <v>0.20788022630363434</v>
      </c>
      <c r="K116" s="305">
        <f>K115/(K115+Fans!K10*2.11888)</f>
        <v>0.18404435579138023</v>
      </c>
      <c r="L116" s="305">
        <f>L115/(L115+Fans!L10*2.11888)</f>
        <v>0.173014681464846</v>
      </c>
      <c r="M116" s="305">
        <f>M115/(M115+Fans!M10*2.11888)</f>
        <v>0.18678736917169295</v>
      </c>
      <c r="N116" s="305">
        <f>N115/(N115+Fans!N10*2.11888)</f>
        <v>0.19225758192301487</v>
      </c>
      <c r="O116" s="305">
        <f>O115/(O115+Fans!O10*2.11888)</f>
        <v>0.21125859984826201</v>
      </c>
      <c r="P116" s="305">
        <f>P115/(P115+Fans!P10*2.11888)</f>
        <v>0.16328004298018636</v>
      </c>
      <c r="Q116" s="305">
        <f>Q115/(Q115+Fans!Q10*2.11888)</f>
        <v>0.17578117053316994</v>
      </c>
      <c r="R116" s="305">
        <f>R115/(R115+Fans!R10*2.11888)</f>
        <v>0.16676631139276318</v>
      </c>
    </row>
    <row r="117" spans="1:18" ht="15" customHeight="1">
      <c r="A117" s="5" t="s">
        <v>1368</v>
      </c>
      <c r="B117" s="5">
        <f>(Fans!B10*2.118888)+(HVAC!B116*HVAC!B115)</f>
        <v>124.08505816172557</v>
      </c>
      <c r="C117" s="305">
        <f>(Fans!C10*2.118888)+(HVAC!C116*HVAC!C115)</f>
        <v>124.02726538225293</v>
      </c>
      <c r="D117" s="305">
        <f>(Fans!D10*2.118888)+(HVAC!D116*HVAC!D115)</f>
        <v>123.96743516356609</v>
      </c>
      <c r="E117" s="305">
        <f>(Fans!E10*2.118888)+(HVAC!E116*HVAC!E115)</f>
        <v>124.22924469892185</v>
      </c>
      <c r="F117" s="305">
        <f>(Fans!F10*2.118888)+(HVAC!F116*HVAC!F115)</f>
        <v>124.14081721533961</v>
      </c>
      <c r="G117" s="305">
        <f>(Fans!G10*2.118888)+(HVAC!G116*HVAC!G115)</f>
        <v>123.49158688338079</v>
      </c>
      <c r="H117" s="305">
        <f>(Fans!H10*2.118888)+(HVAC!H116*HVAC!H115)</f>
        <v>124.04675587320688</v>
      </c>
      <c r="I117" s="305">
        <f>(Fans!I10*2.118888)+(HVAC!I116*HVAC!I115)</f>
        <v>123.84165535147002</v>
      </c>
      <c r="J117" s="305">
        <f>(Fans!J10*2.118888)+(HVAC!J116*HVAC!J115)</f>
        <v>123.78683914762614</v>
      </c>
      <c r="K117" s="305">
        <f>(Fans!K10*2.118888)+(HVAC!K116*HVAC!K115)</f>
        <v>124.14081721533962</v>
      </c>
      <c r="L117" s="305">
        <f>(Fans!L10*2.118888)+(HVAC!L116*HVAC!L115)</f>
        <v>124.2796107672568</v>
      </c>
      <c r="M117" s="305">
        <f>(Fans!M10*2.118888)+(HVAC!M116*HVAC!M115)</f>
        <v>124.10387025364938</v>
      </c>
      <c r="N117" s="305">
        <f>(Fans!N10*2.118888)+(HVAC!N116*HVAC!N115)</f>
        <v>124.02726538225292</v>
      </c>
      <c r="O117" s="305">
        <f>(Fans!O10*2.118888)+(HVAC!O116*HVAC!O115)</f>
        <v>123.7306080816896</v>
      </c>
      <c r="P117" s="305">
        <f>(Fans!P10*2.118888)+(HVAC!P116*HVAC!P115)</f>
        <v>124.38934887383607</v>
      </c>
      <c r="Q117" s="305">
        <f>(Fans!Q10*2.118888)+(HVAC!Q116*HVAC!Q115)</f>
        <v>124.2462569474544</v>
      </c>
      <c r="R117" s="305">
        <f>(Fans!R10*2.118888)+(HVAC!R116*HVAC!R115)</f>
        <v>124.35140140535383</v>
      </c>
    </row>
    <row r="118" spans="1:18" ht="15" customHeight="1">
      <c r="A118" s="5" t="s">
        <v>1369</v>
      </c>
      <c r="B118" s="5">
        <f>B117*60/(V_houseSI*35.3147)</f>
        <v>0.28120797594010427</v>
      </c>
      <c r="C118" s="305">
        <f>C117*60/(V_houseSI*35.3147)</f>
        <v>0.28107700295447474</v>
      </c>
      <c r="D118" s="305">
        <f>D117*60/(V_houseSI*35.3147)</f>
        <v>0.28094141261873062</v>
      </c>
      <c r="E118" s="305">
        <f>E117*60/(V_houseSI*35.3147)</f>
        <v>0.28153473892739267</v>
      </c>
      <c r="F118" s="305">
        <f>F117*60/(V_houseSI*35.3147)</f>
        <v>0.28133433999101765</v>
      </c>
      <c r="G118" s="305">
        <f>G117*60/(V_houseSI*35.3147)</f>
        <v>0.27986302063739243</v>
      </c>
      <c r="H118" s="305">
        <f>H117*60/(V_houseSI*35.3147)</f>
        <v>0.28112117331303715</v>
      </c>
      <c r="I118" s="305">
        <f>I117*60/(V_houseSI*35.3147)</f>
        <v>0.28065636390377924</v>
      </c>
      <c r="J118" s="305">
        <f>J117*60/(V_houseSI*35.3147)</f>
        <v>0.28053213658777504</v>
      </c>
      <c r="K118" s="305">
        <f>K117*60/(V_houseSI*35.3147)</f>
        <v>0.2813343399910177</v>
      </c>
      <c r="L118" s="305">
        <f>L117*60/(V_houseSI*35.3147)</f>
        <v>0.28164888111616504</v>
      </c>
      <c r="M118" s="305">
        <f>M117*60/(V_houseSI*35.3147)</f>
        <v>0.28125060887570075</v>
      </c>
      <c r="N118" s="305">
        <f>N117*60/(V_houseSI*35.3147)</f>
        <v>0.28107700295447474</v>
      </c>
      <c r="O118" s="305">
        <f>O117*60/(V_houseSI*35.3147)</f>
        <v>0.28040470283812596</v>
      </c>
      <c r="P118" s="305">
        <f>P117*60/(V_houseSI*35.3147)</f>
        <v>0.28189757528846771</v>
      </c>
      <c r="Q118" s="305">
        <f>Q117*60/(V_houseSI*35.3147)</f>
        <v>0.28157329296481587</v>
      </c>
      <c r="R118" s="305">
        <f>R117*60/(V_houseSI*35.3147)</f>
        <v>0.28181157677291691</v>
      </c>
    </row>
    <row r="119" spans="1:18" s="305" customFormat="1" ht="15" customHeight="1">
      <c r="A119" s="305" t="s">
        <v>1372</v>
      </c>
      <c r="B119" s="305">
        <f>1.1*B117*B100</f>
        <v>3139.351971491657</v>
      </c>
      <c r="C119" s="305">
        <f t="shared" ref="C119:R119" si="29">1.1*C117*C100</f>
        <v>5184.3396929781729</v>
      </c>
      <c r="D119" s="305">
        <f t="shared" si="29"/>
        <v>4909.1104324772168</v>
      </c>
      <c r="E119" s="305">
        <f t="shared" si="29"/>
        <v>7105.9127967783306</v>
      </c>
      <c r="F119" s="305">
        <f t="shared" si="29"/>
        <v>6281.5253510961838</v>
      </c>
      <c r="G119" s="305">
        <f t="shared" si="29"/>
        <v>4346.9038582950043</v>
      </c>
      <c r="H119" s="305">
        <f t="shared" si="29"/>
        <v>7777.7315932500715</v>
      </c>
      <c r="I119" s="305">
        <f t="shared" si="29"/>
        <v>7356.1943278773206</v>
      </c>
      <c r="J119" s="305">
        <f t="shared" si="29"/>
        <v>6399.7795839322716</v>
      </c>
      <c r="K119" s="305">
        <f t="shared" si="29"/>
        <v>9558.8429255811516</v>
      </c>
      <c r="L119" s="305">
        <f t="shared" si="29"/>
        <v>8202.4543106389501</v>
      </c>
      <c r="M119" s="305">
        <f t="shared" si="29"/>
        <v>10511.597810484102</v>
      </c>
      <c r="N119" s="305">
        <f t="shared" si="29"/>
        <v>11732.979305161127</v>
      </c>
      <c r="O119" s="305">
        <f t="shared" si="29"/>
        <v>11704.915524527836</v>
      </c>
      <c r="P119" s="305">
        <f t="shared" si="29"/>
        <v>16008.909200062704</v>
      </c>
      <c r="Q119" s="305">
        <f t="shared" si="29"/>
        <v>4373.468244550395</v>
      </c>
      <c r="R119" s="305">
        <f t="shared" si="29"/>
        <v>5745.0347449273468</v>
      </c>
    </row>
    <row r="120" spans="1:18" ht="15" customHeight="1">
      <c r="A120" s="305" t="s">
        <v>1354</v>
      </c>
      <c r="B120" s="305">
        <f>2.11888*Fans!B9</f>
        <v>27.556773967329821</v>
      </c>
      <c r="C120" s="305">
        <f>2.11888*Fans!C9</f>
        <v>28.228890405557383</v>
      </c>
      <c r="D120" s="305">
        <f>2.11888*Fans!D9</f>
        <v>28.901006843784938</v>
      </c>
      <c r="E120" s="305">
        <f>2.11888*Fans!E9</f>
        <v>25.764463465389671</v>
      </c>
      <c r="F120" s="305">
        <f>2.11888*Fans!F9</f>
        <v>26.884657529102267</v>
      </c>
      <c r="G120" s="305">
        <f>2.11888*Fans!G9</f>
        <v>33.605821911377838</v>
      </c>
      <c r="H120" s="305">
        <f>2.11888*Fans!H9</f>
        <v>28.004851592814859</v>
      </c>
      <c r="I120" s="305">
        <f>2.11888*Fans!I9</f>
        <v>30.245239720240054</v>
      </c>
      <c r="J120" s="305">
        <f>2.11888*Fans!J9</f>
        <v>30.805336752096348</v>
      </c>
      <c r="K120" s="305">
        <f>2.11888*Fans!K9</f>
        <v>26.884657529102256</v>
      </c>
      <c r="L120" s="305">
        <f>2.11888*Fans!L9</f>
        <v>25.092347027162113</v>
      </c>
      <c r="M120" s="305">
        <f>2.11888*Fans!M9</f>
        <v>27.332735154587301</v>
      </c>
      <c r="N120" s="305">
        <f>2.11888*Fans!N9</f>
        <v>28.228890405557372</v>
      </c>
      <c r="O120" s="305">
        <f>2.11888*Fans!O9</f>
        <v>31.365433783952636</v>
      </c>
      <c r="P120" s="305">
        <f>2.11888*Fans!P9</f>
        <v>23.524075337964486</v>
      </c>
      <c r="Q120" s="305">
        <f>2.11888*Fans!Q9</f>
        <v>25.540424652647157</v>
      </c>
      <c r="R120" s="305">
        <f>2.11888*Fans!R9</f>
        <v>24.084172369820781</v>
      </c>
    </row>
    <row r="121" spans="1:18" ht="15" customHeight="1">
      <c r="A121" s="305" t="s">
        <v>1367</v>
      </c>
      <c r="B121" s="305">
        <f>B120/(B120+Fans!B10*2.11888)</f>
        <v>0.18815686023880515</v>
      </c>
      <c r="C121" s="305">
        <f>C120/(C120+Fans!C10*2.11888)</f>
        <v>0.19225758192301495</v>
      </c>
      <c r="D121" s="305">
        <f>D120/(D120+Fans!D10*2.11888)</f>
        <v>0.1963472144119198</v>
      </c>
      <c r="E121" s="305">
        <f>E120/(E120+Fans!E10*2.11888)</f>
        <v>0.17716208003639716</v>
      </c>
      <c r="F121" s="305">
        <f>F120/(F120+Fans!F10*2.11888)</f>
        <v>0.18404435579138029</v>
      </c>
      <c r="G121" s="305">
        <f>G120/(G120+Fans!G10*2.11888)</f>
        <v>0.22472037755945512</v>
      </c>
      <c r="H121" s="305">
        <f>H120/(H120+Fans!H10*2.11888)</f>
        <v>0.19089194086389893</v>
      </c>
      <c r="I121" s="305">
        <f>I120/(I120+Fans!I10*2.11888)</f>
        <v>0.20449593559395352</v>
      </c>
      <c r="J121" s="305">
        <f>J120/(J120+Fans!J10*2.11888)</f>
        <v>0.20788022630363434</v>
      </c>
      <c r="K121" s="305">
        <f>K120/(K120+Fans!K10*2.11888)</f>
        <v>0.18404435579138023</v>
      </c>
      <c r="L121" s="305">
        <f>L120/(L120+Fans!L10*2.11888)</f>
        <v>0.173014681464846</v>
      </c>
      <c r="M121" s="305">
        <f>M120/(M120+Fans!M10*2.11888)</f>
        <v>0.18678736917169295</v>
      </c>
      <c r="N121" s="305">
        <f>N120/(N120+Fans!N10*2.11888)</f>
        <v>0.19225758192301487</v>
      </c>
      <c r="O121" s="305">
        <f>O120/(O120+Fans!O10*2.11888)</f>
        <v>0.21125859984826201</v>
      </c>
      <c r="P121" s="305">
        <f>P120/(P120+Fans!P10*2.11888)</f>
        <v>0.16328004298018636</v>
      </c>
      <c r="Q121" s="305">
        <f>Q120/(Q120+Fans!Q10*2.11888)</f>
        <v>0.17578117053316994</v>
      </c>
      <c r="R121" s="305">
        <f>R120/(R120+Fans!R10*2.11888)</f>
        <v>0.16676631139276318</v>
      </c>
    </row>
    <row r="122" spans="1:18" ht="15" customHeight="1">
      <c r="A122" s="305" t="s">
        <v>1368</v>
      </c>
      <c r="B122" s="305">
        <f>(Fans!B10*2.118888)+(HVAC!B121*HVAC!B120)</f>
        <v>124.08505816172557</v>
      </c>
      <c r="C122" s="305">
        <f>(Fans!C10*2.118888)+(HVAC!C121*HVAC!C120)</f>
        <v>124.02726538225293</v>
      </c>
      <c r="D122" s="305">
        <f>(Fans!D10*2.118888)+(HVAC!D121*HVAC!D120)</f>
        <v>123.96743516356609</v>
      </c>
      <c r="E122" s="305">
        <f>(Fans!E10*2.118888)+(HVAC!E121*HVAC!E120)</f>
        <v>124.22924469892185</v>
      </c>
      <c r="F122" s="305">
        <f>(Fans!F10*2.118888)+(HVAC!F121*HVAC!F120)</f>
        <v>124.14081721533961</v>
      </c>
      <c r="G122" s="305">
        <f>(Fans!G10*2.118888)+(HVAC!G121*HVAC!G120)</f>
        <v>123.49158688338079</v>
      </c>
      <c r="H122" s="305">
        <f>(Fans!H10*2.118888)+(HVAC!H121*HVAC!H120)</f>
        <v>124.04675587320688</v>
      </c>
      <c r="I122" s="305">
        <f>(Fans!I10*2.118888)+(HVAC!I121*HVAC!I120)</f>
        <v>123.84165535147002</v>
      </c>
      <c r="J122" s="305">
        <f>(Fans!J10*2.118888)+(HVAC!J121*HVAC!J120)</f>
        <v>123.78683914762614</v>
      </c>
      <c r="K122" s="305">
        <f>(Fans!K10*2.118888)+(HVAC!K121*HVAC!K120)</f>
        <v>124.14081721533962</v>
      </c>
      <c r="L122" s="305">
        <f>(Fans!L10*2.118888)+(HVAC!L121*HVAC!L120)</f>
        <v>124.2796107672568</v>
      </c>
      <c r="M122" s="305">
        <f>(Fans!M10*2.118888)+(HVAC!M121*HVAC!M120)</f>
        <v>124.10387025364938</v>
      </c>
      <c r="N122" s="305">
        <f>(Fans!N10*2.118888)+(HVAC!N121*HVAC!N120)</f>
        <v>124.02726538225292</v>
      </c>
      <c r="O122" s="305">
        <f>(Fans!O10*2.118888)+(HVAC!O121*HVAC!O120)</f>
        <v>123.7306080816896</v>
      </c>
      <c r="P122" s="305">
        <f>(Fans!P10*2.118888)+(HVAC!P121*HVAC!P120)</f>
        <v>124.38934887383607</v>
      </c>
      <c r="Q122" s="305">
        <f>(Fans!Q10*2.118888)+(HVAC!Q121*HVAC!Q120)</f>
        <v>124.2462569474544</v>
      </c>
      <c r="R122" s="305">
        <f>(Fans!R10*2.118888)+(HVAC!R121*HVAC!R120)</f>
        <v>124.35140140535383</v>
      </c>
    </row>
    <row r="123" spans="1:18" ht="15" customHeight="1">
      <c r="A123" s="305" t="s">
        <v>1369</v>
      </c>
      <c r="B123" s="305">
        <f>B122*60/(V_houseSI*35.3147)</f>
        <v>0.28120797594010427</v>
      </c>
      <c r="C123" s="305">
        <f>C122*60/(V_houseSI*35.3147)</f>
        <v>0.28107700295447474</v>
      </c>
      <c r="D123" s="305">
        <f>D122*60/(V_houseSI*35.3147)</f>
        <v>0.28094141261873062</v>
      </c>
      <c r="E123" s="305">
        <f>E122*60/(V_houseSI*35.3147)</f>
        <v>0.28153473892739267</v>
      </c>
      <c r="F123" s="305">
        <f>F122*60/(V_houseSI*35.3147)</f>
        <v>0.28133433999101765</v>
      </c>
      <c r="G123" s="305">
        <f>G122*60/(V_houseSI*35.3147)</f>
        <v>0.27986302063739243</v>
      </c>
      <c r="H123" s="305">
        <f>H122*60/(V_houseSI*35.3147)</f>
        <v>0.28112117331303715</v>
      </c>
      <c r="I123" s="305">
        <f>I122*60/(V_houseSI*35.3147)</f>
        <v>0.28065636390377924</v>
      </c>
      <c r="J123" s="305">
        <f>J122*60/(V_houseSI*35.3147)</f>
        <v>0.28053213658777504</v>
      </c>
      <c r="K123" s="305">
        <f>K122*60/(V_houseSI*35.3147)</f>
        <v>0.2813343399910177</v>
      </c>
      <c r="L123" s="305">
        <f>L122*60/(V_houseSI*35.3147)</f>
        <v>0.28164888111616504</v>
      </c>
      <c r="M123" s="305">
        <f>M122*60/(V_houseSI*35.3147)</f>
        <v>0.28125060887570075</v>
      </c>
      <c r="N123" s="305">
        <f>N122*60/(V_houseSI*35.3147)</f>
        <v>0.28107700295447474</v>
      </c>
      <c r="O123" s="305">
        <f>O122*60/(V_houseSI*35.3147)</f>
        <v>0.28040470283812596</v>
      </c>
      <c r="P123" s="305">
        <f>P122*60/(V_houseSI*35.3147)</f>
        <v>0.28189757528846771</v>
      </c>
      <c r="Q123" s="305">
        <f>Q122*60/(V_houseSI*35.3147)</f>
        <v>0.28157329296481587</v>
      </c>
      <c r="R123" s="305">
        <f>R122*60/(V_houseSI*35.3147)</f>
        <v>0.28181157677291691</v>
      </c>
    </row>
    <row r="124" spans="1:18" ht="15" customHeight="1">
      <c r="A124" s="305" t="s">
        <v>1373</v>
      </c>
      <c r="B124" s="5">
        <f>1.1*B122*B101</f>
        <v>2729.8712795579627</v>
      </c>
      <c r="C124" s="305">
        <f t="shared" ref="C124:R124" si="30">1.1*C122*C101</f>
        <v>3274.3198060914779</v>
      </c>
      <c r="D124" s="305">
        <f t="shared" si="30"/>
        <v>5045.4746111571403</v>
      </c>
      <c r="E124" s="305">
        <f t="shared" si="30"/>
        <v>3416.3042292203513</v>
      </c>
      <c r="F124" s="305">
        <f t="shared" si="30"/>
        <v>3823.5371702324601</v>
      </c>
      <c r="G124" s="305">
        <f t="shared" si="30"/>
        <v>950.88521900203216</v>
      </c>
      <c r="H124" s="305">
        <f t="shared" si="30"/>
        <v>2865.4800606710792</v>
      </c>
      <c r="I124" s="305">
        <f t="shared" si="30"/>
        <v>3269.419701278809</v>
      </c>
      <c r="J124" s="305">
        <f t="shared" si="30"/>
        <v>2450.9794151229976</v>
      </c>
      <c r="K124" s="305">
        <f t="shared" si="30"/>
        <v>2867.6528776743457</v>
      </c>
      <c r="L124" s="305">
        <f t="shared" si="30"/>
        <v>3280.98172425558</v>
      </c>
      <c r="M124" s="305">
        <f t="shared" si="30"/>
        <v>2047.7138591852147</v>
      </c>
      <c r="N124" s="305">
        <f t="shared" si="30"/>
        <v>2455.7398545686078</v>
      </c>
      <c r="O124" s="305">
        <f t="shared" si="30"/>
        <v>1633.2440266783028</v>
      </c>
      <c r="P124" s="305">
        <f t="shared" si="30"/>
        <v>1094.6262700897576</v>
      </c>
      <c r="Q124" s="305">
        <f t="shared" si="30"/>
        <v>3143.4303007705962</v>
      </c>
      <c r="R124" s="305">
        <f t="shared" si="30"/>
        <v>3009.3039140095625</v>
      </c>
    </row>
    <row r="125" spans="1:18" ht="15" customHeight="1">
      <c r="A125" s="5" t="s">
        <v>1374</v>
      </c>
      <c r="B125" s="5">
        <f>0.68*B122*Weather!B31</f>
        <v>4134.5141379486959</v>
      </c>
      <c r="C125" s="305">
        <f>0.68*C122*Weather!C31</f>
        <v>3542.2186993171445</v>
      </c>
      <c r="D125" s="305">
        <f>0.68*D122*Weather!D31</f>
        <v>0</v>
      </c>
      <c r="E125" s="305">
        <f>0.68*E122*Weather!E31</f>
        <v>2787.7042510438064</v>
      </c>
      <c r="F125" s="305">
        <f>0.68*F122*Weather!F31</f>
        <v>0</v>
      </c>
      <c r="G125" s="305">
        <f>0.68*G122*Weather!G31</f>
        <v>0</v>
      </c>
      <c r="H125" s="305">
        <f>0.68*H122*Weather!H31</f>
        <v>2952.3127897823242</v>
      </c>
      <c r="I125" s="305">
        <f>0.68*I122*Weather!I31</f>
        <v>0</v>
      </c>
      <c r="J125" s="305">
        <f>0.68*J122*Weather!J31</f>
        <v>0</v>
      </c>
      <c r="K125" s="305">
        <f>0.68*K122*Weather!K31</f>
        <v>1941.5623812479121</v>
      </c>
      <c r="L125" s="305">
        <f>0.68*L122*Weather!L31</f>
        <v>0</v>
      </c>
      <c r="M125" s="305">
        <f>0.68*M122*Weather!M31</f>
        <v>1265.8594765872238</v>
      </c>
      <c r="N125" s="305">
        <f>0.68*N122*Weather!N31</f>
        <v>0</v>
      </c>
      <c r="O125" s="305">
        <f>0.68*O122*Weather!O31</f>
        <v>841.36813495548938</v>
      </c>
      <c r="P125" s="305">
        <f>0.68*P122*Weather!P31</f>
        <v>0</v>
      </c>
      <c r="Q125" s="305">
        <f>0.68*Q122*Weather!Q31</f>
        <v>3126.035824797953</v>
      </c>
      <c r="R125" s="305">
        <f>0.68*R122*Weather!R31</f>
        <v>4312.5066007376709</v>
      </c>
    </row>
    <row r="127" spans="1:18" s="305" customFormat="1" ht="15" customHeight="1">
      <c r="A127" s="23" t="s">
        <v>1408</v>
      </c>
    </row>
    <row r="129" spans="1:21" ht="15" customHeight="1">
      <c r="A129" s="5" t="s">
        <v>1375</v>
      </c>
      <c r="B129" s="5" t="s">
        <v>1376</v>
      </c>
    </row>
    <row r="131" spans="1:21" ht="15" customHeight="1">
      <c r="A131" s="5" t="s">
        <v>1377</v>
      </c>
      <c r="B131" s="5">
        <v>10</v>
      </c>
      <c r="C131" s="5">
        <v>10</v>
      </c>
      <c r="D131" s="5">
        <v>15</v>
      </c>
      <c r="E131" s="5">
        <v>15</v>
      </c>
      <c r="F131" s="5">
        <v>15</v>
      </c>
      <c r="G131" s="5">
        <v>20</v>
      </c>
      <c r="H131" s="5">
        <v>20</v>
      </c>
      <c r="I131" s="5">
        <v>20</v>
      </c>
      <c r="J131" s="5">
        <v>25</v>
      </c>
      <c r="K131" s="5">
        <v>25</v>
      </c>
      <c r="L131" s="5">
        <v>30</v>
      </c>
      <c r="M131" s="5">
        <v>35</v>
      </c>
    </row>
    <row r="132" spans="1:21" ht="15" customHeight="1">
      <c r="A132" s="5" t="s">
        <v>1378</v>
      </c>
      <c r="B132" s="5" t="s">
        <v>230</v>
      </c>
      <c r="C132" s="5" t="s">
        <v>1364</v>
      </c>
      <c r="D132" s="5" t="s">
        <v>230</v>
      </c>
      <c r="E132" s="5" t="s">
        <v>1364</v>
      </c>
      <c r="F132" s="5" t="s">
        <v>1365</v>
      </c>
      <c r="G132" s="5" t="s">
        <v>230</v>
      </c>
      <c r="H132" s="5" t="s">
        <v>1364</v>
      </c>
      <c r="I132" s="5" t="s">
        <v>1365</v>
      </c>
      <c r="J132" s="5" t="s">
        <v>1364</v>
      </c>
      <c r="K132" s="5" t="s">
        <v>1365</v>
      </c>
      <c r="L132" s="5" t="s">
        <v>1365</v>
      </c>
      <c r="M132" s="5" t="s">
        <v>1365</v>
      </c>
    </row>
    <row r="133" spans="1:21" ht="15" customHeight="1">
      <c r="A133" s="5" t="s">
        <v>1379</v>
      </c>
      <c r="B133" s="5">
        <v>17.600000000000001</v>
      </c>
      <c r="C133" s="5">
        <v>13.6</v>
      </c>
      <c r="D133" s="5">
        <v>22.6</v>
      </c>
      <c r="E133" s="5">
        <v>18.600000000000001</v>
      </c>
      <c r="F133" s="5">
        <v>13.6</v>
      </c>
      <c r="G133" s="5">
        <v>27.6</v>
      </c>
      <c r="H133" s="5">
        <v>23.6</v>
      </c>
      <c r="I133" s="5">
        <v>18.600000000000001</v>
      </c>
      <c r="J133" s="5">
        <v>28.6</v>
      </c>
      <c r="K133" s="5">
        <v>23.6</v>
      </c>
      <c r="L133" s="5">
        <v>28.6</v>
      </c>
      <c r="M133" s="5">
        <v>33.6</v>
      </c>
    </row>
    <row r="134" spans="1:21" ht="15" customHeight="1">
      <c r="A134" s="5" t="s">
        <v>1380</v>
      </c>
      <c r="B134" s="5">
        <v>38</v>
      </c>
      <c r="C134" s="5">
        <v>34</v>
      </c>
      <c r="D134" s="5">
        <v>43</v>
      </c>
      <c r="E134" s="5">
        <v>39</v>
      </c>
      <c r="F134" s="5">
        <v>34</v>
      </c>
      <c r="G134" s="5">
        <v>48</v>
      </c>
      <c r="H134" s="5">
        <v>44</v>
      </c>
      <c r="I134" s="5">
        <v>39</v>
      </c>
      <c r="J134" s="5">
        <v>49</v>
      </c>
      <c r="K134" s="5">
        <v>44</v>
      </c>
      <c r="L134" s="5">
        <v>49</v>
      </c>
      <c r="M134" s="5">
        <v>54</v>
      </c>
    </row>
    <row r="135" spans="1:21" ht="15" customHeight="1">
      <c r="A135" s="5" t="s">
        <v>1381</v>
      </c>
      <c r="B135" s="5">
        <v>30</v>
      </c>
      <c r="C135" s="5">
        <v>26</v>
      </c>
      <c r="D135" s="5">
        <v>35</v>
      </c>
      <c r="E135" s="5">
        <v>31</v>
      </c>
      <c r="F135" s="5">
        <v>26</v>
      </c>
      <c r="G135" s="5">
        <v>40</v>
      </c>
      <c r="H135" s="5">
        <v>36</v>
      </c>
      <c r="I135" s="5">
        <v>31</v>
      </c>
      <c r="J135" s="5">
        <v>41</v>
      </c>
      <c r="K135" s="5">
        <v>36</v>
      </c>
      <c r="L135" s="5">
        <v>41</v>
      </c>
      <c r="M135" s="5">
        <v>46</v>
      </c>
    </row>
    <row r="137" spans="1:21" ht="15" customHeight="1">
      <c r="F137" s="5">
        <f>F133+(G101-F131)</f>
        <v>5.6</v>
      </c>
    </row>
    <row r="138" spans="1:21" ht="15" customHeight="1">
      <c r="A138" s="5" t="s">
        <v>1383</v>
      </c>
      <c r="R138" s="305"/>
      <c r="S138" s="305"/>
      <c r="T138" s="305"/>
      <c r="U138" s="305"/>
    </row>
    <row r="139" spans="1:21" ht="15" customHeight="1">
      <c r="A139" s="5" t="s">
        <v>230</v>
      </c>
      <c r="B139" s="5">
        <f>$D$133+(B101-$D$131)</f>
        <v>27.6</v>
      </c>
      <c r="C139" s="305">
        <f t="shared" ref="C139:M139" si="31">$D$133+(C101-$D$131)</f>
        <v>31.6</v>
      </c>
      <c r="D139" s="305">
        <f t="shared" si="31"/>
        <v>44.6</v>
      </c>
      <c r="E139" s="305">
        <f t="shared" si="31"/>
        <v>32.6</v>
      </c>
      <c r="F139" s="305">
        <f t="shared" si="31"/>
        <v>35.6</v>
      </c>
      <c r="G139" s="305">
        <f t="shared" si="31"/>
        <v>14.600000000000001</v>
      </c>
      <c r="H139" s="305">
        <f t="shared" si="31"/>
        <v>28.6</v>
      </c>
      <c r="I139" s="305">
        <f t="shared" si="31"/>
        <v>31.6</v>
      </c>
      <c r="J139" s="305">
        <f t="shared" si="31"/>
        <v>25.6</v>
      </c>
      <c r="K139" s="305">
        <f t="shared" si="31"/>
        <v>28.6</v>
      </c>
      <c r="L139" s="305">
        <f t="shared" si="31"/>
        <v>31.6</v>
      </c>
      <c r="M139" s="305">
        <f t="shared" si="31"/>
        <v>22.6</v>
      </c>
      <c r="N139" s="305">
        <f t="shared" ref="N139:Q139" si="32">$D$133+(N101-$D$131)</f>
        <v>25.6</v>
      </c>
      <c r="O139" s="305">
        <f t="shared" si="32"/>
        <v>19.600000000000001</v>
      </c>
      <c r="P139" s="305">
        <f t="shared" si="32"/>
        <v>15.600000000000001</v>
      </c>
      <c r="Q139" s="305">
        <f t="shared" si="32"/>
        <v>30.6</v>
      </c>
      <c r="R139" s="305">
        <f t="shared" ref="R139" si="33">$D$133+(R101-$D$131)</f>
        <v>29.6</v>
      </c>
      <c r="S139" s="305"/>
      <c r="T139" s="305"/>
      <c r="U139" s="305"/>
    </row>
    <row r="140" spans="1:21" ht="15" customHeight="1">
      <c r="A140" s="5" t="s">
        <v>1364</v>
      </c>
      <c r="B140" s="5">
        <f>$E$133+(B101-$E$131)</f>
        <v>23.6</v>
      </c>
      <c r="C140" s="305">
        <f t="shared" ref="C140:M140" si="34">$E$133+(C101-$E$131)</f>
        <v>27.6</v>
      </c>
      <c r="D140" s="305">
        <f t="shared" si="34"/>
        <v>40.6</v>
      </c>
      <c r="E140" s="305">
        <f t="shared" si="34"/>
        <v>28.6</v>
      </c>
      <c r="F140" s="305">
        <f t="shared" si="34"/>
        <v>31.6</v>
      </c>
      <c r="G140" s="305">
        <f t="shared" si="34"/>
        <v>10.600000000000001</v>
      </c>
      <c r="H140" s="305">
        <f t="shared" si="34"/>
        <v>24.6</v>
      </c>
      <c r="I140" s="305">
        <f t="shared" si="34"/>
        <v>27.6</v>
      </c>
      <c r="J140" s="305">
        <f t="shared" si="34"/>
        <v>21.6</v>
      </c>
      <c r="K140" s="305">
        <f t="shared" si="34"/>
        <v>24.6</v>
      </c>
      <c r="L140" s="305">
        <f t="shared" si="34"/>
        <v>27.6</v>
      </c>
      <c r="M140" s="305">
        <f t="shared" si="34"/>
        <v>18.600000000000001</v>
      </c>
      <c r="N140" s="305">
        <f t="shared" ref="N140:Q140" si="35">$E$133+(N101-$E$131)</f>
        <v>21.6</v>
      </c>
      <c r="O140" s="305">
        <f t="shared" si="35"/>
        <v>15.600000000000001</v>
      </c>
      <c r="P140" s="305">
        <f t="shared" si="35"/>
        <v>11.600000000000001</v>
      </c>
      <c r="Q140" s="305">
        <f t="shared" si="35"/>
        <v>26.6</v>
      </c>
      <c r="R140" s="305">
        <f t="shared" ref="R140" si="36">$E$133+(R101-$E$131)</f>
        <v>25.6</v>
      </c>
      <c r="S140" s="305"/>
      <c r="T140" s="305"/>
      <c r="U140" s="305"/>
    </row>
    <row r="141" spans="1:21" ht="15" customHeight="1">
      <c r="A141" s="5" t="s">
        <v>1365</v>
      </c>
      <c r="B141" s="5">
        <f>$F$133+(B101-$F$131)</f>
        <v>18.600000000000001</v>
      </c>
      <c r="C141" s="305">
        <f t="shared" ref="C141:M141" si="37">$F$133+(C101-$F$131)</f>
        <v>22.6</v>
      </c>
      <c r="D141" s="305">
        <f t="shared" si="37"/>
        <v>35.6</v>
      </c>
      <c r="E141" s="305">
        <f t="shared" si="37"/>
        <v>23.6</v>
      </c>
      <c r="F141" s="305">
        <f t="shared" si="37"/>
        <v>26.6</v>
      </c>
      <c r="G141" s="305">
        <f t="shared" si="37"/>
        <v>5.6</v>
      </c>
      <c r="H141" s="305">
        <f t="shared" si="37"/>
        <v>19.600000000000001</v>
      </c>
      <c r="I141" s="305">
        <f t="shared" si="37"/>
        <v>22.6</v>
      </c>
      <c r="J141" s="305">
        <f t="shared" si="37"/>
        <v>16.600000000000001</v>
      </c>
      <c r="K141" s="305">
        <f t="shared" si="37"/>
        <v>19.600000000000001</v>
      </c>
      <c r="L141" s="305">
        <f t="shared" si="37"/>
        <v>22.6</v>
      </c>
      <c r="M141" s="305">
        <f t="shared" si="37"/>
        <v>13.6</v>
      </c>
      <c r="N141" s="305">
        <f t="shared" ref="N141:Q141" si="38">$F$133+(N101-$F$131)</f>
        <v>16.600000000000001</v>
      </c>
      <c r="O141" s="305">
        <f t="shared" si="38"/>
        <v>10.6</v>
      </c>
      <c r="P141" s="305">
        <f t="shared" si="38"/>
        <v>6.6</v>
      </c>
      <c r="Q141" s="305">
        <f t="shared" si="38"/>
        <v>21.6</v>
      </c>
      <c r="R141" s="305">
        <f t="shared" ref="R141" si="39">$F$133+(R101-$F$131)</f>
        <v>20.6</v>
      </c>
      <c r="S141" s="305"/>
      <c r="T141" s="305"/>
      <c r="U141" s="305"/>
    </row>
    <row r="142" spans="1:21" ht="15" customHeight="1">
      <c r="N142" s="305"/>
      <c r="O142" s="305"/>
      <c r="P142" s="305"/>
      <c r="Q142" s="305"/>
      <c r="R142" s="305"/>
      <c r="S142" s="305"/>
      <c r="T142" s="305"/>
      <c r="U142" s="305"/>
    </row>
    <row r="143" spans="1:21" ht="15" customHeight="1">
      <c r="A143" s="5" t="s">
        <v>1380</v>
      </c>
      <c r="N143" s="305"/>
      <c r="O143" s="305"/>
      <c r="P143" s="305"/>
      <c r="Q143" s="305"/>
      <c r="R143" s="305"/>
      <c r="S143" s="305"/>
      <c r="T143" s="305"/>
      <c r="U143" s="305"/>
    </row>
    <row r="144" spans="1:21" ht="15" customHeight="1">
      <c r="A144" s="305" t="s">
        <v>230</v>
      </c>
      <c r="B144" s="305">
        <f>$D$134+(B101-$D$131)</f>
        <v>48</v>
      </c>
      <c r="C144" s="305">
        <f t="shared" ref="C144:M144" si="40">$D$134+(C101-$D$131)</f>
        <v>52</v>
      </c>
      <c r="D144" s="305">
        <f t="shared" si="40"/>
        <v>65</v>
      </c>
      <c r="E144" s="305">
        <f t="shared" si="40"/>
        <v>53</v>
      </c>
      <c r="F144" s="305">
        <f t="shared" si="40"/>
        <v>56</v>
      </c>
      <c r="G144" s="305">
        <f t="shared" si="40"/>
        <v>35</v>
      </c>
      <c r="H144" s="305">
        <f t="shared" si="40"/>
        <v>49</v>
      </c>
      <c r="I144" s="305">
        <f t="shared" si="40"/>
        <v>52</v>
      </c>
      <c r="J144" s="305">
        <f t="shared" si="40"/>
        <v>46</v>
      </c>
      <c r="K144" s="305">
        <f t="shared" si="40"/>
        <v>49</v>
      </c>
      <c r="L144" s="305">
        <f t="shared" si="40"/>
        <v>52</v>
      </c>
      <c r="M144" s="305">
        <f t="shared" si="40"/>
        <v>43</v>
      </c>
      <c r="N144" s="305">
        <f t="shared" ref="N144:Q144" si="41">$D$134+(N101-$D$131)</f>
        <v>46</v>
      </c>
      <c r="O144" s="305">
        <f t="shared" si="41"/>
        <v>40</v>
      </c>
      <c r="P144" s="305">
        <f t="shared" si="41"/>
        <v>36</v>
      </c>
      <c r="Q144" s="305">
        <f t="shared" si="41"/>
        <v>51</v>
      </c>
      <c r="R144" s="305">
        <f t="shared" ref="R144" si="42">$D$134+(R101-$D$131)</f>
        <v>50</v>
      </c>
      <c r="S144" s="305"/>
      <c r="T144" s="305"/>
      <c r="U144" s="305"/>
    </row>
    <row r="145" spans="1:21" ht="15" customHeight="1">
      <c r="A145" s="305" t="s">
        <v>1364</v>
      </c>
      <c r="B145" s="305">
        <f>$E$134+(B101-$E$131)</f>
        <v>44</v>
      </c>
      <c r="C145" s="305">
        <f t="shared" ref="C145:M145" si="43">$E$134+(C101-$E$131)</f>
        <v>48</v>
      </c>
      <c r="D145" s="305">
        <f t="shared" si="43"/>
        <v>61</v>
      </c>
      <c r="E145" s="305">
        <f t="shared" si="43"/>
        <v>49</v>
      </c>
      <c r="F145" s="305">
        <f t="shared" si="43"/>
        <v>52</v>
      </c>
      <c r="G145" s="305">
        <f t="shared" si="43"/>
        <v>31</v>
      </c>
      <c r="H145" s="305">
        <f t="shared" si="43"/>
        <v>45</v>
      </c>
      <c r="I145" s="305">
        <f t="shared" si="43"/>
        <v>48</v>
      </c>
      <c r="J145" s="305">
        <f t="shared" si="43"/>
        <v>42</v>
      </c>
      <c r="K145" s="305">
        <f t="shared" si="43"/>
        <v>45</v>
      </c>
      <c r="L145" s="305">
        <f t="shared" si="43"/>
        <v>48</v>
      </c>
      <c r="M145" s="305">
        <f t="shared" si="43"/>
        <v>39</v>
      </c>
      <c r="N145" s="305">
        <f t="shared" ref="N145:Q145" si="44">$E$134+(N101-$E$131)</f>
        <v>42</v>
      </c>
      <c r="O145" s="305">
        <f t="shared" si="44"/>
        <v>36</v>
      </c>
      <c r="P145" s="305">
        <f t="shared" si="44"/>
        <v>32</v>
      </c>
      <c r="Q145" s="305">
        <f t="shared" si="44"/>
        <v>47</v>
      </c>
      <c r="R145" s="305">
        <f t="shared" ref="R145" si="45">$E$134+(R101-$E$131)</f>
        <v>46</v>
      </c>
      <c r="S145" s="305"/>
      <c r="T145" s="305"/>
      <c r="U145" s="305"/>
    </row>
    <row r="146" spans="1:21" ht="15" customHeight="1">
      <c r="A146" s="305" t="s">
        <v>1365</v>
      </c>
      <c r="B146" s="305">
        <f>$F$134+(B101-$F$131)</f>
        <v>39</v>
      </c>
      <c r="C146" s="305">
        <f t="shared" ref="C146:L146" si="46">$F$134+(C101-$F$131)</f>
        <v>43</v>
      </c>
      <c r="D146" s="305">
        <f t="shared" si="46"/>
        <v>56</v>
      </c>
      <c r="E146" s="305">
        <f t="shared" si="46"/>
        <v>44</v>
      </c>
      <c r="F146" s="305">
        <f t="shared" si="46"/>
        <v>47</v>
      </c>
      <c r="G146" s="305">
        <f t="shared" si="46"/>
        <v>26</v>
      </c>
      <c r="H146" s="305">
        <f t="shared" si="46"/>
        <v>40</v>
      </c>
      <c r="I146" s="305">
        <f t="shared" si="46"/>
        <v>43</v>
      </c>
      <c r="J146" s="305">
        <f t="shared" si="46"/>
        <v>37</v>
      </c>
      <c r="K146" s="305">
        <f t="shared" si="46"/>
        <v>40</v>
      </c>
      <c r="L146" s="305">
        <f t="shared" si="46"/>
        <v>43</v>
      </c>
      <c r="M146" s="305">
        <f>$F$134+(M101-$F$131)</f>
        <v>34</v>
      </c>
      <c r="N146" s="305">
        <f t="shared" ref="N146:Q146" si="47">$F$134+(N101-$F$131)</f>
        <v>37</v>
      </c>
      <c r="O146" s="305">
        <f t="shared" si="47"/>
        <v>31</v>
      </c>
      <c r="P146" s="305">
        <f t="shared" si="47"/>
        <v>27</v>
      </c>
      <c r="Q146" s="305">
        <f t="shared" si="47"/>
        <v>42</v>
      </c>
      <c r="R146" s="305">
        <f t="shared" ref="R146" si="48">$F$134+(R101-$F$131)</f>
        <v>41</v>
      </c>
      <c r="S146" s="305"/>
      <c r="T146" s="305"/>
      <c r="U146" s="305"/>
    </row>
    <row r="147" spans="1:21" ht="15" customHeight="1">
      <c r="N147" s="305"/>
      <c r="O147" s="305"/>
      <c r="P147" s="305"/>
      <c r="Q147" s="305"/>
      <c r="R147" s="305"/>
      <c r="S147" s="305"/>
      <c r="T147" s="305"/>
      <c r="U147" s="305"/>
    </row>
    <row r="148" spans="1:21" ht="15" customHeight="1">
      <c r="A148" s="305" t="s">
        <v>1381</v>
      </c>
      <c r="B148" s="305"/>
      <c r="C148" s="305"/>
      <c r="D148" s="305"/>
      <c r="E148" s="305"/>
      <c r="F148" s="305"/>
      <c r="G148" s="305"/>
      <c r="H148" s="305"/>
      <c r="I148" s="305"/>
      <c r="J148" s="305"/>
      <c r="K148" s="305"/>
      <c r="L148" s="305"/>
      <c r="M148" s="305"/>
      <c r="N148" s="305"/>
      <c r="O148" s="305"/>
      <c r="P148" s="305"/>
      <c r="Q148" s="305"/>
      <c r="R148" s="305"/>
      <c r="S148" s="305"/>
      <c r="T148" s="305"/>
      <c r="U148" s="305"/>
    </row>
    <row r="149" spans="1:21" ht="15" customHeight="1">
      <c r="A149" s="305" t="s">
        <v>230</v>
      </c>
      <c r="B149" s="305">
        <f>$D$135+(B101-$D$131)</f>
        <v>40</v>
      </c>
      <c r="C149" s="305">
        <f t="shared" ref="C149:M149" si="49">$D$135+(C101-$D$131)</f>
        <v>44</v>
      </c>
      <c r="D149" s="305">
        <f t="shared" si="49"/>
        <v>57</v>
      </c>
      <c r="E149" s="305">
        <f t="shared" si="49"/>
        <v>45</v>
      </c>
      <c r="F149" s="305">
        <f t="shared" si="49"/>
        <v>48</v>
      </c>
      <c r="G149" s="305">
        <f t="shared" si="49"/>
        <v>27</v>
      </c>
      <c r="H149" s="305">
        <f t="shared" si="49"/>
        <v>41</v>
      </c>
      <c r="I149" s="305">
        <f t="shared" si="49"/>
        <v>44</v>
      </c>
      <c r="J149" s="305">
        <f t="shared" si="49"/>
        <v>38</v>
      </c>
      <c r="K149" s="305">
        <f t="shared" si="49"/>
        <v>41</v>
      </c>
      <c r="L149" s="305">
        <f t="shared" si="49"/>
        <v>44</v>
      </c>
      <c r="M149" s="305">
        <f t="shared" si="49"/>
        <v>35</v>
      </c>
      <c r="N149" s="305">
        <f t="shared" ref="N149:Q149" si="50">$D$135+(N101-$D$131)</f>
        <v>38</v>
      </c>
      <c r="O149" s="305">
        <f t="shared" si="50"/>
        <v>32</v>
      </c>
      <c r="P149" s="305">
        <f t="shared" si="50"/>
        <v>28</v>
      </c>
      <c r="Q149" s="305">
        <f t="shared" si="50"/>
        <v>43</v>
      </c>
      <c r="R149" s="305">
        <f t="shared" ref="R149" si="51">$D$135+(R101-$D$131)</f>
        <v>42</v>
      </c>
      <c r="S149" s="305"/>
      <c r="T149" s="305"/>
      <c r="U149" s="305"/>
    </row>
    <row r="150" spans="1:21" ht="15" customHeight="1">
      <c r="A150" s="305" t="s">
        <v>1364</v>
      </c>
      <c r="B150" s="305">
        <f>$E$135+(B101-$E$131)</f>
        <v>36</v>
      </c>
      <c r="C150" s="305">
        <f t="shared" ref="C150:M150" si="52">$E$135+(C101-$E$131)</f>
        <v>40</v>
      </c>
      <c r="D150" s="305">
        <f t="shared" si="52"/>
        <v>53</v>
      </c>
      <c r="E150" s="305">
        <f t="shared" si="52"/>
        <v>41</v>
      </c>
      <c r="F150" s="305">
        <f t="shared" si="52"/>
        <v>44</v>
      </c>
      <c r="G150" s="305">
        <f t="shared" si="52"/>
        <v>23</v>
      </c>
      <c r="H150" s="305">
        <f t="shared" si="52"/>
        <v>37</v>
      </c>
      <c r="I150" s="305">
        <f t="shared" si="52"/>
        <v>40</v>
      </c>
      <c r="J150" s="305">
        <f t="shared" si="52"/>
        <v>34</v>
      </c>
      <c r="K150" s="305">
        <f t="shared" si="52"/>
        <v>37</v>
      </c>
      <c r="L150" s="305">
        <f t="shared" si="52"/>
        <v>40</v>
      </c>
      <c r="M150" s="305">
        <f t="shared" si="52"/>
        <v>31</v>
      </c>
      <c r="N150" s="305">
        <f t="shared" ref="N150:Q150" si="53">$E$135+(N101-$E$131)</f>
        <v>34</v>
      </c>
      <c r="O150" s="305">
        <f t="shared" si="53"/>
        <v>28</v>
      </c>
      <c r="P150" s="305">
        <f t="shared" si="53"/>
        <v>24</v>
      </c>
      <c r="Q150" s="305">
        <f t="shared" si="53"/>
        <v>39</v>
      </c>
      <c r="R150" s="305">
        <f t="shared" ref="R150" si="54">$E$135+(R101-$E$131)</f>
        <v>38</v>
      </c>
      <c r="S150" s="305"/>
      <c r="T150" s="305"/>
      <c r="U150" s="305"/>
    </row>
    <row r="151" spans="1:21" ht="15" customHeight="1">
      <c r="A151" s="305" t="s">
        <v>1365</v>
      </c>
      <c r="B151" s="305">
        <f>$F$135+(B101-$F$131)</f>
        <v>31</v>
      </c>
      <c r="C151" s="305">
        <f t="shared" ref="C151:M151" si="55">$F$135+(C101-$F$131)</f>
        <v>35</v>
      </c>
      <c r="D151" s="305">
        <f t="shared" si="55"/>
        <v>48</v>
      </c>
      <c r="E151" s="305">
        <f t="shared" si="55"/>
        <v>36</v>
      </c>
      <c r="F151" s="305">
        <f t="shared" si="55"/>
        <v>39</v>
      </c>
      <c r="G151" s="305">
        <f t="shared" si="55"/>
        <v>18</v>
      </c>
      <c r="H151" s="305">
        <f t="shared" si="55"/>
        <v>32</v>
      </c>
      <c r="I151" s="305">
        <f t="shared" si="55"/>
        <v>35</v>
      </c>
      <c r="J151" s="305">
        <f t="shared" si="55"/>
        <v>29</v>
      </c>
      <c r="K151" s="305">
        <f t="shared" si="55"/>
        <v>32</v>
      </c>
      <c r="L151" s="305">
        <f t="shared" si="55"/>
        <v>35</v>
      </c>
      <c r="M151" s="305">
        <f t="shared" si="55"/>
        <v>26</v>
      </c>
      <c r="N151" s="305">
        <f t="shared" ref="N151:Q151" si="56">$F$135+(N101-$F$131)</f>
        <v>29</v>
      </c>
      <c r="O151" s="305">
        <f t="shared" si="56"/>
        <v>23</v>
      </c>
      <c r="P151" s="305">
        <f t="shared" si="56"/>
        <v>19</v>
      </c>
      <c r="Q151" s="305">
        <f t="shared" si="56"/>
        <v>34</v>
      </c>
      <c r="R151" s="305">
        <f t="shared" ref="R151" si="57">$F$135+(R101-$F$131)</f>
        <v>33</v>
      </c>
      <c r="S151" s="305"/>
      <c r="T151" s="305"/>
      <c r="U151" s="305"/>
    </row>
    <row r="153" spans="1:21" ht="15" customHeight="1">
      <c r="A153" s="5" t="s">
        <v>1383</v>
      </c>
      <c r="B153" s="5">
        <f>VLOOKUP(Weather!B33,HVAC!$A$139:$R$141,Weather!B34,FALSE)</f>
        <v>27.6</v>
      </c>
      <c r="C153" s="305">
        <f>VLOOKUP(Weather!C33,HVAC!$A$139:$R$141,Weather!C34,FALSE)</f>
        <v>27.6</v>
      </c>
      <c r="D153" s="305">
        <f>VLOOKUP(Weather!D33,HVAC!$A$139:$R$141,Weather!D34,FALSE)</f>
        <v>35.6</v>
      </c>
      <c r="E153" s="305">
        <f>VLOOKUP(Weather!E33,HVAC!$A$139:$R$141,Weather!E34,FALSE)</f>
        <v>28.6</v>
      </c>
      <c r="F153" s="305">
        <f>VLOOKUP(Weather!F33,HVAC!$A$139:$R$141,Weather!F34,FALSE)</f>
        <v>26.6</v>
      </c>
      <c r="G153" s="305">
        <f>VLOOKUP(Weather!G33,HVAC!$A$139:$R$141,Weather!G34,FALSE)</f>
        <v>10.600000000000001</v>
      </c>
      <c r="H153" s="305">
        <f>VLOOKUP(Weather!H33,HVAC!$A$139:$R$141,Weather!H34,FALSE)</f>
        <v>24.6</v>
      </c>
      <c r="I153" s="305">
        <f>VLOOKUP(Weather!I33,HVAC!$A$139:$R$141,Weather!I34,FALSE)</f>
        <v>22.6</v>
      </c>
      <c r="J153" s="305">
        <f>VLOOKUP(Weather!J33,HVAC!$A$139:$R$141,Weather!J34,FALSE)</f>
        <v>16.600000000000001</v>
      </c>
      <c r="K153" s="305">
        <f>VLOOKUP(Weather!K33,HVAC!$A$139:$R$141,Weather!K34,FALSE)</f>
        <v>24.6</v>
      </c>
      <c r="L153" s="305">
        <f>VLOOKUP(Weather!L33,HVAC!$A$139:$R$141,Weather!L34,FALSE)</f>
        <v>22.6</v>
      </c>
      <c r="M153" s="305">
        <f>VLOOKUP(Weather!M33,HVAC!$A$139:$R$141,Weather!M34,FALSE)</f>
        <v>18.600000000000001</v>
      </c>
      <c r="N153" s="305">
        <f>VLOOKUP(Weather!N33,HVAC!$A$139:$R$141,Weather!N34,FALSE)</f>
        <v>16.600000000000001</v>
      </c>
      <c r="O153" s="305">
        <f>VLOOKUP(Weather!O33,HVAC!$A$139:$R$141,Weather!O34,FALSE)</f>
        <v>15.600000000000001</v>
      </c>
      <c r="P153" s="305">
        <f>VLOOKUP(Weather!P33,HVAC!$A$139:$R$141,Weather!P34,FALSE)</f>
        <v>11.600000000000001</v>
      </c>
      <c r="Q153" s="305">
        <f>VLOOKUP(Weather!Q33,HVAC!$A$139:$R$141,Weather!Q34,FALSE)</f>
        <v>26.6</v>
      </c>
      <c r="R153" s="305">
        <f>VLOOKUP(Weather!R33,HVAC!$A$139:$R$141,Weather!R34,FALSE)</f>
        <v>29.6</v>
      </c>
    </row>
    <row r="154" spans="1:21" ht="15" customHeight="1">
      <c r="A154" s="5" t="s">
        <v>1380</v>
      </c>
      <c r="B154" s="5">
        <f>VLOOKUP(Weather!B33,HVAC!$A$144:$R$146,Weather!B34,FALSE)</f>
        <v>48</v>
      </c>
      <c r="C154" s="305">
        <f>VLOOKUP(Weather!C33,HVAC!$A$144:$R$146,Weather!C34,FALSE)</f>
        <v>48</v>
      </c>
      <c r="D154" s="305">
        <f>VLOOKUP(Weather!D33,HVAC!$A$144:$R$146,Weather!D34,FALSE)</f>
        <v>56</v>
      </c>
      <c r="E154" s="305">
        <f>VLOOKUP(Weather!E33,HVAC!$A$144:$R$146,Weather!E34,FALSE)</f>
        <v>49</v>
      </c>
      <c r="F154" s="305">
        <f>VLOOKUP(Weather!F33,HVAC!$A$144:$R$146,Weather!F34,FALSE)</f>
        <v>47</v>
      </c>
      <c r="G154" s="305">
        <f>VLOOKUP(Weather!G33,HVAC!$A$144:$R$146,Weather!G34,FALSE)</f>
        <v>31</v>
      </c>
      <c r="H154" s="305">
        <f>VLOOKUP(Weather!H33,HVAC!$A$144:$R$146,Weather!H34,FALSE)</f>
        <v>45</v>
      </c>
      <c r="I154" s="305">
        <f>VLOOKUP(Weather!I33,HVAC!$A$144:$R$146,Weather!I34,FALSE)</f>
        <v>43</v>
      </c>
      <c r="J154" s="305">
        <f>VLOOKUP(Weather!J33,HVAC!$A$144:$R$146,Weather!J34,FALSE)</f>
        <v>37</v>
      </c>
      <c r="K154" s="305">
        <f>VLOOKUP(Weather!K33,HVAC!$A$144:$R$146,Weather!K34,FALSE)</f>
        <v>45</v>
      </c>
      <c r="L154" s="305">
        <f>VLOOKUP(Weather!L33,HVAC!$A$144:$R$146,Weather!L34,FALSE)</f>
        <v>43</v>
      </c>
      <c r="M154" s="305">
        <f>VLOOKUP(Weather!M33,HVAC!$A$144:$R$146,Weather!M34,FALSE)</f>
        <v>39</v>
      </c>
      <c r="N154" s="305">
        <f>VLOOKUP(Weather!N33,HVAC!$A$144:$R$146,Weather!N34,FALSE)</f>
        <v>37</v>
      </c>
      <c r="O154" s="305">
        <f>VLOOKUP(Weather!O33,HVAC!$A$144:$R$146,Weather!O34,FALSE)</f>
        <v>36</v>
      </c>
      <c r="P154" s="305">
        <f>VLOOKUP(Weather!P33,HVAC!$A$144:$R$146,Weather!P34,FALSE)</f>
        <v>32</v>
      </c>
      <c r="Q154" s="305">
        <f>VLOOKUP(Weather!Q33,HVAC!$A$144:$R$146,Weather!Q34,FALSE)</f>
        <v>47</v>
      </c>
      <c r="R154" s="305">
        <f>VLOOKUP(Weather!R33,HVAC!$A$144:$R$146,Weather!R34,FALSE)</f>
        <v>50</v>
      </c>
    </row>
    <row r="155" spans="1:21" ht="15" customHeight="1">
      <c r="A155" s="5" t="s">
        <v>1381</v>
      </c>
      <c r="B155" s="5">
        <f>VLOOKUP(Weather!B33,HVAC!$A$149:$R$151,Weather!B34,FALSE)</f>
        <v>40</v>
      </c>
      <c r="C155" s="305">
        <f>VLOOKUP(Weather!C33,HVAC!$A$149:$R$151,Weather!C34,FALSE)</f>
        <v>40</v>
      </c>
      <c r="D155" s="305">
        <f>VLOOKUP(Weather!D33,HVAC!$A$149:$R$151,Weather!D34,FALSE)</f>
        <v>48</v>
      </c>
      <c r="E155" s="305">
        <f>VLOOKUP(Weather!E33,HVAC!$A$149:$R$151,Weather!E34,FALSE)</f>
        <v>41</v>
      </c>
      <c r="F155" s="305">
        <f>VLOOKUP(Weather!F33,HVAC!$A$149:$R$151,Weather!F34,FALSE)</f>
        <v>39</v>
      </c>
      <c r="G155" s="305">
        <f>VLOOKUP(Weather!G33,HVAC!$A$149:$R$151,Weather!G34,FALSE)</f>
        <v>23</v>
      </c>
      <c r="H155" s="305">
        <f>VLOOKUP(Weather!H33,HVAC!$A$149:$R$151,Weather!H34,FALSE)</f>
        <v>37</v>
      </c>
      <c r="I155" s="305">
        <f>VLOOKUP(Weather!I33,HVAC!$A$149:$R$151,Weather!I34,FALSE)</f>
        <v>35</v>
      </c>
      <c r="J155" s="305">
        <f>VLOOKUP(Weather!J33,HVAC!$A$149:$R$151,Weather!J34,FALSE)</f>
        <v>29</v>
      </c>
      <c r="K155" s="305">
        <f>VLOOKUP(Weather!K33,HVAC!$A$149:$R$151,Weather!K34,FALSE)</f>
        <v>37</v>
      </c>
      <c r="L155" s="305">
        <f>VLOOKUP(Weather!L33,HVAC!$A$149:$R$151,Weather!L34,FALSE)</f>
        <v>35</v>
      </c>
      <c r="M155" s="305">
        <f>VLOOKUP(Weather!M33,HVAC!$A$149:$R$151,Weather!M34,FALSE)</f>
        <v>31</v>
      </c>
      <c r="N155" s="305">
        <f>VLOOKUP(Weather!N33,HVAC!$A$149:$R$151,Weather!N34,FALSE)</f>
        <v>29</v>
      </c>
      <c r="O155" s="305">
        <f>VLOOKUP(Weather!O33,HVAC!$A$149:$R$151,Weather!O34,FALSE)</f>
        <v>28</v>
      </c>
      <c r="P155" s="305">
        <f>VLOOKUP(Weather!P33,HVAC!$A$149:$R$151,Weather!P34,FALSE)</f>
        <v>24</v>
      </c>
      <c r="Q155" s="305">
        <f>VLOOKUP(Weather!Q33,HVAC!$A$149:$R$151,Weather!Q34,FALSE)</f>
        <v>39</v>
      </c>
      <c r="R155" s="305">
        <f>VLOOKUP(Weather!R33,HVAC!$A$149:$R$151,Weather!R34,FALSE)</f>
        <v>42</v>
      </c>
    </row>
    <row r="157" spans="1:21" ht="15" customHeight="1">
      <c r="A157" s="305" t="s">
        <v>1383</v>
      </c>
      <c r="B157" s="5">
        <f>B105*B153</f>
        <v>3364.2540630568528</v>
      </c>
      <c r="C157" s="305">
        <f t="shared" ref="C157:R157" si="58">C105*C153</f>
        <v>3364.2540630568528</v>
      </c>
      <c r="D157" s="305">
        <f t="shared" si="58"/>
        <v>4339.4001682907228</v>
      </c>
      <c r="E157" s="305">
        <f t="shared" si="58"/>
        <v>2346.0756931599981</v>
      </c>
      <c r="F157" s="305">
        <f t="shared" si="58"/>
        <v>2182.0144558760821</v>
      </c>
      <c r="G157" s="305">
        <f t="shared" si="58"/>
        <v>869.52455760475459</v>
      </c>
      <c r="H157" s="305">
        <f t="shared" si="58"/>
        <v>2017.9532185921662</v>
      </c>
      <c r="I157" s="305">
        <f t="shared" si="58"/>
        <v>1853.8919813082503</v>
      </c>
      <c r="J157" s="305">
        <f t="shared" si="58"/>
        <v>1361.7082694565024</v>
      </c>
      <c r="K157" s="305">
        <f t="shared" si="58"/>
        <v>2017.9532185921662</v>
      </c>
      <c r="L157" s="305">
        <f t="shared" si="58"/>
        <v>1853.8919813082503</v>
      </c>
      <c r="M157" s="305">
        <f t="shared" si="58"/>
        <v>1250.3755797956098</v>
      </c>
      <c r="N157" s="305">
        <f t="shared" si="58"/>
        <v>1115.926592720813</v>
      </c>
      <c r="O157" s="305">
        <f t="shared" si="58"/>
        <v>1048.7020991834147</v>
      </c>
      <c r="P157" s="305">
        <f t="shared" si="58"/>
        <v>779.80412503382126</v>
      </c>
      <c r="Q157" s="305">
        <f t="shared" si="58"/>
        <v>3242.360799902619</v>
      </c>
      <c r="R157" s="305">
        <f t="shared" si="58"/>
        <v>2428.1063118019561</v>
      </c>
    </row>
    <row r="158" spans="1:21" ht="15" customHeight="1">
      <c r="A158" s="305" t="s">
        <v>1380</v>
      </c>
      <c r="B158" s="5">
        <f>B108*B154</f>
        <v>8263.3699076991979</v>
      </c>
      <c r="C158" s="305">
        <f t="shared" ref="C158:R158" si="59">C108*C154</f>
        <v>7176.0843935282519</v>
      </c>
      <c r="D158" s="305">
        <f t="shared" si="59"/>
        <v>8372.0984591162942</v>
      </c>
      <c r="E158" s="305">
        <f t="shared" si="59"/>
        <v>7325.5861517267576</v>
      </c>
      <c r="F158" s="305">
        <f t="shared" si="59"/>
        <v>7026.5826353297471</v>
      </c>
      <c r="G158" s="305">
        <f t="shared" si="59"/>
        <v>4634.5545041536634</v>
      </c>
      <c r="H158" s="305">
        <f t="shared" si="59"/>
        <v>5869.4695374362136</v>
      </c>
      <c r="I158" s="305">
        <f t="shared" si="59"/>
        <v>5608.6042246612706</v>
      </c>
      <c r="J158" s="305">
        <f t="shared" si="59"/>
        <v>4826.0082863364423</v>
      </c>
      <c r="K158" s="305">
        <f t="shared" si="59"/>
        <v>5869.4695374362136</v>
      </c>
      <c r="L158" s="305">
        <f t="shared" si="59"/>
        <v>5608.6042246612706</v>
      </c>
      <c r="M158" s="305">
        <f t="shared" si="59"/>
        <v>5086.8735991113854</v>
      </c>
      <c r="N158" s="305">
        <f t="shared" si="59"/>
        <v>4826.0082863364423</v>
      </c>
      <c r="O158" s="305">
        <f t="shared" si="59"/>
        <v>4695.5756299489713</v>
      </c>
      <c r="P158" s="305">
        <f t="shared" si="59"/>
        <v>4173.8450043990852</v>
      </c>
      <c r="Q158" s="305">
        <f t="shared" si="59"/>
        <v>7026.5826353297471</v>
      </c>
      <c r="R158" s="305">
        <f t="shared" si="59"/>
        <v>7475.0879099252625</v>
      </c>
    </row>
    <row r="159" spans="1:21" ht="15" customHeight="1">
      <c r="A159" s="305" t="s">
        <v>1381</v>
      </c>
      <c r="B159" s="5">
        <f>B108*B155</f>
        <v>6886.1415897493316</v>
      </c>
      <c r="C159" s="305">
        <f t="shared" ref="C159:R159" si="60">C108*C155</f>
        <v>5980.0703279402105</v>
      </c>
      <c r="D159" s="305">
        <f t="shared" si="60"/>
        <v>7176.0843935282519</v>
      </c>
      <c r="E159" s="305">
        <f t="shared" si="60"/>
        <v>6129.5720861387153</v>
      </c>
      <c r="F159" s="305">
        <f t="shared" si="60"/>
        <v>5830.5685697417048</v>
      </c>
      <c r="G159" s="305">
        <f t="shared" si="60"/>
        <v>3438.5404385656211</v>
      </c>
      <c r="H159" s="305">
        <f t="shared" si="60"/>
        <v>4826.0082863364423</v>
      </c>
      <c r="I159" s="305">
        <f t="shared" si="60"/>
        <v>4565.1429735614993</v>
      </c>
      <c r="J159" s="305">
        <f t="shared" si="60"/>
        <v>3782.547035236671</v>
      </c>
      <c r="K159" s="305">
        <f t="shared" si="60"/>
        <v>4826.0082863364423</v>
      </c>
      <c r="L159" s="305">
        <f t="shared" si="60"/>
        <v>4565.1429735614993</v>
      </c>
      <c r="M159" s="305">
        <f t="shared" si="60"/>
        <v>4043.4123480116136</v>
      </c>
      <c r="N159" s="305">
        <f t="shared" si="60"/>
        <v>3782.547035236671</v>
      </c>
      <c r="O159" s="305">
        <f t="shared" si="60"/>
        <v>3652.1143788491995</v>
      </c>
      <c r="P159" s="305">
        <f t="shared" si="60"/>
        <v>3130.3837532993139</v>
      </c>
      <c r="Q159" s="305">
        <f t="shared" si="60"/>
        <v>5830.5685697417048</v>
      </c>
      <c r="R159" s="305">
        <f t="shared" si="60"/>
        <v>6279.0738443372211</v>
      </c>
    </row>
    <row r="163" spans="1:18" ht="15" customHeight="1">
      <c r="A163" s="5" t="s">
        <v>1384</v>
      </c>
      <c r="B163" s="5" t="s">
        <v>1412</v>
      </c>
      <c r="I163" s="5" t="s">
        <v>1413</v>
      </c>
    </row>
    <row r="164" spans="1:18" ht="15" customHeight="1">
      <c r="B164" s="5" t="s">
        <v>1388</v>
      </c>
      <c r="C164" s="5" t="s">
        <v>1411</v>
      </c>
    </row>
    <row r="165" spans="1:18" s="305" customFormat="1" ht="15" customHeight="1">
      <c r="B165" s="305">
        <v>10</v>
      </c>
      <c r="C165" s="305">
        <v>15</v>
      </c>
      <c r="D165" s="305">
        <v>20</v>
      </c>
      <c r="E165" s="305">
        <v>25</v>
      </c>
      <c r="F165" s="305">
        <v>30</v>
      </c>
      <c r="G165" s="305">
        <v>35</v>
      </c>
      <c r="I165" s="305">
        <v>10</v>
      </c>
      <c r="J165" s="305">
        <v>15</v>
      </c>
      <c r="K165" s="305">
        <v>20</v>
      </c>
      <c r="L165" s="305">
        <v>25</v>
      </c>
      <c r="M165" s="305">
        <v>30</v>
      </c>
      <c r="N165" s="305">
        <v>35</v>
      </c>
    </row>
    <row r="166" spans="1:18" ht="15" customHeight="1">
      <c r="A166" s="5" t="s">
        <v>28</v>
      </c>
      <c r="B166" s="5">
        <v>17</v>
      </c>
      <c r="C166" s="5">
        <v>18</v>
      </c>
      <c r="D166" s="305">
        <v>19</v>
      </c>
      <c r="E166" s="305">
        <v>20</v>
      </c>
      <c r="F166" s="305">
        <v>21</v>
      </c>
      <c r="G166" s="305">
        <v>22</v>
      </c>
      <c r="I166" s="305">
        <v>17</v>
      </c>
      <c r="J166" s="305">
        <v>18</v>
      </c>
      <c r="K166" s="305">
        <v>19</v>
      </c>
      <c r="L166" s="305">
        <v>20</v>
      </c>
      <c r="M166" s="305">
        <v>21</v>
      </c>
      <c r="N166" s="305">
        <v>22</v>
      </c>
    </row>
    <row r="167" spans="1:18" ht="15" customHeight="1">
      <c r="A167" s="5" t="s">
        <v>1385</v>
      </c>
      <c r="B167" s="5">
        <v>24</v>
      </c>
      <c r="C167" s="5">
        <v>25</v>
      </c>
      <c r="D167" s="305">
        <v>26</v>
      </c>
      <c r="E167" s="305">
        <v>27</v>
      </c>
      <c r="F167" s="305">
        <v>28</v>
      </c>
      <c r="G167" s="305">
        <v>29</v>
      </c>
      <c r="I167" s="305">
        <v>43</v>
      </c>
      <c r="J167" s="305">
        <v>44</v>
      </c>
      <c r="K167" s="305">
        <v>45</v>
      </c>
      <c r="L167" s="305">
        <v>46</v>
      </c>
      <c r="M167" s="305">
        <v>47</v>
      </c>
      <c r="N167" s="305">
        <v>48</v>
      </c>
    </row>
    <row r="168" spans="1:18" ht="15" customHeight="1">
      <c r="A168" s="5" t="s">
        <v>1386</v>
      </c>
      <c r="B168" s="5">
        <v>28</v>
      </c>
      <c r="C168" s="5">
        <v>29</v>
      </c>
      <c r="D168" s="305">
        <v>30</v>
      </c>
      <c r="E168" s="305">
        <v>31</v>
      </c>
      <c r="F168" s="305">
        <v>32</v>
      </c>
      <c r="G168" s="305">
        <v>33</v>
      </c>
      <c r="I168" s="305">
        <v>62</v>
      </c>
      <c r="J168" s="305">
        <v>63</v>
      </c>
      <c r="K168" s="305">
        <v>64</v>
      </c>
      <c r="L168" s="305">
        <v>65</v>
      </c>
      <c r="M168" s="305">
        <v>66</v>
      </c>
      <c r="N168" s="305">
        <v>67</v>
      </c>
    </row>
    <row r="169" spans="1:18" ht="15" customHeight="1">
      <c r="A169" s="5" t="s">
        <v>1387</v>
      </c>
      <c r="B169" s="5">
        <v>26</v>
      </c>
      <c r="C169" s="5">
        <v>27</v>
      </c>
      <c r="D169" s="305">
        <v>28</v>
      </c>
      <c r="E169" s="305">
        <v>29</v>
      </c>
      <c r="F169" s="305">
        <v>30</v>
      </c>
      <c r="G169" s="305">
        <v>31</v>
      </c>
      <c r="I169" s="305">
        <v>53</v>
      </c>
      <c r="J169" s="305">
        <v>54</v>
      </c>
      <c r="K169" s="305">
        <v>55</v>
      </c>
      <c r="L169" s="305">
        <v>56</v>
      </c>
      <c r="M169" s="305">
        <v>57</v>
      </c>
      <c r="N169" s="305">
        <v>58</v>
      </c>
    </row>
    <row r="170" spans="1:18" ht="15" customHeight="1">
      <c r="A170" s="5" t="s">
        <v>30</v>
      </c>
      <c r="B170" s="5">
        <v>20</v>
      </c>
      <c r="C170" s="5">
        <v>21</v>
      </c>
      <c r="D170" s="305">
        <v>22</v>
      </c>
      <c r="E170" s="305">
        <v>23</v>
      </c>
      <c r="F170" s="305">
        <v>24</v>
      </c>
      <c r="G170" s="305">
        <v>25</v>
      </c>
      <c r="I170" s="305">
        <v>30</v>
      </c>
      <c r="J170" s="305">
        <v>31</v>
      </c>
      <c r="K170" s="305">
        <v>32</v>
      </c>
      <c r="L170" s="305">
        <v>33</v>
      </c>
      <c r="M170" s="305">
        <v>34</v>
      </c>
      <c r="N170" s="305">
        <v>35</v>
      </c>
    </row>
    <row r="172" spans="1:18" ht="15" customHeight="1">
      <c r="A172" s="305" t="s">
        <v>28</v>
      </c>
      <c r="B172" s="5">
        <f>$B$166+(B101-$B$165)/5</f>
        <v>19</v>
      </c>
      <c r="C172" s="305">
        <f t="shared" ref="C172:R172" si="61">$B$166+(C101-$B$165)/5</f>
        <v>19.8</v>
      </c>
      <c r="D172" s="305">
        <f t="shared" si="61"/>
        <v>22.4</v>
      </c>
      <c r="E172" s="305">
        <f t="shared" si="61"/>
        <v>20</v>
      </c>
      <c r="F172" s="305">
        <f t="shared" si="61"/>
        <v>20.6</v>
      </c>
      <c r="G172" s="305">
        <f t="shared" si="61"/>
        <v>16.399999999999999</v>
      </c>
      <c r="H172" s="305">
        <f t="shared" si="61"/>
        <v>19.2</v>
      </c>
      <c r="I172" s="305">
        <f t="shared" si="61"/>
        <v>19.8</v>
      </c>
      <c r="J172" s="305">
        <f t="shared" si="61"/>
        <v>18.600000000000001</v>
      </c>
      <c r="K172" s="305">
        <f t="shared" si="61"/>
        <v>19.2</v>
      </c>
      <c r="L172" s="305">
        <f t="shared" si="61"/>
        <v>19.8</v>
      </c>
      <c r="M172" s="305">
        <f t="shared" si="61"/>
        <v>18</v>
      </c>
      <c r="N172" s="305">
        <f t="shared" si="61"/>
        <v>18.600000000000001</v>
      </c>
      <c r="O172" s="305">
        <f t="shared" si="61"/>
        <v>17.399999999999999</v>
      </c>
      <c r="P172" s="305">
        <f t="shared" si="61"/>
        <v>16.600000000000001</v>
      </c>
      <c r="Q172" s="305">
        <f t="shared" si="61"/>
        <v>19.600000000000001</v>
      </c>
      <c r="R172" s="305">
        <f t="shared" si="61"/>
        <v>19.399999999999999</v>
      </c>
    </row>
    <row r="173" spans="1:18" ht="15" customHeight="1">
      <c r="A173" s="305" t="s">
        <v>1385</v>
      </c>
      <c r="B173" s="5">
        <f>$B$167+(B101-$B$165)/5</f>
        <v>26</v>
      </c>
      <c r="C173" s="305">
        <f t="shared" ref="C173:R173" si="62">$B$167+(C101-$B$165)/5</f>
        <v>26.8</v>
      </c>
      <c r="D173" s="305">
        <f t="shared" si="62"/>
        <v>29.4</v>
      </c>
      <c r="E173" s="305">
        <f t="shared" si="62"/>
        <v>27</v>
      </c>
      <c r="F173" s="305">
        <f t="shared" si="62"/>
        <v>27.6</v>
      </c>
      <c r="G173" s="305">
        <f t="shared" si="62"/>
        <v>23.4</v>
      </c>
      <c r="H173" s="305">
        <f t="shared" si="62"/>
        <v>26.2</v>
      </c>
      <c r="I173" s="305">
        <f t="shared" si="62"/>
        <v>26.8</v>
      </c>
      <c r="J173" s="305">
        <f t="shared" si="62"/>
        <v>25.6</v>
      </c>
      <c r="K173" s="305">
        <f t="shared" si="62"/>
        <v>26.2</v>
      </c>
      <c r="L173" s="305">
        <f t="shared" si="62"/>
        <v>26.8</v>
      </c>
      <c r="M173" s="305">
        <f t="shared" si="62"/>
        <v>25</v>
      </c>
      <c r="N173" s="305">
        <f t="shared" si="62"/>
        <v>25.6</v>
      </c>
      <c r="O173" s="305">
        <f t="shared" si="62"/>
        <v>24.4</v>
      </c>
      <c r="P173" s="305">
        <f t="shared" si="62"/>
        <v>23.6</v>
      </c>
      <c r="Q173" s="305">
        <f t="shared" si="62"/>
        <v>26.6</v>
      </c>
      <c r="R173" s="305">
        <f t="shared" si="62"/>
        <v>26.4</v>
      </c>
    </row>
    <row r="174" spans="1:18" ht="15" customHeight="1">
      <c r="A174" s="305" t="s">
        <v>1386</v>
      </c>
      <c r="B174" s="5">
        <f>$B$168+(B101-$B$165)/5</f>
        <v>30</v>
      </c>
      <c r="C174" s="305">
        <f t="shared" ref="C174:R174" si="63">$B$168+(C101-$B$165)/5</f>
        <v>30.8</v>
      </c>
      <c r="D174" s="305">
        <f t="shared" si="63"/>
        <v>33.4</v>
      </c>
      <c r="E174" s="305">
        <f t="shared" si="63"/>
        <v>31</v>
      </c>
      <c r="F174" s="305">
        <f t="shared" si="63"/>
        <v>31.6</v>
      </c>
      <c r="G174" s="305">
        <f t="shared" si="63"/>
        <v>27.4</v>
      </c>
      <c r="H174" s="305">
        <f t="shared" si="63"/>
        <v>30.2</v>
      </c>
      <c r="I174" s="305">
        <f t="shared" si="63"/>
        <v>30.8</v>
      </c>
      <c r="J174" s="305">
        <f t="shared" si="63"/>
        <v>29.6</v>
      </c>
      <c r="K174" s="305">
        <f t="shared" si="63"/>
        <v>30.2</v>
      </c>
      <c r="L174" s="305">
        <f t="shared" si="63"/>
        <v>30.8</v>
      </c>
      <c r="M174" s="305">
        <f t="shared" si="63"/>
        <v>29</v>
      </c>
      <c r="N174" s="305">
        <f t="shared" si="63"/>
        <v>29.6</v>
      </c>
      <c r="O174" s="305">
        <f t="shared" si="63"/>
        <v>28.4</v>
      </c>
      <c r="P174" s="305">
        <f t="shared" si="63"/>
        <v>27.6</v>
      </c>
      <c r="Q174" s="305">
        <f t="shared" si="63"/>
        <v>30.6</v>
      </c>
      <c r="R174" s="305">
        <f t="shared" si="63"/>
        <v>30.4</v>
      </c>
    </row>
    <row r="175" spans="1:18" ht="15" customHeight="1">
      <c r="A175" s="305" t="s">
        <v>1387</v>
      </c>
      <c r="B175" s="5">
        <f>$B$169+(B101-$B$165)/5</f>
        <v>28</v>
      </c>
      <c r="C175" s="305">
        <f t="shared" ref="C175:R175" si="64">$B$169+(C101-$B$165)/5</f>
        <v>28.8</v>
      </c>
      <c r="D175" s="305">
        <f t="shared" si="64"/>
        <v>31.4</v>
      </c>
      <c r="E175" s="305">
        <f t="shared" si="64"/>
        <v>29</v>
      </c>
      <c r="F175" s="305">
        <f t="shared" si="64"/>
        <v>29.6</v>
      </c>
      <c r="G175" s="305">
        <f t="shared" si="64"/>
        <v>25.4</v>
      </c>
      <c r="H175" s="305">
        <f t="shared" si="64"/>
        <v>28.2</v>
      </c>
      <c r="I175" s="305">
        <f t="shared" si="64"/>
        <v>28.8</v>
      </c>
      <c r="J175" s="305">
        <f t="shared" si="64"/>
        <v>27.6</v>
      </c>
      <c r="K175" s="305">
        <f t="shared" si="64"/>
        <v>28.2</v>
      </c>
      <c r="L175" s="305">
        <f t="shared" si="64"/>
        <v>28.8</v>
      </c>
      <c r="M175" s="305">
        <f t="shared" si="64"/>
        <v>27</v>
      </c>
      <c r="N175" s="305">
        <f t="shared" si="64"/>
        <v>27.6</v>
      </c>
      <c r="O175" s="305">
        <f t="shared" si="64"/>
        <v>26.4</v>
      </c>
      <c r="P175" s="305">
        <f t="shared" si="64"/>
        <v>25.6</v>
      </c>
      <c r="Q175" s="305">
        <f t="shared" si="64"/>
        <v>28.6</v>
      </c>
      <c r="R175" s="305">
        <f t="shared" si="64"/>
        <v>28.4</v>
      </c>
    </row>
    <row r="176" spans="1:18" ht="15" customHeight="1">
      <c r="A176" s="305" t="s">
        <v>30</v>
      </c>
      <c r="B176" s="5">
        <f>$B$170+(B101-$B$165)/5</f>
        <v>22</v>
      </c>
      <c r="C176" s="305">
        <f t="shared" ref="C176:R176" si="65">$B$170+(C101-$B$165)/5</f>
        <v>22.8</v>
      </c>
      <c r="D176" s="305">
        <f t="shared" si="65"/>
        <v>25.4</v>
      </c>
      <c r="E176" s="305">
        <f t="shared" si="65"/>
        <v>23</v>
      </c>
      <c r="F176" s="305">
        <f t="shared" si="65"/>
        <v>23.6</v>
      </c>
      <c r="G176" s="305">
        <f t="shared" si="65"/>
        <v>19.399999999999999</v>
      </c>
      <c r="H176" s="305">
        <f t="shared" si="65"/>
        <v>22.2</v>
      </c>
      <c r="I176" s="305">
        <f t="shared" si="65"/>
        <v>22.8</v>
      </c>
      <c r="J176" s="305">
        <f t="shared" si="65"/>
        <v>21.6</v>
      </c>
      <c r="K176" s="305">
        <f t="shared" si="65"/>
        <v>22.2</v>
      </c>
      <c r="L176" s="305">
        <f t="shared" si="65"/>
        <v>22.8</v>
      </c>
      <c r="M176" s="305">
        <f t="shared" si="65"/>
        <v>21</v>
      </c>
      <c r="N176" s="305">
        <f t="shared" si="65"/>
        <v>21.6</v>
      </c>
      <c r="O176" s="305">
        <f t="shared" si="65"/>
        <v>20.399999999999999</v>
      </c>
      <c r="P176" s="305">
        <f t="shared" si="65"/>
        <v>19.600000000000001</v>
      </c>
      <c r="Q176" s="305">
        <f t="shared" si="65"/>
        <v>22.6</v>
      </c>
      <c r="R176" s="305">
        <f t="shared" si="65"/>
        <v>22.4</v>
      </c>
    </row>
    <row r="179" spans="1:18" ht="15" customHeight="1">
      <c r="B179" s="5" t="s">
        <v>1389</v>
      </c>
    </row>
    <row r="180" spans="1:18" ht="15" customHeight="1">
      <c r="A180" s="305" t="s">
        <v>28</v>
      </c>
      <c r="B180" s="5">
        <f>A_windowSI*(1/0.0929)/4*B172</f>
        <v>3066.5882400430573</v>
      </c>
      <c r="C180" s="305">
        <f>A_windowSI*(1/0.0929)/4*C172</f>
        <v>3195.7077448869759</v>
      </c>
      <c r="D180" s="305">
        <f>A_windowSI*(1/0.0929)/4*D172</f>
        <v>3615.3461356297094</v>
      </c>
      <c r="E180" s="305">
        <f>A_windowSI*(1/0.0929)/4*E172</f>
        <v>3227.9876210979551</v>
      </c>
      <c r="F180" s="305">
        <f>A_windowSI*(1/0.0929)/4*F172</f>
        <v>3324.827249730894</v>
      </c>
      <c r="G180" s="305">
        <f>A_windowSI*(1/0.0929)/4*G172</f>
        <v>2646.949849300323</v>
      </c>
      <c r="H180" s="305">
        <f>A_windowSI*(1/0.0929)/4*H172</f>
        <v>3098.868116254037</v>
      </c>
      <c r="I180" s="305">
        <f>A_windowSI*(1/0.0929)/4*I172</f>
        <v>3195.7077448869759</v>
      </c>
      <c r="J180" s="305">
        <f>A_windowSI*(1/0.0929)/4*J172</f>
        <v>3002.0284876210985</v>
      </c>
      <c r="K180" s="305">
        <f>A_windowSI*(1/0.0929)/4*K172</f>
        <v>3098.868116254037</v>
      </c>
      <c r="L180" s="305">
        <f>A_windowSI*(1/0.0929)/4*L172</f>
        <v>3195.7077448869759</v>
      </c>
      <c r="M180" s="305">
        <f>A_windowSI*(1/0.0929)/4*M172</f>
        <v>2905.1888589881596</v>
      </c>
      <c r="N180" s="305">
        <f>A_windowSI*(1/0.0929)/4*N172</f>
        <v>3002.0284876210985</v>
      </c>
      <c r="O180" s="305">
        <f>A_windowSI*(1/0.0929)/4*O172</f>
        <v>2808.3492303552207</v>
      </c>
      <c r="P180" s="305">
        <f>A_windowSI*(1/0.0929)/4*P172</f>
        <v>2679.2297255113031</v>
      </c>
      <c r="Q180" s="305">
        <f>A_windowSI*(1/0.0929)/4*Q172</f>
        <v>3163.4278686759963</v>
      </c>
      <c r="R180" s="305">
        <f>A_windowSI*(1/0.0929)/4*R172</f>
        <v>3131.1479924650162</v>
      </c>
    </row>
    <row r="181" spans="1:18" ht="15" customHeight="1">
      <c r="A181" s="305" t="s">
        <v>1385</v>
      </c>
      <c r="B181" s="305">
        <v>0</v>
      </c>
      <c r="C181" s="305">
        <v>0</v>
      </c>
      <c r="D181" s="305">
        <v>0</v>
      </c>
      <c r="E181" s="305">
        <v>0</v>
      </c>
      <c r="F181" s="305">
        <v>0</v>
      </c>
      <c r="G181" s="305">
        <v>0</v>
      </c>
      <c r="H181" s="305">
        <v>0</v>
      </c>
      <c r="I181" s="305">
        <v>0</v>
      </c>
      <c r="J181" s="305">
        <v>0</v>
      </c>
      <c r="K181" s="305">
        <v>0</v>
      </c>
      <c r="L181" s="305">
        <v>0</v>
      </c>
      <c r="M181" s="305">
        <v>0</v>
      </c>
      <c r="N181" s="305">
        <v>0</v>
      </c>
      <c r="O181" s="305">
        <v>0</v>
      </c>
      <c r="P181" s="305">
        <v>0</v>
      </c>
      <c r="Q181" s="305">
        <v>0</v>
      </c>
      <c r="R181" s="305">
        <v>0</v>
      </c>
    </row>
    <row r="182" spans="1:18" ht="15" customHeight="1">
      <c r="A182" s="305" t="s">
        <v>1386</v>
      </c>
      <c r="B182" s="305">
        <f>A_windowSI*(1/0.0929)/2*B174</f>
        <v>9683.9628632938657</v>
      </c>
      <c r="C182" s="305">
        <f>A_windowSI*(1/0.0929)/2*C174</f>
        <v>9942.2018729817028</v>
      </c>
      <c r="D182" s="305">
        <f>A_windowSI*(1/0.0929)/2*D174</f>
        <v>10781.47865446717</v>
      </c>
      <c r="E182" s="305">
        <f>A_windowSI*(1/0.0929)/2*E174</f>
        <v>10006.76162540366</v>
      </c>
      <c r="F182" s="305">
        <f>A_windowSI*(1/0.0929)/2*F174</f>
        <v>10200.440882669538</v>
      </c>
      <c r="G182" s="305">
        <f>A_windowSI*(1/0.0929)/2*G174</f>
        <v>8844.6860818083969</v>
      </c>
      <c r="H182" s="305">
        <f>A_windowSI*(1/0.0929)/2*H174</f>
        <v>9748.5226157158249</v>
      </c>
      <c r="I182" s="305">
        <f>A_windowSI*(1/0.0929)/2*I174</f>
        <v>9942.2018729817028</v>
      </c>
      <c r="J182" s="305">
        <f>A_windowSI*(1/0.0929)/2*J174</f>
        <v>9554.8433584499471</v>
      </c>
      <c r="K182" s="305">
        <f>A_windowSI*(1/0.0929)/2*K174</f>
        <v>9748.5226157158249</v>
      </c>
      <c r="L182" s="305">
        <f>A_windowSI*(1/0.0929)/2*L174</f>
        <v>9942.2018729817028</v>
      </c>
      <c r="M182" s="305">
        <f>A_windowSI*(1/0.0929)/2*M174</f>
        <v>9361.1641011840693</v>
      </c>
      <c r="N182" s="305">
        <f>A_windowSI*(1/0.0929)/2*N174</f>
        <v>9554.8433584499471</v>
      </c>
      <c r="O182" s="305">
        <f>A_windowSI*(1/0.0929)/2*O174</f>
        <v>9167.4848439181915</v>
      </c>
      <c r="P182" s="305">
        <f>A_windowSI*(1/0.0929)/2*P174</f>
        <v>8909.2458342303562</v>
      </c>
      <c r="Q182" s="305">
        <f>A_windowSI*(1/0.0929)/2*Q174</f>
        <v>9877.6421205597435</v>
      </c>
      <c r="R182" s="305">
        <f>A_windowSI*(1/0.0929)/2*R174</f>
        <v>9813.0823681377824</v>
      </c>
    </row>
    <row r="183" spans="1:18" ht="15" customHeight="1">
      <c r="A183" s="305" t="s">
        <v>1387</v>
      </c>
      <c r="B183" s="305">
        <v>0</v>
      </c>
      <c r="C183" s="305">
        <v>0</v>
      </c>
      <c r="D183" s="305">
        <v>0</v>
      </c>
      <c r="E183" s="305">
        <v>0</v>
      </c>
      <c r="F183" s="305">
        <v>0</v>
      </c>
      <c r="G183" s="305">
        <v>0</v>
      </c>
      <c r="H183" s="305">
        <v>0</v>
      </c>
      <c r="I183" s="305">
        <v>0</v>
      </c>
      <c r="J183" s="305">
        <v>0</v>
      </c>
      <c r="K183" s="305">
        <v>0</v>
      </c>
      <c r="L183" s="305">
        <v>0</v>
      </c>
      <c r="M183" s="305">
        <v>0</v>
      </c>
      <c r="N183" s="305">
        <v>0</v>
      </c>
      <c r="O183" s="305">
        <v>0</v>
      </c>
      <c r="P183" s="305">
        <v>0</v>
      </c>
      <c r="Q183" s="305">
        <v>0</v>
      </c>
      <c r="R183" s="305">
        <v>0</v>
      </c>
    </row>
    <row r="184" spans="1:18" ht="15" customHeight="1">
      <c r="A184" s="305" t="s">
        <v>30</v>
      </c>
      <c r="B184" s="305">
        <f>A_windowSI*(1/0.0929)/4*B176</f>
        <v>3550.7863832077505</v>
      </c>
      <c r="C184" s="305">
        <f>A_windowSI*(1/0.0929)/4*C176</f>
        <v>3679.9058880516691</v>
      </c>
      <c r="D184" s="305">
        <f>A_windowSI*(1/0.0929)/4*D176</f>
        <v>4099.544278794403</v>
      </c>
      <c r="E184" s="305">
        <f>A_windowSI*(1/0.0929)/4*E176</f>
        <v>3712.1857642626483</v>
      </c>
      <c r="F184" s="305">
        <f>A_windowSI*(1/0.0929)/4*F176</f>
        <v>3809.0253928955872</v>
      </c>
      <c r="G184" s="305">
        <f>A_windowSI*(1/0.0929)/4*G176</f>
        <v>3131.1479924650162</v>
      </c>
      <c r="H184" s="305">
        <f>A_windowSI*(1/0.0929)/4*H176</f>
        <v>3583.0662594187302</v>
      </c>
      <c r="I184" s="305">
        <f>A_windowSI*(1/0.0929)/4*I176</f>
        <v>3679.9058880516691</v>
      </c>
      <c r="J184" s="305">
        <f>A_windowSI*(1/0.0929)/4*J176</f>
        <v>3486.2266307857917</v>
      </c>
      <c r="K184" s="305">
        <f>A_windowSI*(1/0.0929)/4*K176</f>
        <v>3583.0662594187302</v>
      </c>
      <c r="L184" s="305">
        <f>A_windowSI*(1/0.0929)/4*L176</f>
        <v>3679.9058880516691</v>
      </c>
      <c r="M184" s="305">
        <f>A_windowSI*(1/0.0929)/4*M176</f>
        <v>3389.3870021528528</v>
      </c>
      <c r="N184" s="305">
        <f>A_windowSI*(1/0.0929)/4*N176</f>
        <v>3486.2266307857917</v>
      </c>
      <c r="O184" s="305">
        <f>A_windowSI*(1/0.0929)/4*O176</f>
        <v>3292.5473735199139</v>
      </c>
      <c r="P184" s="305">
        <f>A_windowSI*(1/0.0929)/4*P176</f>
        <v>3163.4278686759963</v>
      </c>
      <c r="Q184" s="305">
        <f>A_windowSI*(1/0.0929)/4*Q176</f>
        <v>3647.6260118406894</v>
      </c>
      <c r="R184" s="305">
        <f>A_windowSI*(1/0.0929)/4*R176</f>
        <v>3615.3461356297094</v>
      </c>
    </row>
    <row r="185" spans="1:18" ht="15" customHeight="1">
      <c r="B185" s="305"/>
    </row>
    <row r="186" spans="1:18" s="305" customFormat="1" ht="15" customHeight="1">
      <c r="A186" s="23" t="s">
        <v>1409</v>
      </c>
    </row>
    <row r="188" spans="1:18" ht="15" customHeight="1">
      <c r="A188" s="5" t="s">
        <v>553</v>
      </c>
      <c r="B188" s="5">
        <f>Noccupants*300</f>
        <v>1200</v>
      </c>
      <c r="C188" s="305">
        <f>Noccupants*300</f>
        <v>1200</v>
      </c>
      <c r="D188" s="305">
        <f>Noccupants*300</f>
        <v>1200</v>
      </c>
      <c r="E188" s="305">
        <f>Noccupants*300</f>
        <v>1200</v>
      </c>
      <c r="F188" s="305">
        <f>Noccupants*300</f>
        <v>1200</v>
      </c>
      <c r="G188" s="305">
        <f>Noccupants*300</f>
        <v>1200</v>
      </c>
      <c r="H188" s="305">
        <f>Noccupants*300</f>
        <v>1200</v>
      </c>
      <c r="I188" s="305">
        <f>Noccupants*300</f>
        <v>1200</v>
      </c>
      <c r="J188" s="305">
        <f>Noccupants*300</f>
        <v>1200</v>
      </c>
      <c r="K188" s="305">
        <f>Noccupants*300</f>
        <v>1200</v>
      </c>
      <c r="L188" s="305">
        <f>Noccupants*300</f>
        <v>1200</v>
      </c>
      <c r="M188" s="305">
        <f>Noccupants*300</f>
        <v>1200</v>
      </c>
      <c r="N188" s="305">
        <f>Noccupants*300</f>
        <v>1200</v>
      </c>
      <c r="O188" s="305">
        <f>Noccupants*300</f>
        <v>1200</v>
      </c>
      <c r="P188" s="305">
        <f>Noccupants*300</f>
        <v>1200</v>
      </c>
      <c r="Q188" s="305">
        <f>Noccupants*300</f>
        <v>1200</v>
      </c>
      <c r="R188" s="305">
        <f>Noccupants*300</f>
        <v>1200</v>
      </c>
    </row>
    <row r="189" spans="1:18" ht="15" customHeight="1">
      <c r="A189" s="5" t="s">
        <v>1390</v>
      </c>
      <c r="B189" s="5">
        <v>1200</v>
      </c>
      <c r="C189" s="305">
        <v>1200</v>
      </c>
      <c r="D189" s="305">
        <v>1200</v>
      </c>
      <c r="E189" s="305">
        <v>1200</v>
      </c>
      <c r="F189" s="305">
        <v>1200</v>
      </c>
      <c r="G189" s="305">
        <v>1200</v>
      </c>
      <c r="H189" s="305">
        <v>1200</v>
      </c>
      <c r="I189" s="305">
        <v>1200</v>
      </c>
      <c r="J189" s="305">
        <v>1200</v>
      </c>
      <c r="K189" s="305">
        <v>1200</v>
      </c>
      <c r="L189" s="305">
        <v>1200</v>
      </c>
      <c r="M189" s="305">
        <v>1200</v>
      </c>
      <c r="N189" s="305">
        <v>1200</v>
      </c>
      <c r="O189" s="305">
        <v>1200</v>
      </c>
      <c r="P189" s="305">
        <v>1200</v>
      </c>
      <c r="Q189" s="305">
        <v>1200</v>
      </c>
      <c r="R189" s="305">
        <v>1200</v>
      </c>
    </row>
    <row r="190" spans="1:18" ht="15" customHeight="1">
      <c r="B190" s="312">
        <f>12000*C19</f>
        <v>28922.370568047416</v>
      </c>
      <c r="C190" s="312">
        <f t="shared" ref="C190:R190" si="66">12000*D19</f>
        <v>25379.554524644849</v>
      </c>
      <c r="D190" s="312" t="e">
        <f t="shared" si="66"/>
        <v>#N/A</v>
      </c>
      <c r="E190" s="312">
        <f t="shared" si="66"/>
        <v>27547.486951653838</v>
      </c>
      <c r="F190" s="312" t="e">
        <f t="shared" si="66"/>
        <v>#N/A</v>
      </c>
      <c r="G190" s="312" t="e">
        <f t="shared" si="66"/>
        <v>#N/A</v>
      </c>
      <c r="H190" s="312">
        <f t="shared" si="66"/>
        <v>24898.345258907095</v>
      </c>
      <c r="I190" s="312" t="e">
        <f t="shared" si="66"/>
        <v>#N/A</v>
      </c>
      <c r="J190" s="312" t="e">
        <f t="shared" si="66"/>
        <v>#N/A</v>
      </c>
      <c r="K190" s="312" t="e">
        <f t="shared" si="66"/>
        <v>#N/A</v>
      </c>
      <c r="L190" s="312" t="e">
        <f t="shared" si="66"/>
        <v>#N/A</v>
      </c>
      <c r="M190" s="312" t="e">
        <f t="shared" si="66"/>
        <v>#N/A</v>
      </c>
      <c r="N190" s="312" t="e">
        <f t="shared" si="66"/>
        <v>#N/A</v>
      </c>
      <c r="O190" s="312" t="e">
        <f t="shared" si="66"/>
        <v>#N/A</v>
      </c>
      <c r="P190" s="312" t="e">
        <f t="shared" si="66"/>
        <v>#N/A</v>
      </c>
      <c r="Q190" s="312">
        <f t="shared" si="66"/>
        <v>24449.01735239007</v>
      </c>
      <c r="R190" s="312">
        <f t="shared" si="66"/>
        <v>27278.487983229013</v>
      </c>
    </row>
    <row r="191" spans="1:18" s="305" customFormat="1" ht="15" customHeight="1">
      <c r="A191" s="305" t="s">
        <v>1405</v>
      </c>
      <c r="B191" s="293">
        <f>SUM(B124,B125,B157,IF(Inputs!$C$110=1,B158, B159),B180:B184,B188:B189)</f>
        <v>37193.346874807386</v>
      </c>
      <c r="C191" s="293">
        <f>SUM(C124,C125,C157,IF(Inputs!$C$110=1,C158, C159),C180:C184,C188:C189)</f>
        <v>36574.692467914072</v>
      </c>
      <c r="D191" s="293">
        <f>SUM(D124,D125,D157,IF(Inputs!$C$110=1,D158, D159),D180:D184,D188:D189)</f>
        <v>38653.342307455438</v>
      </c>
      <c r="E191" s="293">
        <f>SUM(E124,E125,E157,IF(Inputs!$C$110=1,E158, E159),E180:E184,E188:E189)</f>
        <v>35222.605335915177</v>
      </c>
      <c r="F191" s="293">
        <f>SUM(F124,F125,F157,IF(Inputs!$C$110=1,F158, F159),F180:F184,F188:F189)</f>
        <v>32766.427786734304</v>
      </c>
      <c r="G191" s="293">
        <f>SUM(G124,G125,G157,IF(Inputs!$C$110=1,G158, G159),G180:G184,G188:G189)</f>
        <v>23477.748204334184</v>
      </c>
      <c r="H191" s="293">
        <f>SUM(H124,H125,H157,IF(Inputs!$C$110=1,H158, H159),H180:H184,H188:H189)</f>
        <v>32535.672597870376</v>
      </c>
      <c r="I191" s="293">
        <f>SUM(I124,I125,I157,IF(Inputs!$C$110=1,I158, I159),I180:I184,I188:I189)</f>
        <v>29949.731413168676</v>
      </c>
      <c r="J191" s="293">
        <f>SUM(J124,J125,J157,IF(Inputs!$C$110=1,J158, J159),J180:J184,J188:J189)</f>
        <v>27081.79444777278</v>
      </c>
      <c r="K191" s="293">
        <f>SUM(K124,K125,K157,IF(Inputs!$C$110=1,K158, K159),K180:K184,K188:K189)</f>
        <v>31527.09500633923</v>
      </c>
      <c r="L191" s="293">
        <f>SUM(L124,L125,L157,IF(Inputs!$C$110=1,L158, L159),L180:L184,L188:L189)</f>
        <v>29961.293436145446</v>
      </c>
      <c r="M191" s="293">
        <f>SUM(M124,M125,M157,IF(Inputs!$C$110=1,M158, M159),M180:M184,M188:M189)</f>
        <v>27706.562477004514</v>
      </c>
      <c r="N191" s="293">
        <f>SUM(N124,N125,N157,IF(Inputs!$C$110=1,N158, N159),N180:N184,N188:N189)</f>
        <v>26840.773210482701</v>
      </c>
      <c r="O191" s="293">
        <f>SUM(O124,O125,O157,IF(Inputs!$C$110=1,O158, O159),O180:O184,O188:O189)</f>
        <v>25887.271338559505</v>
      </c>
      <c r="P191" s="293">
        <f>SUM(P124,P125,P157,IF(Inputs!$C$110=1,P158, P159),P180:P184,P188:P189)</f>
        <v>23200.178827940323</v>
      </c>
      <c r="Q191" s="293">
        <f>SUM(Q124,Q125,Q157,IF(Inputs!$C$110=1,Q158, Q159),Q180:Q184,Q188:Q189)</f>
        <v>35627.105561877346</v>
      </c>
      <c r="R191" s="293">
        <f>SUM(R124,R125,R157,IF(Inputs!$C$110=1,R158, R159),R180:R184,R188:R189)</f>
        <v>36184.581232706965</v>
      </c>
    </row>
    <row r="192" spans="1:18" s="305" customFormat="1" ht="15" customHeight="1">
      <c r="A192" s="305" t="s">
        <v>1406</v>
      </c>
      <c r="B192" s="293">
        <f>SUM(B110,B119)</f>
        <v>21552.588175802546</v>
      </c>
      <c r="C192" s="293">
        <f t="shared" ref="C192:R192" si="67">SUM(C110,C119)</f>
        <v>34745.440505729675</v>
      </c>
      <c r="D192" s="293">
        <f t="shared" si="67"/>
        <v>32914.363834031268</v>
      </c>
      <c r="E192" s="293">
        <f t="shared" si="67"/>
        <v>38050.773270129765</v>
      </c>
      <c r="F192" s="293">
        <f t="shared" si="67"/>
        <v>33655.825000599376</v>
      </c>
      <c r="G192" s="293">
        <f t="shared" si="67"/>
        <v>23389.894918818965</v>
      </c>
      <c r="H192" s="293">
        <f t="shared" si="67"/>
        <v>40611.120616579443</v>
      </c>
      <c r="I192" s="293">
        <f t="shared" si="67"/>
        <v>38461.510244715675</v>
      </c>
      <c r="J192" s="293">
        <f t="shared" si="67"/>
        <v>29634.920312842529</v>
      </c>
      <c r="K192" s="293">
        <f t="shared" si="67"/>
        <v>44164.371670766639</v>
      </c>
      <c r="L192" s="293">
        <f t="shared" si="67"/>
        <v>37864.336092226513</v>
      </c>
      <c r="M192" s="293">
        <f t="shared" si="67"/>
        <v>47437.607797137054</v>
      </c>
      <c r="N192" s="293">
        <f t="shared" si="67"/>
        <v>52975.016433111174</v>
      </c>
      <c r="O192" s="293">
        <f t="shared" si="67"/>
        <v>50998.899439588276</v>
      </c>
      <c r="P192" s="293">
        <f t="shared" si="67"/>
        <v>69467.003596133291</v>
      </c>
      <c r="Q192" s="293">
        <f t="shared" si="67"/>
        <v>29267.026823709552</v>
      </c>
      <c r="R192" s="293">
        <f t="shared" si="67"/>
        <v>30738.960511865043</v>
      </c>
    </row>
    <row r="193" spans="1:18" s="305" customFormat="1" ht="15" customHeight="1">
      <c r="B193" s="17">
        <f>1000*C20</f>
        <v>10402.289738235724</v>
      </c>
      <c r="C193" s="17">
        <f t="shared" ref="C193:R193" si="68">1000*D20</f>
        <v>23970.796964079258</v>
      </c>
      <c r="D193" s="17" t="e">
        <f t="shared" si="68"/>
        <v>#N/A</v>
      </c>
      <c r="E193" s="17">
        <f t="shared" si="68"/>
        <v>29502.212788874273</v>
      </c>
      <c r="F193" s="17" t="e">
        <f t="shared" si="68"/>
        <v>#N/A</v>
      </c>
      <c r="G193" s="17" t="e">
        <f t="shared" si="68"/>
        <v>#N/A</v>
      </c>
      <c r="H193" s="17">
        <f t="shared" si="68"/>
        <v>34636.107915885921</v>
      </c>
      <c r="I193" s="17" t="e">
        <f t="shared" si="68"/>
        <v>#N/A</v>
      </c>
      <c r="J193" s="17" t="e">
        <f t="shared" si="68"/>
        <v>#N/A</v>
      </c>
      <c r="K193" s="17" t="e">
        <f t="shared" si="68"/>
        <v>#N/A</v>
      </c>
      <c r="L193" s="17" t="e">
        <f t="shared" si="68"/>
        <v>#N/A</v>
      </c>
      <c r="M193" s="17" t="e">
        <f t="shared" si="68"/>
        <v>#N/A</v>
      </c>
      <c r="N193" s="17" t="e">
        <f t="shared" si="68"/>
        <v>#N/A</v>
      </c>
      <c r="O193" s="17" t="e">
        <f t="shared" si="68"/>
        <v>#N/A</v>
      </c>
      <c r="P193" s="17" t="e">
        <f t="shared" si="68"/>
        <v>#N/A</v>
      </c>
      <c r="Q193" s="17">
        <f t="shared" si="68"/>
        <v>17572.606685470902</v>
      </c>
      <c r="R193" s="17">
        <f t="shared" si="68"/>
        <v>24103.303863340374</v>
      </c>
    </row>
    <row r="194" spans="1:18" s="305" customFormat="1" ht="15" customHeight="1"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</row>
    <row r="195" spans="1:18" ht="15" customHeight="1">
      <c r="A195" s="5" t="s">
        <v>1391</v>
      </c>
    </row>
    <row r="196" spans="1:18" s="305" customFormat="1" ht="15" customHeight="1">
      <c r="A196" s="305" t="s">
        <v>1404</v>
      </c>
      <c r="B196" s="305">
        <v>0</v>
      </c>
    </row>
    <row r="197" spans="1:18" ht="15" customHeight="1">
      <c r="A197" s="5" t="s">
        <v>1392</v>
      </c>
      <c r="B197" s="5" t="s">
        <v>1403</v>
      </c>
    </row>
    <row r="198" spans="1:18" ht="15" customHeight="1">
      <c r="A198" s="5" t="s">
        <v>1393</v>
      </c>
      <c r="B198" s="5">
        <v>0.3</v>
      </c>
    </row>
    <row r="199" spans="1:18" ht="15" customHeight="1">
      <c r="A199" s="5" t="s">
        <v>1394</v>
      </c>
      <c r="B199" s="5">
        <v>0.2</v>
      </c>
    </row>
    <row r="200" spans="1:18" ht="15" customHeight="1">
      <c r="A200" s="5" t="s">
        <v>1395</v>
      </c>
      <c r="B200" s="5">
        <v>0.15</v>
      </c>
    </row>
    <row r="201" spans="1:18" ht="15" customHeight="1">
      <c r="A201" s="5" t="s">
        <v>1396</v>
      </c>
      <c r="B201" s="5">
        <v>0.1</v>
      </c>
    </row>
    <row r="202" spans="1:18" ht="15" customHeight="1">
      <c r="A202" s="5" t="s">
        <v>1397</v>
      </c>
    </row>
    <row r="203" spans="1:18" ht="15" customHeight="1">
      <c r="A203" s="305" t="s">
        <v>1393</v>
      </c>
      <c r="B203" s="5">
        <v>0.15</v>
      </c>
    </row>
    <row r="204" spans="1:18" ht="15" customHeight="1">
      <c r="A204" s="305" t="s">
        <v>1394</v>
      </c>
      <c r="B204" s="5">
        <v>0.1</v>
      </c>
    </row>
    <row r="205" spans="1:18" ht="15" customHeight="1">
      <c r="A205" s="305" t="s">
        <v>1395</v>
      </c>
      <c r="B205" s="5">
        <v>0.05</v>
      </c>
    </row>
    <row r="206" spans="1:18" ht="15" customHeight="1">
      <c r="A206" s="305" t="s">
        <v>1396</v>
      </c>
      <c r="B206" s="5">
        <v>0</v>
      </c>
    </row>
    <row r="207" spans="1:18" ht="15" customHeight="1">
      <c r="A207" s="5" t="s">
        <v>1398</v>
      </c>
    </row>
    <row r="208" spans="1:18" ht="15" customHeight="1">
      <c r="A208" s="5" t="s">
        <v>1399</v>
      </c>
      <c r="B208" s="5">
        <v>0.1</v>
      </c>
    </row>
    <row r="209" spans="1:2" ht="15" customHeight="1">
      <c r="A209" s="5" t="s">
        <v>1400</v>
      </c>
      <c r="B209" s="5">
        <v>0.05</v>
      </c>
    </row>
    <row r="210" spans="1:2" ht="15" customHeight="1">
      <c r="A210" s="5" t="s">
        <v>1401</v>
      </c>
      <c r="B210" s="5">
        <v>0</v>
      </c>
    </row>
    <row r="211" spans="1:2" ht="15" customHeight="1">
      <c r="A211" s="5" t="s">
        <v>1402</v>
      </c>
      <c r="B211" s="5">
        <v>0</v>
      </c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38"/>
  <sheetViews>
    <sheetView topLeftCell="A5" workbookViewId="0">
      <selection activeCell="H39" sqref="H39"/>
    </sheetView>
  </sheetViews>
  <sheetFormatPr baseColWidth="10" defaultColWidth="8.83203125" defaultRowHeight="14" x14ac:dyDescent="0"/>
  <sheetData>
    <row r="1" spans="1:22">
      <c r="A1" s="138" t="s">
        <v>654</v>
      </c>
      <c r="B1" s="206">
        <v>0.37901531243731801</v>
      </c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</row>
    <row r="2" spans="1:22">
      <c r="A2" s="138"/>
      <c r="B2" s="206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</row>
    <row r="3" spans="1:22">
      <c r="A3" s="207" t="s">
        <v>655</v>
      </c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</row>
    <row r="4" spans="1:22">
      <c r="A4" s="190" t="s">
        <v>639</v>
      </c>
      <c r="B4" s="266" t="s">
        <v>707</v>
      </c>
      <c r="C4" s="314" t="s">
        <v>656</v>
      </c>
      <c r="D4" s="314" t="s">
        <v>657</v>
      </c>
      <c r="E4" s="314" t="s">
        <v>658</v>
      </c>
      <c r="F4" s="314" t="s">
        <v>659</v>
      </c>
      <c r="G4" s="314" t="s">
        <v>660</v>
      </c>
      <c r="H4" s="314" t="s">
        <v>661</v>
      </c>
      <c r="I4" s="314" t="s">
        <v>662</v>
      </c>
      <c r="J4" s="314" t="s">
        <v>663</v>
      </c>
      <c r="K4" s="314" t="s">
        <v>664</v>
      </c>
      <c r="L4" s="314" t="s">
        <v>665</v>
      </c>
      <c r="M4" s="314" t="s">
        <v>666</v>
      </c>
      <c r="N4" s="314" t="s">
        <v>667</v>
      </c>
      <c r="O4" s="314">
        <v>7</v>
      </c>
      <c r="P4" s="266">
        <v>8</v>
      </c>
      <c r="Q4" s="191">
        <v>16</v>
      </c>
    </row>
    <row r="5" spans="1:22">
      <c r="A5" s="208" t="s">
        <v>669</v>
      </c>
      <c r="B5" s="209">
        <f>B11*Inputs!$C$137^Weather!$B$1</f>
        <v>0.43</v>
      </c>
      <c r="C5" s="318">
        <f>C11*Inputs!$C$137^Weather!$B$1</f>
        <v>0.44</v>
      </c>
      <c r="D5" s="318">
        <f>D11*Inputs!$C$137^Weather!$B$1</f>
        <v>0.46</v>
      </c>
      <c r="E5" s="318">
        <f>E11*Inputs!$C$137^Weather!$B$1</f>
        <v>0.48</v>
      </c>
      <c r="F5" s="318">
        <f>F11*Inputs!$C$137^Weather!$B$1</f>
        <v>0.6</v>
      </c>
      <c r="G5" s="318">
        <f>G11*Inputs!$C$137^Weather!$B$1</f>
        <v>0.49</v>
      </c>
      <c r="H5" s="318">
        <f>H11*Inputs!$C$137^Weather!$B$1</f>
        <v>0.55000000000000004</v>
      </c>
      <c r="I5" s="318">
        <f>I11*Inputs!$C$137^Weather!$B$1</f>
        <v>0.55000000000000004</v>
      </c>
      <c r="J5" s="318">
        <f>J11*Inputs!$C$137^Weather!$B$1</f>
        <v>0.6</v>
      </c>
      <c r="K5" s="318">
        <f>K11*Inputs!$C$137^Weather!$B$1</f>
        <v>0.56000000000000005</v>
      </c>
      <c r="L5" s="318">
        <f>L11*Inputs!$C$137^Weather!$B$1</f>
        <v>0.53</v>
      </c>
      <c r="M5" s="318">
        <f>M11*Inputs!$C$137^Weather!$B$1</f>
        <v>0.62</v>
      </c>
      <c r="N5" s="318">
        <f>N11*Inputs!$C$137^Weather!$B$1</f>
        <v>0.71</v>
      </c>
      <c r="O5" s="318">
        <f>O11*Inputs!$C$137^Weather!$B$1</f>
        <v>0</v>
      </c>
      <c r="P5" s="318">
        <f>P11*Inputs!$C$137^Weather!$B$1</f>
        <v>0</v>
      </c>
      <c r="Q5" s="318">
        <f>Q11*Inputs!$C$137^Weather!$B$1</f>
        <v>0</v>
      </c>
    </row>
    <row r="6" spans="1:22">
      <c r="A6" s="210"/>
      <c r="B6" s="211"/>
      <c r="C6" s="211"/>
      <c r="D6" s="211"/>
      <c r="E6" s="211"/>
      <c r="F6" s="211"/>
      <c r="G6" s="211"/>
      <c r="H6" s="211"/>
      <c r="I6" s="211"/>
      <c r="J6" s="211"/>
      <c r="K6" s="211"/>
      <c r="L6" s="211"/>
      <c r="M6" s="211"/>
      <c r="N6" s="211"/>
      <c r="O6" s="138"/>
      <c r="P6" s="138"/>
      <c r="Q6" s="138"/>
    </row>
    <row r="7" spans="1:22">
      <c r="A7" s="210"/>
      <c r="B7" s="211"/>
      <c r="C7" s="211"/>
      <c r="D7" s="211"/>
      <c r="E7" s="211"/>
      <c r="F7" s="211"/>
      <c r="G7" s="211"/>
      <c r="H7" s="211"/>
      <c r="I7" s="211"/>
      <c r="J7" s="211"/>
      <c r="K7" s="211"/>
      <c r="L7" s="211"/>
      <c r="M7" s="211"/>
      <c r="N7" s="211"/>
      <c r="O7" s="138"/>
      <c r="P7" s="138"/>
      <c r="Q7" s="138"/>
    </row>
    <row r="8" spans="1:22">
      <c r="A8" s="138"/>
      <c r="B8" s="138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</row>
    <row r="9" spans="1:22">
      <c r="A9" s="207" t="s">
        <v>670</v>
      </c>
      <c r="B9" s="138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</row>
    <row r="10" spans="1:22">
      <c r="A10" s="190" t="s">
        <v>639</v>
      </c>
      <c r="B10" s="191" t="s">
        <v>656</v>
      </c>
      <c r="C10" s="191" t="s">
        <v>657</v>
      </c>
      <c r="D10" s="191" t="s">
        <v>658</v>
      </c>
      <c r="E10" s="191" t="s">
        <v>659</v>
      </c>
      <c r="F10" s="191" t="s">
        <v>660</v>
      </c>
      <c r="G10" s="191" t="s">
        <v>661</v>
      </c>
      <c r="H10" s="191" t="s">
        <v>662</v>
      </c>
      <c r="I10" s="191" t="s">
        <v>663</v>
      </c>
      <c r="J10" s="191" t="s">
        <v>664</v>
      </c>
      <c r="K10" s="191" t="s">
        <v>665</v>
      </c>
      <c r="L10" s="191" t="s">
        <v>666</v>
      </c>
      <c r="M10" s="191" t="s">
        <v>667</v>
      </c>
      <c r="N10" s="191" t="s">
        <v>668</v>
      </c>
      <c r="O10" s="138"/>
      <c r="P10" s="138"/>
      <c r="Q10" s="138"/>
    </row>
    <row r="11" spans="1:22">
      <c r="A11" s="188" t="s">
        <v>172</v>
      </c>
      <c r="B11" s="161">
        <v>0.43</v>
      </c>
      <c r="C11" s="161">
        <v>0.44</v>
      </c>
      <c r="D11" s="161">
        <v>0.46</v>
      </c>
      <c r="E11" s="161">
        <v>0.48</v>
      </c>
      <c r="F11" s="161">
        <v>0.6</v>
      </c>
      <c r="G11" s="161">
        <v>0.49</v>
      </c>
      <c r="H11" s="161">
        <v>0.55000000000000004</v>
      </c>
      <c r="I11" s="161">
        <v>0.55000000000000004</v>
      </c>
      <c r="J11" s="161">
        <v>0.6</v>
      </c>
      <c r="K11" s="161">
        <v>0.56000000000000005</v>
      </c>
      <c r="L11" s="161">
        <v>0.53</v>
      </c>
      <c r="M11" s="161">
        <v>0.62</v>
      </c>
      <c r="N11" s="161">
        <v>0.71</v>
      </c>
      <c r="O11" s="138"/>
      <c r="P11" s="138"/>
      <c r="Q11" s="138"/>
    </row>
    <row r="12" spans="1:22">
      <c r="A12" s="188" t="s">
        <v>171</v>
      </c>
      <c r="B12" s="209">
        <v>0.55919519815510799</v>
      </c>
      <c r="C12" s="209">
        <v>0.5721997376470872</v>
      </c>
      <c r="D12" s="209">
        <v>0.59820881663104575</v>
      </c>
      <c r="E12" s="209">
        <v>0.62421789561500418</v>
      </c>
      <c r="F12" s="209">
        <v>0.78027236951875523</v>
      </c>
      <c r="G12" s="209">
        <v>0.63722243510698351</v>
      </c>
      <c r="H12" s="209">
        <v>0.71524967205885903</v>
      </c>
      <c r="I12" s="209">
        <v>0.71524967205885903</v>
      </c>
      <c r="J12" s="209">
        <v>0.78027236951875523</v>
      </c>
      <c r="K12" s="209">
        <v>0.72825421155083836</v>
      </c>
      <c r="L12" s="209">
        <v>0.68924059307490049</v>
      </c>
      <c r="M12" s="209">
        <v>0.80628144850271377</v>
      </c>
      <c r="N12" s="209">
        <v>0.92332230393052706</v>
      </c>
      <c r="O12" s="138"/>
      <c r="P12" s="206"/>
      <c r="Q12" s="206"/>
      <c r="R12" s="206"/>
      <c r="S12" s="206"/>
      <c r="T12" s="206"/>
      <c r="U12" s="206"/>
      <c r="V12" s="206"/>
    </row>
    <row r="13" spans="1:22">
      <c r="A13" s="188" t="s">
        <v>723</v>
      </c>
      <c r="B13" s="209">
        <v>0.65208576098168169</v>
      </c>
      <c r="C13" s="209">
        <v>0.6672505461207906</v>
      </c>
      <c r="D13" s="209">
        <v>0.6975801163990083</v>
      </c>
      <c r="E13" s="209">
        <v>0.727909686677226</v>
      </c>
      <c r="F13" s="209">
        <v>0.90988710834653252</v>
      </c>
      <c r="G13" s="209">
        <v>0.7430744718163349</v>
      </c>
      <c r="H13" s="209">
        <v>0.83406318265098822</v>
      </c>
      <c r="I13" s="209">
        <v>0.83406318265098822</v>
      </c>
      <c r="J13" s="209">
        <v>0.90988710834653252</v>
      </c>
      <c r="K13" s="209">
        <v>0.84922796779009713</v>
      </c>
      <c r="L13" s="209">
        <v>0.80373361237277052</v>
      </c>
      <c r="M13" s="209">
        <v>0.94021667862475033</v>
      </c>
      <c r="N13" s="209">
        <v>1.0766997448767301</v>
      </c>
      <c r="O13" s="138"/>
      <c r="P13" s="206"/>
      <c r="Q13" s="206"/>
      <c r="R13" s="206"/>
      <c r="S13" s="206"/>
      <c r="T13" s="206"/>
      <c r="U13" s="206"/>
      <c r="V13" s="206"/>
    </row>
    <row r="14" spans="1:22">
      <c r="A14" s="138"/>
      <c r="B14" s="138"/>
      <c r="C14" s="138"/>
      <c r="D14" s="138"/>
      <c r="E14" s="138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8"/>
      <c r="Q14" s="138"/>
    </row>
    <row r="15" spans="1:22">
      <c r="A15" s="215" t="s">
        <v>671</v>
      </c>
      <c r="B15" s="185"/>
      <c r="C15" s="138"/>
      <c r="D15" s="138"/>
      <c r="E15" s="138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8"/>
    </row>
    <row r="16" spans="1:22">
      <c r="A16" s="190" t="s">
        <v>639</v>
      </c>
      <c r="B16" s="191">
        <v>1</v>
      </c>
      <c r="C16" s="191">
        <v>2</v>
      </c>
      <c r="D16" s="191">
        <v>3</v>
      </c>
      <c r="E16" s="191">
        <v>4</v>
      </c>
      <c r="F16" s="191">
        <v>5</v>
      </c>
      <c r="G16" s="191">
        <v>6</v>
      </c>
      <c r="H16" s="191">
        <v>7</v>
      </c>
      <c r="I16" s="191">
        <v>8</v>
      </c>
      <c r="J16" s="191">
        <v>9</v>
      </c>
      <c r="K16" s="191">
        <v>10</v>
      </c>
      <c r="L16" s="191">
        <v>11</v>
      </c>
      <c r="M16" s="191">
        <v>12</v>
      </c>
      <c r="N16" s="191">
        <v>13</v>
      </c>
      <c r="O16" s="191">
        <v>14</v>
      </c>
      <c r="P16" s="191">
        <v>15</v>
      </c>
      <c r="Q16" s="191">
        <v>16</v>
      </c>
    </row>
    <row r="17" spans="1:26">
      <c r="A17" s="188" t="s">
        <v>172</v>
      </c>
      <c r="B17" s="212">
        <v>0.56360936165894659</v>
      </c>
      <c r="C17" s="212">
        <v>0.48885549567600978</v>
      </c>
      <c r="D17" s="212">
        <v>0.54208232257462774</v>
      </c>
      <c r="E17" s="212">
        <v>0.47845929296058437</v>
      </c>
      <c r="F17" s="212">
        <v>0.51837365623999176</v>
      </c>
      <c r="G17" s="212">
        <v>0.41788661831438195</v>
      </c>
      <c r="H17" s="212">
        <v>0.37942235442668815</v>
      </c>
      <c r="I17" s="212">
        <v>0.34136734806535374</v>
      </c>
      <c r="J17" s="212">
        <v>0.39317637879534129</v>
      </c>
      <c r="K17" s="212">
        <v>0.42189478941889719</v>
      </c>
      <c r="L17" s="212">
        <v>0.50187001587391433</v>
      </c>
      <c r="M17" s="212">
        <v>0.50766953254479896</v>
      </c>
      <c r="N17" s="212">
        <v>0.45543655021096829</v>
      </c>
      <c r="O17" s="212">
        <v>0.52458293514912235</v>
      </c>
      <c r="P17" s="212">
        <v>0.45040732320028565</v>
      </c>
      <c r="Q17" s="212">
        <v>0.43796184671932231</v>
      </c>
    </row>
    <row r="18" spans="1:26">
      <c r="A18" s="316" t="s">
        <v>171</v>
      </c>
      <c r="B18" s="212">
        <v>0.7248166367358726</v>
      </c>
      <c r="C18" s="212">
        <v>0.62708326118835933</v>
      </c>
      <c r="D18" s="212">
        <v>0.69538709992486236</v>
      </c>
      <c r="E18" s="212">
        <v>0.61315971250841084</v>
      </c>
      <c r="F18" s="212">
        <v>0.66503797395079167</v>
      </c>
      <c r="G18" s="212">
        <v>0.53477302293826767</v>
      </c>
      <c r="H18" s="212">
        <v>0.48590439299190807</v>
      </c>
      <c r="I18" s="212">
        <v>0.43641684175739326</v>
      </c>
      <c r="J18" s="212">
        <v>0.50195133557344052</v>
      </c>
      <c r="K18" s="212">
        <v>0.53767567995907639</v>
      </c>
      <c r="L18" s="212">
        <v>0.63882702592755691</v>
      </c>
      <c r="M18" s="212">
        <v>0.6488752632127025</v>
      </c>
      <c r="N18" s="212">
        <v>0.58043957001106339</v>
      </c>
      <c r="O18" s="212">
        <v>0.66580229679831271</v>
      </c>
      <c r="P18" s="212">
        <v>0.57161146797379636</v>
      </c>
      <c r="Q18" s="212">
        <v>0.56152742625436514</v>
      </c>
      <c r="S18" s="206"/>
      <c r="T18" s="206"/>
      <c r="U18" s="206"/>
      <c r="V18" s="206"/>
      <c r="W18" s="206"/>
      <c r="X18" s="206"/>
      <c r="Y18" s="206"/>
      <c r="Z18" s="206"/>
    </row>
    <row r="19" spans="1:26">
      <c r="A19" s="316" t="s">
        <v>723</v>
      </c>
      <c r="B19" s="212">
        <v>0.86834031138810353</v>
      </c>
      <c r="C19" s="212">
        <v>0.74939759949679141</v>
      </c>
      <c r="D19" s="212">
        <v>0.83049656710313591</v>
      </c>
      <c r="E19" s="212">
        <v>0.73175387031078654</v>
      </c>
      <c r="F19" s="212">
        <v>0.79456350692969679</v>
      </c>
      <c r="G19" s="212">
        <v>0.63704978044323324</v>
      </c>
      <c r="H19" s="212">
        <v>0.57887972226628115</v>
      </c>
      <c r="I19" s="212">
        <v>0.51976073261794775</v>
      </c>
      <c r="J19" s="212">
        <v>0.59712354608454088</v>
      </c>
      <c r="K19" s="212">
        <v>0.63902949563231792</v>
      </c>
      <c r="L19" s="212">
        <v>0.75846002934376988</v>
      </c>
      <c r="M19" s="212">
        <v>0.77292624267172982</v>
      </c>
      <c r="N19" s="212">
        <v>0.68982480549315572</v>
      </c>
      <c r="O19" s="212">
        <v>0.78911231419216588</v>
      </c>
      <c r="P19" s="212">
        <v>0.67708889855316245</v>
      </c>
      <c r="Q19" s="212">
        <v>0.67077337182535413</v>
      </c>
      <c r="S19" s="206"/>
      <c r="T19" s="206"/>
      <c r="U19" s="206"/>
      <c r="V19" s="206"/>
      <c r="W19" s="206"/>
      <c r="X19" s="206"/>
      <c r="Y19" s="206"/>
      <c r="Z19" s="206"/>
    </row>
    <row r="20" spans="1:26" s="290" customFormat="1">
      <c r="A20" s="193"/>
      <c r="B20" s="212"/>
      <c r="C20" s="212"/>
      <c r="D20" s="212"/>
      <c r="E20" s="212"/>
      <c r="F20" s="212"/>
      <c r="G20" s="212"/>
      <c r="H20" s="212"/>
      <c r="I20" s="212"/>
      <c r="J20" s="212"/>
      <c r="K20" s="212"/>
      <c r="L20" s="212"/>
      <c r="M20" s="212"/>
      <c r="N20" s="212"/>
      <c r="O20" s="212"/>
      <c r="P20" s="212"/>
      <c r="Q20" s="212"/>
    </row>
    <row r="21" spans="1:26">
      <c r="A21" s="210" t="s">
        <v>867</v>
      </c>
    </row>
    <row r="22" spans="1:26">
      <c r="A22" s="210" t="s">
        <v>639</v>
      </c>
      <c r="B22" s="290" t="s">
        <v>707</v>
      </c>
      <c r="C22" s="290" t="s">
        <v>656</v>
      </c>
      <c r="D22" s="290" t="s">
        <v>657</v>
      </c>
      <c r="E22" s="290" t="s">
        <v>658</v>
      </c>
      <c r="F22" s="290" t="s">
        <v>659</v>
      </c>
      <c r="G22" s="290" t="s">
        <v>660</v>
      </c>
      <c r="H22" s="290" t="s">
        <v>661</v>
      </c>
      <c r="I22" s="290" t="s">
        <v>662</v>
      </c>
      <c r="J22" s="290" t="s">
        <v>663</v>
      </c>
      <c r="K22" s="290" t="s">
        <v>664</v>
      </c>
      <c r="L22" s="290" t="s">
        <v>665</v>
      </c>
      <c r="M22" s="290" t="s">
        <v>666</v>
      </c>
      <c r="N22" s="290" t="s">
        <v>667</v>
      </c>
      <c r="O22" s="341">
        <v>7</v>
      </c>
      <c r="P22" s="341">
        <v>8</v>
      </c>
      <c r="Q22" s="341" t="s">
        <v>1240</v>
      </c>
      <c r="R22" s="341" t="s">
        <v>1241</v>
      </c>
    </row>
    <row r="23" spans="1:26">
      <c r="A23" s="210" t="s">
        <v>865</v>
      </c>
      <c r="B23" s="290" t="s">
        <v>850</v>
      </c>
      <c r="C23" s="290" t="s">
        <v>851</v>
      </c>
      <c r="D23" s="290" t="s">
        <v>852</v>
      </c>
      <c r="E23" s="290" t="s">
        <v>853</v>
      </c>
      <c r="F23" s="290" t="s">
        <v>854</v>
      </c>
      <c r="G23" s="290" t="s">
        <v>855</v>
      </c>
      <c r="H23" s="290" t="s">
        <v>856</v>
      </c>
      <c r="I23" s="290" t="s">
        <v>857</v>
      </c>
      <c r="J23" s="290" t="s">
        <v>858</v>
      </c>
      <c r="K23" s="290" t="s">
        <v>859</v>
      </c>
      <c r="L23" s="290" t="s">
        <v>860</v>
      </c>
      <c r="M23" s="290" t="s">
        <v>861</v>
      </c>
      <c r="N23" s="290" t="s">
        <v>862</v>
      </c>
      <c r="O23" s="290" t="s">
        <v>863</v>
      </c>
      <c r="P23" s="290" t="s">
        <v>864</v>
      </c>
      <c r="Q23" s="290" t="s">
        <v>910</v>
      </c>
      <c r="R23" s="290" t="s">
        <v>909</v>
      </c>
    </row>
    <row r="24" spans="1:26">
      <c r="A24" s="210" t="s">
        <v>866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722050</v>
      </c>
      <c r="R24">
        <v>722080</v>
      </c>
    </row>
    <row r="25" spans="1:26">
      <c r="A25" s="210" t="s">
        <v>669</v>
      </c>
      <c r="B25" s="326">
        <v>0.41</v>
      </c>
      <c r="C25" s="326">
        <v>0.42</v>
      </c>
      <c r="D25" s="326">
        <v>0.43</v>
      </c>
      <c r="E25" s="326">
        <v>0.46</v>
      </c>
      <c r="F25" s="326">
        <v>0.48</v>
      </c>
      <c r="G25" s="326">
        <v>0.6</v>
      </c>
      <c r="H25" s="326">
        <v>0.5</v>
      </c>
      <c r="I25" s="326">
        <v>0.54</v>
      </c>
      <c r="J25" s="326">
        <v>0.55000000000000004</v>
      </c>
      <c r="K25" s="326">
        <v>0.6</v>
      </c>
      <c r="L25" s="326">
        <v>0.56000000000000005</v>
      </c>
      <c r="M25" s="326">
        <v>0.61</v>
      </c>
      <c r="N25" s="326">
        <v>0.63</v>
      </c>
      <c r="O25" s="326">
        <v>0.7</v>
      </c>
      <c r="P25" s="326">
        <v>0.7</v>
      </c>
      <c r="Q25" s="326">
        <v>0.38</v>
      </c>
      <c r="R25" s="326">
        <v>0.43</v>
      </c>
    </row>
    <row r="26" spans="1:26">
      <c r="B26" t="str">
        <f>CONCATENATE(B24,"TYA.CSV")</f>
        <v>722020TYA.CSV</v>
      </c>
      <c r="C26" s="290" t="str">
        <f t="shared" ref="C26:R26" si="0">CONCATENATE(C24,"TYA.CSV")</f>
        <v>722430TYA.CSV</v>
      </c>
      <c r="D26" s="290" t="str">
        <f t="shared" si="0"/>
        <v>722780TYA.CSV</v>
      </c>
      <c r="E26" s="290" t="str">
        <f t="shared" si="0"/>
        <v>723340TYA.CSV</v>
      </c>
      <c r="F26" s="290" t="str">
        <f t="shared" si="0"/>
        <v>722700TYA.CSV</v>
      </c>
      <c r="G26" s="290" t="str">
        <f t="shared" si="0"/>
        <v>724940TYA.CSV</v>
      </c>
      <c r="H26" s="290" t="str">
        <f t="shared" si="0"/>
        <v>724060TYA.CSV</v>
      </c>
      <c r="I26" s="290" t="str">
        <f t="shared" si="0"/>
        <v>723650TYA.CSV</v>
      </c>
      <c r="J26" s="290" t="str">
        <f t="shared" si="0"/>
        <v>726940TYA.CSV</v>
      </c>
      <c r="K26" s="290" t="str">
        <f t="shared" si="0"/>
        <v>725300TYA.CSV</v>
      </c>
      <c r="L26" s="290" t="str">
        <f t="shared" si="0"/>
        <v>726810TYA.CSV</v>
      </c>
      <c r="M26" s="290" t="str">
        <f t="shared" si="0"/>
        <v>726170TYA.CSV</v>
      </c>
      <c r="N26" s="290" t="str">
        <f t="shared" si="0"/>
        <v>727720TYA.CSV</v>
      </c>
      <c r="O26" s="290" t="str">
        <f t="shared" si="0"/>
        <v>727450TYA.CSV</v>
      </c>
      <c r="P26" s="290" t="str">
        <f t="shared" si="0"/>
        <v>702610TYA.CSV</v>
      </c>
      <c r="Q26" s="290" t="str">
        <f t="shared" si="0"/>
        <v>722050TYA.CSV</v>
      </c>
      <c r="R26" s="290" t="str">
        <f t="shared" si="0"/>
        <v>722080TYA.CSV</v>
      </c>
    </row>
    <row r="27" spans="1:26">
      <c r="A27" s="210" t="s">
        <v>1358</v>
      </c>
      <c r="B27">
        <v>25</v>
      </c>
      <c r="C27">
        <v>29</v>
      </c>
      <c r="D27">
        <v>33</v>
      </c>
      <c r="E27">
        <v>35</v>
      </c>
      <c r="F27">
        <v>31</v>
      </c>
      <c r="G27">
        <v>37</v>
      </c>
      <c r="H27">
        <v>39</v>
      </c>
      <c r="I27">
        <v>35</v>
      </c>
      <c r="J27">
        <v>45</v>
      </c>
      <c r="K27">
        <v>41</v>
      </c>
      <c r="L27">
        <v>43</v>
      </c>
      <c r="M27">
        <v>44</v>
      </c>
      <c r="N27">
        <v>46</v>
      </c>
      <c r="O27">
        <v>46</v>
      </c>
      <c r="P27">
        <v>64</v>
      </c>
      <c r="Q27">
        <v>28</v>
      </c>
      <c r="R27">
        <v>32</v>
      </c>
    </row>
    <row r="28" spans="1:26">
      <c r="A28" s="562" t="s">
        <v>1360</v>
      </c>
      <c r="B28">
        <v>47</v>
      </c>
      <c r="C28">
        <v>32</v>
      </c>
      <c r="D28">
        <v>34</v>
      </c>
      <c r="E28">
        <v>18</v>
      </c>
      <c r="F28">
        <v>24</v>
      </c>
      <c r="G28">
        <v>38</v>
      </c>
      <c r="H28">
        <v>13</v>
      </c>
      <c r="I28">
        <v>16</v>
      </c>
      <c r="J28">
        <v>23</v>
      </c>
      <c r="K28">
        <v>0</v>
      </c>
      <c r="L28">
        <v>10</v>
      </c>
      <c r="M28">
        <v>-7</v>
      </c>
      <c r="N28">
        <v>-16</v>
      </c>
      <c r="O28">
        <v>-16</v>
      </c>
      <c r="P28">
        <v>-47</v>
      </c>
      <c r="Q28">
        <v>38</v>
      </c>
      <c r="R28">
        <v>28</v>
      </c>
    </row>
    <row r="29" spans="1:26">
      <c r="A29" s="562" t="s">
        <v>1361</v>
      </c>
      <c r="B29">
        <v>90</v>
      </c>
      <c r="C29">
        <v>94</v>
      </c>
      <c r="D29">
        <v>107</v>
      </c>
      <c r="E29">
        <v>95</v>
      </c>
      <c r="F29">
        <v>98</v>
      </c>
      <c r="G29">
        <v>77</v>
      </c>
      <c r="H29">
        <v>91</v>
      </c>
      <c r="I29">
        <v>94</v>
      </c>
      <c r="J29">
        <v>88</v>
      </c>
      <c r="K29">
        <v>91</v>
      </c>
      <c r="L29">
        <v>94</v>
      </c>
      <c r="M29">
        <v>85</v>
      </c>
      <c r="N29">
        <v>88</v>
      </c>
      <c r="O29">
        <v>82</v>
      </c>
      <c r="P29">
        <v>78</v>
      </c>
      <c r="Q29">
        <v>93</v>
      </c>
      <c r="R29">
        <v>92</v>
      </c>
    </row>
    <row r="30" spans="1:26">
      <c r="A30" t="s">
        <v>1362</v>
      </c>
      <c r="B30">
        <v>77</v>
      </c>
      <c r="C30">
        <v>77</v>
      </c>
      <c r="D30">
        <v>71</v>
      </c>
      <c r="E30">
        <v>76</v>
      </c>
      <c r="F30">
        <v>64</v>
      </c>
      <c r="G30">
        <v>63</v>
      </c>
      <c r="H30">
        <v>75</v>
      </c>
      <c r="I30">
        <v>61</v>
      </c>
      <c r="J30">
        <v>66</v>
      </c>
      <c r="K30">
        <v>73</v>
      </c>
      <c r="L30">
        <v>64</v>
      </c>
      <c r="M30">
        <v>70</v>
      </c>
      <c r="N30">
        <v>60</v>
      </c>
      <c r="O30">
        <v>68</v>
      </c>
      <c r="P30">
        <v>60</v>
      </c>
      <c r="Q30">
        <v>76</v>
      </c>
      <c r="R30">
        <v>78</v>
      </c>
    </row>
    <row r="31" spans="1:26">
      <c r="A31" t="s">
        <v>1363</v>
      </c>
      <c r="B31">
        <v>49</v>
      </c>
      <c r="C31">
        <v>42</v>
      </c>
      <c r="D31">
        <v>0</v>
      </c>
      <c r="E31">
        <v>33</v>
      </c>
      <c r="F31">
        <v>0</v>
      </c>
      <c r="G31">
        <v>0</v>
      </c>
      <c r="H31">
        <v>35</v>
      </c>
      <c r="I31">
        <v>0</v>
      </c>
      <c r="J31">
        <v>0</v>
      </c>
      <c r="K31">
        <v>23</v>
      </c>
      <c r="L31">
        <v>0</v>
      </c>
      <c r="M31">
        <v>15</v>
      </c>
      <c r="N31">
        <v>0</v>
      </c>
      <c r="O31">
        <v>10</v>
      </c>
      <c r="P31">
        <v>0</v>
      </c>
      <c r="Q31">
        <v>37</v>
      </c>
      <c r="R31">
        <v>51</v>
      </c>
    </row>
    <row r="32" spans="1:26">
      <c r="A32" t="s">
        <v>1359</v>
      </c>
      <c r="B32">
        <v>15</v>
      </c>
      <c r="C32">
        <v>18</v>
      </c>
      <c r="D32">
        <v>27</v>
      </c>
      <c r="E32">
        <v>21</v>
      </c>
      <c r="F32">
        <v>27</v>
      </c>
      <c r="G32">
        <v>20</v>
      </c>
      <c r="H32">
        <v>21</v>
      </c>
      <c r="I32">
        <v>27</v>
      </c>
      <c r="J32">
        <v>31</v>
      </c>
      <c r="K32">
        <v>20</v>
      </c>
      <c r="L32">
        <v>31</v>
      </c>
      <c r="M32">
        <v>23</v>
      </c>
      <c r="N32">
        <v>32</v>
      </c>
      <c r="O32">
        <v>22</v>
      </c>
      <c r="P32">
        <v>24</v>
      </c>
      <c r="Q32">
        <v>17</v>
      </c>
      <c r="R32">
        <v>13</v>
      </c>
    </row>
    <row r="33" spans="2:18">
      <c r="B33" t="s">
        <v>230</v>
      </c>
      <c r="C33" t="s">
        <v>1364</v>
      </c>
      <c r="D33" t="s">
        <v>1365</v>
      </c>
      <c r="E33" t="s">
        <v>1364</v>
      </c>
      <c r="F33" t="s">
        <v>1365</v>
      </c>
      <c r="G33" t="s">
        <v>1364</v>
      </c>
      <c r="H33" t="s">
        <v>1364</v>
      </c>
      <c r="I33" t="s">
        <v>1365</v>
      </c>
      <c r="J33" t="s">
        <v>1365</v>
      </c>
      <c r="K33" t="s">
        <v>1364</v>
      </c>
      <c r="L33" t="s">
        <v>1365</v>
      </c>
      <c r="M33" t="s">
        <v>1364</v>
      </c>
      <c r="N33" t="s">
        <v>1365</v>
      </c>
      <c r="O33" t="s">
        <v>1364</v>
      </c>
      <c r="P33" t="s">
        <v>1364</v>
      </c>
      <c r="Q33" t="s">
        <v>1364</v>
      </c>
      <c r="R33" t="s">
        <v>230</v>
      </c>
    </row>
    <row r="34" spans="2:18">
      <c r="B34">
        <v>2</v>
      </c>
      <c r="C34">
        <v>3</v>
      </c>
      <c r="D34" s="290">
        <v>4</v>
      </c>
      <c r="E34" s="290">
        <v>5</v>
      </c>
      <c r="F34" s="290">
        <v>6</v>
      </c>
      <c r="G34" s="290">
        <v>7</v>
      </c>
      <c r="H34" s="290">
        <v>8</v>
      </c>
      <c r="I34" s="290">
        <v>9</v>
      </c>
      <c r="J34" s="290">
        <v>10</v>
      </c>
      <c r="K34" s="290">
        <v>11</v>
      </c>
      <c r="L34" s="290">
        <v>12</v>
      </c>
      <c r="M34" s="290">
        <v>13</v>
      </c>
      <c r="N34" s="290">
        <v>14</v>
      </c>
      <c r="O34" s="290">
        <v>15</v>
      </c>
      <c r="P34" s="290">
        <v>16</v>
      </c>
      <c r="Q34" s="290">
        <v>17</v>
      </c>
      <c r="R34" s="290">
        <v>18</v>
      </c>
    </row>
    <row r="36" spans="2:18">
      <c r="B36" t="s">
        <v>1355</v>
      </c>
    </row>
    <row r="37" spans="2:18">
      <c r="B37" t="s">
        <v>1356</v>
      </c>
    </row>
    <row r="38" spans="2:18">
      <c r="B38" t="s">
        <v>1357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U101"/>
  <sheetViews>
    <sheetView workbookViewId="0">
      <pane ySplit="3" topLeftCell="A4" activePane="bottomLeft" state="frozen"/>
      <selection pane="bottomLeft" activeCell="Q3" sqref="Q3"/>
    </sheetView>
  </sheetViews>
  <sheetFormatPr baseColWidth="10" defaultColWidth="11.5" defaultRowHeight="14" x14ac:dyDescent="0"/>
  <cols>
    <col min="2" max="3" width="12.33203125" bestFit="1" customWidth="1"/>
    <col min="5" max="5" width="12.33203125" bestFit="1" customWidth="1"/>
    <col min="8" max="8" width="12.33203125" bestFit="1" customWidth="1"/>
    <col min="17" max="18" width="12.33203125" bestFit="1" customWidth="1"/>
  </cols>
  <sheetData>
    <row r="1" spans="1:18" s="290" customFormat="1">
      <c r="A1" s="210" t="s">
        <v>1057</v>
      </c>
      <c r="B1" s="290">
        <v>1</v>
      </c>
      <c r="C1" s="290">
        <v>2</v>
      </c>
      <c r="D1" s="290">
        <v>3</v>
      </c>
      <c r="E1" s="290">
        <v>4</v>
      </c>
      <c r="F1" s="290">
        <v>5</v>
      </c>
      <c r="G1" s="290">
        <v>6</v>
      </c>
      <c r="H1" s="290">
        <v>7</v>
      </c>
      <c r="I1" s="290">
        <v>8</v>
      </c>
      <c r="J1" s="290">
        <v>9</v>
      </c>
      <c r="K1" s="290">
        <v>10</v>
      </c>
      <c r="L1" s="290">
        <v>11</v>
      </c>
      <c r="M1" s="290">
        <v>12</v>
      </c>
      <c r="N1" s="290">
        <v>13</v>
      </c>
      <c r="O1" s="290">
        <v>14</v>
      </c>
      <c r="P1" s="290">
        <v>15</v>
      </c>
      <c r="Q1" s="290" t="s">
        <v>910</v>
      </c>
      <c r="R1" s="290" t="s">
        <v>909</v>
      </c>
    </row>
    <row r="2" spans="1:18">
      <c r="A2" s="210" t="s">
        <v>639</v>
      </c>
      <c r="B2" s="290" t="s">
        <v>707</v>
      </c>
      <c r="C2" s="290" t="s">
        <v>656</v>
      </c>
      <c r="D2" s="290" t="s">
        <v>657</v>
      </c>
      <c r="E2" s="290" t="s">
        <v>658</v>
      </c>
      <c r="F2" s="290" t="s">
        <v>659</v>
      </c>
      <c r="G2" s="290" t="s">
        <v>660</v>
      </c>
      <c r="H2" s="290" t="s">
        <v>661</v>
      </c>
      <c r="I2" s="290" t="s">
        <v>662</v>
      </c>
      <c r="J2" s="290" t="s">
        <v>663</v>
      </c>
      <c r="K2" s="290" t="s">
        <v>664</v>
      </c>
      <c r="L2" s="290" t="s">
        <v>665</v>
      </c>
      <c r="M2" s="290" t="s">
        <v>666</v>
      </c>
      <c r="N2" s="290" t="s">
        <v>667</v>
      </c>
      <c r="O2" s="341">
        <v>7</v>
      </c>
      <c r="P2" s="341">
        <v>8</v>
      </c>
      <c r="Q2" s="341" t="s">
        <v>1240</v>
      </c>
      <c r="R2" s="341" t="s">
        <v>1241</v>
      </c>
    </row>
    <row r="3" spans="1:18">
      <c r="A3" s="210" t="s">
        <v>865</v>
      </c>
      <c r="B3" s="290" t="s">
        <v>850</v>
      </c>
      <c r="C3" s="290" t="s">
        <v>851</v>
      </c>
      <c r="D3" s="290" t="s">
        <v>852</v>
      </c>
      <c r="E3" s="290" t="s">
        <v>853</v>
      </c>
      <c r="F3" s="290" t="s">
        <v>854</v>
      </c>
      <c r="G3" s="290" t="s">
        <v>855</v>
      </c>
      <c r="H3" s="290" t="s">
        <v>856</v>
      </c>
      <c r="I3" s="290" t="s">
        <v>857</v>
      </c>
      <c r="J3" s="290" t="s">
        <v>858</v>
      </c>
      <c r="K3" s="290" t="s">
        <v>859</v>
      </c>
      <c r="L3" s="290" t="s">
        <v>860</v>
      </c>
      <c r="M3" s="290" t="s">
        <v>861</v>
      </c>
      <c r="N3" s="290" t="s">
        <v>862</v>
      </c>
      <c r="O3" s="290" t="s">
        <v>863</v>
      </c>
      <c r="P3" s="290" t="s">
        <v>864</v>
      </c>
      <c r="Q3" s="290" t="s">
        <v>908</v>
      </c>
      <c r="R3" s="290" t="s">
        <v>909</v>
      </c>
    </row>
    <row r="4" spans="1:18" s="290" customFormat="1"/>
    <row r="5" spans="1:18" s="290" customFormat="1">
      <c r="A5" s="305" t="s">
        <v>930</v>
      </c>
      <c r="B5" s="402">
        <f t="shared" ref="B5:R5" si="0">IF(HumControl=13, VLOOKUP(B1,$A$96:$B$101,2,FALSE),B23)</f>
        <v>1.8143650428724283E-2</v>
      </c>
      <c r="C5" s="402">
        <f t="shared" si="0"/>
        <v>1.8093565104086943E-2</v>
      </c>
      <c r="D5" s="402" t="str">
        <f t="shared" si="0"/>
        <v>NA</v>
      </c>
      <c r="E5" s="402">
        <f t="shared" si="0"/>
        <v>1.6457918085888881E-2</v>
      </c>
      <c r="F5" s="402" t="str">
        <f t="shared" si="0"/>
        <v>NA</v>
      </c>
      <c r="G5" s="402" t="str">
        <f t="shared" si="0"/>
        <v>NA</v>
      </c>
      <c r="H5" s="402">
        <f t="shared" si="0"/>
        <v>1.4623221193902717E-2</v>
      </c>
      <c r="I5" s="402" t="str">
        <f t="shared" si="0"/>
        <v>NA</v>
      </c>
      <c r="J5" s="402" t="str">
        <f t="shared" si="0"/>
        <v>NA</v>
      </c>
      <c r="K5" s="402" t="str">
        <f t="shared" si="0"/>
        <v>NA</v>
      </c>
      <c r="L5" s="402" t="str">
        <f t="shared" si="0"/>
        <v>NA</v>
      </c>
      <c r="M5" s="402" t="str">
        <f t="shared" si="0"/>
        <v>NA</v>
      </c>
      <c r="N5" s="402" t="str">
        <f t="shared" si="0"/>
        <v>NA</v>
      </c>
      <c r="O5" s="402" t="str">
        <f t="shared" si="0"/>
        <v>NA</v>
      </c>
      <c r="P5" s="402" t="str">
        <f t="shared" si="0"/>
        <v>NA</v>
      </c>
      <c r="Q5" s="402">
        <f t="shared" si="0"/>
        <v>1.7707763234996277E-2</v>
      </c>
      <c r="R5" s="402">
        <f t="shared" si="0"/>
        <v>1.7457897967807213E-2</v>
      </c>
    </row>
    <row r="6" spans="1:18" s="290" customFormat="1">
      <c r="A6" s="305" t="s">
        <v>932</v>
      </c>
      <c r="B6" s="402">
        <f t="shared" ref="B6:R6" si="1">IF(OR(HumControl=4, HumControl=5),VLOOKUP(B1,$A$88:$C$93,3,FALSE),0)</f>
        <v>-1.10201928333333E-2</v>
      </c>
      <c r="C6" s="402">
        <f t="shared" si="1"/>
        <v>-1.12628599814815E-2</v>
      </c>
      <c r="D6" s="402" t="e">
        <f t="shared" si="1"/>
        <v>#N/A</v>
      </c>
      <c r="E6" s="402">
        <f t="shared" si="1"/>
        <v>-1.0537344388888901E-2</v>
      </c>
      <c r="F6" s="402" t="e">
        <f t="shared" si="1"/>
        <v>#N/A</v>
      </c>
      <c r="G6" s="402" t="e">
        <f t="shared" si="1"/>
        <v>#N/A</v>
      </c>
      <c r="H6" s="402">
        <f t="shared" si="1"/>
        <v>-1.0683551703703701E-2</v>
      </c>
      <c r="I6" s="402" t="e">
        <f t="shared" si="1"/>
        <v>#N/A</v>
      </c>
      <c r="J6" s="402" t="e">
        <f t="shared" si="1"/>
        <v>#N/A</v>
      </c>
      <c r="K6" s="402" t="e">
        <f t="shared" si="1"/>
        <v>#N/A</v>
      </c>
      <c r="L6" s="402" t="e">
        <f t="shared" si="1"/>
        <v>#N/A</v>
      </c>
      <c r="M6" s="402" t="e">
        <f t="shared" si="1"/>
        <v>#N/A</v>
      </c>
      <c r="N6" s="402" t="e">
        <f t="shared" si="1"/>
        <v>#N/A</v>
      </c>
      <c r="O6" s="402" t="e">
        <f t="shared" si="1"/>
        <v>#N/A</v>
      </c>
      <c r="P6" s="402" t="e">
        <f t="shared" si="1"/>
        <v>#N/A</v>
      </c>
      <c r="Q6" s="402">
        <f t="shared" si="1"/>
        <v>-1.20633005E-2</v>
      </c>
      <c r="R6" s="402">
        <f t="shared" si="1"/>
        <v>-1.22137443518518E-2</v>
      </c>
    </row>
    <row r="7" spans="1:18" s="290" customFormat="1">
      <c r="A7" s="305" t="s">
        <v>933</v>
      </c>
      <c r="B7" s="327">
        <f t="shared" ref="B7:R7" si="2">IF(OR(HumControl=4,HumControl=5),VLOOKUP(B1,$A$88:$C$93,2,FALSE),0)</f>
        <v>5.8525008333333304E-3</v>
      </c>
      <c r="C7" s="327">
        <f t="shared" si="2"/>
        <v>6.7025327777777803E-3</v>
      </c>
      <c r="D7" s="327" t="e">
        <f t="shared" si="2"/>
        <v>#N/A</v>
      </c>
      <c r="E7" s="327">
        <f t="shared" si="2"/>
        <v>6.6991296296296304E-3</v>
      </c>
      <c r="F7" s="327" t="e">
        <f t="shared" si="2"/>
        <v>#N/A</v>
      </c>
      <c r="G7" s="327" t="e">
        <f t="shared" si="2"/>
        <v>#N/A</v>
      </c>
      <c r="H7" s="327">
        <f t="shared" si="2"/>
        <v>5.3373196851851899E-3</v>
      </c>
      <c r="I7" s="327" t="e">
        <f t="shared" si="2"/>
        <v>#N/A</v>
      </c>
      <c r="J7" s="327" t="e">
        <f t="shared" si="2"/>
        <v>#N/A</v>
      </c>
      <c r="K7" s="327" t="e">
        <f t="shared" si="2"/>
        <v>#N/A</v>
      </c>
      <c r="L7" s="327" t="e">
        <f t="shared" si="2"/>
        <v>#N/A</v>
      </c>
      <c r="M7" s="327" t="e">
        <f t="shared" si="2"/>
        <v>#N/A</v>
      </c>
      <c r="N7" s="327" t="e">
        <f t="shared" si="2"/>
        <v>#N/A</v>
      </c>
      <c r="O7" s="327" t="e">
        <f t="shared" si="2"/>
        <v>#N/A</v>
      </c>
      <c r="P7" s="327" t="e">
        <f t="shared" si="2"/>
        <v>#N/A</v>
      </c>
      <c r="Q7" s="327">
        <f t="shared" si="2"/>
        <v>6.2541690740740702E-3</v>
      </c>
      <c r="R7" s="327">
        <f t="shared" si="2"/>
        <v>7.192955E-3</v>
      </c>
    </row>
    <row r="8" spans="1:18" s="290" customFormat="1">
      <c r="A8" s="305" t="s">
        <v>1033</v>
      </c>
      <c r="B8" s="402">
        <f t="shared" ref="B8:R8" si="3">IF(OR(HumControl=6,HumControl=8,HumControl=11,HumControl=12),VLOOKUP(B1,$A$72:$E$78,2,FALSE),0)</f>
        <v>0</v>
      </c>
      <c r="C8" s="402">
        <f t="shared" si="3"/>
        <v>0</v>
      </c>
      <c r="D8" s="402">
        <f t="shared" si="3"/>
        <v>0</v>
      </c>
      <c r="E8" s="402">
        <f t="shared" si="3"/>
        <v>0</v>
      </c>
      <c r="F8" s="402">
        <f t="shared" si="3"/>
        <v>0</v>
      </c>
      <c r="G8" s="402">
        <f t="shared" si="3"/>
        <v>0</v>
      </c>
      <c r="H8" s="402">
        <f t="shared" si="3"/>
        <v>0</v>
      </c>
      <c r="I8" s="402">
        <f t="shared" si="3"/>
        <v>0</v>
      </c>
      <c r="J8" s="402">
        <f t="shared" si="3"/>
        <v>0</v>
      </c>
      <c r="K8" s="402">
        <f t="shared" si="3"/>
        <v>0</v>
      </c>
      <c r="L8" s="402">
        <f t="shared" si="3"/>
        <v>0</v>
      </c>
      <c r="M8" s="402">
        <f t="shared" si="3"/>
        <v>0</v>
      </c>
      <c r="N8" s="402">
        <f t="shared" si="3"/>
        <v>0</v>
      </c>
      <c r="O8" s="402">
        <f t="shared" si="3"/>
        <v>0</v>
      </c>
      <c r="P8" s="402">
        <f t="shared" si="3"/>
        <v>0</v>
      </c>
      <c r="Q8" s="402">
        <f t="shared" si="3"/>
        <v>0</v>
      </c>
      <c r="R8" s="402">
        <f t="shared" si="3"/>
        <v>0</v>
      </c>
    </row>
    <row r="9" spans="1:18" s="290" customFormat="1">
      <c r="A9" s="305" t="s">
        <v>1034</v>
      </c>
      <c r="B9" s="402">
        <f t="shared" ref="B9:R9" si="4">IF(OR(HumControl=6,HumControl=8,HumControl=11,HumControl=12),VLOOKUP(B1,$A$73:$E$78,3,FALSE),0)</f>
        <v>0</v>
      </c>
      <c r="C9" s="402">
        <f t="shared" si="4"/>
        <v>0</v>
      </c>
      <c r="D9" s="402">
        <f t="shared" si="4"/>
        <v>0</v>
      </c>
      <c r="E9" s="402">
        <f t="shared" si="4"/>
        <v>0</v>
      </c>
      <c r="F9" s="402">
        <f t="shared" si="4"/>
        <v>0</v>
      </c>
      <c r="G9" s="402">
        <f t="shared" si="4"/>
        <v>0</v>
      </c>
      <c r="H9" s="402">
        <f t="shared" si="4"/>
        <v>0</v>
      </c>
      <c r="I9" s="402">
        <f t="shared" si="4"/>
        <v>0</v>
      </c>
      <c r="J9" s="402">
        <f t="shared" si="4"/>
        <v>0</v>
      </c>
      <c r="K9" s="402">
        <f t="shared" si="4"/>
        <v>0</v>
      </c>
      <c r="L9" s="402">
        <f t="shared" si="4"/>
        <v>0</v>
      </c>
      <c r="M9" s="402">
        <f t="shared" si="4"/>
        <v>0</v>
      </c>
      <c r="N9" s="402">
        <f t="shared" si="4"/>
        <v>0</v>
      </c>
      <c r="O9" s="402">
        <f t="shared" si="4"/>
        <v>0</v>
      </c>
      <c r="P9" s="402">
        <f t="shared" si="4"/>
        <v>0</v>
      </c>
      <c r="Q9" s="402">
        <f t="shared" si="4"/>
        <v>0</v>
      </c>
      <c r="R9" s="402">
        <f t="shared" si="4"/>
        <v>0</v>
      </c>
    </row>
    <row r="10" spans="1:18" s="290" customFormat="1">
      <c r="A10" s="305" t="s">
        <v>1035</v>
      </c>
      <c r="B10" s="402">
        <f t="shared" ref="B10:R10" si="5">IF(OR(HumControl=6,HumControl=8,HumControl=11,HumControl=12),VLOOKUP(B1,$A$73:$E$78,4,FALSE),IF(HumControl=7,VLOOKUP(B1,$A$80:$C$85,2,FALSE),IF(HumControl=9,VLOOKUP(B1,$A$80:$E$85,4,FALSE),0)))</f>
        <v>0</v>
      </c>
      <c r="C10" s="402">
        <f t="shared" si="5"/>
        <v>0</v>
      </c>
      <c r="D10" s="402">
        <f t="shared" si="5"/>
        <v>0</v>
      </c>
      <c r="E10" s="402">
        <f t="shared" si="5"/>
        <v>0</v>
      </c>
      <c r="F10" s="402">
        <f t="shared" si="5"/>
        <v>0</v>
      </c>
      <c r="G10" s="402">
        <f t="shared" si="5"/>
        <v>0</v>
      </c>
      <c r="H10" s="402">
        <f t="shared" si="5"/>
        <v>0</v>
      </c>
      <c r="I10" s="402">
        <f t="shared" si="5"/>
        <v>0</v>
      </c>
      <c r="J10" s="402">
        <f t="shared" si="5"/>
        <v>0</v>
      </c>
      <c r="K10" s="402">
        <f t="shared" si="5"/>
        <v>0</v>
      </c>
      <c r="L10" s="402">
        <f t="shared" si="5"/>
        <v>0</v>
      </c>
      <c r="M10" s="402">
        <f t="shared" si="5"/>
        <v>0</v>
      </c>
      <c r="N10" s="402">
        <f t="shared" si="5"/>
        <v>0</v>
      </c>
      <c r="O10" s="402">
        <f t="shared" si="5"/>
        <v>0</v>
      </c>
      <c r="P10" s="402">
        <f t="shared" si="5"/>
        <v>0</v>
      </c>
      <c r="Q10" s="402">
        <f t="shared" si="5"/>
        <v>0</v>
      </c>
      <c r="R10" s="402">
        <f t="shared" si="5"/>
        <v>0</v>
      </c>
    </row>
    <row r="11" spans="1:18" s="290" customFormat="1">
      <c r="A11" s="305" t="s">
        <v>1036</v>
      </c>
      <c r="B11" s="402">
        <f>IF(OR(HumControl=6,HumControl=8,HumControl=11,HumControl=12),VLOOKUP(InputFiles!C1,Humidity!$A$72:$E$78,5,FALSE),IF(HumControl=7,VLOOKUP(InputFiles!C1,Humidity!$A$80:$C$85,3,FALSE),IF(HumControl=9,VLOOKUP(InputFiles!C1,Humidity!$A$79:$E$85,5,FALSE),0)))</f>
        <v>0</v>
      </c>
      <c r="C11" s="402">
        <f>IF(OR(HumControl=6,HumControl=8,HumControl=11,HumControl=12),VLOOKUP(InputFiles!D1,Humidity!$A$72:$E$78,5,FALSE),IF(HumControl=7,VLOOKUP(InputFiles!D1,Humidity!$A$80:$C$85,3,FALSE),IF(HumControl=9,VLOOKUP(InputFiles!D1,Humidity!$A$79:$E$85,5,FALSE),0)))</f>
        <v>0</v>
      </c>
      <c r="D11" s="402">
        <f>IF(OR(HumControl=6,HumControl=8,HumControl=11,HumControl=12),VLOOKUP(InputFiles!E1,Humidity!$A$72:$E$78,5,FALSE),IF(HumControl=7,VLOOKUP(InputFiles!E1,Humidity!$A$80:$C$85,3,FALSE),IF(HumControl=9,VLOOKUP(InputFiles!E1,Humidity!$A$79:$E$85,5,FALSE),0)))</f>
        <v>0</v>
      </c>
      <c r="E11" s="402">
        <f>IF(OR(HumControl=6,HumControl=8,HumControl=11,HumControl=12),VLOOKUP(InputFiles!F1,Humidity!$A$72:$E$78,5,FALSE),IF(HumControl=7,VLOOKUP(InputFiles!F1,Humidity!$A$80:$C$85,3,FALSE),IF(HumControl=9,VLOOKUP(InputFiles!F1,Humidity!$A$79:$E$85,5,FALSE),0)))</f>
        <v>0</v>
      </c>
      <c r="F11" s="402">
        <f>IF(OR(HumControl=6,HumControl=8,HumControl=11,HumControl=12),VLOOKUP(InputFiles!G1,Humidity!$A$72:$E$78,5,FALSE),IF(HumControl=7,VLOOKUP(InputFiles!G1,Humidity!$A$80:$C$85,3,FALSE),IF(HumControl=9,VLOOKUP(InputFiles!G1,Humidity!$A$79:$E$85,5,FALSE),0)))</f>
        <v>0</v>
      </c>
      <c r="G11" s="402">
        <f>IF(OR(HumControl=6,HumControl=8,HumControl=11,HumControl=12),VLOOKUP(InputFiles!H1,Humidity!$A$72:$E$78,5,FALSE),IF(HumControl=7,VLOOKUP(InputFiles!H1,Humidity!$A$80:$C$85,3,FALSE),IF(HumControl=9,VLOOKUP(InputFiles!H1,Humidity!$A$79:$E$85,5,FALSE),0)))</f>
        <v>0</v>
      </c>
      <c r="H11" s="402">
        <f>IF(OR(HumControl=6,HumControl=8,HumControl=11,HumControl=12),VLOOKUP(InputFiles!I1,Humidity!$A$72:$E$78,5,FALSE),IF(HumControl=7,VLOOKUP(InputFiles!I1,Humidity!$A$80:$C$85,3,FALSE),IF(HumControl=9,VLOOKUP(InputFiles!I1,Humidity!$A$79:$E$85,5,FALSE),0)))</f>
        <v>0</v>
      </c>
      <c r="I11" s="402">
        <f>IF(OR(HumControl=6,HumControl=8,HumControl=11,HumControl=12),VLOOKUP(InputFiles!J1,Humidity!$A$72:$E$78,5,FALSE),IF(HumControl=7,VLOOKUP(InputFiles!J1,Humidity!$A$80:$C$85,3,FALSE),IF(HumControl=9,VLOOKUP(InputFiles!J1,Humidity!$A$79:$E$85,5,FALSE),0)))</f>
        <v>0</v>
      </c>
      <c r="J11" s="402">
        <f>IF(OR(HumControl=6,HumControl=8,HumControl=11,HumControl=12),VLOOKUP(InputFiles!K1,Humidity!$A$72:$E$78,5,FALSE),IF(HumControl=7,VLOOKUP(InputFiles!K1,Humidity!$A$80:$C$85,3,FALSE),IF(HumControl=9,VLOOKUP(InputFiles!K1,Humidity!$A$79:$E$85,5,FALSE),0)))</f>
        <v>0</v>
      </c>
      <c r="K11" s="402">
        <f>IF(OR(HumControl=6,HumControl=8,HumControl=11,HumControl=12),VLOOKUP(InputFiles!L1,Humidity!$A$72:$E$78,5,FALSE),IF(HumControl=7,VLOOKUP(InputFiles!L1,Humidity!$A$80:$C$85,3,FALSE),IF(HumControl=9,VLOOKUP(InputFiles!L1,Humidity!$A$79:$E$85,5,FALSE),0)))</f>
        <v>0</v>
      </c>
      <c r="L11" s="402">
        <f>IF(OR(HumControl=6,HumControl=8,HumControl=11,HumControl=12),VLOOKUP(InputFiles!M1,Humidity!$A$72:$E$78,5,FALSE),IF(HumControl=7,VLOOKUP(InputFiles!M1,Humidity!$A$80:$C$85,3,FALSE),IF(HumControl=9,VLOOKUP(InputFiles!M1,Humidity!$A$79:$E$85,5,FALSE),0)))</f>
        <v>0</v>
      </c>
      <c r="M11" s="402">
        <f>IF(OR(HumControl=6,HumControl=8,HumControl=11,HumControl=12),VLOOKUP(InputFiles!N1,Humidity!$A$72:$E$78,5,FALSE),IF(HumControl=7,VLOOKUP(InputFiles!N1,Humidity!$A$80:$C$85,3,FALSE),IF(HumControl=9,VLOOKUP(InputFiles!N1,Humidity!$A$79:$E$85,5,FALSE),0)))</f>
        <v>0</v>
      </c>
      <c r="N11" s="402">
        <f>IF(OR(HumControl=6,HumControl=8,HumControl=11,HumControl=12),VLOOKUP(InputFiles!O1,Humidity!$A$72:$E$78,5,FALSE),IF(HumControl=7,VLOOKUP(InputFiles!O1,Humidity!$A$80:$C$85,3,FALSE),IF(HumControl=9,VLOOKUP(InputFiles!O1,Humidity!$A$79:$E$85,5,FALSE),0)))</f>
        <v>0</v>
      </c>
      <c r="O11" s="402">
        <f>IF(OR(HumControl=6,HumControl=8,HumControl=11,HumControl=12),VLOOKUP(InputFiles!P1,Humidity!$A$72:$E$78,5,FALSE),IF(HumControl=7,VLOOKUP(InputFiles!P1,Humidity!$A$80:$C$85,3,FALSE),IF(HumControl=9,VLOOKUP(InputFiles!P1,Humidity!$A$79:$E$85,5,FALSE),0)))</f>
        <v>0</v>
      </c>
      <c r="P11" s="402">
        <f>IF(OR(HumControl=6,HumControl=8,HumControl=11,HumControl=12),VLOOKUP(InputFiles!Q1,Humidity!$A$72:$E$78,5,FALSE),IF(HumControl=7,VLOOKUP(InputFiles!Q1,Humidity!$A$80:$C$85,3,FALSE),IF(HumControl=9,VLOOKUP(InputFiles!Q1,Humidity!$A$79:$E$85,5,FALSE),0)))</f>
        <v>0</v>
      </c>
      <c r="Q11" s="402">
        <f>IF(OR(HumControl=6,HumControl=8,HumControl=11,HumControl=12),VLOOKUP(InputFiles!R1,Humidity!$A$72:$E$78,5,FALSE),IF(HumControl=7,VLOOKUP(InputFiles!R1,Humidity!$A$80:$C$85,3,FALSE),IF(HumControl=9,VLOOKUP(InputFiles!R1,Humidity!$A$79:$E$85,5,FALSE),0)))</f>
        <v>0</v>
      </c>
      <c r="R11" s="402">
        <f>IF(OR(HumControl=6,HumControl=8,HumControl=11,HumControl=12),VLOOKUP(InputFiles!S1,Humidity!$A$72:$E$78,5,FALSE),IF(HumControl=7,VLOOKUP(InputFiles!S1,Humidity!$A$80:$C$85,3,FALSE),IF(HumControl=9,VLOOKUP(InputFiles!S1,Humidity!$A$79:$E$85,5,FALSE),0)))</f>
        <v>0</v>
      </c>
    </row>
    <row r="12" spans="1:18" s="290" customFormat="1"/>
    <row r="13" spans="1:18">
      <c r="B13" t="s">
        <v>934</v>
      </c>
      <c r="C13" t="s">
        <v>935</v>
      </c>
      <c r="D13" t="s">
        <v>936</v>
      </c>
      <c r="E13" t="s">
        <v>937</v>
      </c>
      <c r="F13" t="s">
        <v>938</v>
      </c>
      <c r="G13" t="s">
        <v>939</v>
      </c>
    </row>
    <row r="15" spans="1:18">
      <c r="A15">
        <v>0.8</v>
      </c>
      <c r="B15">
        <v>1.7495639655071581E-2</v>
      </c>
      <c r="C15">
        <v>1.6671315555735852E-2</v>
      </c>
      <c r="D15">
        <v>1.6946467404812898E-2</v>
      </c>
      <c r="E15">
        <v>1.6233978925599475E-2</v>
      </c>
      <c r="F15">
        <v>1.4860263711200182E-2</v>
      </c>
      <c r="G15" s="290">
        <v>1.2014072889631714E-2</v>
      </c>
      <c r="H15" s="290"/>
      <c r="I15" s="290"/>
    </row>
    <row r="16" spans="1:18">
      <c r="A16">
        <v>0.85</v>
      </c>
      <c r="B16">
        <v>1.7944109583812755E-2</v>
      </c>
      <c r="C16">
        <v>1.7169766854873526E-2</v>
      </c>
      <c r="D16">
        <v>1.7557341277298431E-2</v>
      </c>
      <c r="E16">
        <v>1.6874931815280502E-2</v>
      </c>
      <c r="F16">
        <v>1.5786662448980832E-2</v>
      </c>
      <c r="G16" s="290">
        <v>1.3272681585791464E-2</v>
      </c>
      <c r="H16" s="290"/>
      <c r="I16" s="290"/>
    </row>
    <row r="17" spans="1:18">
      <c r="A17">
        <v>0.9</v>
      </c>
      <c r="B17">
        <v>1.8143650428724283E-2</v>
      </c>
      <c r="C17">
        <v>1.7707763234996277E-2</v>
      </c>
      <c r="D17">
        <v>1.8093565104086943E-2</v>
      </c>
      <c r="E17">
        <v>1.7457897967807213E-2</v>
      </c>
      <c r="F17">
        <v>1.6457918085888881E-2</v>
      </c>
      <c r="G17" s="290">
        <v>1.4623221193902717E-2</v>
      </c>
      <c r="H17" s="290"/>
      <c r="I17" s="290"/>
    </row>
    <row r="18" spans="1:18">
      <c r="A18">
        <v>0.95</v>
      </c>
      <c r="B18">
        <v>1.872183560196311E-2</v>
      </c>
      <c r="C18">
        <v>1.8128289130595596E-2</v>
      </c>
      <c r="D18">
        <v>1.8770057758820957E-2</v>
      </c>
      <c r="E18">
        <v>1.8175779549362243E-2</v>
      </c>
      <c r="F18">
        <v>1.7381085180644178E-2</v>
      </c>
      <c r="G18" s="290">
        <v>1.6159245924347556E-2</v>
      </c>
      <c r="H18" s="290"/>
      <c r="I18" s="290"/>
    </row>
    <row r="19" spans="1:18">
      <c r="A19">
        <v>0.99</v>
      </c>
      <c r="B19">
        <v>1.9417382853038893E-2</v>
      </c>
      <c r="C19">
        <v>1.8932229662738425E-2</v>
      </c>
      <c r="D19">
        <v>1.985578269617003E-2</v>
      </c>
      <c r="E19">
        <v>1.9491971911703244E-2</v>
      </c>
      <c r="F19">
        <v>1.8322290922037722E-2</v>
      </c>
      <c r="G19" s="290">
        <v>1.8170735998349296E-2</v>
      </c>
      <c r="H19" s="290"/>
      <c r="I19" s="290"/>
    </row>
    <row r="20" spans="1:18" s="290" customFormat="1"/>
    <row r="21" spans="1:18">
      <c r="A21" s="290" t="s">
        <v>940</v>
      </c>
      <c r="G21" s="290"/>
      <c r="H21" s="290"/>
      <c r="I21" s="290"/>
    </row>
    <row r="22" spans="1:18">
      <c r="A22" s="210" t="s">
        <v>866</v>
      </c>
      <c r="B22" s="290">
        <v>722020</v>
      </c>
      <c r="C22" s="290">
        <v>722430</v>
      </c>
      <c r="D22" s="290">
        <v>722780</v>
      </c>
      <c r="E22" s="290">
        <v>723340</v>
      </c>
      <c r="F22" s="290">
        <v>722700</v>
      </c>
      <c r="G22" s="290">
        <v>724940</v>
      </c>
      <c r="H22" s="290">
        <v>724060</v>
      </c>
      <c r="I22" s="290">
        <v>723650</v>
      </c>
      <c r="J22" s="290">
        <v>726940</v>
      </c>
      <c r="K22" s="290">
        <v>725300</v>
      </c>
      <c r="L22" s="290">
        <v>726810</v>
      </c>
      <c r="M22" s="290">
        <v>726170</v>
      </c>
      <c r="N22" s="290">
        <v>727720</v>
      </c>
      <c r="O22" s="290">
        <v>727450</v>
      </c>
      <c r="P22" s="290">
        <v>702610</v>
      </c>
      <c r="Q22" s="290">
        <v>722057</v>
      </c>
      <c r="R22" s="290">
        <v>722080</v>
      </c>
    </row>
    <row r="23" spans="1:18">
      <c r="A23" s="210" t="s">
        <v>669</v>
      </c>
      <c r="B23" s="290">
        <v>1.8143650428724283E-2</v>
      </c>
      <c r="C23" s="290">
        <v>1.8093565104086943E-2</v>
      </c>
      <c r="D23" s="290" t="s">
        <v>748</v>
      </c>
      <c r="E23" s="290">
        <v>1.6457918085888881E-2</v>
      </c>
      <c r="F23" s="290" t="s">
        <v>748</v>
      </c>
      <c r="G23" s="290" t="s">
        <v>748</v>
      </c>
      <c r="H23" s="290">
        <v>1.4623221193902717E-2</v>
      </c>
      <c r="I23" s="290" t="s">
        <v>748</v>
      </c>
      <c r="J23" s="290" t="s">
        <v>748</v>
      </c>
      <c r="K23" s="290" t="s">
        <v>748</v>
      </c>
      <c r="L23" s="290" t="s">
        <v>748</v>
      </c>
      <c r="M23" s="290" t="s">
        <v>748</v>
      </c>
      <c r="N23" s="290" t="s">
        <v>748</v>
      </c>
      <c r="O23" s="290" t="s">
        <v>748</v>
      </c>
      <c r="P23" s="290" t="s">
        <v>748</v>
      </c>
      <c r="Q23" s="290">
        <v>1.7707763234996277E-2</v>
      </c>
      <c r="R23" s="290">
        <v>1.7457897967807213E-2</v>
      </c>
    </row>
    <row r="24" spans="1:18">
      <c r="A24" s="290"/>
      <c r="B24" s="290"/>
      <c r="C24" s="290"/>
      <c r="D24" s="290"/>
      <c r="G24" s="290"/>
    </row>
    <row r="25" spans="1:18">
      <c r="A25" s="353" t="s">
        <v>941</v>
      </c>
      <c r="B25" s="290"/>
      <c r="C25" s="290"/>
      <c r="D25" s="290"/>
      <c r="G25" s="290"/>
    </row>
    <row r="26" spans="1:18">
      <c r="A26" s="210" t="s">
        <v>932</v>
      </c>
      <c r="B26" s="290"/>
      <c r="C26" s="290"/>
      <c r="D26" s="290"/>
      <c r="G26" s="290"/>
    </row>
    <row r="27" spans="1:18">
      <c r="A27" s="210" t="s">
        <v>639</v>
      </c>
      <c r="B27" s="290" t="s">
        <v>707</v>
      </c>
      <c r="C27" s="290" t="s">
        <v>656</v>
      </c>
      <c r="D27" s="290" t="s">
        <v>657</v>
      </c>
      <c r="E27" s="290" t="s">
        <v>658</v>
      </c>
      <c r="F27" s="290" t="s">
        <v>659</v>
      </c>
      <c r="G27" s="290" t="s">
        <v>660</v>
      </c>
      <c r="H27" s="290" t="s">
        <v>661</v>
      </c>
      <c r="I27" s="290" t="s">
        <v>662</v>
      </c>
      <c r="J27" s="290" t="s">
        <v>663</v>
      </c>
      <c r="K27" s="290" t="s">
        <v>664</v>
      </c>
      <c r="L27" s="290" t="s">
        <v>665</v>
      </c>
      <c r="M27" s="290" t="s">
        <v>666</v>
      </c>
      <c r="N27" s="290" t="s">
        <v>667</v>
      </c>
      <c r="O27" s="341">
        <v>7</v>
      </c>
      <c r="P27" s="341">
        <v>8</v>
      </c>
      <c r="Q27" s="290"/>
      <c r="R27" s="290"/>
    </row>
    <row r="28" spans="1:18">
      <c r="A28" s="210" t="s">
        <v>865</v>
      </c>
      <c r="B28" s="290" t="s">
        <v>850</v>
      </c>
      <c r="C28" s="290" t="s">
        <v>851</v>
      </c>
      <c r="D28" s="290" t="s">
        <v>852</v>
      </c>
      <c r="E28" s="290" t="s">
        <v>853</v>
      </c>
      <c r="F28" s="290" t="s">
        <v>854</v>
      </c>
      <c r="G28" s="290" t="s">
        <v>855</v>
      </c>
      <c r="H28" s="290" t="s">
        <v>856</v>
      </c>
      <c r="I28" s="290" t="s">
        <v>857</v>
      </c>
      <c r="J28" s="290" t="s">
        <v>858</v>
      </c>
      <c r="K28" s="290" t="s">
        <v>859</v>
      </c>
      <c r="L28" s="290" t="s">
        <v>860</v>
      </c>
      <c r="M28" s="290" t="s">
        <v>861</v>
      </c>
      <c r="N28" s="290" t="s">
        <v>862</v>
      </c>
      <c r="O28" s="290" t="s">
        <v>863</v>
      </c>
      <c r="P28" s="290" t="s">
        <v>864</v>
      </c>
      <c r="Q28" s="290" t="s">
        <v>908</v>
      </c>
      <c r="R28" s="290" t="s">
        <v>909</v>
      </c>
    </row>
    <row r="29" spans="1:18">
      <c r="A29" s="210" t="s">
        <v>866</v>
      </c>
      <c r="B29" s="290">
        <v>722020</v>
      </c>
      <c r="C29" s="290">
        <v>722430</v>
      </c>
      <c r="D29" s="290">
        <v>722780</v>
      </c>
      <c r="E29" s="290">
        <v>723340</v>
      </c>
      <c r="F29" s="290">
        <v>722700</v>
      </c>
      <c r="G29" s="290">
        <v>724940</v>
      </c>
      <c r="H29" s="290">
        <v>724060</v>
      </c>
      <c r="I29" s="290">
        <v>723650</v>
      </c>
      <c r="J29" s="290">
        <v>726940</v>
      </c>
      <c r="K29" s="290">
        <v>725300</v>
      </c>
      <c r="L29" s="290">
        <v>726810</v>
      </c>
      <c r="M29" s="290">
        <v>726170</v>
      </c>
      <c r="N29" s="290">
        <v>727720</v>
      </c>
      <c r="O29" s="290">
        <v>727450</v>
      </c>
      <c r="P29" s="290">
        <v>702610</v>
      </c>
      <c r="Q29" s="290">
        <v>722057</v>
      </c>
      <c r="R29" s="290">
        <v>722080</v>
      </c>
    </row>
    <row r="30" spans="1:18">
      <c r="A30" s="210" t="s">
        <v>669</v>
      </c>
      <c r="B30" s="354">
        <v>-9.2318999999999995E-3</v>
      </c>
      <c r="C30" s="354">
        <f>B30-0.0007134257</f>
        <v>-9.9453257000000003E-3</v>
      </c>
      <c r="D30" s="354" t="s">
        <v>748</v>
      </c>
      <c r="E30" s="354">
        <f>B30+0.00001815469</f>
        <v>-9.2137453100000002E-3</v>
      </c>
      <c r="F30" s="354" t="s">
        <v>748</v>
      </c>
      <c r="G30" s="354" t="s">
        <v>748</v>
      </c>
      <c r="H30" s="354">
        <f>B30+ 0.0003334949</f>
        <v>-8.8984050999999995E-3</v>
      </c>
      <c r="I30" s="354" t="s">
        <v>748</v>
      </c>
      <c r="J30" s="354" t="s">
        <v>748</v>
      </c>
      <c r="K30" s="354" t="s">
        <v>748</v>
      </c>
      <c r="L30" s="354" t="s">
        <v>748</v>
      </c>
      <c r="M30" s="354" t="s">
        <v>748</v>
      </c>
      <c r="N30" s="354" t="s">
        <v>748</v>
      </c>
      <c r="O30" s="354" t="s">
        <v>748</v>
      </c>
      <c r="P30" s="354" t="s">
        <v>748</v>
      </c>
      <c r="Q30" s="354">
        <f>B30-0.0001231346</f>
        <v>-9.3550345999999993E-3</v>
      </c>
      <c r="R30" s="354">
        <f>B30-0.0009062274</f>
        <v>-1.0138127399999999E-2</v>
      </c>
    </row>
    <row r="31" spans="1:18">
      <c r="B31" s="290"/>
      <c r="C31" s="290"/>
      <c r="D31" s="290"/>
      <c r="E31" s="290"/>
      <c r="F31" s="290"/>
      <c r="G31" s="290"/>
      <c r="H31" s="290"/>
      <c r="I31" s="290"/>
      <c r="J31" s="290"/>
      <c r="K31" s="290"/>
      <c r="L31" s="290"/>
      <c r="M31" s="290"/>
      <c r="N31" s="290"/>
      <c r="O31" s="290"/>
      <c r="P31" s="290"/>
    </row>
    <row r="32" spans="1:18">
      <c r="A32" s="210" t="s">
        <v>933</v>
      </c>
      <c r="B32" s="266"/>
      <c r="C32" s="314"/>
      <c r="D32" s="314"/>
      <c r="E32" s="314"/>
      <c r="F32" s="314"/>
      <c r="G32" s="314"/>
      <c r="H32" s="314"/>
      <c r="I32" s="314"/>
      <c r="J32" s="314"/>
      <c r="K32" s="314"/>
      <c r="L32" s="314"/>
      <c r="M32" s="314"/>
      <c r="N32" s="314"/>
      <c r="O32" s="314"/>
      <c r="P32" s="266"/>
    </row>
    <row r="33" spans="1:21">
      <c r="A33" s="210" t="s">
        <v>639</v>
      </c>
      <c r="B33" s="290" t="s">
        <v>707</v>
      </c>
      <c r="C33" s="290" t="s">
        <v>656</v>
      </c>
      <c r="D33" s="290" t="s">
        <v>657</v>
      </c>
      <c r="E33" s="290" t="s">
        <v>658</v>
      </c>
      <c r="F33" s="290" t="s">
        <v>659</v>
      </c>
      <c r="G33" s="290" t="s">
        <v>660</v>
      </c>
      <c r="H33" s="290" t="s">
        <v>661</v>
      </c>
      <c r="I33" s="290" t="s">
        <v>662</v>
      </c>
      <c r="J33" s="290" t="s">
        <v>663</v>
      </c>
      <c r="K33" s="290" t="s">
        <v>664</v>
      </c>
      <c r="L33" s="290" t="s">
        <v>665</v>
      </c>
      <c r="M33" s="290" t="s">
        <v>666</v>
      </c>
      <c r="N33" s="290" t="s">
        <v>667</v>
      </c>
      <c r="O33" s="341">
        <v>7</v>
      </c>
      <c r="P33" s="341">
        <v>8</v>
      </c>
      <c r="Q33" s="290"/>
      <c r="R33" s="290"/>
    </row>
    <row r="34" spans="1:21">
      <c r="A34" s="210" t="s">
        <v>865</v>
      </c>
      <c r="B34" s="290" t="s">
        <v>850</v>
      </c>
      <c r="C34" s="290" t="s">
        <v>851</v>
      </c>
      <c r="D34" s="290" t="s">
        <v>852</v>
      </c>
      <c r="E34" s="290" t="s">
        <v>853</v>
      </c>
      <c r="F34" s="290" t="s">
        <v>854</v>
      </c>
      <c r="G34" s="290" t="s">
        <v>855</v>
      </c>
      <c r="H34" s="290" t="s">
        <v>856</v>
      </c>
      <c r="I34" s="290" t="s">
        <v>857</v>
      </c>
      <c r="J34" s="290" t="s">
        <v>858</v>
      </c>
      <c r="K34" s="290" t="s">
        <v>859</v>
      </c>
      <c r="L34" s="290" t="s">
        <v>860</v>
      </c>
      <c r="M34" s="290" t="s">
        <v>861</v>
      </c>
      <c r="N34" s="290" t="s">
        <v>862</v>
      </c>
      <c r="O34" s="290" t="s">
        <v>863</v>
      </c>
      <c r="P34" s="290" t="s">
        <v>864</v>
      </c>
      <c r="Q34" s="290" t="s">
        <v>908</v>
      </c>
      <c r="R34" s="290" t="s">
        <v>909</v>
      </c>
    </row>
    <row r="35" spans="1:21">
      <c r="A35" s="210" t="s">
        <v>866</v>
      </c>
      <c r="B35" s="290">
        <v>722020</v>
      </c>
      <c r="C35" s="290">
        <v>722430</v>
      </c>
      <c r="D35" s="290">
        <v>722780</v>
      </c>
      <c r="E35" s="290">
        <v>723340</v>
      </c>
      <c r="F35" s="290">
        <v>722700</v>
      </c>
      <c r="G35" s="290">
        <v>724940</v>
      </c>
      <c r="H35" s="290">
        <v>724060</v>
      </c>
      <c r="I35" s="290">
        <v>723650</v>
      </c>
      <c r="J35" s="290">
        <v>726940</v>
      </c>
      <c r="K35" s="290">
        <v>725300</v>
      </c>
      <c r="L35" s="290">
        <v>726810</v>
      </c>
      <c r="M35" s="290">
        <v>726170</v>
      </c>
      <c r="N35" s="290">
        <v>727720</v>
      </c>
      <c r="O35" s="290">
        <v>727450</v>
      </c>
      <c r="P35" s="290">
        <v>702610</v>
      </c>
      <c r="Q35" s="290">
        <v>722057</v>
      </c>
      <c r="R35" s="290">
        <v>722080</v>
      </c>
    </row>
    <row r="36" spans="1:21">
      <c r="A36" s="210" t="s">
        <v>669</v>
      </c>
      <c r="B36" s="290">
        <v>8.4997935999999996E-3</v>
      </c>
      <c r="C36" s="290">
        <f>B36+0.0007116777</f>
        <v>9.2114712999999994E-3</v>
      </c>
      <c r="D36" s="290" t="s">
        <v>748</v>
      </c>
      <c r="E36" s="290">
        <f>B36-0.0014466751</f>
        <v>7.0531184999999995E-3</v>
      </c>
      <c r="F36" s="290" t="s">
        <v>748</v>
      </c>
      <c r="G36" s="290" t="s">
        <v>748</v>
      </c>
      <c r="H36" s="290">
        <f>B36-0.0018362786</f>
        <v>6.6635150000000001E-3</v>
      </c>
      <c r="I36" s="290" t="s">
        <v>748</v>
      </c>
      <c r="J36" s="290" t="s">
        <v>748</v>
      </c>
      <c r="K36" s="290" t="s">
        <v>748</v>
      </c>
      <c r="L36" s="290" t="s">
        <v>748</v>
      </c>
      <c r="M36" s="290" t="s">
        <v>748</v>
      </c>
      <c r="N36" s="290" t="s">
        <v>748</v>
      </c>
      <c r="O36" s="290" t="s">
        <v>748</v>
      </c>
      <c r="P36" s="290" t="s">
        <v>748</v>
      </c>
      <c r="Q36" s="290">
        <f>B36-0.000011915</f>
        <v>8.4878786000000001E-3</v>
      </c>
      <c r="R36" s="290">
        <f>B36+0.0009016638</f>
        <v>9.4014574000000004E-3</v>
      </c>
    </row>
    <row r="39" spans="1:21">
      <c r="A39" s="210" t="s">
        <v>955</v>
      </c>
    </row>
    <row r="40" spans="1:21" s="290" customFormat="1">
      <c r="A40" s="210" t="s">
        <v>639</v>
      </c>
      <c r="B40" s="290" t="s">
        <v>707</v>
      </c>
      <c r="C40" s="290" t="s">
        <v>656</v>
      </c>
      <c r="D40" s="290" t="s">
        <v>657</v>
      </c>
      <c r="E40" s="290" t="s">
        <v>658</v>
      </c>
      <c r="F40" s="290" t="s">
        <v>659</v>
      </c>
      <c r="G40" s="290" t="s">
        <v>660</v>
      </c>
      <c r="H40" s="290" t="s">
        <v>661</v>
      </c>
      <c r="I40" s="290" t="s">
        <v>662</v>
      </c>
      <c r="J40" s="290" t="s">
        <v>663</v>
      </c>
      <c r="K40" s="290" t="s">
        <v>664</v>
      </c>
      <c r="L40" s="290" t="s">
        <v>665</v>
      </c>
      <c r="M40" s="290" t="s">
        <v>666</v>
      </c>
      <c r="N40" s="290" t="s">
        <v>667</v>
      </c>
      <c r="O40" s="341">
        <v>7</v>
      </c>
      <c r="P40" s="341">
        <v>8</v>
      </c>
    </row>
    <row r="41" spans="1:21">
      <c r="A41" s="210" t="s">
        <v>956</v>
      </c>
      <c r="B41" s="290" t="s">
        <v>850</v>
      </c>
      <c r="C41" s="290" t="s">
        <v>851</v>
      </c>
      <c r="D41" s="290" t="s">
        <v>852</v>
      </c>
      <c r="E41" s="290" t="s">
        <v>853</v>
      </c>
      <c r="F41" s="290" t="s">
        <v>854</v>
      </c>
      <c r="G41" s="290" t="s">
        <v>855</v>
      </c>
      <c r="H41" s="290" t="s">
        <v>856</v>
      </c>
      <c r="I41" s="290" t="s">
        <v>857</v>
      </c>
      <c r="J41" s="290" t="s">
        <v>858</v>
      </c>
      <c r="K41" s="290" t="s">
        <v>859</v>
      </c>
      <c r="L41" s="290" t="s">
        <v>860</v>
      </c>
      <c r="M41" s="290" t="s">
        <v>861</v>
      </c>
      <c r="N41" s="290" t="s">
        <v>862</v>
      </c>
      <c r="O41" s="290" t="s">
        <v>863</v>
      </c>
      <c r="P41" s="290" t="s">
        <v>864</v>
      </c>
      <c r="Q41" s="290" t="s">
        <v>908</v>
      </c>
      <c r="R41" s="290" t="s">
        <v>909</v>
      </c>
    </row>
    <row r="42" spans="1:21">
      <c r="A42" s="290" t="s">
        <v>943</v>
      </c>
      <c r="B42" s="326">
        <v>7.6169999999999996E-3</v>
      </c>
      <c r="C42" s="326">
        <v>3.7669999999999999E-3</v>
      </c>
      <c r="D42" s="326"/>
      <c r="E42" s="326">
        <v>2.1570000000000001E-3</v>
      </c>
      <c r="F42" s="326"/>
      <c r="G42" s="326"/>
      <c r="H42" s="326">
        <v>1.544E-3</v>
      </c>
      <c r="I42" s="326"/>
      <c r="J42" s="326"/>
      <c r="K42" s="326"/>
      <c r="L42" s="326"/>
      <c r="M42" s="326"/>
      <c r="N42" s="326"/>
      <c r="O42" s="326"/>
      <c r="P42" s="326"/>
      <c r="Q42" s="326">
        <v>6.8250000000000003E-3</v>
      </c>
      <c r="R42" s="326">
        <v>3.4429999999999999E-3</v>
      </c>
      <c r="T42" s="290"/>
      <c r="U42" s="290"/>
    </row>
    <row r="43" spans="1:21">
      <c r="A43" s="290" t="s">
        <v>944</v>
      </c>
      <c r="B43" s="326">
        <v>7.8799999999999999E-3</v>
      </c>
      <c r="C43" s="326">
        <v>3.6329999999999999E-3</v>
      </c>
      <c r="D43" s="326"/>
      <c r="E43" s="326">
        <v>1.9650000000000002E-3</v>
      </c>
      <c r="F43" s="326"/>
      <c r="G43" s="326"/>
      <c r="H43" s="326">
        <v>1.6559999999999999E-3</v>
      </c>
      <c r="I43" s="326"/>
      <c r="J43" s="326"/>
      <c r="K43" s="326"/>
      <c r="L43" s="326"/>
      <c r="M43" s="326"/>
      <c r="N43" s="326"/>
      <c r="O43" s="326"/>
      <c r="P43" s="326"/>
      <c r="Q43" s="326">
        <v>6.6210000000000001E-3</v>
      </c>
      <c r="R43" s="326">
        <v>2.928E-3</v>
      </c>
      <c r="T43" s="290"/>
      <c r="U43" s="290"/>
    </row>
    <row r="44" spans="1:21">
      <c r="A44" s="290" t="s">
        <v>945</v>
      </c>
      <c r="B44" s="326">
        <v>8.541E-3</v>
      </c>
      <c r="C44" s="326">
        <v>4.7939999999999997E-3</v>
      </c>
      <c r="D44" s="326"/>
      <c r="E44" s="326">
        <v>3.9420000000000002E-3</v>
      </c>
      <c r="F44" s="326"/>
      <c r="G44" s="326"/>
      <c r="H44" s="326">
        <v>2.088E-3</v>
      </c>
      <c r="I44" s="326"/>
      <c r="J44" s="326"/>
      <c r="K44" s="326"/>
      <c r="L44" s="326"/>
      <c r="M44" s="326"/>
      <c r="N44" s="326"/>
      <c r="O44" s="326"/>
      <c r="P44" s="326"/>
      <c r="Q44" s="326">
        <v>4.6239999999999996E-3</v>
      </c>
      <c r="R44" s="326">
        <v>4.9439999999999996E-3</v>
      </c>
      <c r="T44" s="290"/>
      <c r="U44" s="290"/>
    </row>
    <row r="45" spans="1:21">
      <c r="A45" s="290" t="s">
        <v>946</v>
      </c>
      <c r="B45" s="326">
        <v>1.1350000000000001E-2</v>
      </c>
      <c r="C45" s="326">
        <v>9.1559999999999992E-3</v>
      </c>
      <c r="D45" s="326"/>
      <c r="E45" s="326">
        <v>4.6220000000000002E-3</v>
      </c>
      <c r="F45" s="326"/>
      <c r="G45" s="326"/>
      <c r="H45" s="326">
        <v>4.0499999999999998E-3</v>
      </c>
      <c r="I45" s="326"/>
      <c r="J45" s="326"/>
      <c r="K45" s="326"/>
      <c r="L45" s="326"/>
      <c r="M45" s="326"/>
      <c r="N45" s="326"/>
      <c r="O45" s="326"/>
      <c r="P45" s="326"/>
      <c r="Q45" s="326">
        <v>8.0610000000000005E-3</v>
      </c>
      <c r="R45" s="326">
        <v>6.4580000000000002E-3</v>
      </c>
      <c r="T45" s="290"/>
      <c r="U45" s="290"/>
    </row>
    <row r="46" spans="1:21">
      <c r="A46" s="290" t="s">
        <v>947</v>
      </c>
      <c r="B46" s="326">
        <v>1.4200000000000001E-2</v>
      </c>
      <c r="C46" s="326">
        <v>1.2579999999999999E-2</v>
      </c>
      <c r="D46" s="326"/>
      <c r="E46" s="326">
        <v>8.8590000000000006E-3</v>
      </c>
      <c r="F46" s="326"/>
      <c r="G46" s="326"/>
      <c r="H46" s="326">
        <v>5.8789999999999997E-3</v>
      </c>
      <c r="I46" s="326"/>
      <c r="J46" s="326"/>
      <c r="K46" s="326"/>
      <c r="L46" s="326"/>
      <c r="M46" s="326"/>
      <c r="N46" s="326"/>
      <c r="O46" s="326"/>
      <c r="P46" s="326"/>
      <c r="Q46" s="326">
        <v>1.0699999999999999E-2</v>
      </c>
      <c r="R46" s="326">
        <v>1.091E-2</v>
      </c>
      <c r="T46" s="290"/>
      <c r="U46" s="290"/>
    </row>
    <row r="47" spans="1:21">
      <c r="A47" s="290" t="s">
        <v>948</v>
      </c>
      <c r="B47" s="326">
        <v>1.6289999999999999E-2</v>
      </c>
      <c r="C47" s="326">
        <v>1.6219999999999998E-2</v>
      </c>
      <c r="D47" s="326"/>
      <c r="E47" s="326">
        <v>1.2749999999999999E-2</v>
      </c>
      <c r="F47" s="326"/>
      <c r="G47" s="326"/>
      <c r="H47" s="326">
        <v>9.5149999999999992E-3</v>
      </c>
      <c r="I47" s="326"/>
      <c r="J47" s="326"/>
      <c r="K47" s="326"/>
      <c r="L47" s="326"/>
      <c r="M47" s="326"/>
      <c r="N47" s="326"/>
      <c r="O47" s="326"/>
      <c r="P47" s="326"/>
      <c r="Q47" s="326">
        <v>1.371E-2</v>
      </c>
      <c r="R47" s="326">
        <v>1.4019999999999999E-2</v>
      </c>
      <c r="T47" s="290"/>
      <c r="U47" s="290"/>
    </row>
    <row r="48" spans="1:21">
      <c r="A48" s="290" t="s">
        <v>949</v>
      </c>
      <c r="B48" s="326">
        <v>1.6670000000000001E-2</v>
      </c>
      <c r="C48" s="326">
        <v>1.6740000000000001E-2</v>
      </c>
      <c r="D48" s="326"/>
      <c r="E48" s="326">
        <v>1.426E-2</v>
      </c>
      <c r="F48" s="326"/>
      <c r="G48" s="326"/>
      <c r="H48" s="326">
        <v>1.163E-2</v>
      </c>
      <c r="I48" s="326"/>
      <c r="J48" s="326"/>
      <c r="K48" s="326"/>
      <c r="L48" s="326"/>
      <c r="M48" s="326"/>
      <c r="N48" s="326"/>
      <c r="O48" s="326"/>
      <c r="P48" s="326"/>
      <c r="Q48" s="326">
        <v>1.668E-2</v>
      </c>
      <c r="R48" s="326">
        <v>1.6289999999999999E-2</v>
      </c>
      <c r="T48" s="290"/>
      <c r="U48" s="290"/>
    </row>
    <row r="49" spans="1:21">
      <c r="A49" s="290" t="s">
        <v>950</v>
      </c>
      <c r="B49" s="326">
        <v>1.686E-2</v>
      </c>
      <c r="C49" s="326">
        <v>1.6830000000000001E-2</v>
      </c>
      <c r="D49" s="503"/>
      <c r="E49" s="504">
        <v>1.239E-2</v>
      </c>
      <c r="F49" s="503"/>
      <c r="G49" s="503"/>
      <c r="H49" s="504">
        <v>1.059E-2</v>
      </c>
      <c r="I49" s="504"/>
      <c r="J49" s="503"/>
      <c r="K49" s="503"/>
      <c r="L49" s="503"/>
      <c r="M49" s="503"/>
      <c r="N49" s="503"/>
      <c r="O49" s="503"/>
      <c r="P49" s="503"/>
      <c r="Q49" s="326">
        <v>1.6760000000000001E-2</v>
      </c>
      <c r="R49" s="326">
        <v>1.626E-2</v>
      </c>
      <c r="T49" s="290"/>
      <c r="U49" s="290"/>
    </row>
    <row r="50" spans="1:21">
      <c r="A50" s="290" t="s">
        <v>951</v>
      </c>
      <c r="B50" s="326">
        <v>1.6320000000000001E-2</v>
      </c>
      <c r="C50" s="326">
        <v>1.145E-2</v>
      </c>
      <c r="D50" s="326"/>
      <c r="E50" s="326">
        <v>1.0970000000000001E-2</v>
      </c>
      <c r="F50" s="326"/>
      <c r="G50" s="326"/>
      <c r="H50" s="326">
        <v>8.8909999999999996E-3</v>
      </c>
      <c r="I50" s="326"/>
      <c r="J50" s="326"/>
      <c r="K50" s="326"/>
      <c r="L50" s="326"/>
      <c r="M50" s="326"/>
      <c r="N50" s="326"/>
      <c r="O50" s="326"/>
      <c r="P50" s="326"/>
      <c r="Q50" s="326">
        <v>1.404E-2</v>
      </c>
      <c r="R50" s="326">
        <v>1.3559999999999999E-2</v>
      </c>
      <c r="T50" s="290"/>
      <c r="U50" s="290"/>
    </row>
    <row r="51" spans="1:21">
      <c r="A51" s="290" t="s">
        <v>952</v>
      </c>
      <c r="B51" s="326">
        <v>1.4590000000000001E-2</v>
      </c>
      <c r="C51" s="326">
        <v>7.8910000000000004E-3</v>
      </c>
      <c r="D51" s="326"/>
      <c r="E51" s="326">
        <v>5.4270000000000004E-3</v>
      </c>
      <c r="F51" s="326"/>
      <c r="G51" s="326"/>
      <c r="H51" s="326">
        <v>3.9449999999999997E-3</v>
      </c>
      <c r="I51" s="326"/>
      <c r="J51" s="326"/>
      <c r="K51" s="326"/>
      <c r="L51" s="326"/>
      <c r="M51" s="326"/>
      <c r="N51" s="326"/>
      <c r="O51" s="326"/>
      <c r="P51" s="326"/>
      <c r="Q51" s="326">
        <v>1.0500000000000001E-2</v>
      </c>
      <c r="R51" s="326">
        <v>7.4929999999999997E-3</v>
      </c>
      <c r="T51" s="290"/>
      <c r="U51" s="290"/>
    </row>
    <row r="52" spans="1:21">
      <c r="A52" s="290" t="s">
        <v>953</v>
      </c>
      <c r="B52" s="326">
        <v>1.225E-2</v>
      </c>
      <c r="C52" s="326">
        <v>6.0429999999999998E-3</v>
      </c>
      <c r="D52" s="326"/>
      <c r="E52" s="326">
        <v>4.2989999999999999E-3</v>
      </c>
      <c r="F52" s="326"/>
      <c r="G52" s="326"/>
      <c r="H52" s="326">
        <v>3.2200000000000002E-3</v>
      </c>
      <c r="I52" s="326"/>
      <c r="J52" s="326"/>
      <c r="K52" s="326"/>
      <c r="L52" s="326"/>
      <c r="M52" s="326"/>
      <c r="N52" s="326"/>
      <c r="O52" s="326"/>
      <c r="P52" s="326"/>
      <c r="Q52" s="326">
        <v>7.1399999999999996E-3</v>
      </c>
      <c r="R52" s="326">
        <v>5.2579999999999997E-3</v>
      </c>
      <c r="T52" s="290"/>
      <c r="U52" s="290"/>
    </row>
    <row r="53" spans="1:21">
      <c r="A53" s="290" t="s">
        <v>954</v>
      </c>
      <c r="B53" s="326">
        <v>8.7150000000000005E-3</v>
      </c>
      <c r="C53" s="326">
        <v>4.2940000000000001E-3</v>
      </c>
      <c r="D53" s="326"/>
      <c r="E53" s="326">
        <v>2.2769999999999999E-3</v>
      </c>
      <c r="F53" s="326"/>
      <c r="G53" s="326"/>
      <c r="H53" s="326">
        <v>1.505E-3</v>
      </c>
      <c r="I53" s="326"/>
      <c r="J53" s="326"/>
      <c r="K53" s="326"/>
      <c r="L53" s="326"/>
      <c r="M53" s="326"/>
      <c r="N53" s="326"/>
      <c r="O53" s="326"/>
      <c r="P53" s="326"/>
      <c r="Q53" s="326">
        <v>6.6519999999999999E-3</v>
      </c>
      <c r="R53" s="326">
        <v>2.604E-3</v>
      </c>
      <c r="T53" s="290"/>
      <c r="U53" s="290"/>
    </row>
    <row r="54" spans="1:21">
      <c r="A54" s="290"/>
    </row>
    <row r="55" spans="1:21">
      <c r="A55" s="290"/>
    </row>
    <row r="56" spans="1:21">
      <c r="A56" s="210" t="s">
        <v>957</v>
      </c>
      <c r="B56" s="290"/>
      <c r="C56" s="290"/>
      <c r="D56" s="290"/>
      <c r="E56" s="290"/>
      <c r="F56" s="290"/>
      <c r="G56" s="290"/>
      <c r="H56" s="290"/>
      <c r="I56" s="290"/>
      <c r="J56" s="290"/>
      <c r="K56" s="290"/>
      <c r="L56" s="290"/>
      <c r="M56" s="290"/>
      <c r="N56" s="290"/>
      <c r="O56" s="290"/>
      <c r="P56" s="290"/>
      <c r="Q56" s="290"/>
      <c r="R56" s="290"/>
    </row>
    <row r="57" spans="1:21">
      <c r="A57" s="210" t="s">
        <v>639</v>
      </c>
      <c r="B57" s="290" t="s">
        <v>707</v>
      </c>
      <c r="C57" s="290" t="s">
        <v>656</v>
      </c>
      <c r="D57" s="290" t="s">
        <v>657</v>
      </c>
      <c r="E57" s="290" t="s">
        <v>658</v>
      </c>
      <c r="F57" s="290" t="s">
        <v>659</v>
      </c>
      <c r="G57" s="290" t="s">
        <v>660</v>
      </c>
      <c r="H57" s="290" t="s">
        <v>661</v>
      </c>
      <c r="I57" s="290" t="s">
        <v>662</v>
      </c>
      <c r="J57" s="290" t="s">
        <v>663</v>
      </c>
      <c r="K57" s="290" t="s">
        <v>664</v>
      </c>
      <c r="L57" s="290" t="s">
        <v>665</v>
      </c>
      <c r="M57" s="290" t="s">
        <v>666</v>
      </c>
      <c r="N57" s="290" t="s">
        <v>667</v>
      </c>
      <c r="O57" s="341">
        <v>7</v>
      </c>
      <c r="P57" s="341">
        <v>8</v>
      </c>
      <c r="Q57" s="290"/>
      <c r="R57" s="290"/>
    </row>
    <row r="58" spans="1:21">
      <c r="A58" s="210" t="s">
        <v>956</v>
      </c>
      <c r="B58" s="290" t="s">
        <v>850</v>
      </c>
      <c r="C58" s="290" t="s">
        <v>851</v>
      </c>
      <c r="D58" s="290" t="s">
        <v>852</v>
      </c>
      <c r="E58" s="290" t="s">
        <v>853</v>
      </c>
      <c r="F58" s="290" t="s">
        <v>854</v>
      </c>
      <c r="G58" s="290" t="s">
        <v>855</v>
      </c>
      <c r="H58" s="290" t="s">
        <v>856</v>
      </c>
      <c r="I58" s="290" t="s">
        <v>857</v>
      </c>
      <c r="J58" s="290" t="s">
        <v>858</v>
      </c>
      <c r="K58" s="290" t="s">
        <v>859</v>
      </c>
      <c r="L58" s="290" t="s">
        <v>860</v>
      </c>
      <c r="M58" s="290" t="s">
        <v>861</v>
      </c>
      <c r="N58" s="290" t="s">
        <v>862</v>
      </c>
      <c r="O58" s="290" t="s">
        <v>863</v>
      </c>
      <c r="P58" s="290" t="s">
        <v>864</v>
      </c>
      <c r="Q58" s="290" t="s">
        <v>908</v>
      </c>
      <c r="R58" s="290" t="s">
        <v>909</v>
      </c>
    </row>
    <row r="59" spans="1:21">
      <c r="A59" s="290" t="s">
        <v>943</v>
      </c>
      <c r="B59" s="326">
        <v>1.3089999999999999E-2</v>
      </c>
      <c r="C59" s="326">
        <v>8.8339999999999998E-3</v>
      </c>
      <c r="D59" s="326"/>
      <c r="E59" s="326">
        <v>5.5209999999999999E-3</v>
      </c>
      <c r="F59" s="326"/>
      <c r="G59" s="326"/>
      <c r="H59" s="326">
        <v>3.2390000000000001E-3</v>
      </c>
      <c r="I59" s="326"/>
      <c r="J59" s="326"/>
      <c r="K59" s="326"/>
      <c r="L59" s="326"/>
      <c r="M59" s="326"/>
      <c r="N59" s="326"/>
      <c r="O59" s="326"/>
      <c r="P59" s="326"/>
      <c r="Q59" s="326">
        <v>1.0449999999999999E-2</v>
      </c>
      <c r="R59" s="326">
        <v>6.9750000000000003E-3</v>
      </c>
      <c r="T59" s="290"/>
    </row>
    <row r="60" spans="1:21">
      <c r="A60" s="290" t="s">
        <v>944</v>
      </c>
      <c r="B60" s="326">
        <v>1.312E-2</v>
      </c>
      <c r="C60" s="326">
        <v>1.022E-2</v>
      </c>
      <c r="D60" s="326"/>
      <c r="E60" s="326">
        <v>5.0109999999999998E-3</v>
      </c>
      <c r="F60" s="326"/>
      <c r="G60" s="326"/>
      <c r="H60" s="326">
        <v>3.6640000000000002E-3</v>
      </c>
      <c r="I60" s="326"/>
      <c r="J60" s="326"/>
      <c r="K60" s="326"/>
      <c r="L60" s="326"/>
      <c r="M60" s="326"/>
      <c r="N60" s="326"/>
      <c r="O60" s="326"/>
      <c r="P60" s="326"/>
      <c r="Q60" s="326">
        <v>1.132E-2</v>
      </c>
      <c r="R60" s="326">
        <v>7.0429999999999998E-3</v>
      </c>
      <c r="T60" s="290"/>
    </row>
    <row r="61" spans="1:21">
      <c r="A61" s="290" t="s">
        <v>945</v>
      </c>
      <c r="B61" s="326">
        <v>1.418E-2</v>
      </c>
      <c r="C61" s="326">
        <v>1.196E-2</v>
      </c>
      <c r="D61" s="326"/>
      <c r="E61" s="326">
        <v>8.2719999999999998E-3</v>
      </c>
      <c r="F61" s="326"/>
      <c r="G61" s="326"/>
      <c r="H61" s="326">
        <v>4.254E-3</v>
      </c>
      <c r="I61" s="326"/>
      <c r="J61" s="326"/>
      <c r="K61" s="326"/>
      <c r="L61" s="326"/>
      <c r="M61" s="326"/>
      <c r="N61" s="326"/>
      <c r="O61" s="326"/>
      <c r="P61" s="326"/>
      <c r="Q61" s="326">
        <v>1.102E-2</v>
      </c>
      <c r="R61" s="326">
        <v>0.01</v>
      </c>
      <c r="T61" s="290"/>
    </row>
    <row r="62" spans="1:21">
      <c r="A62" s="290" t="s">
        <v>946</v>
      </c>
      <c r="B62" s="326">
        <v>1.405E-2</v>
      </c>
      <c r="C62" s="326">
        <v>1.41E-2</v>
      </c>
      <c r="D62" s="326"/>
      <c r="E62" s="326">
        <v>9.9340000000000001E-3</v>
      </c>
      <c r="F62" s="326"/>
      <c r="G62" s="326"/>
      <c r="H62" s="326">
        <v>7.2680000000000002E-3</v>
      </c>
      <c r="I62" s="326"/>
      <c r="J62" s="326"/>
      <c r="K62" s="326"/>
      <c r="L62" s="326"/>
      <c r="M62" s="326"/>
      <c r="N62" s="326"/>
      <c r="O62" s="326"/>
      <c r="P62" s="326"/>
      <c r="Q62" s="326">
        <v>1.208E-2</v>
      </c>
      <c r="R62" s="326">
        <v>1.1299999999999999E-2</v>
      </c>
      <c r="T62" s="290"/>
    </row>
    <row r="63" spans="1:21">
      <c r="A63" s="290" t="s">
        <v>947</v>
      </c>
      <c r="B63" s="326">
        <v>1.6299999999999999E-2</v>
      </c>
      <c r="C63" s="326">
        <v>1.5789999999999998E-2</v>
      </c>
      <c r="D63" s="326"/>
      <c r="E63" s="326">
        <v>1.43E-2</v>
      </c>
      <c r="F63" s="326"/>
      <c r="G63" s="326"/>
      <c r="H63" s="326">
        <v>1.107E-2</v>
      </c>
      <c r="I63" s="326"/>
      <c r="J63" s="326"/>
      <c r="K63" s="326"/>
      <c r="L63" s="326"/>
      <c r="M63" s="326"/>
      <c r="N63" s="326"/>
      <c r="O63" s="326"/>
      <c r="P63" s="326"/>
      <c r="Q63" s="326">
        <v>1.47E-2</v>
      </c>
      <c r="R63" s="326">
        <v>1.461E-2</v>
      </c>
      <c r="T63" s="290"/>
    </row>
    <row r="64" spans="1:21">
      <c r="A64" s="290" t="s">
        <v>948</v>
      </c>
      <c r="B64" s="326">
        <v>1.805E-2</v>
      </c>
      <c r="C64" s="326">
        <v>1.8010000000000002E-2</v>
      </c>
      <c r="D64" s="326"/>
      <c r="E64" s="326">
        <v>1.6299999999999999E-2</v>
      </c>
      <c r="F64" s="326"/>
      <c r="G64" s="326"/>
      <c r="H64" s="326">
        <v>1.329E-2</v>
      </c>
      <c r="I64" s="326"/>
      <c r="J64" s="326"/>
      <c r="K64" s="326"/>
      <c r="L64" s="326"/>
      <c r="M64" s="326"/>
      <c r="N64" s="326"/>
      <c r="O64" s="326"/>
      <c r="P64" s="326"/>
      <c r="Q64" s="326">
        <v>1.6549999999999999E-2</v>
      </c>
      <c r="R64" s="326">
        <v>1.797E-2</v>
      </c>
      <c r="T64" s="290"/>
    </row>
    <row r="65" spans="1:20">
      <c r="A65" s="290" t="s">
        <v>949</v>
      </c>
      <c r="B65" s="326">
        <v>1.8460000000000001E-2</v>
      </c>
      <c r="C65" s="326">
        <v>1.8630000000000001E-2</v>
      </c>
      <c r="D65" s="326"/>
      <c r="E65" s="326">
        <v>1.6910000000000001E-2</v>
      </c>
      <c r="F65" s="326"/>
      <c r="G65" s="326"/>
      <c r="H65" s="326">
        <v>1.545E-2</v>
      </c>
      <c r="I65" s="326"/>
      <c r="J65" s="326"/>
      <c r="K65" s="326"/>
      <c r="L65" s="326"/>
      <c r="M65" s="326"/>
      <c r="N65" s="326"/>
      <c r="O65" s="326"/>
      <c r="P65" s="326"/>
      <c r="Q65" s="326">
        <v>1.8689999999999998E-2</v>
      </c>
      <c r="R65" s="326">
        <v>1.848E-2</v>
      </c>
      <c r="T65" s="290"/>
    </row>
    <row r="66" spans="1:20">
      <c r="A66" s="290" t="s">
        <v>950</v>
      </c>
      <c r="B66" s="326">
        <v>1.8519999999999998E-2</v>
      </c>
      <c r="C66" s="326">
        <v>1.874E-2</v>
      </c>
      <c r="D66" s="503"/>
      <c r="E66" s="504">
        <v>1.6420000000000001E-2</v>
      </c>
      <c r="F66" s="503"/>
      <c r="G66" s="503"/>
      <c r="H66" s="504">
        <v>1.5730000000000001E-2</v>
      </c>
      <c r="I66" s="503"/>
      <c r="J66" s="503"/>
      <c r="K66" s="503"/>
      <c r="L66" s="503"/>
      <c r="M66" s="503"/>
      <c r="N66" s="503"/>
      <c r="O66" s="503"/>
      <c r="P66" s="503"/>
      <c r="Q66" s="504">
        <v>1.7989999999999999E-2</v>
      </c>
      <c r="R66" s="326">
        <v>1.763E-2</v>
      </c>
      <c r="T66" s="290"/>
    </row>
    <row r="67" spans="1:20">
      <c r="A67" s="290" t="s">
        <v>951</v>
      </c>
      <c r="B67" s="326">
        <v>1.8010000000000002E-2</v>
      </c>
      <c r="C67" s="326">
        <v>1.7670000000000002E-2</v>
      </c>
      <c r="D67" s="504"/>
      <c r="E67" s="504">
        <v>1.6830000000000001E-2</v>
      </c>
      <c r="F67" s="504"/>
      <c r="G67" s="504"/>
      <c r="H67" s="504">
        <v>1.473E-2</v>
      </c>
      <c r="I67" s="504"/>
      <c r="J67" s="504"/>
      <c r="K67" s="504"/>
      <c r="L67" s="504"/>
      <c r="M67" s="504"/>
      <c r="N67" s="504"/>
      <c r="O67" s="504"/>
      <c r="P67" s="504"/>
      <c r="Q67" s="504">
        <v>1.6729999999999998E-2</v>
      </c>
      <c r="R67" s="326">
        <v>1.5789999999999998E-2</v>
      </c>
      <c r="T67" s="290"/>
    </row>
    <row r="68" spans="1:20">
      <c r="A68" s="290" t="s">
        <v>952</v>
      </c>
      <c r="B68" s="326">
        <v>1.7479999999999999E-2</v>
      </c>
      <c r="C68" s="326">
        <v>1.274E-2</v>
      </c>
      <c r="D68" s="504"/>
      <c r="E68" s="504">
        <v>9.6229999999999996E-3</v>
      </c>
      <c r="F68" s="504"/>
      <c r="G68" s="504"/>
      <c r="H68" s="504">
        <v>7.8040000000000002E-3</v>
      </c>
      <c r="I68" s="504"/>
      <c r="J68" s="504"/>
      <c r="K68" s="504"/>
      <c r="L68" s="504"/>
      <c r="M68" s="504"/>
      <c r="N68" s="504"/>
      <c r="O68" s="504"/>
      <c r="P68" s="504"/>
      <c r="Q68" s="504">
        <v>1.7749999999999998E-2</v>
      </c>
      <c r="R68" s="326">
        <v>1.3180000000000001E-2</v>
      </c>
      <c r="T68" s="290"/>
    </row>
    <row r="69" spans="1:20">
      <c r="A69" s="290" t="s">
        <v>953</v>
      </c>
      <c r="B69" s="326">
        <v>1.6619999999999999E-2</v>
      </c>
      <c r="C69" s="326">
        <v>1.3089999999999999E-2</v>
      </c>
      <c r="D69" s="326"/>
      <c r="E69" s="326">
        <v>7.7149999999999996E-3</v>
      </c>
      <c r="F69" s="326"/>
      <c r="G69" s="326"/>
      <c r="H69" s="326">
        <v>5.9290000000000002E-3</v>
      </c>
      <c r="I69" s="326"/>
      <c r="J69" s="326"/>
      <c r="K69" s="326"/>
      <c r="L69" s="326"/>
      <c r="M69" s="326"/>
      <c r="N69" s="326"/>
      <c r="O69" s="326"/>
      <c r="P69" s="326"/>
      <c r="Q69" s="326">
        <v>1.188E-2</v>
      </c>
      <c r="R69" s="326">
        <v>1.1429999999999999E-2</v>
      </c>
      <c r="T69" s="290"/>
    </row>
    <row r="70" spans="1:20">
      <c r="A70" s="290" t="s">
        <v>954</v>
      </c>
      <c r="B70" s="326">
        <v>1.452E-2</v>
      </c>
      <c r="C70" s="326">
        <v>9.1240000000000002E-3</v>
      </c>
      <c r="D70" s="326"/>
      <c r="E70" s="326">
        <v>5.0899999999999999E-3</v>
      </c>
      <c r="F70" s="326"/>
      <c r="G70" s="326"/>
      <c r="H70" s="326">
        <v>3.7090000000000001E-3</v>
      </c>
      <c r="I70" s="326"/>
      <c r="J70" s="326"/>
      <c r="K70" s="326"/>
      <c r="L70" s="326"/>
      <c r="M70" s="326"/>
      <c r="N70" s="326"/>
      <c r="O70" s="326"/>
      <c r="P70" s="326"/>
      <c r="Q70" s="326">
        <v>1.0070000000000001E-2</v>
      </c>
      <c r="R70" s="326">
        <v>8.9569999999999997E-3</v>
      </c>
      <c r="T70" s="290"/>
    </row>
    <row r="71" spans="1:20">
      <c r="A71" s="290"/>
      <c r="B71" s="290"/>
      <c r="C71" s="290"/>
      <c r="D71" s="290"/>
      <c r="E71" s="290"/>
      <c r="F71" s="290"/>
    </row>
    <row r="72" spans="1:20">
      <c r="A72" s="290"/>
      <c r="B72" s="290" t="s">
        <v>1033</v>
      </c>
      <c r="C72" s="290" t="s">
        <v>1034</v>
      </c>
      <c r="D72" s="290" t="s">
        <v>1037</v>
      </c>
      <c r="E72" s="290" t="s">
        <v>1036</v>
      </c>
      <c r="F72" s="290"/>
    </row>
    <row r="73" spans="1:20">
      <c r="A73" s="290">
        <v>1</v>
      </c>
      <c r="B73" s="290">
        <v>1</v>
      </c>
      <c r="C73" s="290">
        <v>13</v>
      </c>
      <c r="D73" s="290">
        <v>0.76</v>
      </c>
      <c r="E73" s="290">
        <v>1</v>
      </c>
      <c r="F73" s="290"/>
    </row>
    <row r="74" spans="1:20">
      <c r="A74" s="290">
        <v>2</v>
      </c>
      <c r="B74" s="290">
        <v>3</v>
      </c>
      <c r="C74" s="290">
        <v>11</v>
      </c>
      <c r="D74" s="290">
        <v>0.53200000000000003</v>
      </c>
      <c r="E74" s="290">
        <v>1.3</v>
      </c>
      <c r="F74" s="290"/>
    </row>
    <row r="75" spans="1:20">
      <c r="A75" s="290">
        <v>4</v>
      </c>
      <c r="B75" s="290">
        <v>4</v>
      </c>
      <c r="C75" s="290">
        <v>10</v>
      </c>
      <c r="D75" s="290">
        <f>IF(HumControl=8, 0.532,0.4657)</f>
        <v>0.4657</v>
      </c>
      <c r="E75" s="290">
        <v>1.7</v>
      </c>
      <c r="F75" s="290"/>
    </row>
    <row r="76" spans="1:20">
      <c r="A76" s="290">
        <v>7</v>
      </c>
      <c r="B76" s="290">
        <v>4</v>
      </c>
      <c r="C76" s="290">
        <v>10</v>
      </c>
      <c r="D76" s="290">
        <f>IF(HumControl=8, 0.532,0.4657)</f>
        <v>0.4657</v>
      </c>
      <c r="E76" s="290">
        <v>1.7</v>
      </c>
      <c r="F76" s="290"/>
    </row>
    <row r="77" spans="1:20">
      <c r="A77" s="290" t="s">
        <v>909</v>
      </c>
      <c r="B77" s="290">
        <v>3</v>
      </c>
      <c r="C77" s="290">
        <v>11</v>
      </c>
      <c r="D77" s="290">
        <v>0.53200000000000003</v>
      </c>
      <c r="E77" s="290">
        <v>1.3</v>
      </c>
      <c r="F77" s="290"/>
    </row>
    <row r="78" spans="1:20">
      <c r="A78" s="290" t="s">
        <v>910</v>
      </c>
      <c r="B78" s="290">
        <v>3</v>
      </c>
      <c r="C78" s="290">
        <v>12</v>
      </c>
      <c r="D78" s="290">
        <v>0.54</v>
      </c>
      <c r="E78" s="290">
        <v>1.2</v>
      </c>
      <c r="F78" s="290"/>
    </row>
    <row r="79" spans="1:20">
      <c r="A79" s="290"/>
      <c r="B79" s="290" t="s">
        <v>1040</v>
      </c>
      <c r="C79" s="290" t="s">
        <v>1041</v>
      </c>
      <c r="D79" s="290" t="s">
        <v>1038</v>
      </c>
      <c r="E79" s="290" t="s">
        <v>1039</v>
      </c>
      <c r="F79" s="290"/>
    </row>
    <row r="80" spans="1:20" ht="16">
      <c r="A80" s="290">
        <v>1</v>
      </c>
      <c r="B80" s="358">
        <v>0.38</v>
      </c>
      <c r="C80" s="358">
        <v>1.2</v>
      </c>
      <c r="D80">
        <v>0.38</v>
      </c>
      <c r="E80" s="358">
        <v>1.1000000000000001</v>
      </c>
      <c r="F80" s="358"/>
      <c r="G80" s="358"/>
      <c r="H80" s="358"/>
      <c r="I80" s="358"/>
      <c r="J80" s="358"/>
    </row>
    <row r="81" spans="1:16" ht="16">
      <c r="A81" s="290">
        <v>2</v>
      </c>
      <c r="B81" s="358">
        <v>0.47</v>
      </c>
      <c r="C81" s="358">
        <v>1.2</v>
      </c>
      <c r="D81">
        <v>0.36</v>
      </c>
      <c r="E81" s="290">
        <v>1.2</v>
      </c>
      <c r="F81" s="290"/>
    </row>
    <row r="82" spans="1:16" ht="16">
      <c r="A82" s="290">
        <v>4</v>
      </c>
      <c r="B82" s="358">
        <v>0.626</v>
      </c>
      <c r="C82" s="358">
        <v>1.3</v>
      </c>
      <c r="D82">
        <v>0.36</v>
      </c>
      <c r="E82" s="290">
        <v>1.2</v>
      </c>
      <c r="F82" s="290"/>
    </row>
    <row r="83" spans="1:16" ht="16">
      <c r="A83" s="290">
        <v>7</v>
      </c>
      <c r="B83" s="358">
        <v>0.38</v>
      </c>
      <c r="C83" s="358">
        <v>1.1000000000000001</v>
      </c>
      <c r="D83">
        <v>0.47</v>
      </c>
      <c r="E83" s="290">
        <v>1.2</v>
      </c>
    </row>
    <row r="84" spans="1:16" ht="16">
      <c r="A84" s="290" t="s">
        <v>909</v>
      </c>
      <c r="B84" s="358">
        <v>0.38</v>
      </c>
      <c r="C84" s="358">
        <v>1.2</v>
      </c>
      <c r="D84">
        <v>0.64</v>
      </c>
      <c r="E84" s="290">
        <v>1.2</v>
      </c>
    </row>
    <row r="85" spans="1:16" ht="16">
      <c r="A85" s="290" t="s">
        <v>910</v>
      </c>
      <c r="B85" s="358">
        <v>0.49199999999999999</v>
      </c>
      <c r="C85" s="358">
        <v>1.2</v>
      </c>
      <c r="D85">
        <v>0.66</v>
      </c>
      <c r="E85" s="314">
        <v>1.3</v>
      </c>
      <c r="F85" s="314"/>
      <c r="G85" s="314"/>
      <c r="H85" s="314"/>
      <c r="I85" s="314"/>
      <c r="J85" s="314"/>
      <c r="K85" s="314"/>
      <c r="L85" s="314"/>
      <c r="M85" s="314"/>
      <c r="N85" s="314"/>
      <c r="O85" s="314"/>
      <c r="P85" s="266"/>
    </row>
    <row r="86" spans="1:16">
      <c r="A86" s="290"/>
      <c r="B86" s="290"/>
      <c r="C86" s="290"/>
      <c r="D86" s="290"/>
      <c r="E86" s="290"/>
      <c r="F86" s="290"/>
      <c r="G86" s="290"/>
      <c r="H86" s="290"/>
      <c r="I86" s="290"/>
      <c r="J86" s="290"/>
      <c r="K86" s="290"/>
      <c r="L86" s="290"/>
      <c r="M86" s="290"/>
      <c r="N86" s="290"/>
      <c r="O86" s="290"/>
      <c r="P86" s="290"/>
    </row>
    <row r="87" spans="1:16">
      <c r="A87" s="290" t="s">
        <v>1042</v>
      </c>
      <c r="B87" s="290" t="s">
        <v>1043</v>
      </c>
      <c r="C87" s="290" t="s">
        <v>1044</v>
      </c>
    </row>
    <row r="88" spans="1:16">
      <c r="A88" s="290">
        <v>1</v>
      </c>
      <c r="B88" s="290">
        <v>5.8525008333333304E-3</v>
      </c>
      <c r="C88" s="290">
        <v>-1.10201928333333E-2</v>
      </c>
    </row>
    <row r="89" spans="1:16">
      <c r="A89" s="290">
        <v>2</v>
      </c>
      <c r="B89" s="290">
        <v>6.7025327777777803E-3</v>
      </c>
      <c r="C89" s="290">
        <v>-1.12628599814815E-2</v>
      </c>
    </row>
    <row r="90" spans="1:16">
      <c r="A90" s="290">
        <v>4</v>
      </c>
      <c r="B90" s="290">
        <v>6.6991296296296304E-3</v>
      </c>
      <c r="C90" s="290">
        <v>-1.0537344388888901E-2</v>
      </c>
    </row>
    <row r="91" spans="1:16">
      <c r="A91" s="290">
        <v>7</v>
      </c>
      <c r="B91" s="290">
        <v>5.3373196851851899E-3</v>
      </c>
      <c r="C91" s="290">
        <v>-1.0683551703703701E-2</v>
      </c>
    </row>
    <row r="92" spans="1:16">
      <c r="A92" s="290" t="s">
        <v>909</v>
      </c>
      <c r="B92" s="290">
        <v>7.192955E-3</v>
      </c>
      <c r="C92" s="290">
        <v>-1.22137443518518E-2</v>
      </c>
    </row>
    <row r="93" spans="1:16">
      <c r="A93" s="290" t="s">
        <v>910</v>
      </c>
      <c r="B93" s="290">
        <v>6.2541690740740702E-3</v>
      </c>
      <c r="C93" s="290">
        <v>-1.20633005E-2</v>
      </c>
    </row>
    <row r="95" spans="1:16">
      <c r="A95" s="290" t="s">
        <v>1042</v>
      </c>
    </row>
    <row r="96" spans="1:16">
      <c r="A96" s="290">
        <v>1</v>
      </c>
      <c r="B96">
        <v>1.6E-2</v>
      </c>
    </row>
    <row r="97" spans="1:2">
      <c r="A97" s="290">
        <v>2</v>
      </c>
      <c r="B97">
        <v>1.2E-2</v>
      </c>
    </row>
    <row r="98" spans="1:2">
      <c r="A98" s="290">
        <v>4</v>
      </c>
      <c r="B98">
        <v>8.9999999999999993E-3</v>
      </c>
    </row>
    <row r="99" spans="1:2">
      <c r="A99" s="290">
        <v>7</v>
      </c>
      <c r="B99">
        <v>6.0000000000000001E-3</v>
      </c>
    </row>
    <row r="100" spans="1:2">
      <c r="A100" s="290" t="s">
        <v>909</v>
      </c>
      <c r="B100">
        <v>1.0999999999999999E-2</v>
      </c>
    </row>
    <row r="101" spans="1:2">
      <c r="A101" s="290" t="s">
        <v>910</v>
      </c>
      <c r="B101">
        <v>1.2E-2</v>
      </c>
    </row>
  </sheetData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3"/>
  <sheetViews>
    <sheetView workbookViewId="0">
      <selection activeCell="B8" sqref="B8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374" t="s">
        <v>1181</v>
      </c>
    </row>
    <row r="2" spans="1:3">
      <c r="A2" t="s">
        <v>1188</v>
      </c>
      <c r="B2" t="s">
        <v>1189</v>
      </c>
    </row>
    <row r="7" spans="1:3">
      <c r="A7" t="s">
        <v>1180</v>
      </c>
      <c r="B7" s="450" t="str">
        <f>DehumidType</f>
        <v>No</v>
      </c>
    </row>
    <row r="8" spans="1:3">
      <c r="A8" s="290" t="s">
        <v>1183</v>
      </c>
      <c r="B8" s="505">
        <f>IF(B7="Yes", (IF(A_houseFT&lt;2500,-10,10) + (55-B10)*2 + (18-'Internal gains'!D11*2.2)*(-5/6) + 65), 0)</f>
        <v>0</v>
      </c>
      <c r="C8" s="290"/>
    </row>
    <row r="9" spans="1:3">
      <c r="A9" s="290" t="s">
        <v>1184</v>
      </c>
      <c r="B9" s="506">
        <v>1.85</v>
      </c>
      <c r="C9" s="290"/>
    </row>
    <row r="10" spans="1:3">
      <c r="A10" s="290" t="s">
        <v>1185</v>
      </c>
      <c r="B10" s="506">
        <v>55</v>
      </c>
      <c r="C10" s="290"/>
    </row>
    <row r="11" spans="1:3">
      <c r="A11" s="290" t="s">
        <v>1186</v>
      </c>
      <c r="B11" s="506">
        <v>2.5</v>
      </c>
      <c r="C11" s="290" t="s">
        <v>1187</v>
      </c>
    </row>
    <row r="14" spans="1:3">
      <c r="A14" t="s">
        <v>1190</v>
      </c>
    </row>
    <row r="15" spans="1:3">
      <c r="A15" t="s">
        <v>1191</v>
      </c>
      <c r="B15" t="s">
        <v>1192</v>
      </c>
    </row>
    <row r="16" spans="1:3">
      <c r="A16" t="s">
        <v>1193</v>
      </c>
      <c r="B16">
        <v>1.85</v>
      </c>
    </row>
    <row r="17" spans="1:9">
      <c r="A17" t="s">
        <v>1194</v>
      </c>
      <c r="B17">
        <v>2.8</v>
      </c>
    </row>
    <row r="19" spans="1:9" ht="15" thickBot="1">
      <c r="A19" t="s">
        <v>1196</v>
      </c>
      <c r="E19" s="142" t="s">
        <v>1195</v>
      </c>
    </row>
    <row r="20" spans="1:9" ht="28">
      <c r="A20" s="440" t="s">
        <v>1198</v>
      </c>
      <c r="B20" s="441" t="s">
        <v>1185</v>
      </c>
      <c r="C20" s="441" t="s">
        <v>1199</v>
      </c>
      <c r="D20" s="442" t="s">
        <v>1183</v>
      </c>
      <c r="E20" t="s">
        <v>892</v>
      </c>
      <c r="F20" t="s">
        <v>1197</v>
      </c>
      <c r="G20" t="s">
        <v>1202</v>
      </c>
      <c r="H20" t="s">
        <v>177</v>
      </c>
    </row>
    <row r="21" spans="1:9">
      <c r="A21" s="443" t="s">
        <v>1200</v>
      </c>
      <c r="B21" s="444">
        <v>0.5</v>
      </c>
      <c r="C21" s="278">
        <v>12</v>
      </c>
      <c r="D21" s="445">
        <v>60</v>
      </c>
      <c r="E21">
        <f>A$29</f>
        <v>-10</v>
      </c>
      <c r="F21">
        <f t="shared" ref="F21:F28" si="0">(0.55-B21)*200</f>
        <v>10.000000000000009</v>
      </c>
      <c r="G21">
        <f t="shared" ref="G21:G28" si="1">(18-C21)*(-5/6)</f>
        <v>-5</v>
      </c>
      <c r="H21" s="439">
        <f>SUM(E21:G21)</f>
        <v>-4.9999999999999911</v>
      </c>
      <c r="I21" s="439">
        <f>H21+65</f>
        <v>60.000000000000007</v>
      </c>
    </row>
    <row r="22" spans="1:9">
      <c r="A22" s="443" t="s">
        <v>1200</v>
      </c>
      <c r="B22" s="444">
        <v>0.5</v>
      </c>
      <c r="C22" s="278">
        <v>24</v>
      </c>
      <c r="D22" s="445">
        <v>70</v>
      </c>
      <c r="E22" s="290">
        <f>A$29</f>
        <v>-10</v>
      </c>
      <c r="F22" s="290">
        <f t="shared" si="0"/>
        <v>10.000000000000009</v>
      </c>
      <c r="G22" s="290">
        <f t="shared" si="1"/>
        <v>5</v>
      </c>
      <c r="H22" s="439">
        <f t="shared" ref="H22:H28" si="2">SUM(E22:G22)</f>
        <v>5.0000000000000089</v>
      </c>
      <c r="I22" s="439">
        <f t="shared" ref="I22:I28" si="3">H22+65</f>
        <v>70.000000000000014</v>
      </c>
    </row>
    <row r="23" spans="1:9">
      <c r="A23" s="443" t="s">
        <v>1200</v>
      </c>
      <c r="B23" s="444">
        <v>0.6</v>
      </c>
      <c r="C23" s="278">
        <v>12</v>
      </c>
      <c r="D23" s="445">
        <v>40</v>
      </c>
      <c r="E23" s="290">
        <f>A$29</f>
        <v>-10</v>
      </c>
      <c r="F23" s="290">
        <f t="shared" si="0"/>
        <v>-9.9999999999999858</v>
      </c>
      <c r="G23" s="290">
        <f t="shared" si="1"/>
        <v>-5</v>
      </c>
      <c r="H23" s="439">
        <f t="shared" si="2"/>
        <v>-24.999999999999986</v>
      </c>
      <c r="I23" s="439">
        <f t="shared" si="3"/>
        <v>40.000000000000014</v>
      </c>
    </row>
    <row r="24" spans="1:9">
      <c r="A24" s="443" t="s">
        <v>1200</v>
      </c>
      <c r="B24" s="444">
        <v>0.6</v>
      </c>
      <c r="C24" s="278">
        <v>24</v>
      </c>
      <c r="D24" s="445">
        <v>50</v>
      </c>
      <c r="E24" s="290">
        <f>A$29</f>
        <v>-10</v>
      </c>
      <c r="F24" s="290">
        <f t="shared" si="0"/>
        <v>-9.9999999999999858</v>
      </c>
      <c r="G24" s="290">
        <f t="shared" si="1"/>
        <v>5</v>
      </c>
      <c r="H24" s="439">
        <f t="shared" si="2"/>
        <v>-14.999999999999986</v>
      </c>
      <c r="I24" s="439">
        <f t="shared" si="3"/>
        <v>50.000000000000014</v>
      </c>
    </row>
    <row r="25" spans="1:9">
      <c r="A25" s="443" t="s">
        <v>1201</v>
      </c>
      <c r="B25" s="444">
        <v>0.5</v>
      </c>
      <c r="C25" s="278">
        <v>12</v>
      </c>
      <c r="D25" s="445">
        <v>80</v>
      </c>
      <c r="E25" s="290">
        <f>A$30</f>
        <v>10</v>
      </c>
      <c r="F25" s="290">
        <f t="shared" si="0"/>
        <v>10.000000000000009</v>
      </c>
      <c r="G25" s="290">
        <f t="shared" si="1"/>
        <v>-5</v>
      </c>
      <c r="H25" s="439">
        <f t="shared" si="2"/>
        <v>15.000000000000007</v>
      </c>
      <c r="I25" s="439">
        <f t="shared" si="3"/>
        <v>80</v>
      </c>
    </row>
    <row r="26" spans="1:9">
      <c r="A26" s="443" t="s">
        <v>1201</v>
      </c>
      <c r="B26" s="444">
        <v>0.5</v>
      </c>
      <c r="C26" s="278">
        <v>24</v>
      </c>
      <c r="D26" s="445">
        <v>90</v>
      </c>
      <c r="E26" s="290">
        <f>A$30</f>
        <v>10</v>
      </c>
      <c r="F26" s="290">
        <f t="shared" si="0"/>
        <v>10.000000000000009</v>
      </c>
      <c r="G26" s="290">
        <f t="shared" si="1"/>
        <v>5</v>
      </c>
      <c r="H26" s="439">
        <f t="shared" si="2"/>
        <v>25.000000000000007</v>
      </c>
      <c r="I26" s="439">
        <f t="shared" si="3"/>
        <v>90</v>
      </c>
    </row>
    <row r="27" spans="1:9">
      <c r="A27" s="443" t="s">
        <v>1201</v>
      </c>
      <c r="B27" s="444">
        <v>0.6</v>
      </c>
      <c r="C27" s="278">
        <v>12</v>
      </c>
      <c r="D27" s="445">
        <v>60</v>
      </c>
      <c r="E27" s="290">
        <f>A$30</f>
        <v>10</v>
      </c>
      <c r="F27" s="290">
        <f t="shared" si="0"/>
        <v>-9.9999999999999858</v>
      </c>
      <c r="G27" s="290">
        <f t="shared" si="1"/>
        <v>-5</v>
      </c>
      <c r="H27" s="439">
        <f t="shared" si="2"/>
        <v>-4.9999999999999858</v>
      </c>
      <c r="I27" s="439">
        <f t="shared" si="3"/>
        <v>60.000000000000014</v>
      </c>
    </row>
    <row r="28" spans="1:9" ht="15" thickBot="1">
      <c r="A28" s="446" t="s">
        <v>1201</v>
      </c>
      <c r="B28" s="447">
        <v>0.6</v>
      </c>
      <c r="C28" s="448">
        <v>24</v>
      </c>
      <c r="D28" s="449">
        <v>70</v>
      </c>
      <c r="E28" s="290">
        <f>A$30</f>
        <v>10</v>
      </c>
      <c r="F28" s="290">
        <f t="shared" si="0"/>
        <v>-9.9999999999999858</v>
      </c>
      <c r="G28" s="290">
        <f t="shared" si="1"/>
        <v>5</v>
      </c>
      <c r="H28" s="439">
        <f t="shared" si="2"/>
        <v>5.0000000000000142</v>
      </c>
      <c r="I28" s="439">
        <f t="shared" si="3"/>
        <v>70.000000000000014</v>
      </c>
    </row>
    <row r="29" spans="1:9" s="290" customFormat="1">
      <c r="A29" s="290">
        <v>-10</v>
      </c>
      <c r="B29" s="290">
        <v>10</v>
      </c>
      <c r="C29" s="290">
        <v>-5</v>
      </c>
    </row>
    <row r="30" spans="1:9">
      <c r="A30">
        <v>10</v>
      </c>
      <c r="B30" s="290">
        <v>-10</v>
      </c>
      <c r="C30" s="290">
        <v>5</v>
      </c>
    </row>
    <row r="33" spans="1:5">
      <c r="A33" s="350"/>
    </row>
    <row r="34" spans="1:5">
      <c r="B34" s="350" t="s">
        <v>892</v>
      </c>
      <c r="C34" s="350" t="s">
        <v>897</v>
      </c>
      <c r="D34" s="350" t="s">
        <v>1266</v>
      </c>
    </row>
    <row r="35" spans="1:5">
      <c r="B35" t="s">
        <v>893</v>
      </c>
      <c r="C35" t="s">
        <v>899</v>
      </c>
      <c r="D35" s="437">
        <v>46</v>
      </c>
      <c r="E35" s="437"/>
    </row>
    <row r="36" spans="1:5">
      <c r="C36" t="s">
        <v>898</v>
      </c>
      <c r="D36" s="437">
        <v>52</v>
      </c>
      <c r="E36" s="438"/>
    </row>
    <row r="37" spans="1:5">
      <c r="A37" s="436"/>
      <c r="C37" t="s">
        <v>900</v>
      </c>
      <c r="D37" s="436">
        <v>62</v>
      </c>
      <c r="E37" s="436"/>
    </row>
    <row r="38" spans="1:5">
      <c r="A38" s="436"/>
      <c r="B38" s="438" t="s">
        <v>898</v>
      </c>
      <c r="C38" s="290" t="s">
        <v>899</v>
      </c>
      <c r="D38" s="437">
        <v>46</v>
      </c>
      <c r="E38" s="436"/>
    </row>
    <row r="39" spans="1:5">
      <c r="C39" s="290" t="s">
        <v>898</v>
      </c>
      <c r="D39" s="437">
        <v>52</v>
      </c>
    </row>
    <row r="40" spans="1:5">
      <c r="C40" s="290" t="s">
        <v>900</v>
      </c>
      <c r="D40" s="436">
        <v>62</v>
      </c>
    </row>
    <row r="41" spans="1:5">
      <c r="B41" s="436" t="s">
        <v>894</v>
      </c>
      <c r="C41" s="290" t="s">
        <v>899</v>
      </c>
      <c r="D41" s="437">
        <v>66</v>
      </c>
    </row>
    <row r="42" spans="1:5">
      <c r="C42" s="290" t="s">
        <v>898</v>
      </c>
      <c r="D42" s="437">
        <v>72</v>
      </c>
    </row>
    <row r="43" spans="1:5">
      <c r="C43" s="290" t="s">
        <v>900</v>
      </c>
      <c r="D43" s="437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9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F19" sqref="F19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90" customFormat="1">
      <c r="A1" s="526" t="s">
        <v>1304</v>
      </c>
      <c r="B1" s="526"/>
      <c r="C1" s="526"/>
      <c r="D1" s="526"/>
      <c r="E1" s="526"/>
      <c r="F1" s="526"/>
      <c r="G1" s="526"/>
      <c r="H1" s="526"/>
    </row>
    <row r="2" spans="1:8" ht="15">
      <c r="A2" s="527" t="s">
        <v>1296</v>
      </c>
      <c r="B2" s="561" t="s">
        <v>1305</v>
      </c>
      <c r="C2" s="561"/>
      <c r="D2" s="561"/>
      <c r="E2" s="528"/>
      <c r="F2" s="528"/>
      <c r="G2" s="528"/>
      <c r="H2" s="526"/>
    </row>
    <row r="3" spans="1:8">
      <c r="A3" s="529">
        <v>1</v>
      </c>
      <c r="B3" s="530">
        <v>0.48</v>
      </c>
      <c r="C3" s="526"/>
      <c r="D3" s="526"/>
      <c r="E3" s="526"/>
      <c r="F3" s="526"/>
      <c r="G3" s="526"/>
      <c r="H3" s="526"/>
    </row>
    <row r="4" spans="1:8">
      <c r="A4" s="529">
        <v>2</v>
      </c>
      <c r="B4" s="530">
        <v>0.59</v>
      </c>
      <c r="C4" s="526"/>
      <c r="D4" s="526"/>
      <c r="E4" s="526"/>
      <c r="F4" s="526"/>
      <c r="G4" s="526"/>
      <c r="H4" s="526"/>
    </row>
    <row r="5" spans="1:8">
      <c r="A5" s="529">
        <v>3</v>
      </c>
      <c r="B5" s="530">
        <v>0.67</v>
      </c>
      <c r="C5" s="526"/>
      <c r="D5" s="526"/>
      <c r="E5" s="526"/>
      <c r="F5" s="526"/>
      <c r="G5" s="526"/>
      <c r="H5" s="526"/>
    </row>
    <row r="6" spans="1:8">
      <c r="A6" s="526"/>
      <c r="B6" s="526"/>
      <c r="C6" s="526"/>
      <c r="D6" s="526"/>
      <c r="E6" s="526"/>
      <c r="F6" s="526"/>
      <c r="G6" s="526"/>
      <c r="H6" s="526"/>
    </row>
    <row r="7" spans="1:8">
      <c r="A7" s="526"/>
      <c r="B7" s="526"/>
      <c r="C7" s="526"/>
      <c r="D7" s="526"/>
      <c r="E7" s="526"/>
      <c r="F7" s="526"/>
      <c r="G7" s="526"/>
      <c r="H7" s="526"/>
    </row>
    <row r="8" spans="1:8" ht="14" customHeight="1">
      <c r="A8" s="531"/>
      <c r="B8" s="531"/>
      <c r="D8" s="537"/>
      <c r="E8" s="528"/>
      <c r="F8" s="528"/>
      <c r="G8" s="528"/>
      <c r="H8" s="526"/>
    </row>
    <row r="9" spans="1:8" ht="22">
      <c r="A9" s="532" t="s">
        <v>1297</v>
      </c>
      <c r="B9" t="s">
        <v>1306</v>
      </c>
      <c r="C9" s="533" t="s">
        <v>1298</v>
      </c>
      <c r="D9" s="538"/>
      <c r="E9" s="528"/>
      <c r="F9" s="528"/>
      <c r="G9" s="528"/>
      <c r="H9" s="526"/>
    </row>
    <row r="10" spans="1:8">
      <c r="A10" s="527" t="s">
        <v>1316</v>
      </c>
      <c r="B10" t="s">
        <v>1277</v>
      </c>
      <c r="C10" s="530">
        <v>0.5</v>
      </c>
      <c r="D10" s="539"/>
      <c r="E10" s="528"/>
      <c r="F10" s="528"/>
      <c r="G10" s="528"/>
      <c r="H10" s="526"/>
    </row>
    <row r="11" spans="1:8">
      <c r="A11" s="529">
        <v>1</v>
      </c>
      <c r="B11" t="s">
        <v>1182</v>
      </c>
      <c r="C11" s="530">
        <v>0.7</v>
      </c>
      <c r="D11" s="539"/>
      <c r="E11" s="528"/>
      <c r="F11" s="528"/>
      <c r="G11" s="528"/>
      <c r="H11" s="526"/>
    </row>
    <row r="12" spans="1:8">
      <c r="A12" s="529">
        <v>2</v>
      </c>
      <c r="B12" t="s">
        <v>1182</v>
      </c>
      <c r="C12" s="530">
        <v>0.64</v>
      </c>
      <c r="D12" s="539"/>
      <c r="E12" s="526"/>
      <c r="F12" s="526"/>
      <c r="G12" s="526"/>
      <c r="H12" s="526"/>
    </row>
    <row r="13" spans="1:8">
      <c r="A13" s="529">
        <v>3</v>
      </c>
      <c r="B13" t="s">
        <v>1182</v>
      </c>
      <c r="C13" s="530">
        <v>0.61</v>
      </c>
      <c r="D13" s="539"/>
      <c r="E13" s="526"/>
      <c r="F13" s="526"/>
      <c r="G13" s="526"/>
      <c r="H13" s="526"/>
    </row>
    <row r="14" spans="1:8" s="290" customFormat="1">
      <c r="A14" s="527"/>
      <c r="B14" s="530"/>
      <c r="C14" s="526"/>
      <c r="D14" s="526"/>
      <c r="E14" s="526"/>
      <c r="F14" s="526"/>
      <c r="G14" s="526"/>
      <c r="H14" s="526"/>
    </row>
    <row r="15" spans="1:8" ht="14" customHeight="1">
      <c r="A15" s="526"/>
      <c r="B15" s="526"/>
      <c r="C15" s="526"/>
      <c r="D15" s="526"/>
      <c r="E15" s="526"/>
      <c r="F15" s="526"/>
      <c r="G15" s="526"/>
      <c r="H15" s="526"/>
    </row>
    <row r="16" spans="1:8">
      <c r="A16" s="534" t="s">
        <v>1308</v>
      </c>
      <c r="B16" s="526"/>
      <c r="C16" s="526"/>
      <c r="D16" s="526"/>
      <c r="E16" s="526"/>
      <c r="F16" s="526"/>
      <c r="G16" s="526"/>
      <c r="H16" s="526"/>
    </row>
    <row r="17" spans="1:8" ht="22">
      <c r="A17" s="527" t="s">
        <v>1296</v>
      </c>
      <c r="B17" s="525" t="s">
        <v>1300</v>
      </c>
      <c r="C17" s="530" t="s">
        <v>1302</v>
      </c>
      <c r="D17" s="530" t="s">
        <v>1303</v>
      </c>
      <c r="E17" s="526"/>
      <c r="F17" s="526"/>
      <c r="G17" s="526"/>
      <c r="H17" s="526"/>
    </row>
    <row r="18" spans="1:8">
      <c r="A18" s="535">
        <v>1</v>
      </c>
      <c r="B18" s="525" t="s">
        <v>1299</v>
      </c>
      <c r="C18" s="530">
        <v>0.156</v>
      </c>
      <c r="D18" s="530">
        <v>0.128</v>
      </c>
      <c r="E18" s="526"/>
      <c r="F18" s="526"/>
      <c r="G18" s="526"/>
      <c r="H18" s="526"/>
    </row>
    <row r="19" spans="1:8">
      <c r="A19" s="535">
        <v>2</v>
      </c>
      <c r="B19" s="525" t="s">
        <v>1299</v>
      </c>
      <c r="C19" s="530">
        <v>0.17</v>
      </c>
      <c r="D19" s="530">
        <v>0.14199999999999999</v>
      </c>
      <c r="E19" s="526"/>
      <c r="F19" s="526"/>
      <c r="G19" s="526"/>
      <c r="H19" s="526"/>
    </row>
    <row r="20" spans="1:8">
      <c r="A20" s="535">
        <v>3</v>
      </c>
      <c r="B20" s="525" t="s">
        <v>1299</v>
      </c>
      <c r="C20" s="530">
        <v>0.17</v>
      </c>
      <c r="D20" s="530">
        <v>0.151</v>
      </c>
      <c r="E20" s="526"/>
      <c r="F20" s="526"/>
      <c r="G20" s="526"/>
      <c r="H20" s="526"/>
    </row>
    <row r="21" spans="1:8">
      <c r="A21" s="535">
        <v>1</v>
      </c>
      <c r="B21" s="525" t="s">
        <v>1301</v>
      </c>
      <c r="C21" s="530">
        <v>0.14199999999999999</v>
      </c>
      <c r="D21" s="530">
        <v>0.128</v>
      </c>
      <c r="E21" s="526"/>
      <c r="F21" s="526"/>
      <c r="G21" s="526"/>
      <c r="H21" s="526"/>
    </row>
    <row r="22" spans="1:8">
      <c r="A22" s="535">
        <v>2</v>
      </c>
      <c r="B22" s="525" t="s">
        <v>1301</v>
      </c>
      <c r="C22" s="530">
        <v>0.156</v>
      </c>
      <c r="D22" s="530">
        <v>0.14199999999999999</v>
      </c>
      <c r="E22" s="526"/>
      <c r="F22" s="526"/>
      <c r="G22" s="526"/>
      <c r="H22" s="526"/>
    </row>
    <row r="23" spans="1:8">
      <c r="A23" s="535">
        <v>3</v>
      </c>
      <c r="B23" s="525" t="s">
        <v>1301</v>
      </c>
      <c r="C23" s="530">
        <v>0.16700000000000001</v>
      </c>
      <c r="D23" s="530">
        <v>0.154</v>
      </c>
      <c r="E23" s="526"/>
      <c r="F23" s="526"/>
      <c r="G23" s="526"/>
      <c r="H23" s="526"/>
    </row>
    <row r="24" spans="1:8" s="290" customFormat="1">
      <c r="A24" s="535"/>
      <c r="B24" s="525"/>
      <c r="C24" s="530"/>
      <c r="D24" s="530"/>
      <c r="E24" s="526"/>
      <c r="F24" s="526"/>
      <c r="G24" s="526"/>
      <c r="H24" s="526"/>
    </row>
    <row r="25" spans="1:8" s="290" customFormat="1">
      <c r="A25" s="535"/>
      <c r="B25" s="525"/>
      <c r="C25" s="530"/>
      <c r="D25" s="530"/>
      <c r="E25" s="526"/>
      <c r="F25" s="526"/>
      <c r="G25" s="526"/>
      <c r="H25" s="526"/>
    </row>
    <row r="26" spans="1:8" ht="22">
      <c r="A26" s="532" t="s">
        <v>1309</v>
      </c>
      <c r="B26" s="526"/>
      <c r="C26" s="526"/>
      <c r="D26" s="526"/>
      <c r="E26" s="526"/>
      <c r="F26" s="526"/>
      <c r="G26" s="526"/>
      <c r="H26" s="526"/>
    </row>
    <row r="27" spans="1:8">
      <c r="A27" s="529" t="s">
        <v>1296</v>
      </c>
      <c r="B27" s="525" t="s">
        <v>1306</v>
      </c>
      <c r="C27" s="536" t="s">
        <v>1307</v>
      </c>
      <c r="D27" s="526"/>
      <c r="E27" s="526"/>
      <c r="F27" s="526"/>
      <c r="G27" s="526"/>
      <c r="H27" s="526"/>
    </row>
    <row r="28" spans="1:8">
      <c r="A28" s="529">
        <v>1</v>
      </c>
      <c r="B28" s="525" t="s">
        <v>1277</v>
      </c>
      <c r="C28" s="530">
        <v>5.3999999999999999E-2</v>
      </c>
      <c r="D28" s="526"/>
      <c r="E28" s="526"/>
      <c r="F28" s="526"/>
      <c r="G28" s="526"/>
      <c r="H28" s="526"/>
    </row>
    <row r="29" spans="1:8">
      <c r="A29" s="529">
        <v>2</v>
      </c>
      <c r="B29" s="525" t="s">
        <v>1277</v>
      </c>
      <c r="C29" s="530">
        <v>7.8E-2</v>
      </c>
      <c r="D29" s="526"/>
      <c r="E29" s="526"/>
      <c r="F29" s="526"/>
      <c r="G29" s="526"/>
      <c r="H29" s="526"/>
    </row>
    <row r="30" spans="1:8">
      <c r="A30" s="529">
        <v>3</v>
      </c>
      <c r="B30" s="525" t="s">
        <v>1277</v>
      </c>
      <c r="C30" s="530">
        <v>9.8000000000000004E-2</v>
      </c>
      <c r="D30" s="528"/>
      <c r="E30" s="528"/>
      <c r="F30" s="528"/>
      <c r="G30" s="528"/>
      <c r="H30" s="526"/>
    </row>
    <row r="31" spans="1:8">
      <c r="A31" s="529">
        <v>1</v>
      </c>
      <c r="B31" s="525" t="s">
        <v>1182</v>
      </c>
      <c r="C31" s="530">
        <v>6.9000000000000006E-2</v>
      </c>
      <c r="D31" s="528"/>
      <c r="E31" s="528"/>
      <c r="F31" s="528"/>
      <c r="G31" s="528"/>
      <c r="H31" s="526"/>
    </row>
    <row r="32" spans="1:8">
      <c r="A32" s="529">
        <v>2</v>
      </c>
      <c r="B32" s="525" t="s">
        <v>1182</v>
      </c>
      <c r="C32" s="530">
        <v>8.8999999999999996E-2</v>
      </c>
      <c r="D32" s="526"/>
      <c r="E32" s="526"/>
      <c r="F32" s="526"/>
      <c r="G32" s="528"/>
      <c r="H32" s="526"/>
    </row>
    <row r="33" spans="1:8">
      <c r="A33" s="529">
        <v>3</v>
      </c>
      <c r="B33" s="525" t="s">
        <v>1182</v>
      </c>
      <c r="C33" s="530">
        <v>0.107</v>
      </c>
      <c r="D33" s="526"/>
      <c r="E33" s="526"/>
      <c r="F33" s="526"/>
      <c r="G33" s="528"/>
      <c r="H33" s="526"/>
    </row>
    <row r="34" spans="1:8">
      <c r="A34" s="526"/>
      <c r="B34" s="526"/>
      <c r="C34" s="526"/>
      <c r="D34" s="526"/>
      <c r="E34" s="526"/>
      <c r="F34" s="526"/>
      <c r="G34" s="528"/>
      <c r="H34" s="526"/>
    </row>
    <row r="35" spans="1:8">
      <c r="A35" s="526"/>
      <c r="B35" s="526"/>
      <c r="C35" s="526"/>
      <c r="D35" s="526"/>
      <c r="E35" s="526"/>
      <c r="F35" s="526"/>
      <c r="G35" s="528"/>
      <c r="H35" s="526"/>
    </row>
    <row r="36" spans="1:8">
      <c r="A36" s="528"/>
      <c r="B36" s="528"/>
      <c r="C36" s="528"/>
      <c r="D36" s="528"/>
      <c r="E36" s="528"/>
      <c r="F36" s="528"/>
      <c r="G36" s="528"/>
      <c r="H36" s="526"/>
    </row>
    <row r="37" spans="1:8">
      <c r="A37" s="526"/>
      <c r="B37" s="526"/>
      <c r="C37" s="526"/>
      <c r="D37" s="526"/>
      <c r="E37" s="526"/>
      <c r="F37" s="526"/>
      <c r="G37" s="526"/>
      <c r="H37" s="526"/>
    </row>
    <row r="38" spans="1:8">
      <c r="A38" s="526"/>
      <c r="B38" s="532"/>
      <c r="C38" s="532"/>
      <c r="D38" s="532"/>
      <c r="E38" s="532"/>
      <c r="F38" s="532"/>
      <c r="G38" s="526"/>
      <c r="H38" s="526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Humidity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2017-01-18T20:29:04Z</dcterms:modified>
</cp:coreProperties>
</file>