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40" yWindow="0" windowWidth="25040" windowHeight="15980" tabRatio="775" activeTab="1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HVAC!$B$177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8" i="10" l="1"/>
  <c r="D59" i="10"/>
  <c r="D60" i="10"/>
  <c r="K60" i="10"/>
  <c r="C17" i="10"/>
  <c r="C19" i="10"/>
  <c r="B192" i="10"/>
  <c r="D61" i="10"/>
  <c r="D62" i="10"/>
  <c r="D63" i="10"/>
  <c r="K63" i="10"/>
  <c r="D17" i="10"/>
  <c r="D19" i="10"/>
  <c r="C192" i="10"/>
  <c r="D64" i="10"/>
  <c r="D65" i="10"/>
  <c r="D66" i="10"/>
  <c r="D67" i="10"/>
  <c r="J58" i="10"/>
  <c r="K58" i="10"/>
  <c r="J59" i="10"/>
  <c r="K59" i="10"/>
  <c r="J60" i="10"/>
  <c r="J61" i="10"/>
  <c r="K61" i="10"/>
  <c r="J62" i="10"/>
  <c r="K62" i="10"/>
  <c r="J63" i="10"/>
  <c r="J64" i="10"/>
  <c r="K64" i="10"/>
  <c r="J65" i="10"/>
  <c r="K65" i="10"/>
  <c r="J66" i="10"/>
  <c r="K66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E17" i="10"/>
  <c r="E19" i="10"/>
  <c r="D192" i="10"/>
  <c r="F17" i="10"/>
  <c r="F19" i="10"/>
  <c r="E192" i="10"/>
  <c r="G17" i="10"/>
  <c r="G19" i="10"/>
  <c r="F192" i="10"/>
  <c r="H17" i="10"/>
  <c r="H19" i="10"/>
  <c r="G192" i="10"/>
  <c r="I17" i="10"/>
  <c r="I19" i="10"/>
  <c r="H192" i="10"/>
  <c r="J17" i="10"/>
  <c r="J19" i="10"/>
  <c r="I192" i="10"/>
  <c r="K17" i="10"/>
  <c r="K19" i="10"/>
  <c r="J192" i="10"/>
  <c r="L17" i="10"/>
  <c r="L19" i="10"/>
  <c r="K192" i="10"/>
  <c r="M17" i="10"/>
  <c r="M19" i="10"/>
  <c r="L192" i="10"/>
  <c r="N17" i="10"/>
  <c r="N19" i="10"/>
  <c r="M192" i="10"/>
  <c r="O17" i="10"/>
  <c r="O19" i="10"/>
  <c r="N192" i="10"/>
  <c r="P17" i="10"/>
  <c r="P19" i="10"/>
  <c r="O192" i="10"/>
  <c r="Q17" i="10"/>
  <c r="Q19" i="10"/>
  <c r="P192" i="10"/>
  <c r="R17" i="10"/>
  <c r="R19" i="10"/>
  <c r="Q192" i="10"/>
  <c r="S17" i="10"/>
  <c r="S19" i="10"/>
  <c r="R192" i="10"/>
  <c r="B120" i="10"/>
  <c r="B121" i="10"/>
  <c r="B122" i="10"/>
  <c r="B101" i="10"/>
  <c r="B124" i="10"/>
  <c r="B105" i="10"/>
  <c r="B138" i="10"/>
  <c r="B152" i="10"/>
  <c r="B156" i="10"/>
  <c r="B108" i="10"/>
  <c r="B143" i="10"/>
  <c r="B153" i="10"/>
  <c r="B157" i="10"/>
  <c r="B171" i="10"/>
  <c r="B179" i="10"/>
  <c r="B173" i="10"/>
  <c r="B181" i="10"/>
  <c r="B175" i="10"/>
  <c r="B183" i="10"/>
  <c r="B187" i="10"/>
  <c r="B188" i="10"/>
  <c r="B193" i="10"/>
  <c r="C120" i="10"/>
  <c r="C121" i="10"/>
  <c r="C122" i="10"/>
  <c r="C101" i="10"/>
  <c r="C124" i="10"/>
  <c r="C105" i="10"/>
  <c r="C139" i="10"/>
  <c r="C152" i="10"/>
  <c r="C156" i="10"/>
  <c r="C108" i="10"/>
  <c r="C144" i="10"/>
  <c r="C153" i="10"/>
  <c r="C157" i="10"/>
  <c r="C171" i="10"/>
  <c r="C179" i="10"/>
  <c r="C173" i="10"/>
  <c r="C181" i="10"/>
  <c r="C175" i="10"/>
  <c r="C183" i="10"/>
  <c r="C187" i="10"/>
  <c r="C188" i="10"/>
  <c r="C193" i="10"/>
  <c r="D120" i="10"/>
  <c r="D121" i="10"/>
  <c r="D122" i="10"/>
  <c r="D101" i="10"/>
  <c r="D124" i="10"/>
  <c r="D105" i="10"/>
  <c r="D140" i="10"/>
  <c r="D152" i="10"/>
  <c r="D156" i="10"/>
  <c r="D108" i="10"/>
  <c r="D145" i="10"/>
  <c r="D153" i="10"/>
  <c r="D157" i="10"/>
  <c r="D171" i="10"/>
  <c r="D179" i="10"/>
  <c r="D173" i="10"/>
  <c r="D181" i="10"/>
  <c r="D175" i="10"/>
  <c r="D183" i="10"/>
  <c r="D187" i="10"/>
  <c r="D188" i="10"/>
  <c r="D193" i="10"/>
  <c r="E120" i="10"/>
  <c r="E121" i="10"/>
  <c r="E122" i="10"/>
  <c r="E101" i="10"/>
  <c r="E124" i="10"/>
  <c r="E105" i="10"/>
  <c r="E139" i="10"/>
  <c r="E152" i="10"/>
  <c r="E156" i="10"/>
  <c r="E108" i="10"/>
  <c r="E144" i="10"/>
  <c r="E153" i="10"/>
  <c r="E157" i="10"/>
  <c r="E171" i="10"/>
  <c r="E179" i="10"/>
  <c r="E173" i="10"/>
  <c r="E181" i="10"/>
  <c r="E175" i="10"/>
  <c r="E183" i="10"/>
  <c r="E187" i="10"/>
  <c r="E188" i="10"/>
  <c r="E193" i="10"/>
  <c r="F120" i="10"/>
  <c r="F121" i="10"/>
  <c r="F122" i="10"/>
  <c r="F101" i="10"/>
  <c r="F124" i="10"/>
  <c r="F105" i="10"/>
  <c r="F140" i="10"/>
  <c r="F152" i="10"/>
  <c r="F156" i="10"/>
  <c r="F108" i="10"/>
  <c r="F145" i="10"/>
  <c r="F153" i="10"/>
  <c r="F157" i="10"/>
  <c r="F171" i="10"/>
  <c r="F179" i="10"/>
  <c r="F173" i="10"/>
  <c r="F181" i="10"/>
  <c r="F175" i="10"/>
  <c r="F183" i="10"/>
  <c r="F187" i="10"/>
  <c r="F188" i="10"/>
  <c r="F193" i="10"/>
  <c r="G120" i="10"/>
  <c r="G121" i="10"/>
  <c r="G122" i="10"/>
  <c r="G101" i="10"/>
  <c r="G124" i="10"/>
  <c r="G105" i="10"/>
  <c r="G139" i="10"/>
  <c r="G152" i="10"/>
  <c r="G156" i="10"/>
  <c r="G108" i="10"/>
  <c r="G144" i="10"/>
  <c r="G153" i="10"/>
  <c r="G157" i="10"/>
  <c r="G171" i="10"/>
  <c r="G179" i="10"/>
  <c r="G173" i="10"/>
  <c r="G181" i="10"/>
  <c r="G175" i="10"/>
  <c r="G183" i="10"/>
  <c r="G187" i="10"/>
  <c r="G188" i="10"/>
  <c r="G193" i="10"/>
  <c r="H120" i="10"/>
  <c r="H121" i="10"/>
  <c r="H122" i="10"/>
  <c r="H101" i="10"/>
  <c r="H124" i="10"/>
  <c r="H105" i="10"/>
  <c r="H139" i="10"/>
  <c r="H152" i="10"/>
  <c r="H156" i="10"/>
  <c r="H108" i="10"/>
  <c r="H144" i="10"/>
  <c r="H153" i="10"/>
  <c r="H157" i="10"/>
  <c r="H171" i="10"/>
  <c r="H179" i="10"/>
  <c r="H173" i="10"/>
  <c r="H181" i="10"/>
  <c r="H175" i="10"/>
  <c r="H183" i="10"/>
  <c r="H187" i="10"/>
  <c r="H188" i="10"/>
  <c r="H193" i="10"/>
  <c r="I120" i="10"/>
  <c r="I121" i="10"/>
  <c r="I122" i="10"/>
  <c r="I101" i="10"/>
  <c r="I124" i="10"/>
  <c r="I105" i="10"/>
  <c r="I140" i="10"/>
  <c r="I152" i="10"/>
  <c r="I156" i="10"/>
  <c r="I108" i="10"/>
  <c r="I145" i="10"/>
  <c r="I153" i="10"/>
  <c r="I157" i="10"/>
  <c r="I171" i="10"/>
  <c r="I179" i="10"/>
  <c r="I173" i="10"/>
  <c r="I181" i="10"/>
  <c r="I175" i="10"/>
  <c r="I183" i="10"/>
  <c r="I187" i="10"/>
  <c r="I188" i="10"/>
  <c r="I193" i="10"/>
  <c r="J120" i="10"/>
  <c r="J121" i="10"/>
  <c r="J122" i="10"/>
  <c r="J101" i="10"/>
  <c r="J124" i="10"/>
  <c r="J105" i="10"/>
  <c r="J140" i="10"/>
  <c r="J152" i="10"/>
  <c r="J156" i="10"/>
  <c r="J108" i="10"/>
  <c r="J145" i="10"/>
  <c r="J153" i="10"/>
  <c r="J157" i="10"/>
  <c r="J171" i="10"/>
  <c r="J179" i="10"/>
  <c r="J173" i="10"/>
  <c r="J181" i="10"/>
  <c r="J175" i="10"/>
  <c r="J183" i="10"/>
  <c r="J187" i="10"/>
  <c r="J188" i="10"/>
  <c r="J193" i="10"/>
  <c r="K120" i="10"/>
  <c r="K121" i="10"/>
  <c r="K122" i="10"/>
  <c r="K101" i="10"/>
  <c r="K124" i="10"/>
  <c r="K105" i="10"/>
  <c r="K139" i="10"/>
  <c r="K152" i="10"/>
  <c r="K156" i="10"/>
  <c r="K108" i="10"/>
  <c r="K144" i="10"/>
  <c r="K153" i="10"/>
  <c r="K157" i="10"/>
  <c r="K171" i="10"/>
  <c r="K179" i="10"/>
  <c r="K173" i="10"/>
  <c r="K181" i="10"/>
  <c r="K175" i="10"/>
  <c r="K183" i="10"/>
  <c r="K187" i="10"/>
  <c r="K188" i="10"/>
  <c r="K193" i="10"/>
  <c r="L120" i="10"/>
  <c r="L121" i="10"/>
  <c r="L122" i="10"/>
  <c r="L101" i="10"/>
  <c r="L124" i="10"/>
  <c r="L105" i="10"/>
  <c r="L140" i="10"/>
  <c r="L152" i="10"/>
  <c r="L156" i="10"/>
  <c r="L108" i="10"/>
  <c r="L145" i="10"/>
  <c r="L153" i="10"/>
  <c r="L157" i="10"/>
  <c r="L171" i="10"/>
  <c r="L179" i="10"/>
  <c r="L173" i="10"/>
  <c r="L181" i="10"/>
  <c r="L175" i="10"/>
  <c r="L183" i="10"/>
  <c r="L187" i="10"/>
  <c r="L188" i="10"/>
  <c r="L193" i="10"/>
  <c r="M120" i="10"/>
  <c r="M121" i="10"/>
  <c r="M122" i="10"/>
  <c r="M101" i="10"/>
  <c r="M124" i="10"/>
  <c r="M105" i="10"/>
  <c r="M139" i="10"/>
  <c r="M152" i="10"/>
  <c r="M156" i="10"/>
  <c r="M108" i="10"/>
  <c r="M144" i="10"/>
  <c r="M153" i="10"/>
  <c r="M157" i="10"/>
  <c r="M171" i="10"/>
  <c r="M179" i="10"/>
  <c r="M173" i="10"/>
  <c r="M181" i="10"/>
  <c r="M175" i="10"/>
  <c r="M183" i="10"/>
  <c r="M187" i="10"/>
  <c r="M188" i="10"/>
  <c r="M193" i="10"/>
  <c r="N120" i="10"/>
  <c r="N121" i="10"/>
  <c r="N122" i="10"/>
  <c r="N101" i="10"/>
  <c r="N124" i="10"/>
  <c r="N105" i="10"/>
  <c r="N140" i="10"/>
  <c r="N152" i="10"/>
  <c r="N156" i="10"/>
  <c r="N108" i="10"/>
  <c r="N145" i="10"/>
  <c r="N153" i="10"/>
  <c r="N157" i="10"/>
  <c r="N171" i="10"/>
  <c r="N179" i="10"/>
  <c r="N173" i="10"/>
  <c r="N181" i="10"/>
  <c r="N175" i="10"/>
  <c r="N183" i="10"/>
  <c r="N187" i="10"/>
  <c r="N188" i="10"/>
  <c r="N193" i="10"/>
  <c r="O120" i="10"/>
  <c r="O121" i="10"/>
  <c r="O122" i="10"/>
  <c r="O101" i="10"/>
  <c r="O124" i="10"/>
  <c r="O105" i="10"/>
  <c r="O139" i="10"/>
  <c r="O152" i="10"/>
  <c r="O156" i="10"/>
  <c r="O108" i="10"/>
  <c r="O144" i="10"/>
  <c r="O153" i="10"/>
  <c r="O157" i="10"/>
  <c r="O171" i="10"/>
  <c r="O179" i="10"/>
  <c r="O173" i="10"/>
  <c r="O181" i="10"/>
  <c r="O175" i="10"/>
  <c r="O183" i="10"/>
  <c r="O187" i="10"/>
  <c r="O188" i="10"/>
  <c r="O193" i="10"/>
  <c r="P120" i="10"/>
  <c r="P121" i="10"/>
  <c r="P122" i="10"/>
  <c r="P101" i="10"/>
  <c r="P124" i="10"/>
  <c r="P105" i="10"/>
  <c r="P139" i="10"/>
  <c r="P152" i="10"/>
  <c r="P156" i="10"/>
  <c r="P108" i="10"/>
  <c r="P144" i="10"/>
  <c r="P153" i="10"/>
  <c r="P157" i="10"/>
  <c r="P171" i="10"/>
  <c r="P179" i="10"/>
  <c r="P173" i="10"/>
  <c r="P181" i="10"/>
  <c r="P175" i="10"/>
  <c r="P183" i="10"/>
  <c r="P187" i="10"/>
  <c r="P188" i="10"/>
  <c r="P193" i="10"/>
  <c r="Q120" i="10"/>
  <c r="Q121" i="10"/>
  <c r="Q122" i="10"/>
  <c r="Q101" i="10"/>
  <c r="Q124" i="10"/>
  <c r="Q105" i="10"/>
  <c r="Q139" i="10"/>
  <c r="Q152" i="10"/>
  <c r="Q156" i="10"/>
  <c r="Q108" i="10"/>
  <c r="Q144" i="10"/>
  <c r="Q153" i="10"/>
  <c r="Q157" i="10"/>
  <c r="Q171" i="10"/>
  <c r="Q179" i="10"/>
  <c r="Q173" i="10"/>
  <c r="Q181" i="10"/>
  <c r="Q175" i="10"/>
  <c r="Q183" i="10"/>
  <c r="Q187" i="10"/>
  <c r="Q188" i="10"/>
  <c r="Q193" i="10"/>
  <c r="R120" i="10"/>
  <c r="R121" i="10"/>
  <c r="R122" i="10"/>
  <c r="R101" i="10"/>
  <c r="R124" i="10"/>
  <c r="R105" i="10"/>
  <c r="R138" i="10"/>
  <c r="R152" i="10"/>
  <c r="R156" i="10"/>
  <c r="R108" i="10"/>
  <c r="R143" i="10"/>
  <c r="R153" i="10"/>
  <c r="R157" i="10"/>
  <c r="R171" i="10"/>
  <c r="R179" i="10"/>
  <c r="R173" i="10"/>
  <c r="R181" i="10"/>
  <c r="R175" i="10"/>
  <c r="R183" i="10"/>
  <c r="R187" i="10"/>
  <c r="R188" i="10"/>
  <c r="R193" i="10"/>
  <c r="B106" i="10"/>
  <c r="B107" i="10"/>
  <c r="B109" i="10"/>
  <c r="B100" i="10"/>
  <c r="B110" i="10"/>
  <c r="B115" i="10"/>
  <c r="B116" i="10"/>
  <c r="B117" i="10"/>
  <c r="B119" i="10"/>
  <c r="B194" i="10"/>
  <c r="C106" i="10"/>
  <c r="C107" i="10"/>
  <c r="C109" i="10"/>
  <c r="C100" i="10"/>
  <c r="C110" i="10"/>
  <c r="C115" i="10"/>
  <c r="C116" i="10"/>
  <c r="C117" i="10"/>
  <c r="C119" i="10"/>
  <c r="C194" i="10"/>
  <c r="D106" i="10"/>
  <c r="D107" i="10"/>
  <c r="D109" i="10"/>
  <c r="D100" i="10"/>
  <c r="D110" i="10"/>
  <c r="D115" i="10"/>
  <c r="D116" i="10"/>
  <c r="D117" i="10"/>
  <c r="D119" i="10"/>
  <c r="D194" i="10"/>
  <c r="E106" i="10"/>
  <c r="E107" i="10"/>
  <c r="E109" i="10"/>
  <c r="E100" i="10"/>
  <c r="E110" i="10"/>
  <c r="E115" i="10"/>
  <c r="E116" i="10"/>
  <c r="E117" i="10"/>
  <c r="E119" i="10"/>
  <c r="E194" i="10"/>
  <c r="F106" i="10"/>
  <c r="F107" i="10"/>
  <c r="F109" i="10"/>
  <c r="F100" i="10"/>
  <c r="F110" i="10"/>
  <c r="F115" i="10"/>
  <c r="F116" i="10"/>
  <c r="F117" i="10"/>
  <c r="F119" i="10"/>
  <c r="F194" i="10"/>
  <c r="G106" i="10"/>
  <c r="G107" i="10"/>
  <c r="G109" i="10"/>
  <c r="G100" i="10"/>
  <c r="G110" i="10"/>
  <c r="G115" i="10"/>
  <c r="G116" i="10"/>
  <c r="G117" i="10"/>
  <c r="G119" i="10"/>
  <c r="G194" i="10"/>
  <c r="H106" i="10"/>
  <c r="H107" i="10"/>
  <c r="H109" i="10"/>
  <c r="H100" i="10"/>
  <c r="H110" i="10"/>
  <c r="H115" i="10"/>
  <c r="H116" i="10"/>
  <c r="H117" i="10"/>
  <c r="H119" i="10"/>
  <c r="H194" i="10"/>
  <c r="I106" i="10"/>
  <c r="I107" i="10"/>
  <c r="I109" i="10"/>
  <c r="I100" i="10"/>
  <c r="I110" i="10"/>
  <c r="I115" i="10"/>
  <c r="I116" i="10"/>
  <c r="I117" i="10"/>
  <c r="I119" i="10"/>
  <c r="I194" i="10"/>
  <c r="J106" i="10"/>
  <c r="J107" i="10"/>
  <c r="J109" i="10"/>
  <c r="J100" i="10"/>
  <c r="J110" i="10"/>
  <c r="J115" i="10"/>
  <c r="J116" i="10"/>
  <c r="J117" i="10"/>
  <c r="J119" i="10"/>
  <c r="J194" i="10"/>
  <c r="K106" i="10"/>
  <c r="K107" i="10"/>
  <c r="K109" i="10"/>
  <c r="K100" i="10"/>
  <c r="K110" i="10"/>
  <c r="K115" i="10"/>
  <c r="K116" i="10"/>
  <c r="K117" i="10"/>
  <c r="K119" i="10"/>
  <c r="K194" i="10"/>
  <c r="L106" i="10"/>
  <c r="L107" i="10"/>
  <c r="L109" i="10"/>
  <c r="L100" i="10"/>
  <c r="L110" i="10"/>
  <c r="L115" i="10"/>
  <c r="L116" i="10"/>
  <c r="L117" i="10"/>
  <c r="L119" i="10"/>
  <c r="L194" i="10"/>
  <c r="M106" i="10"/>
  <c r="M107" i="10"/>
  <c r="M109" i="10"/>
  <c r="M100" i="10"/>
  <c r="M110" i="10"/>
  <c r="M115" i="10"/>
  <c r="M116" i="10"/>
  <c r="M117" i="10"/>
  <c r="M119" i="10"/>
  <c r="M194" i="10"/>
  <c r="N106" i="10"/>
  <c r="N107" i="10"/>
  <c r="N109" i="10"/>
  <c r="N100" i="10"/>
  <c r="N110" i="10"/>
  <c r="N115" i="10"/>
  <c r="N116" i="10"/>
  <c r="N117" i="10"/>
  <c r="N119" i="10"/>
  <c r="N194" i="10"/>
  <c r="O106" i="10"/>
  <c r="O107" i="10"/>
  <c r="O109" i="10"/>
  <c r="O100" i="10"/>
  <c r="O110" i="10"/>
  <c r="O115" i="10"/>
  <c r="O116" i="10"/>
  <c r="O117" i="10"/>
  <c r="O119" i="10"/>
  <c r="O194" i="10"/>
  <c r="P106" i="10"/>
  <c r="P107" i="10"/>
  <c r="P109" i="10"/>
  <c r="P100" i="10"/>
  <c r="P110" i="10"/>
  <c r="P115" i="10"/>
  <c r="P116" i="10"/>
  <c r="P117" i="10"/>
  <c r="P119" i="10"/>
  <c r="P194" i="10"/>
  <c r="Q106" i="10"/>
  <c r="Q107" i="10"/>
  <c r="Q109" i="10"/>
  <c r="Q100" i="10"/>
  <c r="Q110" i="10"/>
  <c r="Q115" i="10"/>
  <c r="Q116" i="10"/>
  <c r="Q117" i="10"/>
  <c r="Q119" i="10"/>
  <c r="Q194" i="10"/>
  <c r="R106" i="10"/>
  <c r="R107" i="10"/>
  <c r="R109" i="10"/>
  <c r="R100" i="10"/>
  <c r="R110" i="10"/>
  <c r="R115" i="10"/>
  <c r="R116" i="10"/>
  <c r="R117" i="10"/>
  <c r="R119" i="10"/>
  <c r="R194" i="10"/>
  <c r="C18" i="10"/>
  <c r="C20" i="10"/>
  <c r="B195" i="10"/>
  <c r="D18" i="10"/>
  <c r="D20" i="10"/>
  <c r="C195" i="10"/>
  <c r="E18" i="10"/>
  <c r="E20" i="10"/>
  <c r="D195" i="10"/>
  <c r="F18" i="10"/>
  <c r="F20" i="10"/>
  <c r="E195" i="10"/>
  <c r="G18" i="10"/>
  <c r="G20" i="10"/>
  <c r="F195" i="10"/>
  <c r="H18" i="10"/>
  <c r="H20" i="10"/>
  <c r="G195" i="10"/>
  <c r="I18" i="10"/>
  <c r="I20" i="10"/>
  <c r="H195" i="10"/>
  <c r="J18" i="10"/>
  <c r="J20" i="10"/>
  <c r="I195" i="10"/>
  <c r="K18" i="10"/>
  <c r="K20" i="10"/>
  <c r="J195" i="10"/>
  <c r="L18" i="10"/>
  <c r="L20" i="10"/>
  <c r="K195" i="10"/>
  <c r="M18" i="10"/>
  <c r="M20" i="10"/>
  <c r="L195" i="10"/>
  <c r="N18" i="10"/>
  <c r="N20" i="10"/>
  <c r="M195" i="10"/>
  <c r="O18" i="10"/>
  <c r="O20" i="10"/>
  <c r="N195" i="10"/>
  <c r="P18" i="10"/>
  <c r="P20" i="10"/>
  <c r="O195" i="10"/>
  <c r="Q18" i="10"/>
  <c r="Q20" i="10"/>
  <c r="P195" i="10"/>
  <c r="R18" i="10"/>
  <c r="R20" i="10"/>
  <c r="Q195" i="10"/>
  <c r="S18" i="10"/>
  <c r="S20" i="10"/>
  <c r="R195" i="10"/>
  <c r="B125" i="10"/>
  <c r="B196" i="10"/>
  <c r="C125" i="10"/>
  <c r="C196" i="10"/>
  <c r="D125" i="10"/>
  <c r="D196" i="10"/>
  <c r="E125" i="10"/>
  <c r="E196" i="10"/>
  <c r="F125" i="10"/>
  <c r="F196" i="10"/>
  <c r="G125" i="10"/>
  <c r="G196" i="10"/>
  <c r="H125" i="10"/>
  <c r="H196" i="10"/>
  <c r="I125" i="10"/>
  <c r="I196" i="10"/>
  <c r="J125" i="10"/>
  <c r="J196" i="10"/>
  <c r="K125" i="10"/>
  <c r="K196" i="10"/>
  <c r="L125" i="10"/>
  <c r="L196" i="10"/>
  <c r="M125" i="10"/>
  <c r="M196" i="10"/>
  <c r="N125" i="10"/>
  <c r="N196" i="10"/>
  <c r="O125" i="10"/>
  <c r="O196" i="10"/>
  <c r="P125" i="10"/>
  <c r="P196" i="10"/>
  <c r="Q125" i="10"/>
  <c r="Q196" i="10"/>
  <c r="R125" i="10"/>
  <c r="R196" i="10"/>
  <c r="B197" i="10"/>
  <c r="C197" i="10"/>
  <c r="D197" i="10"/>
  <c r="E197" i="10"/>
  <c r="F197" i="10"/>
  <c r="G197" i="10"/>
  <c r="H197" i="10"/>
  <c r="I197" i="10"/>
  <c r="J197" i="10"/>
  <c r="K197" i="10"/>
  <c r="L197" i="10"/>
  <c r="M197" i="10"/>
  <c r="N197" i="10"/>
  <c r="O197" i="10"/>
  <c r="P197" i="10"/>
  <c r="Q197" i="10"/>
  <c r="R197" i="10"/>
  <c r="B199" i="10"/>
  <c r="C199" i="10"/>
  <c r="D199" i="10"/>
  <c r="E199" i="10"/>
  <c r="F199" i="10"/>
  <c r="G199" i="10"/>
  <c r="H199" i="10"/>
  <c r="I199" i="10"/>
  <c r="J199" i="10"/>
  <c r="K199" i="10"/>
  <c r="L199" i="10"/>
  <c r="M199" i="10"/>
  <c r="N199" i="10"/>
  <c r="O199" i="10"/>
  <c r="P199" i="10"/>
  <c r="Q199" i="10"/>
  <c r="R199" i="10"/>
  <c r="B200" i="10"/>
  <c r="C200" i="10"/>
  <c r="D200" i="10"/>
  <c r="E200" i="10"/>
  <c r="F200" i="10"/>
  <c r="G200" i="10"/>
  <c r="H200" i="10"/>
  <c r="I200" i="10"/>
  <c r="J200" i="10"/>
  <c r="K200" i="10"/>
  <c r="L200" i="10"/>
  <c r="M200" i="10"/>
  <c r="N200" i="10"/>
  <c r="O200" i="10"/>
  <c r="P200" i="10"/>
  <c r="Q200" i="10"/>
  <c r="R200" i="10"/>
  <c r="D6" i="2"/>
  <c r="D7" i="2"/>
  <c r="D11" i="2"/>
  <c r="D8" i="2"/>
  <c r="D16" i="2"/>
  <c r="D19" i="2"/>
  <c r="C6" i="5"/>
  <c r="B22" i="7"/>
  <c r="B23" i="7"/>
  <c r="L2" i="6"/>
  <c r="D20" i="2"/>
  <c r="H31" i="3"/>
  <c r="H34" i="3"/>
  <c r="B9" i="6"/>
  <c r="B10" i="6"/>
  <c r="D9" i="2"/>
  <c r="B203" i="10"/>
  <c r="I31" i="3"/>
  <c r="I34" i="3"/>
  <c r="C9" i="6"/>
  <c r="C10" i="6"/>
  <c r="C203" i="10"/>
  <c r="C208" i="10"/>
  <c r="J31" i="3"/>
  <c r="J34" i="3"/>
  <c r="D9" i="6"/>
  <c r="D10" i="6"/>
  <c r="D203" i="10"/>
  <c r="D208" i="10"/>
  <c r="K31" i="3"/>
  <c r="K34" i="3"/>
  <c r="E9" i="6"/>
  <c r="E10" i="6"/>
  <c r="E203" i="10"/>
  <c r="E208" i="10"/>
  <c r="L31" i="3"/>
  <c r="L34" i="3"/>
  <c r="F9" i="6"/>
  <c r="F10" i="6"/>
  <c r="F203" i="10"/>
  <c r="F208" i="10"/>
  <c r="M31" i="3"/>
  <c r="M34" i="3"/>
  <c r="G9" i="6"/>
  <c r="G10" i="6"/>
  <c r="G203" i="10"/>
  <c r="G208" i="10"/>
  <c r="N31" i="3"/>
  <c r="N34" i="3"/>
  <c r="H9" i="6"/>
  <c r="H10" i="6"/>
  <c r="H203" i="10"/>
  <c r="H208" i="10"/>
  <c r="O31" i="3"/>
  <c r="O34" i="3"/>
  <c r="I9" i="6"/>
  <c r="I10" i="6"/>
  <c r="I203" i="10"/>
  <c r="I208" i="10"/>
  <c r="P31" i="3"/>
  <c r="P34" i="3"/>
  <c r="J9" i="6"/>
  <c r="J10" i="6"/>
  <c r="J203" i="10"/>
  <c r="J208" i="10"/>
  <c r="Q31" i="3"/>
  <c r="Q34" i="3"/>
  <c r="K9" i="6"/>
  <c r="K10" i="6"/>
  <c r="K203" i="10"/>
  <c r="K208" i="10"/>
  <c r="R31" i="3"/>
  <c r="R34" i="3"/>
  <c r="L9" i="6"/>
  <c r="L10" i="6"/>
  <c r="L203" i="10"/>
  <c r="L208" i="10"/>
  <c r="S31" i="3"/>
  <c r="S34" i="3"/>
  <c r="M9" i="6"/>
  <c r="M10" i="6"/>
  <c r="M203" i="10"/>
  <c r="M208" i="10"/>
  <c r="T31" i="3"/>
  <c r="T34" i="3"/>
  <c r="N9" i="6"/>
  <c r="N10" i="6"/>
  <c r="N203" i="10"/>
  <c r="N208" i="10"/>
  <c r="U31" i="3"/>
  <c r="U34" i="3"/>
  <c r="O9" i="6"/>
  <c r="O10" i="6"/>
  <c r="O203" i="10"/>
  <c r="O208" i="10"/>
  <c r="V31" i="3"/>
  <c r="V34" i="3"/>
  <c r="P9" i="6"/>
  <c r="P10" i="6"/>
  <c r="P203" i="10"/>
  <c r="P208" i="10"/>
  <c r="W31" i="3"/>
  <c r="W34" i="3"/>
  <c r="Q9" i="6"/>
  <c r="Q10" i="6"/>
  <c r="Q203" i="10"/>
  <c r="Q208" i="10"/>
  <c r="X31" i="3"/>
  <c r="X34" i="3"/>
  <c r="R9" i="6"/>
  <c r="R10" i="6"/>
  <c r="R203" i="10"/>
  <c r="R208" i="10"/>
  <c r="B208" i="10"/>
  <c r="C7" i="5"/>
  <c r="C8" i="5"/>
  <c r="C204" i="10"/>
  <c r="C205" i="10"/>
  <c r="C206" i="10"/>
  <c r="C207" i="10"/>
  <c r="D204" i="10"/>
  <c r="D205" i="10"/>
  <c r="D206" i="10"/>
  <c r="D207" i="10"/>
  <c r="E204" i="10"/>
  <c r="E205" i="10"/>
  <c r="E206" i="10"/>
  <c r="E207" i="10"/>
  <c r="F204" i="10"/>
  <c r="F205" i="10"/>
  <c r="F206" i="10"/>
  <c r="F207" i="10"/>
  <c r="G204" i="10"/>
  <c r="G205" i="10"/>
  <c r="G206" i="10"/>
  <c r="G207" i="10"/>
  <c r="H204" i="10"/>
  <c r="H205" i="10"/>
  <c r="H206" i="10"/>
  <c r="H207" i="10"/>
  <c r="I204" i="10"/>
  <c r="I205" i="10"/>
  <c r="I206" i="10"/>
  <c r="I207" i="10"/>
  <c r="J204" i="10"/>
  <c r="J205" i="10"/>
  <c r="J206" i="10"/>
  <c r="J207" i="10"/>
  <c r="K204" i="10"/>
  <c r="K205" i="10"/>
  <c r="K206" i="10"/>
  <c r="K207" i="10"/>
  <c r="L204" i="10"/>
  <c r="L205" i="10"/>
  <c r="L206" i="10"/>
  <c r="L207" i="10"/>
  <c r="M204" i="10"/>
  <c r="M205" i="10"/>
  <c r="M206" i="10"/>
  <c r="M207" i="10"/>
  <c r="N204" i="10"/>
  <c r="N205" i="10"/>
  <c r="N206" i="10"/>
  <c r="N207" i="10"/>
  <c r="O204" i="10"/>
  <c r="O205" i="10"/>
  <c r="O206" i="10"/>
  <c r="O207" i="10"/>
  <c r="P204" i="10"/>
  <c r="P205" i="10"/>
  <c r="P206" i="10"/>
  <c r="P207" i="10"/>
  <c r="Q204" i="10"/>
  <c r="Q205" i="10"/>
  <c r="Q206" i="10"/>
  <c r="Q207" i="10"/>
  <c r="R204" i="10"/>
  <c r="R205" i="10"/>
  <c r="R206" i="10"/>
  <c r="R207" i="10"/>
  <c r="B204" i="10"/>
  <c r="B205" i="10"/>
  <c r="B206" i="10"/>
  <c r="B207" i="10"/>
  <c r="B148" i="10"/>
  <c r="B8" i="2"/>
  <c r="C123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F114" i="10"/>
  <c r="C118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B118" i="10"/>
  <c r="E114" i="10"/>
  <c r="B174" i="10"/>
  <c r="C22" i="10"/>
  <c r="C21" i="10"/>
  <c r="C23" i="10"/>
  <c r="C26" i="10"/>
  <c r="F21" i="5"/>
  <c r="F11" i="5"/>
  <c r="C149" i="10"/>
  <c r="C154" i="10"/>
  <c r="C158" i="10"/>
  <c r="D150" i="10"/>
  <c r="D154" i="10"/>
  <c r="D158" i="10"/>
  <c r="E149" i="10"/>
  <c r="E154" i="10"/>
  <c r="E158" i="10"/>
  <c r="F150" i="10"/>
  <c r="F154" i="10"/>
  <c r="F158" i="10"/>
  <c r="G149" i="10"/>
  <c r="G154" i="10"/>
  <c r="G158" i="10"/>
  <c r="H149" i="10"/>
  <c r="H154" i="10"/>
  <c r="H158" i="10"/>
  <c r="I150" i="10"/>
  <c r="I154" i="10"/>
  <c r="I158" i="10"/>
  <c r="J150" i="10"/>
  <c r="J154" i="10"/>
  <c r="J158" i="10"/>
  <c r="K149" i="10"/>
  <c r="K154" i="10"/>
  <c r="K158" i="10"/>
  <c r="L150" i="10"/>
  <c r="L154" i="10"/>
  <c r="L158" i="10"/>
  <c r="M149" i="10"/>
  <c r="M154" i="10"/>
  <c r="M158" i="10"/>
  <c r="N150" i="10"/>
  <c r="N154" i="10"/>
  <c r="N158" i="10"/>
  <c r="O149" i="10"/>
  <c r="O154" i="10"/>
  <c r="O158" i="10"/>
  <c r="P149" i="10"/>
  <c r="P154" i="10"/>
  <c r="P158" i="10"/>
  <c r="Q149" i="10"/>
  <c r="Q154" i="10"/>
  <c r="Q158" i="10"/>
  <c r="R148" i="10"/>
  <c r="R154" i="10"/>
  <c r="R158" i="10"/>
  <c r="B154" i="10"/>
  <c r="B158" i="10"/>
  <c r="B16" i="2"/>
  <c r="C172" i="10"/>
  <c r="D172" i="10"/>
  <c r="E172" i="10"/>
  <c r="F172" i="10"/>
  <c r="G172" i="10"/>
  <c r="H172" i="10"/>
  <c r="I172" i="10"/>
  <c r="J172" i="10"/>
  <c r="K172" i="10"/>
  <c r="L172" i="10"/>
  <c r="M172" i="10"/>
  <c r="N172" i="10"/>
  <c r="O172" i="10"/>
  <c r="P172" i="10"/>
  <c r="Q172" i="10"/>
  <c r="R172" i="10"/>
  <c r="C174" i="10"/>
  <c r="D174" i="10"/>
  <c r="E174" i="10"/>
  <c r="F174" i="10"/>
  <c r="G174" i="10"/>
  <c r="H174" i="10"/>
  <c r="I174" i="10"/>
  <c r="J174" i="10"/>
  <c r="K174" i="10"/>
  <c r="L174" i="10"/>
  <c r="M174" i="10"/>
  <c r="N174" i="10"/>
  <c r="O174" i="10"/>
  <c r="P174" i="10"/>
  <c r="Q174" i="10"/>
  <c r="R174" i="10"/>
  <c r="B172" i="10"/>
  <c r="R139" i="10"/>
  <c r="R140" i="10"/>
  <c r="R144" i="10"/>
  <c r="R145" i="10"/>
  <c r="R149" i="10"/>
  <c r="R150" i="10"/>
  <c r="N138" i="10"/>
  <c r="O138" i="10"/>
  <c r="P138" i="10"/>
  <c r="Q138" i="10"/>
  <c r="N139" i="10"/>
  <c r="O140" i="10"/>
  <c r="P140" i="10"/>
  <c r="Q140" i="10"/>
  <c r="N143" i="10"/>
  <c r="O143" i="10"/>
  <c r="P143" i="10"/>
  <c r="Q143" i="10"/>
  <c r="N144" i="10"/>
  <c r="O145" i="10"/>
  <c r="P145" i="10"/>
  <c r="Q145" i="10"/>
  <c r="N148" i="10"/>
  <c r="O148" i="10"/>
  <c r="P148" i="10"/>
  <c r="Q148" i="10"/>
  <c r="N149" i="10"/>
  <c r="O150" i="10"/>
  <c r="P150" i="10"/>
  <c r="Q150" i="10"/>
  <c r="C148" i="10"/>
  <c r="D148" i="10"/>
  <c r="E148" i="10"/>
  <c r="F148" i="10"/>
  <c r="G148" i="10"/>
  <c r="H148" i="10"/>
  <c r="I148" i="10"/>
  <c r="J148" i="10"/>
  <c r="K148" i="10"/>
  <c r="L148" i="10"/>
  <c r="M148" i="10"/>
  <c r="D149" i="10"/>
  <c r="F149" i="10"/>
  <c r="I149" i="10"/>
  <c r="J149" i="10"/>
  <c r="L149" i="10"/>
  <c r="C150" i="10"/>
  <c r="E150" i="10"/>
  <c r="G150" i="10"/>
  <c r="H150" i="10"/>
  <c r="K150" i="10"/>
  <c r="M150" i="10"/>
  <c r="B150" i="10"/>
  <c r="B149" i="10"/>
  <c r="M145" i="10"/>
  <c r="C143" i="10"/>
  <c r="D143" i="10"/>
  <c r="E143" i="10"/>
  <c r="F143" i="10"/>
  <c r="G143" i="10"/>
  <c r="H143" i="10"/>
  <c r="I143" i="10"/>
  <c r="J143" i="10"/>
  <c r="K143" i="10"/>
  <c r="L143" i="10"/>
  <c r="M143" i="10"/>
  <c r="D144" i="10"/>
  <c r="F144" i="10"/>
  <c r="I144" i="10"/>
  <c r="J144" i="10"/>
  <c r="L144" i="10"/>
  <c r="C145" i="10"/>
  <c r="E145" i="10"/>
  <c r="G145" i="10"/>
  <c r="H145" i="10"/>
  <c r="K145" i="10"/>
  <c r="B145" i="10"/>
  <c r="B144" i="10"/>
  <c r="C138" i="10"/>
  <c r="D138" i="10"/>
  <c r="E138" i="10"/>
  <c r="F138" i="10"/>
  <c r="G138" i="10"/>
  <c r="H138" i="10"/>
  <c r="I138" i="10"/>
  <c r="J138" i="10"/>
  <c r="K138" i="10"/>
  <c r="L138" i="10"/>
  <c r="M138" i="10"/>
  <c r="D139" i="10"/>
  <c r="F139" i="10"/>
  <c r="I139" i="10"/>
  <c r="J139" i="10"/>
  <c r="L139" i="10"/>
  <c r="C140" i="10"/>
  <c r="E140" i="10"/>
  <c r="G140" i="10"/>
  <c r="H140" i="10"/>
  <c r="K140" i="10"/>
  <c r="M140" i="10"/>
  <c r="B140" i="10"/>
  <c r="B139" i="10"/>
  <c r="F136" i="10"/>
  <c r="B123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15" i="2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22" i="10"/>
  <c r="G21" i="10"/>
  <c r="G23" i="10"/>
  <c r="G26" i="10"/>
  <c r="H22" i="10"/>
  <c r="H21" i="10"/>
  <c r="H23" i="10"/>
  <c r="H26" i="10"/>
  <c r="I22" i="10"/>
  <c r="I21" i="10"/>
  <c r="I23" i="10"/>
  <c r="I26" i="10"/>
  <c r="J22" i="10"/>
  <c r="J21" i="10"/>
  <c r="J23" i="10"/>
  <c r="J26" i="10"/>
  <c r="K22" i="10"/>
  <c r="K21" i="10"/>
  <c r="K23" i="10"/>
  <c r="K26" i="10"/>
  <c r="L22" i="10"/>
  <c r="L21" i="10"/>
  <c r="L23" i="10"/>
  <c r="L26" i="10"/>
  <c r="M22" i="10"/>
  <c r="M21" i="10"/>
  <c r="M23" i="10"/>
  <c r="M26" i="10"/>
  <c r="N22" i="10"/>
  <c r="N21" i="10"/>
  <c r="N23" i="10"/>
  <c r="N26" i="10"/>
  <c r="O22" i="10"/>
  <c r="O21" i="10"/>
  <c r="O23" i="10"/>
  <c r="O26" i="10"/>
  <c r="P22" i="10"/>
  <c r="P21" i="10"/>
  <c r="P23" i="10"/>
  <c r="P26" i="10"/>
  <c r="Q22" i="10"/>
  <c r="Q21" i="10"/>
  <c r="Q23" i="10"/>
  <c r="Q26" i="10"/>
  <c r="R22" i="10"/>
  <c r="R21" i="10"/>
  <c r="R23" i="10"/>
  <c r="R26" i="10"/>
  <c r="S22" i="10"/>
  <c r="S21" i="10"/>
  <c r="S23" i="10"/>
  <c r="S26" i="10"/>
  <c r="E22" i="10"/>
  <c r="E21" i="10"/>
  <c r="E23" i="10"/>
  <c r="E26" i="10"/>
  <c r="F22" i="10"/>
  <c r="F21" i="10"/>
  <c r="F23" i="10"/>
  <c r="F26" i="10"/>
  <c r="D22" i="10"/>
  <c r="D21" i="10"/>
  <c r="D23" i="10"/>
  <c r="D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<sst xmlns="http://schemas.openxmlformats.org/spreadsheetml/2006/main" count="2974" uniqueCount="1431">
  <si>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</si>
  <si>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</si>
  <si>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</si>
  <si>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</si>
  <si>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</si>
  <si>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</si>
  <si>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</si>
  <si>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</si>
  <si>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</si>
  <si>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</si>
  <si>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</si>
  <si>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</si>
  <si>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</si>
  <si>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</si>
  <si>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</si>
  <si>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</si>
  <si>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</si>
  <si>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</si>
  <si>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</si>
  <si>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</si>
  <si>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</si>
  <si>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</si>
  <si>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</si>
  <si>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</si>
  <si>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</si>
  <si>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</si>
  <si>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</si>
  <si>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</si>
  <si>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</si>
  <si>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</si>
  <si>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</si>
  <si>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</si>
  <si>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</si>
  <si>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</si>
  <si>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</si>
  <si>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</si>
  <si>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</si>
  <si>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</si>
  <si>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</si>
  <si>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</si>
  <si>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</si>
  <si>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</si>
  <si>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</si>
  <si>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</si>
  <si>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</si>
  <si>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</si>
  <si>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</si>
  <si>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</si>
  <si>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</si>
  <si>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</si>
  <si>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</si>
  <si>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</si>
  <si>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</si>
  <si>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</si>
  <si>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</si>
  <si>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</si>
  <si>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</si>
  <si>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</si>
  <si>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</si>
  <si>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</si>
  <si>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</si>
  <si>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</si>
  <si>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</si>
  <si>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</si>
  <si>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</si>
  <si>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</si>
  <si>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</si>
  <si>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</si>
  <si>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</si>
  <si>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</si>
  <si>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</si>
  <si>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</si>
  <si>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</si>
  <si>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</si>
  <si>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</si>
  <si>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</si>
  <si>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</si>
  <si>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</si>
  <si>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</si>
  <si>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</si>
  <si>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</si>
  <si>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</si>
  <si>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</si>
  <si>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</si>
  <si>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</si>
  <si>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</si>
  <si>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</si>
  <si>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</si>
  <si>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</si>
  <si>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</si>
  <si>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</si>
  <si>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</si>
  <si>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</si>
  <si>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</si>
  <si>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</si>
  <si>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</si>
  <si>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</si>
  <si>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</si>
  <si>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</si>
  <si>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</si>
  <si>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</si>
  <si>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</si>
  <si>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</si>
  <si>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</si>
  <si>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</si>
  <si>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</si>
  <si>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</si>
  <si>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</si>
  <si>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</si>
  <si>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</si>
  <si>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</si>
  <si>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</si>
  <si>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</si>
  <si>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</si>
  <si>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</si>
  <si>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</si>
  <si>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</si>
  <si>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</si>
  <si>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</si>
  <si>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</si>
  <si>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</si>
  <si>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</si>
  <si>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</si>
  <si>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</si>
  <si>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</si>
  <si>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</si>
  <si>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</si>
  <si>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</si>
  <si>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</si>
  <si>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</si>
  <si>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</si>
  <si>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</si>
  <si>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</si>
  <si>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</si>
  <si>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</si>
  <si>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</si>
  <si>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</si>
  <si>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</si>
  <si>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</si>
  <si>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</si>
  <si>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</si>
  <si>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</si>
  <si>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</si>
  <si>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</si>
  <si>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</si>
  <si>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</si>
  <si>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</si>
  <si>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</si>
  <si>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</si>
  <si>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</si>
  <si>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</si>
  <si>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</si>
  <si>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</si>
  <si>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</si>
  <si>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</si>
  <si>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</si>
  <si>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</si>
  <si>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</si>
  <si>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</si>
  <si>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</si>
  <si>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</si>
  <si>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</si>
  <si>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</si>
  <si>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</si>
  <si>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</si>
  <si>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</si>
  <si>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</si>
  <si>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</si>
  <si>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</si>
  <si>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</si>
  <si>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</si>
  <si>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</si>
  <si>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</si>
  <si>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</si>
  <si>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</si>
  <si>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</si>
  <si>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</si>
  <si>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</si>
  <si>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</si>
  <si>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</si>
  <si>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</si>
  <si>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</si>
  <si>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</si>
  <si>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</si>
  <si>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</si>
  <si>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</si>
  <si>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</si>
  <si>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</si>
  <si>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</si>
  <si>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</si>
  <si>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</si>
  <si>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</si>
  <si>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</si>
  <si>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</si>
  <si>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</si>
  <si>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</si>
  <si>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</si>
  <si>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</si>
  <si>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</si>
  <si>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</si>
  <si>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</si>
  <si>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</si>
  <si>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</si>
  <si>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</si>
  <si>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</si>
  <si>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</si>
  <si>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</si>
  <si>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</si>
  <si>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</si>
  <si>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</si>
  <si>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</si>
  <si>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</si>
  <si>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</si>
  <si>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</si>
  <si>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</si>
  <si>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</si>
  <si>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</si>
  <si>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</si>
  <si>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</si>
  <si>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</si>
  <si>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</si>
  <si>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</si>
  <si>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</si>
  <si>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</si>
  <si>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</si>
  <si>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</si>
  <si>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</si>
  <si>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</si>
  <si>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</si>
  <si>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</si>
  <si>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</si>
  <si>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</si>
  <si>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</si>
  <si>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</si>
  <si>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</si>
  <si>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</si>
  <si>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</si>
  <si>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</si>
  <si>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</si>
  <si>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</si>
  <si>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</si>
  <si>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</si>
  <si>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</si>
  <si>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</si>
  <si>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</si>
  <si>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</si>
  <si>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</si>
  <si>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</si>
  <si>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</si>
  <si>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</si>
  <si>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</si>
  <si>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</si>
  <si>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</si>
  <si>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</si>
  <si>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</si>
  <si>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</si>
  <si>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</si>
  <si>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</si>
  <si>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</si>
  <si>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</si>
  <si>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</si>
  <si>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</si>
  <si>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</si>
  <si>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</si>
  <si>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</si>
  <si>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</si>
  <si>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</si>
  <si>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</si>
  <si>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</si>
  <si>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</si>
  <si>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</si>
  <si>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</si>
  <si>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</si>
  <si>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</si>
  <si>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</si>
  <si>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</si>
  <si>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</si>
  <si>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</si>
  <si>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</si>
  <si>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</si>
  <si>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</si>
  <si>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</si>
  <si>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</si>
  <si>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</si>
  <si>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</si>
  <si>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</si>
  <si>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</si>
  <si>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</si>
  <si>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</si>
  <si>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</si>
  <si>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</si>
  <si>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</si>
  <si>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</si>
  <si>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</si>
  <si>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</si>
  <si>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</si>
  <si>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</si>
  <si>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</si>
  <si>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</si>
  <si>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</si>
  <si>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</si>
  <si>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</si>
  <si>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</si>
  <si>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</si>
  <si>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</si>
  <si>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</si>
  <si>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</si>
  <si>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</si>
  <si>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</si>
  <si>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</si>
  <si>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</si>
  <si>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</si>
  <si>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</si>
  <si>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</si>
  <si>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</si>
  <si>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</si>
  <si>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</si>
  <si>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</si>
  <si>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</si>
  <si>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</si>
  <si>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</si>
  <si>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</si>
  <si>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</si>
  <si>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</si>
  <si>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</si>
  <si>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</si>
  <si>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</si>
  <si>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</si>
  <si>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</si>
  <si>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</si>
  <si>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</si>
  <si>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</si>
  <si>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</si>
  <si>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</si>
  <si>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</si>
  <si>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</si>
  <si>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</si>
  <si>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</si>
  <si>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</si>
  <si>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</si>
  <si>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</si>
  <si>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</si>
  <si>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</si>
  <si>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</si>
  <si>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</si>
  <si>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</si>
  <si>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</si>
  <si>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</si>
  <si>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</si>
  <si>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</si>
  <si>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</si>
  <si>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</si>
  <si>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</si>
  <si>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</si>
  <si>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</si>
  <si>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</si>
  <si>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</si>
  <si>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</si>
  <si>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</si>
  <si>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</si>
  <si>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</si>
  <si>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</si>
  <si>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</si>
  <si>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</si>
  <si>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</si>
  <si>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</si>
  <si>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</si>
  <si>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</si>
  <si>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</si>
  <si>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</si>
  <si>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</si>
  <si>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</si>
  <si>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</si>
  <si>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</si>
  <si>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</si>
  <si>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</si>
  <si>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</si>
  <si>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</si>
  <si>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</si>
  <si>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</si>
  <si>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</si>
  <si>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</si>
  <si>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</si>
  <si>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</si>
  <si>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</si>
  <si>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</si>
  <si>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</si>
  <si>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</si>
  <si>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</si>
  <si>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</si>
  <si>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</si>
  <si>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</si>
  <si>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</si>
  <si>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</si>
  <si>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</si>
  <si>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</si>
  <si>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</si>
  <si>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</si>
  <si>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</si>
  <si>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</si>
  <si>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</si>
  <si>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</si>
  <si>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</si>
  <si>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</si>
  <si>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</si>
  <si>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</si>
  <si>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</si>
  <si>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</si>
  <si>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</si>
  <si>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</si>
  <si>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</si>
  <si>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</si>
  <si>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</si>
  <si>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</si>
  <si>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</si>
  <si>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</si>
  <si>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</si>
  <si>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</si>
  <si>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</si>
  <si>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</si>
  <si>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</si>
  <si>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</si>
  <si>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</si>
  <si>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</si>
  <si>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</si>
  <si>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</si>
  <si>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</si>
  <si>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</si>
  <si>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</si>
  <si>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</si>
  <si>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</si>
  <si>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</si>
  <si>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</si>
  <si>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</si>
  <si>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</si>
  <si>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</si>
  <si>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</si>
  <si>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</si>
  <si>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</si>
  <si>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</si>
  <si>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</si>
  <si>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</si>
  <si>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</si>
  <si>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</si>
  <si>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</si>
  <si>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</si>
  <si>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</si>
  <si>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</si>
  <si>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</si>
  <si>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</si>
  <si>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</si>
  <si>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</si>
  <si>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</si>
  <si>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</si>
  <si>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</si>
  <si>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</si>
  <si>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</si>
  <si>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</si>
  <si>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</si>
  <si>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</si>
  <si>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</si>
  <si>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</si>
  <si>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</si>
  <si>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</si>
  <si>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</si>
  <si>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</si>
  <si>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</si>
  <si>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</si>
  <si>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</si>
  <si>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</si>
  <si>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</si>
  <si>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</si>
  <si>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</si>
  <si>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</si>
  <si>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</si>
  <si>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</si>
  <si>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</si>
  <si>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</si>
  <si>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</si>
  <si>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</si>
  <si>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</si>
  <si>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</si>
  <si>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</si>
  <si>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</si>
  <si>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</si>
  <si>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</si>
  <si>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</si>
  <si>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</si>
  <si>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</si>
  <si>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</si>
  <si>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</si>
  <si>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</si>
  <si>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</si>
  <si>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</si>
  <si>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</si>
  <si>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</si>
  <si>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</si>
  <si>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</si>
  <si>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</si>
  <si>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</si>
  <si>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</si>
  <si>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</si>
  <si>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</si>
  <si>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</si>
  <si>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</si>
  <si>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</si>
  <si>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</si>
  <si>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</si>
  <si>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</si>
  <si>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</si>
  <si>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</si>
  <si>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</si>
  <si>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</si>
  <si>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</si>
  <si>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</si>
  <si>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</si>
  <si>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</si>
  <si>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</si>
  <si>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</si>
  <si>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</si>
  <si>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</si>
  <si>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</si>
  <si>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</si>
  <si>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</si>
  <si>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</si>
  <si>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</si>
  <si>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</si>
  <si>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</si>
  <si>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</si>
  <si>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</si>
  <si>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</si>
  <si>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</si>
  <si>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</si>
  <si>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</si>
  <si>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</si>
  <si>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</si>
  <si>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</si>
  <si>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</si>
  <si>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</si>
  <si>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</si>
  <si>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</si>
  <si>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</si>
  <si>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</si>
  <si>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</si>
  <si>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</si>
  <si>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</si>
  <si>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</si>
  <si>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</si>
  <si>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</si>
  <si>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</si>
  <si>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</si>
  <si>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</si>
  <si>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</si>
  <si>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</si>
  <si>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</si>
  <si>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</si>
  <si>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</si>
  <si>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</si>
  <si>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</si>
  <si>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</si>
  <si>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</si>
  <si>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</si>
  <si>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</si>
  <si>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</si>
  <si>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</si>
  <si>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</si>
  <si>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</si>
  <si>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</si>
  <si>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</si>
  <si>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</si>
  <si>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</si>
  <si>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</si>
  <si>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</si>
  <si>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</si>
  <si>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</si>
  <si>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</si>
  <si>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</si>
  <si>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</si>
  <si>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</si>
  <si>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</si>
  <si>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</si>
  <si>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</si>
  <si>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</si>
  <si>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</si>
  <si>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</si>
  <si>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</si>
  <si>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</si>
  <si>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</si>
  <si>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</si>
  <si>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</si>
  <si>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</si>
  <si>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</si>
  <si>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</si>
  <si>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</si>
  <si>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</si>
  <si>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</si>
  <si>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</si>
  <si>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</si>
  <si>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</si>
  <si>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</si>
  <si>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</si>
  <si>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</si>
  <si>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</si>
  <si>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</si>
  <si>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</si>
  <si>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</si>
  <si>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</si>
  <si>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</si>
  <si>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</si>
  <si>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</si>
  <si>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</si>
  <si>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</si>
  <si>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</si>
  <si>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</si>
  <si>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</si>
  <si>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</si>
  <si>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</si>
  <si>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</si>
  <si>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</si>
  <si>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</si>
  <si>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</si>
  <si>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</si>
  <si>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</si>
  <si>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</si>
  <si>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</si>
  <si>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</si>
  <si>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</si>
  <si>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</si>
  <si>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</si>
  <si>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</si>
  <si>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</si>
  <si>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</si>
  <si>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</si>
  <si>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</si>
  <si>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</si>
  <si>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</si>
  <si>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</si>
  <si>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</si>
  <si>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</si>
  <si>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</si>
  <si>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</si>
  <si>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</si>
  <si>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</si>
  <si>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</si>
  <si>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</si>
  <si>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</si>
  <si>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</si>
  <si>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</si>
  <si>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</si>
  <si>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</si>
  <si>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</si>
  <si>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</si>
  <si>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</si>
  <si>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</si>
  <si>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</si>
  <si>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</si>
  <si>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</si>
  <si>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</si>
  <si>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</si>
  <si>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</si>
  <si>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</si>
  <si>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</si>
  <si>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</si>
  <si>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</si>
  <si>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</si>
  <si>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</si>
  <si>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</si>
  <si>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</si>
  <si>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</si>
  <si>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</si>
  <si>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</si>
  <si>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</si>
  <si>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</si>
  <si>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</si>
  <si>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</si>
  <si>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</si>
  <si>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</si>
  <si>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</si>
  <si>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</si>
  <si>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</si>
  <si>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</si>
  <si>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</si>
  <si>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</si>
  <si>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</si>
  <si>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</si>
  <si>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</si>
  <si>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</si>
  <si>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</si>
  <si>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</si>
  <si>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</si>
  <si>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</si>
  <si>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</si>
  <si>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</si>
  <si>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</si>
  <si>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</si>
  <si>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</si>
  <si>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</si>
  <si>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</si>
  <si>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</si>
  <si>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</si>
  <si>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</si>
  <si>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</si>
  <si>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</si>
  <si>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</si>
  <si>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</si>
  <si>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</si>
  <si>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</si>
  <si>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</si>
  <si>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</si>
  <si>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</si>
  <si>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</si>
  <si>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</si>
  <si>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</si>
  <si>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</si>
  <si>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</si>
  <si>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</si>
  <si>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</si>
  <si>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</si>
  <si>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</si>
  <si>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</si>
  <si>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</si>
  <si>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</si>
  <si>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</si>
  <si>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</si>
  <si>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</si>
  <si>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</si>
  <si>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</si>
  <si>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</si>
  <si>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</si>
  <si>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</si>
  <si>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</si>
  <si>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</si>
  <si>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</si>
  <si>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</si>
  <si>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</si>
  <si>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</si>
  <si>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</si>
  <si>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</si>
  <si>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</si>
  <si>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</si>
  <si>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</si>
  <si>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</si>
  <si>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</si>
  <si>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</si>
  <si>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</si>
  <si>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</si>
  <si>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</si>
  <si>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</si>
  <si>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</si>
  <si>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</si>
  <si>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</si>
  <si>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</si>
  <si>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</si>
  <si>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</si>
  <si>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</si>
  <si>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</si>
  <si>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</si>
  <si>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</si>
  <si>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</si>
  <si>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</si>
  <si>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</si>
  <si>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</si>
  <si>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</si>
  <si>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</si>
  <si>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</si>
  <si>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</si>
  <si>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</si>
  <si>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</si>
  <si>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</si>
  <si>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</si>
  <si>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</si>
  <si>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</si>
  <si>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</si>
  <si>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</si>
  <si>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</si>
  <si>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</si>
  <si>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</si>
  <si>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</si>
  <si>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</si>
  <si>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</si>
  <si>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</si>
  <si>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</si>
  <si>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</si>
  <si>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</si>
  <si>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</si>
  <si>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</si>
  <si>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</si>
  <si>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</si>
  <si>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</si>
  <si>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</si>
  <si>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</si>
  <si>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</si>
  <si>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</si>
  <si>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</si>
  <si>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</si>
  <si>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</si>
  <si>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</si>
  <si>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</si>
  <si>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</si>
  <si>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</si>
  <si>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</si>
  <si>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</si>
  <si>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</si>
  <si>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</si>
  <si>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</si>
  <si>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</si>
  <si>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</si>
  <si>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</si>
  <si>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</si>
  <si>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</si>
  <si>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</si>
  <si>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</si>
  <si>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</si>
  <si>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</si>
  <si>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</si>
  <si>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</si>
  <si>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</si>
  <si>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</si>
  <si>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</si>
  <si>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</si>
  <si>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</si>
  <si>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</si>
  <si>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</si>
  <si>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</si>
  <si>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</si>
  <si>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</si>
  <si>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</si>
  <si>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</si>
  <si>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</si>
  <si>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</si>
  <si>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</si>
  <si>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</si>
  <si>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</si>
  <si>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</si>
  <si>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</si>
  <si>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</si>
  <si>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</si>
  <si>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</si>
  <si>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</si>
  <si>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</si>
  <si>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</si>
  <si>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</si>
  <si>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</si>
  <si>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</si>
  <si>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</si>
  <si>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</si>
  <si>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</si>
  <si>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</si>
  <si>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</si>
  <si>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</si>
  <si>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</si>
  <si>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</si>
  <si>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</si>
  <si>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</si>
  <si>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</si>
  <si>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</si>
  <si>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</si>
  <si>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</si>
  <si>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</si>
  <si>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</si>
  <si>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</si>
  <si>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</si>
  <si>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</si>
  <si>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</si>
  <si>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</si>
  <si>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</si>
  <si>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</si>
  <si>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</si>
  <si>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</si>
  <si>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</si>
  <si>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</si>
  <si>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</si>
  <si>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</si>
  <si>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</si>
  <si>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</si>
  <si>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</si>
  <si>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</si>
  <si>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</si>
  <si>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</si>
  <si>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</si>
  <si>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</si>
  <si>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</si>
  <si>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</si>
  <si>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</si>
  <si>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</si>
  <si>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</si>
  <si>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</si>
  <si>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</si>
  <si>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</si>
  <si>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</si>
  <si>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</si>
  <si>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</si>
  <si>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</si>
  <si>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</si>
  <si>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</si>
  <si>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</si>
  <si>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</si>
  <si>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</si>
  <si>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</si>
  <si>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</si>
  <si>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</si>
  <si>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</si>
  <si>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</si>
  <si>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</si>
  <si>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</si>
  <si>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</si>
  <si>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</si>
  <si>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</si>
  <si>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</si>
  <si>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</si>
  <si>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</si>
  <si>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</si>
  <si>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</si>
  <si>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</si>
  <si>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</si>
  <si>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</si>
  <si>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</si>
  <si>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</si>
  <si>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</si>
  <si>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</si>
  <si>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</si>
  <si>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</si>
  <si>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</si>
  <si>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</si>
  <si>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</si>
  <si>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</si>
  <si>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</si>
  <si>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</si>
  <si>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</si>
  <si>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</si>
  <si>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</si>
  <si>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</si>
  <si>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</si>
  <si>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</si>
  <si>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</si>
  <si>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</si>
  <si>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</si>
  <si>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</si>
  <si>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</si>
  <si>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</si>
  <si>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</si>
  <si>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</si>
  <si>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</si>
  <si>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</si>
  <si>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</si>
  <si>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</si>
  <si>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</si>
  <si>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</si>
  <si>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</si>
  <si>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</si>
  <si>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</si>
  <si>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</si>
  <si>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</si>
  <si>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</si>
  <si>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</si>
  <si>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</si>
  <si>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</si>
  <si>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</si>
  <si>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</si>
  <si>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</si>
  <si>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</si>
  <si>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</si>
  <si>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</si>
  <si>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</si>
  <si>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</si>
  <si>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</si>
  <si>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</si>
  <si>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</si>
  <si>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</si>
  <si>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</si>
  <si>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</si>
  <si>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</si>
  <si>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</si>
  <si>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</si>
  <si>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</si>
  <si>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</si>
  <si>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</si>
  <si>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</si>
  <si>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</si>
  <si>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</si>
  <si>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</si>
  <si>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</si>
  <si>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</si>
  <si>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</si>
  <si>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</si>
  <si>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</si>
  <si>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</si>
  <si>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</si>
  <si>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</si>
  <si>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</si>
  <si>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</si>
  <si>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</si>
  <si>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</si>
  <si>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</si>
  <si>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</si>
  <si>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</si>
  <si>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</si>
  <si>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</si>
  <si>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</si>
  <si>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</si>
  <si>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</si>
  <si>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</si>
  <si>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</si>
  <si>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</si>
  <si>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</si>
  <si>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</si>
  <si>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</si>
  <si>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</si>
  <si>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</si>
  <si>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</si>
  <si>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</si>
  <si>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</si>
  <si>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</si>
  <si>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</si>
  <si>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</si>
  <si>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</si>
  <si>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</si>
  <si>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</si>
  <si>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</si>
  <si>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</si>
  <si>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</si>
  <si>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</si>
  <si>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</si>
  <si>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</si>
  <si>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</si>
  <si>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</si>
  <si>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</si>
  <si>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</si>
  <si>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</si>
  <si>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</si>
  <si>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</si>
  <si>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</si>
  <si>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</si>
  <si>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</si>
  <si>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</si>
  <si>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</si>
  <si>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</si>
  <si>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</si>
  <si>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</si>
  <si>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</si>
  <si>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</si>
  <si>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</si>
  <si>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</si>
  <si>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</si>
  <si>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</si>
  <si>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</si>
  <si>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</si>
  <si>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</si>
  <si>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</si>
  <si>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</si>
  <si>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</si>
  <si>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</si>
  <si>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</si>
  <si>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</si>
  <si>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</si>
  <si>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</si>
  <si>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</si>
  <si>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</si>
  <si>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</si>
  <si>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</si>
  <si>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</si>
  <si>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</si>
  <si>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</si>
  <si>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</si>
  <si>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</si>
  <si>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</si>
  <si>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</si>
  <si>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</si>
  <si>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</si>
  <si>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</si>
  <si>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</si>
  <si>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</si>
  <si>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</si>
  <si>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</si>
  <si>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</si>
  <si>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</si>
  <si>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</si>
  <si>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</si>
  <si>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</si>
  <si>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</si>
  <si>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</si>
  <si>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</si>
  <si>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</si>
  <si>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</si>
  <si>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</si>
  <si>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</si>
  <si>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</si>
  <si>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</si>
  <si>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</si>
  <si>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</si>
  <si>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</si>
  <si>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</si>
  <si>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</si>
  <si>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</si>
  <si>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</si>
  <si>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</si>
  <si>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</si>
  <si>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</si>
  <si>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</si>
  <si>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</si>
  <si>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</si>
  <si>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</si>
  <si>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</si>
  <si>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</si>
  <si>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</si>
  <si>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</si>
  <si>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</si>
  <si>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</si>
  <si>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</si>
  <si>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</si>
  <si>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</si>
  <si>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</si>
  <si>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</si>
  <si>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</si>
  <si>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</si>
  <si>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</si>
  <si>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</si>
  <si>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</si>
  <si>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</si>
  <si>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</si>
  <si>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</si>
  <si>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</si>
  <si>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</si>
  <si>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</si>
  <si>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</si>
  <si>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</si>
  <si>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</si>
  <si>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</si>
  <si>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</si>
  <si>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</si>
  <si>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</si>
  <si>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</si>
  <si>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</si>
  <si>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</si>
  <si>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</si>
  <si>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</si>
  <si>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</si>
  <si>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</si>
  <si>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</si>
  <si>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</si>
  <si>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</si>
  <si>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</si>
  <si>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</si>
  <si>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</si>
  <si>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</si>
  <si>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</si>
  <si>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</si>
  <si>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</si>
  <si>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</si>
  <si>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</si>
  <si>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</si>
  <si>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</si>
  <si>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</si>
  <si>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</si>
  <si>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</si>
  <si>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</si>
  <si>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</si>
  <si>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</si>
  <si>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</si>
  <si>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</si>
  <si>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</si>
  <si>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</si>
  <si>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</si>
  <si>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</si>
  <si>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</si>
  <si>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</si>
  <si>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</si>
  <si>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</si>
  <si>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</si>
  <si>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</si>
  <si>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</si>
  <si>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</si>
  <si>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</si>
  <si>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</si>
  <si>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</si>
  <si>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</si>
  <si>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</si>
  <si>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</si>
  <si>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</si>
  <si>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</si>
  <si>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</si>
  <si>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</si>
  <si>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</si>
  <si>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</si>
  <si>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</si>
  <si>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</si>
  <si>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</si>
  <si>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</si>
  <si>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</si>
  <si>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</si>
  <si>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</si>
  <si>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</si>
  <si>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</si>
  <si>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</si>
  <si>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</si>
  <si>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</si>
  <si>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</si>
  <si>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</si>
  <si>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</si>
  <si>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</si>
  <si>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</si>
  <si>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</si>
  <si>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</si>
  <si>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</si>
  <si>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</si>
  <si>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</si>
  <si>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</si>
  <si>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</si>
  <si>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</si>
  <si>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</si>
  <si>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</si>
  <si>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</si>
  <si>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</si>
  <si>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</si>
  <si>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</si>
  <si>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</si>
  <si>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</si>
  <si>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</si>
  <si>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</si>
  <si>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</si>
  <si>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</si>
  <si>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</si>
  <si>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</si>
  <si>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</si>
  <si>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</si>
  <si>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</si>
  <si>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</si>
  <si>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</si>
  <si>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</si>
  <si>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</si>
  <si>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</si>
  <si>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</si>
  <si>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</si>
  <si>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</si>
  <si>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</si>
  <si>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</si>
  <si>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</si>
  <si>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</si>
  <si>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</si>
  <si>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</si>
  <si>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</si>
  <si>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</si>
  <si>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</si>
  <si>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</si>
  <si>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</si>
  <si>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</si>
  <si>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</si>
  <si>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</si>
  <si>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</si>
  <si>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</si>
  <si>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</si>
  <si>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</si>
  <si>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</si>
  <si>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</si>
  <si>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</si>
  <si>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</si>
  <si>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</si>
  <si>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</si>
  <si>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</si>
  <si>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</si>
  <si>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</si>
  <si>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</si>
  <si>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</si>
  <si>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</si>
  <si>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</si>
  <si>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</si>
  <si>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</si>
  <si>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</si>
  <si>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</si>
  <si>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</si>
  <si>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</si>
  <si>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</si>
  <si>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</si>
  <si>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</si>
  <si>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</si>
  <si>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</si>
  <si>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</si>
  <si>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</si>
  <si>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</si>
  <si>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</si>
  <si>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</si>
  <si>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</si>
  <si>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</si>
  <si>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</si>
  <si>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</si>
  <si>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</si>
  <si>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</si>
  <si>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</si>
  <si>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</si>
  <si>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</si>
  <si>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</si>
  <si>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</si>
  <si>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</si>
  <si>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</si>
  <si>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</si>
  <si>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</si>
  <si>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</si>
  <si>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</si>
  <si>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</si>
  <si>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</si>
  <si>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</si>
  <si>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</si>
  <si>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</si>
  <si>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</si>
  <si>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</si>
  <si>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</si>
  <si>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</si>
  <si>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</si>
  <si>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</si>
  <si>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</si>
  <si>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</si>
  <si>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</si>
  <si>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</si>
  <si>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</si>
  <si>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</si>
  <si>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</si>
  <si>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</si>
  <si>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</si>
  <si>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</si>
  <si>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</si>
  <si>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</si>
  <si>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</si>
  <si>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</si>
  <si>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</si>
  <si>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</si>
  <si>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</si>
  <si>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</si>
  <si>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</si>
  <si>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</si>
  <si>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</si>
  <si>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</si>
  <si>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</si>
  <si>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</si>
  <si>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</si>
  <si>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</si>
  <si>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</si>
  <si>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</si>
  <si>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</si>
  <si>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</si>
  <si>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</si>
  <si>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</si>
  <si>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</si>
  <si>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</si>
  <si>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</si>
  <si>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</si>
  <si>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</si>
  <si>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</si>
  <si>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</si>
  <si>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</si>
  <si>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</si>
  <si>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</si>
  <si>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</si>
  <si>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Design DB Temp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</si>
  <si>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</si>
  <si>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</si>
  <si>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</si>
  <si>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</si>
  <si>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</si>
  <si>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</si>
  <si>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</si>
  <si>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</si>
  <si>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</si>
  <si>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</si>
  <si>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</si>
  <si>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</si>
  <si>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</si>
  <si>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</si>
  <si>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</si>
  <si>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</si>
  <si>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</si>
  <si>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</si>
  <si>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</si>
  <si>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</si>
  <si>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</si>
  <si>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</si>
  <si>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</si>
  <si>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</si>
  <si>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</si>
  <si>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</si>
  <si>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</si>
  <si>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</si>
  <si>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</si>
  <si>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</si>
  <si>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</si>
  <si>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</si>
  <si>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</si>
  <si>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</si>
  <si>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</si>
  <si>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</si>
  <si>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</si>
  <si>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</si>
  <si>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</si>
  <si>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</si>
  <si>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</si>
  <si>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</si>
  <si>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</si>
  <si>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</si>
  <si>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</si>
  <si>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</si>
  <si>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</si>
  <si>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</si>
  <si>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</si>
  <si>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</si>
  <si>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</si>
  <si>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</si>
  <si>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</si>
  <si>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This line scales the heat system sizing according to the fan airflow requirements for the cooling load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</si>
  <si>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</si>
  <si>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</si>
  <si>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</si>
  <si>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</si>
  <si>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</si>
  <si>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</si>
  <si>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</si>
  <si>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Cooling CFM</t>
  </si>
  <si>
    <t>Heating CFM</t>
  </si>
  <si>
    <t>Estimated using the Sensible Heat Equation from ACCA Manual S</t>
  </si>
  <si>
    <t>Estimated using 16.8 cfm/kbtu/hr</t>
  </si>
  <si>
    <t>50% Ratio</t>
  </si>
  <si>
    <t>Adj Heating Cap</t>
  </si>
  <si>
    <t>Adj Heating CFM</t>
  </si>
  <si>
    <t>Heating Temp Diff (base 70F)</t>
  </si>
  <si>
    <t>Cooling Temp Diff (base 75F)</t>
  </si>
  <si>
    <t>Glazing Heat Gains</t>
  </si>
  <si>
    <t>Airflow Calculations</t>
  </si>
  <si>
    <t>Totals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</si>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</sst>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9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88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2" fontId="4" fillId="0" borderId="15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50" borderId="0" xfId="4" applyFill="1" applyBorder="1"/>
    <xf numFmtId="0" fontId="4" fillId="50" borderId="14" xfId="4" applyFill="1" applyBorder="1"/>
    <xf numFmtId="0" fontId="4" fillId="50" borderId="13" xfId="4" applyFill="1" applyBorder="1"/>
    <xf numFmtId="0" fontId="4" fillId="50" borderId="15" xfId="4" applyFill="1" applyBorder="1"/>
    <xf numFmtId="1" fontId="23" fillId="50" borderId="0" xfId="4" applyNumberFormat="1" applyFont="1" applyFill="1" applyBorder="1"/>
    <xf numFmtId="1" fontId="23" fillId="50" borderId="14" xfId="4" applyNumberFormat="1" applyFont="1" applyFill="1" applyBorder="1"/>
    <xf numFmtId="2" fontId="26" fillId="50" borderId="13" xfId="4" applyNumberFormat="1" applyFont="1" applyFill="1" applyBorder="1"/>
    <xf numFmtId="2" fontId="26" fillId="50" borderId="15" xfId="4" applyNumberFormat="1" applyFont="1" applyFill="1" applyBorder="1"/>
    <xf numFmtId="2" fontId="26" fillId="50" borderId="17" xfId="4" applyNumberFormat="1" applyFont="1" applyFill="1" applyBorder="1"/>
    <xf numFmtId="2" fontId="26" fillId="50" borderId="18" xfId="4" applyNumberFormat="1" applyFont="1" applyFill="1" applyBorder="1"/>
    <xf numFmtId="2" fontId="26" fillId="50" borderId="19" xfId="4" applyNumberFormat="1" applyFont="1" applyFill="1" applyBorder="1"/>
    <xf numFmtId="2" fontId="26" fillId="50" borderId="21" xfId="4" applyNumberFormat="1" applyFont="1" applyFill="1" applyBorder="1"/>
  </cellXfs>
  <cellStyles count="290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2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4">
        <v>42718</v>
      </c>
    </row>
    <row r="5" spans="1:2" ht="15" thickBot="1"/>
    <row r="6" spans="1:2">
      <c r="A6" s="455" t="s">
        <v>3</v>
      </c>
      <c r="B6" s="465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6" t="s">
        <v>1209</v>
      </c>
      <c r="B30" s="466" t="s">
        <v>0</v>
      </c>
      <c r="C30" s="466" t="s">
        <v>1211</v>
      </c>
      <c r="D30" s="466" t="s">
        <v>1216</v>
      </c>
    </row>
    <row r="31" spans="1:4">
      <c r="A31" t="s">
        <v>1210</v>
      </c>
      <c r="B31" t="s">
        <v>1259</v>
      </c>
      <c r="C31" s="463">
        <v>42465</v>
      </c>
      <c r="D31" t="s">
        <v>1217</v>
      </c>
    </row>
    <row r="32" spans="1:4">
      <c r="A32" t="s">
        <v>1278</v>
      </c>
      <c r="B32" s="436" t="s">
        <v>1287</v>
      </c>
      <c r="C32" s="521">
        <v>42585</v>
      </c>
      <c r="D32" t="s">
        <v>1281</v>
      </c>
    </row>
    <row r="33" spans="1:4">
      <c r="A33" s="290" t="s">
        <v>1293</v>
      </c>
      <c r="B33" s="436" t="s">
        <v>1294</v>
      </c>
      <c r="C33" s="521">
        <v>42605</v>
      </c>
      <c r="D33" t="s">
        <v>1217</v>
      </c>
    </row>
    <row r="34" spans="1:4">
      <c r="B34" t="s">
        <v>1295</v>
      </c>
      <c r="C34" s="521">
        <v>42710</v>
      </c>
      <c r="D34" t="s">
        <v>1281</v>
      </c>
    </row>
    <row r="35" spans="1:4">
      <c r="B35" t="s">
        <v>1317</v>
      </c>
      <c r="C35" s="521">
        <v>42710</v>
      </c>
      <c r="D35" t="s">
        <v>1281</v>
      </c>
    </row>
    <row r="36" spans="1:4">
      <c r="B36" t="s">
        <v>1322</v>
      </c>
      <c r="C36" s="521">
        <v>42711</v>
      </c>
      <c r="D36" t="s">
        <v>1281</v>
      </c>
    </row>
    <row r="37" spans="1:4">
      <c r="A37" t="s">
        <v>1325</v>
      </c>
      <c r="B37" t="s">
        <v>1324</v>
      </c>
      <c r="C37" s="521">
        <v>42717</v>
      </c>
      <c r="D37" t="s">
        <v>1281</v>
      </c>
    </row>
    <row r="38" spans="1:4">
      <c r="B38" t="s">
        <v>1333</v>
      </c>
      <c r="C38" s="521">
        <v>42723</v>
      </c>
      <c r="D38" t="s">
        <v>1281</v>
      </c>
    </row>
    <row r="39" spans="1:4">
      <c r="B39" t="s">
        <v>1334</v>
      </c>
      <c r="C39" s="521">
        <v>42723</v>
      </c>
      <c r="D39" t="s">
        <v>1281</v>
      </c>
    </row>
    <row r="40" spans="1:4">
      <c r="B40" t="s">
        <v>1339</v>
      </c>
      <c r="C40" s="521">
        <v>42723</v>
      </c>
      <c r="D40" t="s">
        <v>1281</v>
      </c>
    </row>
    <row r="41" spans="1:4">
      <c r="B41" t="s">
        <v>1341</v>
      </c>
      <c r="C41" s="521">
        <v>42723</v>
      </c>
      <c r="D41" s="290" t="s">
        <v>1281</v>
      </c>
    </row>
    <row r="42" spans="1:4">
      <c r="B42" t="s">
        <v>1342</v>
      </c>
      <c r="C42" s="521">
        <v>42723</v>
      </c>
      <c r="D42" s="290" t="s">
        <v>1281</v>
      </c>
    </row>
    <row r="43" spans="1:4">
      <c r="B43" t="s">
        <v>1345</v>
      </c>
    </row>
    <row r="44" spans="1:4">
      <c r="B44" t="s">
        <v>1346</v>
      </c>
      <c r="C44" s="521">
        <v>42739</v>
      </c>
      <c r="D44" t="s">
        <v>1281</v>
      </c>
    </row>
    <row r="45" spans="1:4">
      <c r="B45" t="s">
        <v>1410</v>
      </c>
      <c r="C45" s="521">
        <v>42753</v>
      </c>
      <c r="D45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894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 t="s">
        <v>1050</v>
      </c>
      <c r="C3" s="366" t="str">
        <f>IF(B3&lt;&gt;"",A3,"")</f>
        <v>Small</v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&amp;D51 &amp; "_"</f>
        <v>1stExt_1stExt_</v>
      </c>
      <c r="M4" s="290"/>
      <c r="N4" s="290"/>
    </row>
    <row r="5" spans="1:17" ht="15" thickBot="1">
      <c r="A5" s="367" t="s">
        <v>894</v>
      </c>
      <c r="B5" s="379" t="s">
        <v>1050</v>
      </c>
      <c r="C5" s="368" t="str">
        <f>IF(B5&lt;&gt;"",A5,"")</f>
        <v>Large</v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IF(ISNUMBER(I7),I7,LEFT(I7,1)) &amp; "_" &amp; HumControl,"")</f>
        <v>1stExt_1stExt_1_4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1stExt_1stExt_2_4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/>
      <c r="K10" s="20" t="str">
        <f t="shared" si="1"/>
        <v/>
      </c>
      <c r="L10" s="458" t="str">
        <f t="shared" si="2"/>
        <v/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1stExt_1stExt_7_4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/>
      <c r="K22" s="20" t="str">
        <f t="shared" si="1"/>
        <v/>
      </c>
      <c r="L22" s="458" t="str">
        <f t="shared" si="2"/>
        <v/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/>
      <c r="K23" s="459" t="str">
        <f t="shared" si="1"/>
        <v/>
      </c>
      <c r="L23" s="458" t="str">
        <f t="shared" si="2"/>
        <v/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0"/>
      <c r="K25" s="461">
        <f>COUNTA(B3:B5)*COUNTA(B8:B10)*COUNTA(B13:B14)*COUNTA(B18:B20) * COUNTA(B28:B33)*COUNTA(B36:B38)*COUNTA(F3:F23)*COUNTA(J7:J23)*COUNTA(B46:B49)*COUNTA(B52:B54)</f>
        <v>540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1340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1340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1349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4">IF(B47&lt;&gt;"",A47,"")</f>
        <v>occ_1stShift.txt</v>
      </c>
    </row>
    <row r="48" spans="1:16">
      <c r="A48" s="540" t="s">
        <v>1337</v>
      </c>
      <c r="B48" s="541" t="s">
        <v>1050</v>
      </c>
      <c r="C48" s="366" t="str">
        <f t="shared" si="4"/>
        <v>occ_3rdShift.txt</v>
      </c>
    </row>
    <row r="49" spans="1:4" s="290" customFormat="1">
      <c r="A49" s="20" t="s">
        <v>1349</v>
      </c>
      <c r="B49" s="541" t="s">
        <v>1050</v>
      </c>
      <c r="C49" s="366" t="str">
        <f t="shared" ref="C49" si="5">IF(B49&lt;&gt;"",A49,"")</f>
        <v>occ_1stShift_extended.txt</v>
      </c>
    </row>
    <row r="50" spans="1:4" ht="15" thickBot="1">
      <c r="A50" s="20"/>
      <c r="B50" s="542"/>
      <c r="C50" s="20"/>
    </row>
    <row r="51" spans="1:4" ht="15">
      <c r="A51" s="375" t="s">
        <v>1338</v>
      </c>
      <c r="B51" s="371"/>
      <c r="C51" s="372" t="s">
        <v>1350</v>
      </c>
      <c r="D51" t="str">
        <f>IF(fanSchedule="REGCAP_FanSchedule_1stShift.txt", "1st",IF(fanSchedule="REGCAP_FanSchedule_3rdShift.txt","3rd", "1stExt"))</f>
        <v>1stExt</v>
      </c>
    </row>
    <row r="52" spans="1:4">
      <c r="A52" s="365" t="s">
        <v>1347</v>
      </c>
      <c r="B52" s="385" t="s">
        <v>1050</v>
      </c>
      <c r="C52" s="366" t="str">
        <f>IF(B52&lt;&gt;"",A52,"")</f>
        <v>REGCAP_FanSchedule_1stShift.txt</v>
      </c>
    </row>
    <row r="53" spans="1:4">
      <c r="A53" s="540" t="s">
        <v>1348</v>
      </c>
      <c r="B53" s="541" t="s">
        <v>1050</v>
      </c>
      <c r="C53" s="366" t="str">
        <f>IF(B53&lt;&gt;"",A53,"")</f>
        <v>REGCAP_FanSchedule_3rdShift.txt</v>
      </c>
    </row>
    <row r="54" spans="1:4">
      <c r="A54" s="20" t="s">
        <v>1350</v>
      </c>
      <c r="B54" s="541" t="s">
        <v>1050</v>
      </c>
      <c r="C54" s="36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99" activePane="bottomLeft" state="frozen"/>
      <selection pane="bottomLeft" activeCell="D76" sqref="D76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REGCAP_FanSchedule_1stShift_ext.txt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occ_1stShift_extended.txt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4.6856257812500003E-2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1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4.9908333333333328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2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4.9908333333333328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749.70012499999996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299.88004999999998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299.88004999999998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64.30235473859382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130.97837876153847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136.21751391199999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63.521465169510464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-0.11222873704860507</v>
      </c>
      <c r="D50" t="s">
        <v>51</v>
      </c>
      <c r="G50" t="s">
        <v>50</v>
      </c>
    </row>
    <row r="51" spans="2:7">
      <c r="B51" s="407" t="s">
        <v>1094</v>
      </c>
      <c r="C51" s="515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14.994002500000001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977.90662137547451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306.00260102083325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3.970416666666666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0.27988804666666661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3.970416666666666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7.9968013333333324E-2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4.9908333333333328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103.09454084025489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10.606434242824577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0.41908932956160005</v>
      </c>
      <c r="D122" s="305" t="s">
        <v>732</v>
      </c>
      <c r="E122" s="305" t="str">
        <f>"q=" &amp;TEXT(Inputs!C122/0.3048^3*60,"0")&amp; " CFM"</f>
        <v>q=888 CFM</v>
      </c>
      <c r="F122" s="305"/>
      <c r="G122" s="3" t="s">
        <v>111</v>
      </c>
    </row>
    <row r="123" spans="1:7">
      <c r="B123" t="s">
        <v>1152</v>
      </c>
      <c r="C123" s="426">
        <f>HVAC!C28</f>
        <v>0.39641340254837187</v>
      </c>
      <c r="D123" s="305" t="s">
        <v>112</v>
      </c>
      <c r="E123" s="305" t="str">
        <f>"q=" &amp;TEXT(Inputs!C123/0.3048^3*60,"0")&amp; " CFM"</f>
        <v>q=840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2.5</v>
      </c>
      <c r="D128" s="305" t="s">
        <v>121</v>
      </c>
      <c r="E128" s="305" t="str">
        <f>"= "&amp;TEXT(Inputs!C128*12*1055/1000,"0.0")&amp;"kJ"</f>
        <v>= 31.7kJ</v>
      </c>
      <c r="F128" s="305"/>
      <c r="G128" s="3" t="s">
        <v>111</v>
      </c>
    </row>
    <row r="129" spans="1:7">
      <c r="B129" t="s">
        <v>444</v>
      </c>
      <c r="C129" s="430">
        <f>HVAC!C25</f>
        <v>30</v>
      </c>
      <c r="D129" s="305" t="s">
        <v>122</v>
      </c>
      <c r="E129" s="305" t="str">
        <f>"= "&amp;TEXT(Inputs!C129*1055*1000/(3600)/1000,"0.0")&amp;"kW"</f>
        <v>= 8.8kW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50</v>
      </c>
      <c r="D131" s="305" t="s">
        <v>125</v>
      </c>
      <c r="E131" s="305" t="str">
        <f>"= "&amp;TEXT(Inputs!C131*1055*1000/(3600)/1000,"0.0")&amp;"kW"</f>
        <v>= 14.7kW</v>
      </c>
      <c r="F131" s="305"/>
      <c r="G131" s="3" t="s">
        <v>111</v>
      </c>
    </row>
    <row r="132" spans="1:7">
      <c r="B132" t="s">
        <v>1154</v>
      </c>
      <c r="C132" s="427">
        <f>HVAC!C30</f>
        <v>140.28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148.3043983199521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0.28322687954733899</v>
      </c>
      <c r="D140" t="s">
        <v>1319</v>
      </c>
    </row>
    <row r="141" spans="1:7" s="290" customFormat="1">
      <c r="B141" s="290" t="s">
        <v>1320</v>
      </c>
      <c r="C141" s="403">
        <v>0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 s="290" customFormat="1">
      <c r="B152" s="290" t="s">
        <v>1343</v>
      </c>
      <c r="C152" s="435">
        <f>IF(OR(HumControl=2, HumControl=4),1,0)</f>
        <v>1</v>
      </c>
      <c r="D152" s="290" t="s">
        <v>1344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C37" sqref="C37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3" width="12.83203125" style="13" customWidth="1" outlineLevel="1"/>
    <col min="4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REGCAP_FanSchedule_1stShift_ext.txt</v>
      </c>
      <c r="D3" s="57" t="str">
        <f>Inputs!$C$3</f>
        <v>REGCAP_FanSchedule_1stShift_ext.txt</v>
      </c>
      <c r="E3" s="57" t="str">
        <f>Inputs!$C$3</f>
        <v>REGCAP_FanSchedule_1stShift_ext.txt</v>
      </c>
      <c r="F3" s="57" t="str">
        <f>Inputs!$C$3</f>
        <v>REGCAP_FanSchedule_1stShift_ext.txt</v>
      </c>
      <c r="G3" s="57" t="str">
        <f>Inputs!$C$3</f>
        <v>REGCAP_FanSchedule_1stShift_ext.txt</v>
      </c>
      <c r="H3" s="57" t="str">
        <f>Inputs!$C$3</f>
        <v>REGCAP_FanSchedule_1stShift_ext.txt</v>
      </c>
      <c r="I3" s="57" t="str">
        <f>Inputs!$C$3</f>
        <v>REGCAP_FanSchedule_1stShift_ext.txt</v>
      </c>
      <c r="J3" s="57" t="str">
        <f>Inputs!$C$3</f>
        <v>REGCAP_FanSchedule_1stShift_ext.txt</v>
      </c>
      <c r="K3" s="57" t="str">
        <f>Inputs!$C$3</f>
        <v>REGCAP_FanSchedule_1stShift_ext.txt</v>
      </c>
      <c r="L3" s="57" t="str">
        <f>Inputs!$C$3</f>
        <v>REGCAP_FanSchedule_1stShift_ext.txt</v>
      </c>
      <c r="M3" s="57" t="str">
        <f>Inputs!$C$3</f>
        <v>REGCAP_FanSchedule_1stShift_ext.txt</v>
      </c>
      <c r="N3" s="57" t="str">
        <f>Inputs!$C$3</f>
        <v>REGCAP_FanSchedule_1stShift_ext.txt</v>
      </c>
      <c r="O3" s="57" t="str">
        <f>Inputs!$C$3</f>
        <v>REGCAP_FanSchedule_1stShift_ext.txt</v>
      </c>
      <c r="P3" s="57" t="str">
        <f>Inputs!$C$3</f>
        <v>REGCAP_FanSchedule_1stShift_ext.txt</v>
      </c>
      <c r="Q3" s="57" t="str">
        <f>Inputs!$C$3</f>
        <v>REGCAP_FanSchedule_1stShift_ext.txt</v>
      </c>
      <c r="R3" s="57" t="str">
        <f>Inputs!$C$3</f>
        <v>REGCAP_FanSchedule_1stShift_ext.txt</v>
      </c>
      <c r="S3" s="57" t="str">
        <f>Inputs!$C$3</f>
        <v>REGCAP_FanSchedule_1stShift_ext.txt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occ_1stShift_extended.txt</v>
      </c>
      <c r="D5" s="57" t="str">
        <f>Inputs!$C$5</f>
        <v>occ_1stShift_extended.txt</v>
      </c>
      <c r="E5" s="57" t="str">
        <f>Inputs!$C$5</f>
        <v>occ_1stShift_extended.txt</v>
      </c>
      <c r="F5" s="57" t="str">
        <f>Inputs!$C$5</f>
        <v>occ_1stShift_extended.txt</v>
      </c>
      <c r="G5" s="57" t="str">
        <f>Inputs!$C$5</f>
        <v>occ_1stShift_extended.txt</v>
      </c>
      <c r="H5" s="57" t="str">
        <f>Inputs!$C$5</f>
        <v>occ_1stShift_extended.txt</v>
      </c>
      <c r="I5" s="57" t="str">
        <f>Inputs!$C$5</f>
        <v>occ_1stShift_extended.txt</v>
      </c>
      <c r="J5" s="57" t="str">
        <f>Inputs!$C$5</f>
        <v>occ_1stShift_extended.txt</v>
      </c>
      <c r="K5" s="57" t="str">
        <f>Inputs!$C$5</f>
        <v>occ_1stShift_extended.txt</v>
      </c>
      <c r="L5" s="57" t="str">
        <f>Inputs!$C$5</f>
        <v>occ_1stShift_extended.txt</v>
      </c>
      <c r="M5" s="57" t="str">
        <f>Inputs!$C$5</f>
        <v>occ_1stShift_extended.txt</v>
      </c>
      <c r="N5" s="57" t="str">
        <f>Inputs!$C$5</f>
        <v>occ_1stShift_extended.txt</v>
      </c>
      <c r="O5" s="57" t="str">
        <f>Inputs!$C$5</f>
        <v>occ_1stShift_extended.txt</v>
      </c>
      <c r="P5" s="57" t="str">
        <f>Inputs!$C$5</f>
        <v>occ_1stShift_extended.txt</v>
      </c>
      <c r="Q5" s="57" t="str">
        <f>Inputs!$C$5</f>
        <v>occ_1stShift_extended.txt</v>
      </c>
      <c r="R5" s="57" t="str">
        <f>Inputs!$C$5</f>
        <v>occ_1stShift_extended.txt</v>
      </c>
      <c r="S5" s="57" t="str">
        <f>Inputs!$C$5</f>
        <v>occ_1stShift_extended.txt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4.9908333333333328</v>
      </c>
      <c r="D18" s="169">
        <f t="shared" si="2"/>
        <v>4.9908333333333328</v>
      </c>
      <c r="E18" s="169">
        <f t="shared" si="2"/>
        <v>4.9908333333333328</v>
      </c>
      <c r="F18" s="169">
        <f t="shared" si="2"/>
        <v>4.9908333333333328</v>
      </c>
      <c r="G18" s="169">
        <f t="shared" si="2"/>
        <v>4.9908333333333328</v>
      </c>
      <c r="H18" s="169">
        <f t="shared" si="2"/>
        <v>4.9908333333333328</v>
      </c>
      <c r="I18" s="169">
        <f t="shared" si="2"/>
        <v>4.9908333333333328</v>
      </c>
      <c r="J18" s="169">
        <f t="shared" si="2"/>
        <v>4.9908333333333328</v>
      </c>
      <c r="K18" s="169">
        <f t="shared" si="2"/>
        <v>4.9908333333333328</v>
      </c>
      <c r="L18" s="169">
        <f t="shared" si="2"/>
        <v>4.9908333333333328</v>
      </c>
      <c r="M18" s="169">
        <f t="shared" si="2"/>
        <v>4.9908333333333328</v>
      </c>
      <c r="N18" s="169">
        <f t="shared" si="2"/>
        <v>4.9908333333333328</v>
      </c>
      <c r="O18" s="169">
        <f t="shared" si="2"/>
        <v>4.9908333333333328</v>
      </c>
      <c r="P18" s="169">
        <f t="shared" si="2"/>
        <v>4.9908333333333328</v>
      </c>
      <c r="Q18" s="169">
        <f t="shared" si="2"/>
        <v>4.9908333333333328</v>
      </c>
      <c r="R18" s="169">
        <f t="shared" si="2"/>
        <v>4.9908333333333328</v>
      </c>
      <c r="S18" s="169">
        <f t="shared" si="2"/>
        <v>4.9908333333333328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4.9908333333333328</v>
      </c>
      <c r="D21" s="169">
        <f t="shared" si="2"/>
        <v>4.9908333333333328</v>
      </c>
      <c r="E21" s="169">
        <f t="shared" si="2"/>
        <v>4.9908333333333328</v>
      </c>
      <c r="F21" s="169">
        <f t="shared" si="2"/>
        <v>4.9908333333333328</v>
      </c>
      <c r="G21" s="169">
        <f t="shared" si="2"/>
        <v>4.9908333333333328</v>
      </c>
      <c r="H21" s="169">
        <f t="shared" si="2"/>
        <v>4.9908333333333328</v>
      </c>
      <c r="I21" s="169">
        <f t="shared" si="2"/>
        <v>4.9908333333333328</v>
      </c>
      <c r="J21" s="169">
        <f t="shared" si="2"/>
        <v>4.9908333333333328</v>
      </c>
      <c r="K21" s="169">
        <f t="shared" si="2"/>
        <v>4.9908333333333328</v>
      </c>
      <c r="L21" s="169">
        <f t="shared" si="2"/>
        <v>4.9908333333333328</v>
      </c>
      <c r="M21" s="169">
        <f t="shared" si="2"/>
        <v>4.9908333333333328</v>
      </c>
      <c r="N21" s="169">
        <f t="shared" si="2"/>
        <v>4.9908333333333328</v>
      </c>
      <c r="O21" s="169">
        <f t="shared" si="2"/>
        <v>4.9908333333333328</v>
      </c>
      <c r="P21" s="169">
        <f t="shared" si="2"/>
        <v>4.9908333333333328</v>
      </c>
      <c r="Q21" s="169">
        <f t="shared" si="2"/>
        <v>4.9908333333333328</v>
      </c>
      <c r="R21" s="169">
        <f t="shared" si="2"/>
        <v>4.9908333333333328</v>
      </c>
      <c r="S21" s="169">
        <f t="shared" si="2"/>
        <v>4.9908333333333328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76">
        <f t="shared" si="3"/>
        <v>749.70012499999996</v>
      </c>
      <c r="T35" s="343"/>
    </row>
    <row r="36" spans="1:22" ht="15" customHeight="1">
      <c r="B36" s="305" t="s">
        <v>1081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76">
        <f t="shared" si="3"/>
        <v>299.88004999999998</v>
      </c>
      <c r="T36" s="343"/>
    </row>
    <row r="37" spans="1:22" ht="15" customHeight="1">
      <c r="B37" s="305" t="s">
        <v>1082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76">
        <f t="shared" si="3"/>
        <v>299.88004999999998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43"/>
      <c r="V39" s="305"/>
    </row>
    <row r="40" spans="1:22" ht="15" customHeight="1">
      <c r="B40" s="305" t="s">
        <v>1086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43"/>
    </row>
    <row r="41" spans="1:22" s="305" customFormat="1" ht="15" customHeight="1">
      <c r="B41" s="305" t="s">
        <v>1087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63.521465169510464</v>
      </c>
      <c r="D49" s="401">
        <f>Fans!C12</f>
        <v>63.36118445112816</v>
      </c>
      <c r="E49" s="401">
        <f>Fans!D12</f>
        <v>63.197041546760772</v>
      </c>
      <c r="F49" s="401">
        <f>Fans!E12</f>
        <v>63.929998620380459</v>
      </c>
      <c r="G49" s="401">
        <f>Fans!F12</f>
        <v>63.677883701907632</v>
      </c>
      <c r="H49" s="401">
        <f>Fans!G12</f>
        <v>61.939900008605683</v>
      </c>
      <c r="I49" s="401">
        <f>Fans!H12</f>
        <v>63.415040489031725</v>
      </c>
      <c r="J49" s="401">
        <f>Fans!I12</f>
        <v>62.857169180070599</v>
      </c>
      <c r="K49" s="401">
        <f>Fans!J12</f>
        <v>62.710996168828387</v>
      </c>
      <c r="L49" s="401">
        <f>Fans!K12</f>
        <v>63.677883701907646</v>
      </c>
      <c r="M49" s="401">
        <f>Fans!L12</f>
        <v>64.076117990150664</v>
      </c>
      <c r="N49" s="401">
        <f>Fans!M12</f>
        <v>63.574033812085638</v>
      </c>
      <c r="O49" s="401">
        <f>Fans!N12</f>
        <v>63.36118445112816</v>
      </c>
      <c r="P49" s="401">
        <f>Fans!O12</f>
        <v>62.562141083985402</v>
      </c>
      <c r="Q49" s="401">
        <f>Fans!P12</f>
        <v>64.402043574116789</v>
      </c>
      <c r="R49" s="401">
        <f>Fans!Q12</f>
        <v>63.979134208746636</v>
      </c>
      <c r="S49" s="401">
        <f>Fans!R12</f>
        <v>64.28805544608386</v>
      </c>
      <c r="T49" s="343"/>
    </row>
    <row r="50" spans="2:20" ht="15" customHeight="1">
      <c r="B50" s="305" t="s">
        <v>1093</v>
      </c>
      <c r="C50" s="214">
        <f>Fans!B13</f>
        <v>-0.11222873704860507</v>
      </c>
      <c r="D50" s="214">
        <f>Fans!C13</f>
        <v>-0.11194555556736427</v>
      </c>
      <c r="E50" s="214">
        <f>Fans!D13</f>
        <v>-0.1116555504359731</v>
      </c>
      <c r="F50" s="214">
        <f>Fans!E13</f>
        <v>-0.11295052759784534</v>
      </c>
      <c r="G50" s="214">
        <f>Fans!F13</f>
        <v>-0.11250509487969548</v>
      </c>
      <c r="H50" s="214">
        <f>Fans!G13</f>
        <v>-0.10943445231202419</v>
      </c>
      <c r="I50" s="214">
        <f>Fans!H13</f>
        <v>-0.11204070757779458</v>
      </c>
      <c r="J50" s="214">
        <f>Fans!I13</f>
        <v>-0.11105506922273958</v>
      </c>
      <c r="K50" s="214">
        <f>Fans!J13</f>
        <v>-0.11079681301913144</v>
      </c>
      <c r="L50" s="214">
        <f>Fans!K13</f>
        <v>-0.1125050948796955</v>
      </c>
      <c r="M50" s="214">
        <f>Fans!L13</f>
        <v>-0.11320868902853473</v>
      </c>
      <c r="N50" s="214">
        <f>Fans!M13</f>
        <v>-0.11232161450898524</v>
      </c>
      <c r="O50" s="214">
        <f>Fans!N13</f>
        <v>-0.11194555556736427</v>
      </c>
      <c r="P50" s="214">
        <f>Fans!O13</f>
        <v>-0.11053381816958553</v>
      </c>
      <c r="Q50" s="214">
        <f>Fans!P13</f>
        <v>-0.11378452928289186</v>
      </c>
      <c r="R50" s="214">
        <f>Fans!Q13</f>
        <v>-0.11303733959142516</v>
      </c>
      <c r="S50" s="214">
        <f>Fans!R13</f>
        <v>-0.11358313683053688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140.28</v>
      </c>
      <c r="D67" s="246">
        <f t="shared" ref="D67:R67" si="34">IF(D132&lt;D133,D132,D133)</f>
        <v>112.224</v>
      </c>
      <c r="E67" s="246" t="e">
        <f t="shared" si="34"/>
        <v>#N/A</v>
      </c>
      <c r="F67" s="246">
        <f t="shared" si="34"/>
        <v>140.28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112.224</v>
      </c>
      <c r="S67" s="246">
        <f>IF(S132&lt;S133,S132,S133)</f>
        <v>140.28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0.39641340254837187</v>
      </c>
      <c r="D68" s="321">
        <f t="shared" ref="D68:R68" si="35">IF(D122&lt;D123,D122,D123)</f>
        <v>0.31713072203869752</v>
      </c>
      <c r="E68" s="321" t="e">
        <f t="shared" si="35"/>
        <v>#N/A</v>
      </c>
      <c r="F68" s="321">
        <f t="shared" si="35"/>
        <v>0.39641340254837187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0.31713072203869752</v>
      </c>
      <c r="S68" s="214">
        <f>IF(S122&lt;S123,S122,S123)</f>
        <v>0.39641340254837187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29.988005000000001</v>
      </c>
      <c r="D73" s="169">
        <f t="shared" ref="D73:S73" si="38">C73</f>
        <v>29.988005000000001</v>
      </c>
      <c r="E73" s="169">
        <f t="shared" si="38"/>
        <v>29.988005000000001</v>
      </c>
      <c r="F73" s="169">
        <f t="shared" si="38"/>
        <v>29.988005000000001</v>
      </c>
      <c r="G73" s="169">
        <f t="shared" si="38"/>
        <v>29.988005000000001</v>
      </c>
      <c r="H73" s="169">
        <f t="shared" si="38"/>
        <v>29.988005000000001</v>
      </c>
      <c r="I73" s="169">
        <f t="shared" si="38"/>
        <v>29.988005000000001</v>
      </c>
      <c r="J73" s="169">
        <f t="shared" si="38"/>
        <v>29.988005000000001</v>
      </c>
      <c r="K73" s="169">
        <f t="shared" si="38"/>
        <v>29.988005000000001</v>
      </c>
      <c r="L73" s="169">
        <f t="shared" si="38"/>
        <v>29.988005000000001</v>
      </c>
      <c r="M73" s="169">
        <f t="shared" si="38"/>
        <v>29.988005000000001</v>
      </c>
      <c r="N73" s="169">
        <f t="shared" si="38"/>
        <v>29.988005000000001</v>
      </c>
      <c r="O73" s="169">
        <f t="shared" si="38"/>
        <v>29.988005000000001</v>
      </c>
      <c r="P73" s="169">
        <f t="shared" si="38"/>
        <v>29.988005000000001</v>
      </c>
      <c r="Q73" s="169">
        <f t="shared" si="38"/>
        <v>29.988005000000001</v>
      </c>
      <c r="R73" s="169">
        <f t="shared" si="38"/>
        <v>29.988005000000001</v>
      </c>
      <c r="S73" s="169">
        <f t="shared" si="38"/>
        <v>29.988005000000001</v>
      </c>
    </row>
    <row r="74" spans="1:20" ht="15" customHeight="1">
      <c r="B74" s="305" t="s">
        <v>440</v>
      </c>
      <c r="C74" s="169">
        <f>Inputs!C74</f>
        <v>14.994002500000001</v>
      </c>
      <c r="D74" s="169">
        <f t="shared" ref="D74:S74" si="39">C74</f>
        <v>14.994002500000001</v>
      </c>
      <c r="E74" s="169">
        <f t="shared" si="39"/>
        <v>14.994002500000001</v>
      </c>
      <c r="F74" s="169">
        <f t="shared" si="39"/>
        <v>14.994002500000001</v>
      </c>
      <c r="G74" s="169">
        <f t="shared" si="39"/>
        <v>14.994002500000001</v>
      </c>
      <c r="H74" s="169">
        <f t="shared" si="39"/>
        <v>14.994002500000001</v>
      </c>
      <c r="I74" s="169">
        <f t="shared" si="39"/>
        <v>14.994002500000001</v>
      </c>
      <c r="J74" s="169">
        <f t="shared" si="39"/>
        <v>14.994002500000001</v>
      </c>
      <c r="K74" s="169">
        <f t="shared" si="39"/>
        <v>14.994002500000001</v>
      </c>
      <c r="L74" s="169">
        <f t="shared" si="39"/>
        <v>14.994002500000001</v>
      </c>
      <c r="M74" s="169">
        <f t="shared" si="39"/>
        <v>14.994002500000001</v>
      </c>
      <c r="N74" s="169">
        <f t="shared" si="39"/>
        <v>14.994002500000001</v>
      </c>
      <c r="O74" s="169">
        <f t="shared" si="39"/>
        <v>14.994002500000001</v>
      </c>
      <c r="P74" s="169">
        <f t="shared" si="39"/>
        <v>14.994002500000001</v>
      </c>
      <c r="Q74" s="169">
        <f t="shared" si="39"/>
        <v>14.994002500000001</v>
      </c>
      <c r="R74" s="169">
        <f t="shared" si="39"/>
        <v>14.994002500000001</v>
      </c>
      <c r="S74" s="169">
        <f t="shared" si="39"/>
        <v>14.994002500000001</v>
      </c>
    </row>
    <row r="75" spans="1:20" ht="15" customHeight="1">
      <c r="B75" s="305" t="s">
        <v>441</v>
      </c>
      <c r="C75" s="169">
        <f>Inputs!C75</f>
        <v>14.994002500000001</v>
      </c>
      <c r="D75" s="169">
        <f t="shared" ref="D75:S91" si="40">C75</f>
        <v>14.994002500000001</v>
      </c>
      <c r="E75" s="169">
        <f t="shared" si="40"/>
        <v>14.994002500000001</v>
      </c>
      <c r="F75" s="169">
        <f t="shared" si="40"/>
        <v>14.994002500000001</v>
      </c>
      <c r="G75" s="169">
        <f t="shared" si="40"/>
        <v>14.994002500000001</v>
      </c>
      <c r="H75" s="169">
        <f t="shared" si="40"/>
        <v>14.994002500000001</v>
      </c>
      <c r="I75" s="169">
        <f t="shared" si="40"/>
        <v>14.994002500000001</v>
      </c>
      <c r="J75" s="169">
        <f t="shared" si="40"/>
        <v>14.994002500000001</v>
      </c>
      <c r="K75" s="169">
        <f t="shared" si="40"/>
        <v>14.994002500000001</v>
      </c>
      <c r="L75" s="169">
        <f t="shared" si="40"/>
        <v>14.994002500000001</v>
      </c>
      <c r="M75" s="169">
        <f t="shared" si="40"/>
        <v>14.994002500000001</v>
      </c>
      <c r="N75" s="169">
        <f t="shared" si="40"/>
        <v>14.994002500000001</v>
      </c>
      <c r="O75" s="169">
        <f t="shared" si="40"/>
        <v>14.994002500000001</v>
      </c>
      <c r="P75" s="169">
        <f t="shared" si="40"/>
        <v>14.994002500000001</v>
      </c>
      <c r="Q75" s="169">
        <f t="shared" si="40"/>
        <v>14.994002500000001</v>
      </c>
      <c r="R75" s="169">
        <f t="shared" si="40"/>
        <v>14.994002500000001</v>
      </c>
      <c r="S75" s="169">
        <f t="shared" si="40"/>
        <v>14.994002500000001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977.90662137547451</v>
      </c>
      <c r="D80" s="8">
        <f t="shared" si="41"/>
        <v>977.90662137547451</v>
      </c>
      <c r="E80" s="8">
        <f t="shared" si="40"/>
        <v>977.90662137547451</v>
      </c>
      <c r="F80" s="8">
        <f t="shared" si="40"/>
        <v>977.90662137547451</v>
      </c>
      <c r="G80" s="8">
        <f t="shared" si="40"/>
        <v>977.90662137547451</v>
      </c>
      <c r="H80" s="8">
        <f t="shared" si="40"/>
        <v>977.90662137547451</v>
      </c>
      <c r="I80" s="8">
        <f t="shared" si="40"/>
        <v>977.90662137547451</v>
      </c>
      <c r="J80" s="8">
        <f t="shared" si="40"/>
        <v>977.90662137547451</v>
      </c>
      <c r="K80" s="8">
        <f t="shared" si="40"/>
        <v>977.90662137547451</v>
      </c>
      <c r="L80" s="8">
        <f t="shared" si="40"/>
        <v>977.90662137547451</v>
      </c>
      <c r="M80" s="8">
        <f t="shared" si="40"/>
        <v>977.90662137547451</v>
      </c>
      <c r="N80" s="8">
        <f t="shared" si="40"/>
        <v>977.90662137547451</v>
      </c>
      <c r="O80" s="8">
        <f t="shared" si="40"/>
        <v>977.90662137547451</v>
      </c>
      <c r="P80" s="8">
        <f t="shared" si="40"/>
        <v>977.90662137547451</v>
      </c>
      <c r="Q80" s="8">
        <f t="shared" si="40"/>
        <v>977.90662137547451</v>
      </c>
      <c r="R80" s="8">
        <f t="shared" si="40"/>
        <v>977.90662137547451</v>
      </c>
      <c r="S80" s="276">
        <f t="shared" si="40"/>
        <v>977.90662137547451</v>
      </c>
    </row>
    <row r="81" spans="1:19" ht="15" customHeight="1">
      <c r="A81" s="305" t="s">
        <v>70</v>
      </c>
      <c r="B81" s="305" t="s">
        <v>1122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76">
        <f t="shared" si="40"/>
        <v>306.00260102083325</v>
      </c>
    </row>
    <row r="82" spans="1:19" ht="15" customHeight="1">
      <c r="B82" s="305" t="s">
        <v>1123</v>
      </c>
      <c r="C82" s="169">
        <f>Inputs!C82</f>
        <v>0.5660247946157696</v>
      </c>
      <c r="D82" s="169">
        <f t="shared" si="41"/>
        <v>0.5660247946157696</v>
      </c>
      <c r="E82" s="169">
        <f t="shared" si="40"/>
        <v>0.5660247946157696</v>
      </c>
      <c r="F82" s="169">
        <f t="shared" si="40"/>
        <v>0.5660247946157696</v>
      </c>
      <c r="G82" s="169">
        <f t="shared" si="40"/>
        <v>0.5660247946157696</v>
      </c>
      <c r="H82" s="169">
        <f t="shared" si="40"/>
        <v>0.5660247946157696</v>
      </c>
      <c r="I82" s="169">
        <f t="shared" si="40"/>
        <v>0.5660247946157696</v>
      </c>
      <c r="J82" s="169">
        <f t="shared" si="40"/>
        <v>0.5660247946157696</v>
      </c>
      <c r="K82" s="169">
        <f t="shared" si="40"/>
        <v>0.5660247946157696</v>
      </c>
      <c r="L82" s="169">
        <f t="shared" si="40"/>
        <v>0.5660247946157696</v>
      </c>
      <c r="M82" s="169">
        <f t="shared" si="40"/>
        <v>0.5660247946157696</v>
      </c>
      <c r="N82" s="169">
        <f t="shared" si="40"/>
        <v>0.5660247946157696</v>
      </c>
      <c r="O82" s="169">
        <f t="shared" si="40"/>
        <v>0.5660247946157696</v>
      </c>
      <c r="P82" s="169">
        <f t="shared" si="40"/>
        <v>0.5660247946157696</v>
      </c>
      <c r="Q82" s="169">
        <f t="shared" si="40"/>
        <v>0.5660247946157696</v>
      </c>
      <c r="R82" s="169">
        <f t="shared" si="40"/>
        <v>0.5660247946157696</v>
      </c>
      <c r="S82" s="169">
        <f t="shared" si="40"/>
        <v>0.5660247946157696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305" t="s">
        <v>1249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3.970416666666666</v>
      </c>
      <c r="D99" s="169">
        <f t="shared" si="46"/>
        <v>3.970416666666666</v>
      </c>
      <c r="E99" s="169">
        <f t="shared" si="46"/>
        <v>3.970416666666666</v>
      </c>
      <c r="F99" s="169">
        <f t="shared" si="46"/>
        <v>3.970416666666666</v>
      </c>
      <c r="G99" s="169">
        <f t="shared" si="46"/>
        <v>3.970416666666666</v>
      </c>
      <c r="H99" s="169">
        <f t="shared" si="46"/>
        <v>3.970416666666666</v>
      </c>
      <c r="I99" s="169">
        <f t="shared" si="46"/>
        <v>3.970416666666666</v>
      </c>
      <c r="J99" s="169">
        <f t="shared" si="46"/>
        <v>3.970416666666666</v>
      </c>
      <c r="K99" s="169">
        <f t="shared" si="46"/>
        <v>3.970416666666666</v>
      </c>
      <c r="L99" s="169">
        <f t="shared" si="46"/>
        <v>3.970416666666666</v>
      </c>
      <c r="M99" s="169">
        <f t="shared" si="46"/>
        <v>3.970416666666666</v>
      </c>
      <c r="N99" s="169">
        <f t="shared" si="46"/>
        <v>3.970416666666666</v>
      </c>
      <c r="O99" s="169">
        <f t="shared" si="46"/>
        <v>3.970416666666666</v>
      </c>
      <c r="P99" s="169">
        <f t="shared" si="46"/>
        <v>3.970416666666666</v>
      </c>
      <c r="Q99" s="169">
        <f t="shared" si="46"/>
        <v>3.970416666666666</v>
      </c>
      <c r="R99" s="169">
        <f t="shared" si="46"/>
        <v>3.970416666666666</v>
      </c>
      <c r="S99" s="169">
        <f t="shared" si="46"/>
        <v>3.970416666666666</v>
      </c>
    </row>
    <row r="100" spans="1:19" ht="15" customHeight="1">
      <c r="B100" s="305" t="s">
        <v>1253</v>
      </c>
      <c r="C100" s="169">
        <f>Inputs!C100</f>
        <v>7.9968013333333324E-2</v>
      </c>
      <c r="D100" s="169">
        <f t="shared" si="46"/>
        <v>7.9968013333333324E-2</v>
      </c>
      <c r="E100" s="169">
        <f t="shared" si="46"/>
        <v>7.9968013333333324E-2</v>
      </c>
      <c r="F100" s="169">
        <f t="shared" si="46"/>
        <v>7.9968013333333324E-2</v>
      </c>
      <c r="G100" s="169">
        <f t="shared" si="46"/>
        <v>7.9968013333333324E-2</v>
      </c>
      <c r="H100" s="169">
        <f t="shared" si="46"/>
        <v>7.9968013333333324E-2</v>
      </c>
      <c r="I100" s="169">
        <f t="shared" si="46"/>
        <v>7.9968013333333324E-2</v>
      </c>
      <c r="J100" s="169">
        <f t="shared" si="46"/>
        <v>7.9968013333333324E-2</v>
      </c>
      <c r="K100" s="169">
        <f t="shared" si="46"/>
        <v>7.9968013333333324E-2</v>
      </c>
      <c r="L100" s="169">
        <f t="shared" si="46"/>
        <v>7.9968013333333324E-2</v>
      </c>
      <c r="M100" s="169">
        <f t="shared" si="46"/>
        <v>7.9968013333333324E-2</v>
      </c>
      <c r="N100" s="169">
        <f t="shared" si="46"/>
        <v>7.9968013333333324E-2</v>
      </c>
      <c r="O100" s="169">
        <f t="shared" si="46"/>
        <v>7.9968013333333324E-2</v>
      </c>
      <c r="P100" s="169">
        <f t="shared" si="46"/>
        <v>7.9968013333333324E-2</v>
      </c>
      <c r="Q100" s="169">
        <f t="shared" si="46"/>
        <v>7.9968013333333324E-2</v>
      </c>
      <c r="R100" s="169">
        <f t="shared" si="46"/>
        <v>7.9968013333333324E-2</v>
      </c>
      <c r="S100" s="169">
        <f t="shared" si="46"/>
        <v>7.9968013333333324E-2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76">
        <f t="shared" si="46"/>
        <v>4.9908333333333328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76">
        <f t="shared" si="47"/>
        <v>103.09454084025489</v>
      </c>
    </row>
    <row r="119" spans="1:19" ht="15" customHeight="1">
      <c r="B119" s="305" t="s">
        <v>1148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76">
        <f t="shared" si="47"/>
        <v>10.606434242824577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0.41908932956160005</v>
      </c>
      <c r="D122" s="324">
        <f>HVAC!D27</f>
        <v>0.41908932956160005</v>
      </c>
      <c r="E122" s="324" t="e">
        <f>HVAC!E27</f>
        <v>#N/A</v>
      </c>
      <c r="F122" s="324">
        <f>HVAC!F27</f>
        <v>0.45554726954880009</v>
      </c>
      <c r="G122" s="324" t="e">
        <f>HVAC!G27</f>
        <v>#N/A</v>
      </c>
      <c r="H122" s="324" t="e">
        <f>HVAC!H27</f>
        <v>#N/A</v>
      </c>
      <c r="I122" s="324">
        <f>HVAC!I27</f>
        <v>0.45554726954880009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0.41908932956160005</v>
      </c>
      <c r="S122" s="324">
        <f>HVAC!S27</f>
        <v>0.45554726954880009</v>
      </c>
    </row>
    <row r="123" spans="1:19" ht="15" customHeight="1">
      <c r="B123" s="305" t="s">
        <v>1152</v>
      </c>
      <c r="C123" s="325">
        <f>HVAC!C28</f>
        <v>0.39641340254837187</v>
      </c>
      <c r="D123" s="325">
        <f>HVAC!D28</f>
        <v>0.31713072203869752</v>
      </c>
      <c r="E123" s="325" t="e">
        <f>HVAC!E28</f>
        <v>#N/A</v>
      </c>
      <c r="F123" s="325">
        <f>HVAC!F28</f>
        <v>0.39641340254837187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0.31713072203869752</v>
      </c>
      <c r="S123" s="325">
        <f>HVAC!S28</f>
        <v>0.39641340254837187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2.5</v>
      </c>
      <c r="D128" s="10">
        <f>HVAC!D24</f>
        <v>2.5</v>
      </c>
      <c r="E128" s="10" t="e">
        <f>HVAC!E24</f>
        <v>#N/A</v>
      </c>
      <c r="F128" s="10">
        <f>HVAC!F24</f>
        <v>2.5</v>
      </c>
      <c r="G128" s="10" t="e">
        <f>HVAC!G24</f>
        <v>#N/A</v>
      </c>
      <c r="H128" s="10" t="e">
        <f>HVAC!H24</f>
        <v>#N/A</v>
      </c>
      <c r="I128" s="10">
        <f>HVAC!I24</f>
        <v>2.5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2.5</v>
      </c>
      <c r="S128" s="10">
        <f>HVAC!S24</f>
        <v>2.5</v>
      </c>
    </row>
    <row r="129" spans="1:20" ht="15" customHeight="1">
      <c r="B129" s="305" t="s">
        <v>444</v>
      </c>
      <c r="C129" s="9">
        <f>HVAC!C25</f>
        <v>30</v>
      </c>
      <c r="D129" s="9">
        <f>HVAC!D25</f>
        <v>30</v>
      </c>
      <c r="E129" s="9" t="e">
        <f>HVAC!E25</f>
        <v>#N/A</v>
      </c>
      <c r="F129" s="9">
        <f>HVAC!F25</f>
        <v>30</v>
      </c>
      <c r="G129" s="9" t="e">
        <f>HVAC!G25</f>
        <v>#N/A</v>
      </c>
      <c r="H129" s="9" t="e">
        <f>HVAC!H25</f>
        <v>#N/A</v>
      </c>
      <c r="I129" s="9">
        <f>HVAC!I25</f>
        <v>30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30</v>
      </c>
      <c r="S129" s="9">
        <f>HVAC!S25</f>
        <v>30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50</v>
      </c>
      <c r="D131" s="10">
        <f>HVAC!D26</f>
        <v>40</v>
      </c>
      <c r="E131" s="10" t="e">
        <f>HVAC!E26</f>
        <v>#N/A</v>
      </c>
      <c r="F131" s="10">
        <f>HVAC!F26</f>
        <v>50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40</v>
      </c>
      <c r="S131" s="10">
        <f>HVAC!S26</f>
        <v>50</v>
      </c>
    </row>
    <row r="132" spans="1:20" ht="15" customHeight="1">
      <c r="B132" s="305" t="s">
        <v>1154</v>
      </c>
      <c r="C132" s="322">
        <f>HVAC!C30</f>
        <v>140.28</v>
      </c>
      <c r="D132" s="322">
        <f>HVAC!D30</f>
        <v>112.224</v>
      </c>
      <c r="E132" s="322" t="e">
        <f>HVAC!E30</f>
        <v>#N/A</v>
      </c>
      <c r="F132" s="322">
        <f>HVAC!F30</f>
        <v>140.28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112.224</v>
      </c>
      <c r="S132" s="322">
        <f>HVAC!S30</f>
        <v>140.28</v>
      </c>
    </row>
    <row r="133" spans="1:20" ht="15" customHeight="1">
      <c r="B133" s="305" t="s">
        <v>1155</v>
      </c>
      <c r="C133" s="323">
        <f>HVAC!C29</f>
        <v>148.3043983199521</v>
      </c>
      <c r="D133" s="323">
        <f>HVAC!D29</f>
        <v>148.3043983199521</v>
      </c>
      <c r="E133" s="323" t="e">
        <f>HVAC!E29</f>
        <v>#N/A</v>
      </c>
      <c r="F133" s="323">
        <f>HVAC!F29</f>
        <v>161.20587891704255</v>
      </c>
      <c r="G133" s="323" t="e">
        <f>HVAC!G29</f>
        <v>#N/A</v>
      </c>
      <c r="H133" s="323" t="e">
        <f>HVAC!H29</f>
        <v>#N/A</v>
      </c>
      <c r="I133" s="323">
        <f>HVAC!I29</f>
        <v>161.20587891704255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148.3043983199521</v>
      </c>
      <c r="S133" s="323">
        <f>HVAC!S29</f>
        <v>161.20587891704255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0.28322687954733899</v>
      </c>
      <c r="D140" s="224">
        <f>C140</f>
        <v>0.28322687954733899</v>
      </c>
      <c r="E140" s="224">
        <f t="shared" si="51"/>
        <v>0.28322687954733899</v>
      </c>
      <c r="F140" s="224">
        <f t="shared" si="51"/>
        <v>0.28322687954733899</v>
      </c>
      <c r="G140" s="224">
        <f t="shared" si="51"/>
        <v>0.28322687954733899</v>
      </c>
      <c r="H140" s="224">
        <f t="shared" si="51"/>
        <v>0.28322687954733899</v>
      </c>
      <c r="I140" s="224">
        <f t="shared" si="51"/>
        <v>0.28322687954733899</v>
      </c>
      <c r="J140" s="224">
        <f t="shared" si="51"/>
        <v>0.28322687954733899</v>
      </c>
      <c r="K140" s="224">
        <f t="shared" si="51"/>
        <v>0.28322687954733899</v>
      </c>
      <c r="L140" s="224">
        <f t="shared" si="51"/>
        <v>0.28322687954733899</v>
      </c>
      <c r="M140" s="224">
        <f t="shared" si="51"/>
        <v>0.28322687954733899</v>
      </c>
      <c r="N140" s="224">
        <f t="shared" si="51"/>
        <v>0.28322687954733899</v>
      </c>
      <c r="O140" s="224">
        <f t="shared" si="51"/>
        <v>0.28322687954733899</v>
      </c>
      <c r="P140" s="224">
        <f t="shared" si="51"/>
        <v>0.28322687954733899</v>
      </c>
      <c r="Q140" s="224">
        <f t="shared" si="51"/>
        <v>0.28322687954733899</v>
      </c>
      <c r="R140" s="224">
        <f t="shared" si="51"/>
        <v>0.28322687954733899</v>
      </c>
      <c r="S140" s="224">
        <f t="shared" si="51"/>
        <v>0.28322687954733899</v>
      </c>
      <c r="T140" s="69"/>
    </row>
    <row r="141" spans="1:20" s="305" customFormat="1" ht="15" customHeight="1">
      <c r="B141" s="305" t="s">
        <v>1320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s="305" customFormat="1" ht="15" customHeight="1">
      <c r="B152" s="290" t="s">
        <v>1343</v>
      </c>
      <c r="C152" s="275">
        <f>Inputs!$C$152</f>
        <v>1</v>
      </c>
      <c r="D152" s="275">
        <f>Inputs!$C$152</f>
        <v>1</v>
      </c>
      <c r="E152" s="275">
        <f>Inputs!$C$152</f>
        <v>1</v>
      </c>
      <c r="F152" s="275">
        <f>Inputs!$C$152</f>
        <v>1</v>
      </c>
      <c r="G152" s="275">
        <f>Inputs!$C$152</f>
        <v>1</v>
      </c>
      <c r="H152" s="275">
        <f>Inputs!$C$152</f>
        <v>1</v>
      </c>
      <c r="I152" s="275">
        <f>Inputs!$C$152</f>
        <v>1</v>
      </c>
      <c r="J152" s="275">
        <f>Inputs!$C$152</f>
        <v>1</v>
      </c>
      <c r="K152" s="275">
        <f>Inputs!$C$152</f>
        <v>1</v>
      </c>
      <c r="L152" s="275">
        <f>Inputs!$C$152</f>
        <v>1</v>
      </c>
      <c r="M152" s="275">
        <f>Inputs!$C$152</f>
        <v>1</v>
      </c>
      <c r="N152" s="275">
        <f>Inputs!$C$152</f>
        <v>1</v>
      </c>
      <c r="O152" s="275">
        <f>Inputs!$C$152</f>
        <v>1</v>
      </c>
      <c r="P152" s="275">
        <f>Inputs!$C$152</f>
        <v>1</v>
      </c>
      <c r="Q152" s="275">
        <f>Inputs!$C$152</f>
        <v>1</v>
      </c>
      <c r="R152" s="275">
        <f>Inputs!$C$152</f>
        <v>1</v>
      </c>
      <c r="S152" s="275">
        <f>Inputs!$C$152</f>
        <v>1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17" sqref="D17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80.347771599999987</v>
      </c>
      <c r="C6" s="286" t="s">
        <v>133</v>
      </c>
      <c r="D6">
        <f>IF(HomeSize="Small",14.14,IF(HomeSize="Med",20,24.49))</f>
        <v>24.49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40.173885799999994</v>
      </c>
      <c r="C7" s="286" t="s">
        <v>133</v>
      </c>
      <c r="D7" s="289">
        <f>L_houseSI/2</f>
        <v>12.244999999999999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3227.9876210979551</v>
      </c>
      <c r="C8" s="286" t="s">
        <v>557</v>
      </c>
      <c r="D8" s="287">
        <f>L_houseSI*W_houseSI*Stories</f>
        <v>299.88004999999998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3227.9876210979551</v>
      </c>
      <c r="C9" s="286" t="s">
        <v>557</v>
      </c>
      <c r="D9" s="329">
        <f>A_houseSI/Stories</f>
        <v>299.88004999999998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241.04331479999999</v>
      </c>
      <c r="C11" s="286" t="s">
        <v>133</v>
      </c>
      <c r="D11" s="289">
        <f>2*L_houseSI+2*W_houseSI</f>
        <v>73.47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645.59752421959104</v>
      </c>
      <c r="C16" s="286"/>
      <c r="D16" s="328">
        <f>0.2*A_houseSI</f>
        <v>59.976010000000002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1410.1546609257261</v>
      </c>
      <c r="C19" s="285"/>
      <c r="D19" s="32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4" t="s">
        <v>150</v>
      </c>
      <c r="B20" s="330">
        <f>35.3147*V_houseSI</f>
        <v>26475.435004337502</v>
      </c>
      <c r="C20" s="285"/>
      <c r="D20" s="287">
        <f>A_houseSI*D13</f>
        <v>749.70012499999996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2.0408333333333331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306.00260102083325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4.9908333333333328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3.970416666666666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4.9908333333333328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353.28259772784747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7" t="s">
        <v>166</v>
      </c>
      <c r="M1" s="467"/>
      <c r="N1" s="467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69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69">
        <f>H22</f>
        <v>0.16666666666666666</v>
      </c>
      <c r="N6" s="72" t="s">
        <v>11</v>
      </c>
      <c r="P6" s="127" t="s">
        <v>465</v>
      </c>
      <c r="Q6" s="76">
        <f>V_houseSI</f>
        <v>749.70012499999996</v>
      </c>
      <c r="R6" s="75" t="s">
        <v>151</v>
      </c>
      <c r="T6" s="127" t="s">
        <v>465</v>
      </c>
      <c r="U6" s="76">
        <f>V_houseSI</f>
        <v>749.70012499999996</v>
      </c>
      <c r="V6" s="75" t="s">
        <v>151</v>
      </c>
      <c r="X6" s="127" t="s">
        <v>465</v>
      </c>
      <c r="Y6" s="76">
        <f>V_houseSI</f>
        <v>749.70012499999996</v>
      </c>
      <c r="Z6" s="75" t="s">
        <v>151</v>
      </c>
      <c r="AA6" s="125" t="s">
        <v>465</v>
      </c>
      <c r="AB6" s="76">
        <f t="shared" ref="AB6:AG6" si="0">V_houseSI</f>
        <v>749.70012499999996</v>
      </c>
      <c r="AC6" s="76">
        <f t="shared" si="0"/>
        <v>749.70012499999996</v>
      </c>
      <c r="AD6" s="76">
        <f t="shared" si="0"/>
        <v>749.70012499999996</v>
      </c>
      <c r="AE6" s="76">
        <f t="shared" si="0"/>
        <v>749.70012499999996</v>
      </c>
      <c r="AF6" s="76">
        <f t="shared" si="0"/>
        <v>749.70012499999996</v>
      </c>
      <c r="AG6" s="76">
        <f t="shared" si="0"/>
        <v>749.70012499999996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7.1400011904761904E-2</v>
      </c>
      <c r="R7" s="75" t="s">
        <v>138</v>
      </c>
      <c r="T7" s="127" t="s">
        <v>206</v>
      </c>
      <c r="U7" s="77">
        <f>(U5*U6)/3600/14</f>
        <v>7.7350012896825401E-2</v>
      </c>
      <c r="V7" s="75" t="s">
        <v>138</v>
      </c>
      <c r="X7" s="127" t="s">
        <v>206</v>
      </c>
      <c r="Y7" s="77">
        <f>(Y5*Y6)/3600/14</f>
        <v>0.12792502132936506</v>
      </c>
      <c r="Z7" s="75" t="s">
        <v>138</v>
      </c>
      <c r="AA7" s="125" t="s">
        <v>206</v>
      </c>
      <c r="AB7" s="77">
        <f t="shared" ref="AB7:AG7" si="1">(AB5*AB6)/3600/14</f>
        <v>0.14875002480158731</v>
      </c>
      <c r="AC7" s="77">
        <f t="shared" si="1"/>
        <v>0.1041250173611111</v>
      </c>
      <c r="AD7" s="77">
        <f t="shared" si="1"/>
        <v>7.4375012400793653E-2</v>
      </c>
      <c r="AE7" s="77">
        <f t="shared" si="1"/>
        <v>4.4625007440476192E-2</v>
      </c>
      <c r="AF7" s="77">
        <f t="shared" si="1"/>
        <v>2.2312503720238096E-2</v>
      </c>
      <c r="AG7" s="77">
        <f t="shared" si="1"/>
        <v>8.925001488095238E-3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4.9603174603174613</v>
      </c>
      <c r="AC8" s="79">
        <f t="shared" si="2"/>
        <v>3.4722222222222219</v>
      </c>
      <c r="AD8" s="79">
        <f t="shared" si="2"/>
        <v>2.4801587301587307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1">
        <f>VLOOKUP(Airtightness,Leakage!AB11:AF16,3,FALSE)</f>
        <v>2.2312503720238096E-2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8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69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69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749.70012499999996</v>
      </c>
      <c r="AD11" s="77">
        <f t="shared" ref="AD11:AD16" si="4">(AB11*AC11)/3600/14</f>
        <v>0.14875002480158731</v>
      </c>
      <c r="AE11" s="79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25" t="s">
        <v>185</v>
      </c>
      <c r="B12" s="72"/>
      <c r="C12" s="72"/>
      <c r="D12" s="470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749.70012499999996</v>
      </c>
      <c r="AD12" s="77">
        <f>(AB12*AC12)/3600/14</f>
        <v>0.1041250173611111</v>
      </c>
      <c r="AE12" s="79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25" t="s">
        <v>4</v>
      </c>
      <c r="B13" s="72"/>
      <c r="C13" s="72"/>
      <c r="D13" s="524">
        <f>D9*D10/(SQRT(rho_air/2)*D12^(n-0.5))</f>
        <v>2.3397188930876722E-2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749.70012499999996</v>
      </c>
      <c r="AD13" s="77">
        <f t="shared" si="4"/>
        <v>7.4375012400793653E-2</v>
      </c>
      <c r="AE13" s="79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25" t="s">
        <v>8</v>
      </c>
      <c r="B14" s="72"/>
      <c r="C14" s="72"/>
      <c r="D14" s="488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749.70012499999996</v>
      </c>
      <c r="AD14" s="77">
        <f t="shared" si="4"/>
        <v>4.4625007440476192E-2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749.70012499999996</v>
      </c>
      <c r="AD15" s="77">
        <f t="shared" si="4"/>
        <v>2.2312503720238096E-2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749.70012499999996</v>
      </c>
      <c r="AD16" s="77">
        <f t="shared" si="4"/>
        <v>8.925001488095238E-3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24.49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891</v>
      </c>
      <c r="H32" s="469">
        <f>H31*1.05</f>
        <v>4.6856257812500003E-2</v>
      </c>
      <c r="I32" s="469">
        <f t="shared" ref="I32:X32" si="7">I31*1.05</f>
        <v>4.6856257812500003E-2</v>
      </c>
      <c r="J32" s="469">
        <f t="shared" si="7"/>
        <v>4.6856257812500003E-2</v>
      </c>
      <c r="K32" s="469">
        <f t="shared" si="7"/>
        <v>3.9046881510416666E-2</v>
      </c>
      <c r="L32" s="469">
        <f t="shared" si="7"/>
        <v>3.9046881510416666E-2</v>
      </c>
      <c r="M32" s="469">
        <f t="shared" si="7"/>
        <v>3.9046881510416666E-2</v>
      </c>
      <c r="N32" s="469">
        <f t="shared" si="7"/>
        <v>3.9046881510416666E-2</v>
      </c>
      <c r="O32" s="469">
        <f t="shared" si="7"/>
        <v>3.9046881510416666E-2</v>
      </c>
      <c r="P32" s="469">
        <f t="shared" si="7"/>
        <v>3.9046881510416666E-2</v>
      </c>
      <c r="Q32" s="469">
        <f t="shared" si="7"/>
        <v>3.1237505208333332E-2</v>
      </c>
      <c r="R32" s="469">
        <f t="shared" si="7"/>
        <v>3.1237505208333332E-2</v>
      </c>
      <c r="S32" s="469">
        <f t="shared" si="7"/>
        <v>3.1237505208333332E-2</v>
      </c>
      <c r="T32" s="469">
        <f t="shared" si="7"/>
        <v>3.1237505208333332E-2</v>
      </c>
      <c r="U32" s="469">
        <f t="shared" si="7"/>
        <v>3.1237505208333332E-2</v>
      </c>
      <c r="V32" s="469">
        <f t="shared" si="7"/>
        <v>2.3428128906250002E-2</v>
      </c>
      <c r="W32" s="469">
        <f t="shared" si="7"/>
        <v>4.6856257812500003E-2</v>
      </c>
      <c r="X32" s="469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0">
        <v>0</v>
      </c>
      <c r="Q2" s="28"/>
      <c r="R2" s="28"/>
      <c r="S2" s="28"/>
    </row>
    <row r="3" spans="1:19" s="305" customFormat="1" ht="15" customHeight="1">
      <c r="A3" s="290"/>
      <c r="B3" s="513"/>
      <c r="Q3" s="28"/>
      <c r="R3" s="28"/>
      <c r="S3" s="28"/>
    </row>
    <row r="4" spans="1:19" s="305" customFormat="1" ht="15" customHeight="1">
      <c r="A4" s="23" t="s">
        <v>211</v>
      </c>
      <c r="B4" s="513"/>
      <c r="Q4" s="28"/>
      <c r="R4" s="28"/>
      <c r="S4" s="28"/>
    </row>
    <row r="5" spans="1:19" ht="15" customHeight="1">
      <c r="A5" s="104"/>
      <c r="B5" s="104"/>
      <c r="C5" s="514" t="s">
        <v>1260</v>
      </c>
      <c r="D5" s="514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8" t="s">
        <v>225</v>
      </c>
      <c r="B10" s="509"/>
      <c r="C10" s="507">
        <f>SQRT(2*C8^2/(1.2*(1+C9*C6/C7)))</f>
        <v>1.9281086206186945E-2</v>
      </c>
      <c r="D10" s="507">
        <f>SQRT(2*D8^2/(1.2*(1+D9*D6/D7)))</f>
        <v>1.9281086206186945E-2</v>
      </c>
      <c r="E10" s="509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2.2312503720238096E-2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0.26035454716562528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0.58471699966164736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0.76007631858938618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F21" sqref="F21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131.00336799999994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59.976010000000002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299.88004999999998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26.932033782041369</v>
      </c>
      <c r="AA9" s="36">
        <f t="shared" si="5"/>
        <v>26.932033782041369</v>
      </c>
      <c r="AB9" s="36">
        <f t="shared" si="5"/>
        <v>31.241159187167987</v>
      </c>
      <c r="AC9" s="36">
        <f t="shared" si="5"/>
        <v>31.241159187167987</v>
      </c>
      <c r="AD9" s="36">
        <f t="shared" si="5"/>
        <v>31.241159187167987</v>
      </c>
      <c r="AE9" s="36">
        <f t="shared" si="5"/>
        <v>37.19185617519998</v>
      </c>
      <c r="AF9" s="36">
        <f t="shared" si="5"/>
        <v>37.19185617519998</v>
      </c>
      <c r="AG9" s="36">
        <f t="shared" si="5"/>
        <v>37.19185617519998</v>
      </c>
      <c r="AH9" s="36">
        <f t="shared" si="5"/>
        <v>37.19185617519998</v>
      </c>
      <c r="AI9" s="36">
        <f t="shared" si="5"/>
        <v>31.241159187167987</v>
      </c>
      <c r="AJ9" s="36">
        <f t="shared" si="5"/>
        <v>26.932033782041369</v>
      </c>
      <c r="AK9" s="36">
        <f t="shared" si="5"/>
        <v>26.932033782041369</v>
      </c>
      <c r="AL9" s="36">
        <f t="shared" si="5"/>
        <v>26.932033782041369</v>
      </c>
      <c r="AM9" s="36">
        <f t="shared" si="5"/>
        <v>26.932033782041369</v>
      </c>
      <c r="AN9" s="36">
        <f t="shared" si="5"/>
        <v>26.932033782041369</v>
      </c>
      <c r="AO9" s="36">
        <f t="shared" si="5"/>
        <v>26.932033782041369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62.4495</v>
      </c>
      <c r="Z10" s="36">
        <f t="shared" ref="Z10:AO10" si="7">1/Z7*$B$7*5.678*$C$7</f>
        <v>129.40663821639998</v>
      </c>
      <c r="AA10" s="36">
        <f t="shared" si="7"/>
        <v>129.40663821639998</v>
      </c>
      <c r="AB10" s="36">
        <f t="shared" si="7"/>
        <v>129.40663821639998</v>
      </c>
      <c r="AC10" s="36">
        <f t="shared" si="7"/>
        <v>129.40663821639998</v>
      </c>
      <c r="AD10" s="36">
        <f t="shared" si="7"/>
        <v>129.40663821639998</v>
      </c>
      <c r="AE10" s="36">
        <f t="shared" si="7"/>
        <v>129.40663821639998</v>
      </c>
      <c r="AF10" s="36">
        <f t="shared" si="7"/>
        <v>129.40663821639998</v>
      </c>
      <c r="AG10" s="36">
        <f t="shared" si="7"/>
        <v>129.40663821639998</v>
      </c>
      <c r="AH10" s="36">
        <f t="shared" si="7"/>
        <v>129.40663821639998</v>
      </c>
      <c r="AI10" s="36">
        <f t="shared" si="7"/>
        <v>129.40663821639998</v>
      </c>
      <c r="AJ10" s="36">
        <f t="shared" si="7"/>
        <v>129.40663821639998</v>
      </c>
      <c r="AK10" s="36">
        <f t="shared" si="7"/>
        <v>129.40663821639998</v>
      </c>
      <c r="AL10" s="36">
        <f t="shared" si="7"/>
        <v>129.40663821639998</v>
      </c>
      <c r="AM10" s="36">
        <f t="shared" si="7"/>
        <v>129.40663821639998</v>
      </c>
      <c r="AN10" s="36">
        <f t="shared" si="7"/>
        <v>129.40663821639998</v>
      </c>
      <c r="AO10" s="36">
        <f t="shared" si="7"/>
        <v>129.40663821639998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64.30235473859382</v>
      </c>
      <c r="G11" s="361">
        <f t="shared" ref="G11:V11" si="8">((1/G6)*$B$6*5.6783*$C$6)+(1/G9*$B$9*5.678*$C$9)</f>
        <v>64.30235473859382</v>
      </c>
      <c r="H11" s="361">
        <f t="shared" si="8"/>
        <v>64.30235473859382</v>
      </c>
      <c r="I11" s="361">
        <f t="shared" si="8"/>
        <v>43.273540430205983</v>
      </c>
      <c r="J11" s="361">
        <f t="shared" si="8"/>
        <v>43.273540430205983</v>
      </c>
      <c r="K11" s="361">
        <f t="shared" si="8"/>
        <v>43.273540430205983</v>
      </c>
      <c r="L11" s="361">
        <f t="shared" si="8"/>
        <v>43.273540430205983</v>
      </c>
      <c r="M11" s="361">
        <f t="shared" si="8"/>
        <v>43.273540430205983</v>
      </c>
      <c r="N11" s="361">
        <f t="shared" si="8"/>
        <v>43.273540430205983</v>
      </c>
      <c r="O11" s="361">
        <f t="shared" si="8"/>
        <v>43.273540430205983</v>
      </c>
      <c r="P11" s="361">
        <f t="shared" si="8"/>
        <v>43.273540430205983</v>
      </c>
      <c r="Q11" s="361">
        <f t="shared" si="8"/>
        <v>35.462837972804785</v>
      </c>
      <c r="R11" s="361">
        <f t="shared" si="8"/>
        <v>35.462837972804785</v>
      </c>
      <c r="S11" s="361">
        <f t="shared" si="8"/>
        <v>35.462837972804785</v>
      </c>
      <c r="T11" s="361">
        <f t="shared" si="8"/>
        <v>35.462837972804785</v>
      </c>
      <c r="U11" s="361">
        <f t="shared" si="8"/>
        <v>64.30235473859382</v>
      </c>
      <c r="V11" s="361">
        <f t="shared" si="8"/>
        <v>43.273540430205983</v>
      </c>
      <c r="W11" s="272"/>
      <c r="X11" s="250">
        <f>1/X6*$B$6*5.678*$C$6</f>
        <v>37.19185617519998</v>
      </c>
      <c r="Y11"/>
      <c r="Z11" s="36">
        <f t="shared" ref="Z11:AO11" si="9">1/Z8*$B$8*5.678*$C$8</f>
        <v>56.75729746333333</v>
      </c>
      <c r="AA11" s="36">
        <f t="shared" si="9"/>
        <v>56.75729746333333</v>
      </c>
      <c r="AB11" s="36">
        <f t="shared" si="9"/>
        <v>56.75729746333333</v>
      </c>
      <c r="AC11" s="36">
        <f t="shared" si="9"/>
        <v>56.75729746333333</v>
      </c>
      <c r="AD11" s="36">
        <f t="shared" si="9"/>
        <v>56.75729746333333</v>
      </c>
      <c r="AE11" s="36">
        <f t="shared" si="9"/>
        <v>81.081853519047613</v>
      </c>
      <c r="AF11" s="36">
        <f t="shared" si="9"/>
        <v>81.081853519047613</v>
      </c>
      <c r="AG11" s="36">
        <f t="shared" si="9"/>
        <v>81.081853519047613</v>
      </c>
      <c r="AH11" s="36">
        <f t="shared" si="9"/>
        <v>81.081853519047613</v>
      </c>
      <c r="AI11" s="36">
        <f t="shared" si="9"/>
        <v>56.75729746333333</v>
      </c>
      <c r="AJ11" s="36">
        <f t="shared" si="9"/>
        <v>56.75729746333333</v>
      </c>
      <c r="AK11" s="36">
        <f t="shared" si="9"/>
        <v>56.75729746333333</v>
      </c>
      <c r="AL11" s="36">
        <f t="shared" si="9"/>
        <v>56.75729746333333</v>
      </c>
      <c r="AM11" s="36">
        <f t="shared" si="9"/>
        <v>56.75729746333333</v>
      </c>
      <c r="AN11" s="36">
        <f t="shared" si="9"/>
        <v>81.081853519047613</v>
      </c>
      <c r="AO11" s="36">
        <f t="shared" si="9"/>
        <v>56.75729746333333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136.21751391199999</v>
      </c>
      <c r="G12" s="361">
        <f t="shared" ref="G12:T12" si="10">1/G7*$B$7*5.678*$C$7</f>
        <v>136.21751391199999</v>
      </c>
      <c r="H12" s="361">
        <f t="shared" si="10"/>
        <v>136.21751391199999</v>
      </c>
      <c r="I12" s="361">
        <f t="shared" si="10"/>
        <v>102.16313543400001</v>
      </c>
      <c r="J12" s="361">
        <f t="shared" si="10"/>
        <v>102.16313543400001</v>
      </c>
      <c r="K12" s="361">
        <f t="shared" si="10"/>
        <v>102.16313543400001</v>
      </c>
      <c r="L12" s="361">
        <f t="shared" si="10"/>
        <v>102.16313543400001</v>
      </c>
      <c r="M12" s="361">
        <f t="shared" si="10"/>
        <v>102.16313543400001</v>
      </c>
      <c r="N12" s="361">
        <f t="shared" si="10"/>
        <v>91.946821890600006</v>
      </c>
      <c r="O12" s="361">
        <f t="shared" si="10"/>
        <v>91.946821890600006</v>
      </c>
      <c r="P12" s="361">
        <f t="shared" si="10"/>
        <v>91.946821890600006</v>
      </c>
      <c r="Q12" s="361">
        <f t="shared" si="10"/>
        <v>91.946821890600006</v>
      </c>
      <c r="R12" s="361">
        <f t="shared" si="10"/>
        <v>91.946821890600006</v>
      </c>
      <c r="S12" s="361">
        <f t="shared" si="10"/>
        <v>91.946821890600006</v>
      </c>
      <c r="T12" s="361">
        <f t="shared" si="10"/>
        <v>91.946821890600006</v>
      </c>
      <c r="U12" s="361">
        <f>G12</f>
        <v>136.21751391199999</v>
      </c>
      <c r="V12" s="361">
        <f>I12</f>
        <v>102.16313543400001</v>
      </c>
      <c r="W12" s="272"/>
      <c r="X12" s="250">
        <f>1/X7*$B$7*5.678*$C$7</f>
        <v>136.21751391199999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73.47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130.97837876153847</v>
      </c>
      <c r="G13" s="361">
        <f t="shared" ref="G13:V13" si="12">IF($B$12=0, 1/G8*$B$8*5.678*$C$8, $B$13*$K$59)</f>
        <v>130.97837876153847</v>
      </c>
      <c r="H13" s="361">
        <f t="shared" si="12"/>
        <v>130.97837876153847</v>
      </c>
      <c r="I13" s="361">
        <f t="shared" si="12"/>
        <v>89.616785468421028</v>
      </c>
      <c r="J13" s="361">
        <f t="shared" si="12"/>
        <v>89.616785468421028</v>
      </c>
      <c r="K13" s="361">
        <f t="shared" si="12"/>
        <v>89.616785468421028</v>
      </c>
      <c r="L13" s="361">
        <f t="shared" si="12"/>
        <v>89.616785468421028</v>
      </c>
      <c r="M13" s="361">
        <f t="shared" si="12"/>
        <v>89.616785468421028</v>
      </c>
      <c r="N13" s="361">
        <f t="shared" si="12"/>
        <v>56.75729746333333</v>
      </c>
      <c r="O13" s="361">
        <f>IF($B$12=0, 1/O8*$B$8*5.678*$C$8, $B$13*$K$59)</f>
        <v>56.75729746333333</v>
      </c>
      <c r="P13" s="361">
        <f t="shared" si="12"/>
        <v>56.75729746333333</v>
      </c>
      <c r="Q13" s="361">
        <f t="shared" si="12"/>
        <v>56.75729746333333</v>
      </c>
      <c r="R13" s="361">
        <f t="shared" si="12"/>
        <v>56.75729746333333</v>
      </c>
      <c r="S13" s="361">
        <f t="shared" si="12"/>
        <v>44.808392734210514</v>
      </c>
      <c r="T13" s="361">
        <f t="shared" si="12"/>
        <v>44.808392734210514</v>
      </c>
      <c r="U13" s="361">
        <f t="shared" si="12"/>
        <v>130.97837876153847</v>
      </c>
      <c r="V13" s="361">
        <f t="shared" si="12"/>
        <v>89.616785468421028</v>
      </c>
      <c r="W13" s="272"/>
      <c r="X13" s="250">
        <f>1/X8*$B$8*5.678*$C$8</f>
        <v>89.616785468421028</v>
      </c>
      <c r="Y13" s="14" t="s">
        <v>634</v>
      </c>
      <c r="Z13" s="38">
        <f>SUM(Z9:Z12)</f>
        <v>223.6460386841747</v>
      </c>
      <c r="AA13" s="38">
        <f t="shared" ref="AA13:AO13" si="13">SUM(AA9:AA12)</f>
        <v>223.6460386841747</v>
      </c>
      <c r="AB13" s="38">
        <f t="shared" si="13"/>
        <v>227.95516408930132</v>
      </c>
      <c r="AC13" s="38">
        <f t="shared" si="13"/>
        <v>227.95516408930132</v>
      </c>
      <c r="AD13" s="38">
        <f t="shared" si="13"/>
        <v>227.95516408930132</v>
      </c>
      <c r="AE13" s="38">
        <f t="shared" si="13"/>
        <v>258.23041713304758</v>
      </c>
      <c r="AF13" s="38">
        <f t="shared" si="13"/>
        <v>258.23041713304758</v>
      </c>
      <c r="AG13" s="38">
        <f t="shared" si="13"/>
        <v>258.23041713304758</v>
      </c>
      <c r="AH13" s="38">
        <f t="shared" si="13"/>
        <v>258.23041713304758</v>
      </c>
      <c r="AI13" s="38">
        <f t="shared" si="13"/>
        <v>227.95516408930132</v>
      </c>
      <c r="AJ13" s="38">
        <f t="shared" si="13"/>
        <v>223.6460386841747</v>
      </c>
      <c r="AK13" s="38">
        <f t="shared" si="13"/>
        <v>223.6460386841747</v>
      </c>
      <c r="AL13" s="38">
        <f t="shared" si="13"/>
        <v>223.6460386841747</v>
      </c>
      <c r="AM13" s="38">
        <f t="shared" si="13"/>
        <v>223.6460386841747</v>
      </c>
      <c r="AN13" s="38">
        <f t="shared" si="13"/>
        <v>247.97059473988895</v>
      </c>
      <c r="AO13" s="38">
        <f t="shared" si="13"/>
        <v>223.6460386841747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166.88874122084138</v>
      </c>
      <c r="AA14" s="38">
        <f t="shared" ref="AA14:AO14" si="16">AA13-AA11</f>
        <v>166.88874122084138</v>
      </c>
      <c r="AB14" s="38">
        <f t="shared" si="16"/>
        <v>171.197866625968</v>
      </c>
      <c r="AC14" s="38">
        <f t="shared" si="16"/>
        <v>171.197866625968</v>
      </c>
      <c r="AD14" s="38">
        <f t="shared" si="16"/>
        <v>171.197866625968</v>
      </c>
      <c r="AE14" s="38">
        <f t="shared" si="16"/>
        <v>177.14856361399995</v>
      </c>
      <c r="AF14" s="38">
        <f t="shared" si="16"/>
        <v>177.14856361399995</v>
      </c>
      <c r="AG14" s="38">
        <f t="shared" si="16"/>
        <v>177.14856361399995</v>
      </c>
      <c r="AH14" s="38">
        <f t="shared" si="16"/>
        <v>177.14856361399995</v>
      </c>
      <c r="AI14" s="38">
        <f t="shared" si="16"/>
        <v>171.197866625968</v>
      </c>
      <c r="AJ14" s="38">
        <f t="shared" si="16"/>
        <v>166.88874122084138</v>
      </c>
      <c r="AK14" s="38">
        <f t="shared" si="16"/>
        <v>166.88874122084138</v>
      </c>
      <c r="AL14" s="38">
        <f t="shared" si="16"/>
        <v>166.88874122084138</v>
      </c>
      <c r="AM14" s="38">
        <f t="shared" si="16"/>
        <v>166.88874122084138</v>
      </c>
      <c r="AN14" s="38">
        <f t="shared" si="16"/>
        <v>166.88874122084133</v>
      </c>
      <c r="AO14" s="38">
        <f t="shared" si="16"/>
        <v>166.88874122084138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335.7182755553323</v>
      </c>
      <c r="G15" s="364">
        <f>IF($B$12=0,SUM(G11:G14),SUM(G10,G11,G12,G14))</f>
        <v>335.7182755553323</v>
      </c>
      <c r="H15" s="364">
        <f t="shared" ref="H15:X15" si="17">IF($B$12=0,SUM(H11:H14),SUM(H10,H11,H12,H14))</f>
        <v>335.7182755553323</v>
      </c>
      <c r="I15" s="364">
        <f t="shared" si="17"/>
        <v>239.27348947582703</v>
      </c>
      <c r="J15" s="364">
        <f t="shared" si="17"/>
        <v>239.27348947582703</v>
      </c>
      <c r="K15" s="364">
        <f t="shared" si="17"/>
        <v>239.27348947582703</v>
      </c>
      <c r="L15" s="364">
        <f t="shared" si="17"/>
        <v>239.27348947582703</v>
      </c>
      <c r="M15" s="364">
        <f t="shared" si="17"/>
        <v>239.27348947582703</v>
      </c>
      <c r="N15" s="364">
        <f t="shared" si="17"/>
        <v>196.1976879273393</v>
      </c>
      <c r="O15" s="364">
        <f t="shared" si="17"/>
        <v>196.1976879273393</v>
      </c>
      <c r="P15" s="364">
        <f t="shared" si="17"/>
        <v>196.1976879273393</v>
      </c>
      <c r="Q15" s="364">
        <f t="shared" si="17"/>
        <v>188.38698546993811</v>
      </c>
      <c r="R15" s="364">
        <f t="shared" si="17"/>
        <v>188.38698546993811</v>
      </c>
      <c r="S15" s="364">
        <f t="shared" si="17"/>
        <v>176.43808074081531</v>
      </c>
      <c r="T15" s="364">
        <f t="shared" si="17"/>
        <v>176.43808074081531</v>
      </c>
      <c r="U15" s="364">
        <f t="shared" si="17"/>
        <v>335.7182755553323</v>
      </c>
      <c r="V15" s="364">
        <f t="shared" si="17"/>
        <v>239.27348947582703</v>
      </c>
      <c r="W15" s="364"/>
      <c r="X15" s="251">
        <f t="shared" si="17"/>
        <v>273.57622477802101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204.73989679379383</v>
      </c>
      <c r="G16" s="364">
        <f t="shared" ref="G16:X16" si="18">SUM(G11,G12,G14)</f>
        <v>204.73989679379383</v>
      </c>
      <c r="H16" s="364">
        <f t="shared" si="18"/>
        <v>204.73989679379383</v>
      </c>
      <c r="I16" s="364">
        <f t="shared" si="18"/>
        <v>149.65670400740601</v>
      </c>
      <c r="J16" s="364">
        <f t="shared" si="18"/>
        <v>149.65670400740601</v>
      </c>
      <c r="K16" s="364">
        <f t="shared" si="18"/>
        <v>149.65670400740601</v>
      </c>
      <c r="L16" s="364">
        <f t="shared" si="18"/>
        <v>149.65670400740601</v>
      </c>
      <c r="M16" s="364">
        <f t="shared" si="18"/>
        <v>149.65670400740601</v>
      </c>
      <c r="N16" s="364">
        <f t="shared" si="18"/>
        <v>139.44039046400599</v>
      </c>
      <c r="O16" s="364">
        <f t="shared" si="18"/>
        <v>139.44039046400599</v>
      </c>
      <c r="P16" s="364">
        <f t="shared" si="18"/>
        <v>139.44039046400599</v>
      </c>
      <c r="Q16" s="364">
        <f t="shared" si="18"/>
        <v>131.62968800660479</v>
      </c>
      <c r="R16" s="364">
        <f t="shared" si="18"/>
        <v>131.62968800660479</v>
      </c>
      <c r="S16" s="364">
        <f t="shared" si="18"/>
        <v>131.62968800660479</v>
      </c>
      <c r="T16" s="364">
        <f t="shared" si="18"/>
        <v>131.62968800660479</v>
      </c>
      <c r="U16" s="364">
        <f t="shared" si="18"/>
        <v>204.73989679379383</v>
      </c>
      <c r="V16" s="364">
        <f t="shared" si="18"/>
        <v>149.65670400740601</v>
      </c>
      <c r="W16" s="364"/>
      <c r="X16" s="251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6">
        <f>(1/F20+$B$20)^-1/5.678</f>
        <v>3.3022190912293063</v>
      </c>
      <c r="G21" s="477">
        <f t="shared" ref="G21:X21" si="21">(1/G20+$B$20)^-1/5.678</f>
        <v>3.8025553171731401</v>
      </c>
      <c r="H21" s="477">
        <f t="shared" si="21"/>
        <v>3.8025553171731401</v>
      </c>
      <c r="I21" s="477">
        <f t="shared" si="21"/>
        <v>3.8025553171731401</v>
      </c>
      <c r="J21" s="477">
        <f t="shared" si="21"/>
        <v>3.8025553171731401</v>
      </c>
      <c r="K21" s="477">
        <f t="shared" si="21"/>
        <v>3.8025553171731401</v>
      </c>
      <c r="L21" s="477">
        <f t="shared" si="21"/>
        <v>4.358484457110734</v>
      </c>
      <c r="M21" s="477">
        <f t="shared" si="21"/>
        <v>4.358484457110734</v>
      </c>
      <c r="N21" s="477">
        <f t="shared" si="21"/>
        <v>4.358484457110734</v>
      </c>
      <c r="O21" s="477">
        <f t="shared" si="21"/>
        <v>4.358484457110734</v>
      </c>
      <c r="P21" s="477">
        <f t="shared" si="21"/>
        <v>4.358484457110734</v>
      </c>
      <c r="Q21" s="477">
        <f t="shared" si="21"/>
        <v>4.358484457110734</v>
      </c>
      <c r="R21" s="477">
        <f t="shared" si="21"/>
        <v>4.358484457110734</v>
      </c>
      <c r="S21" s="477">
        <f t="shared" si="21"/>
        <v>4.358484457110734</v>
      </c>
      <c r="T21" s="477">
        <f t="shared" si="21"/>
        <v>4.358484457110734</v>
      </c>
      <c r="U21" s="478">
        <f>G21</f>
        <v>3.8025553171731401</v>
      </c>
      <c r="V21" s="478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6">
        <f>(1/F20+$B$21)^-1/5.678</f>
        <v>4.5943917791016435</v>
      </c>
      <c r="G22" s="477">
        <f t="shared" ref="G22:X22" si="23">(1/G20+$B$21)^-1/5.678</f>
        <v>5.6239473598527123</v>
      </c>
      <c r="H22" s="477">
        <f t="shared" si="23"/>
        <v>5.6239473598527123</v>
      </c>
      <c r="I22" s="477">
        <f t="shared" si="23"/>
        <v>5.6239473598527123</v>
      </c>
      <c r="J22" s="477">
        <f t="shared" si="23"/>
        <v>5.6239473598527123</v>
      </c>
      <c r="K22" s="477">
        <f t="shared" si="23"/>
        <v>5.6239473598527123</v>
      </c>
      <c r="L22" s="477">
        <f t="shared" si="23"/>
        <v>6.931565642633938</v>
      </c>
      <c r="M22" s="477">
        <f t="shared" si="23"/>
        <v>6.931565642633938</v>
      </c>
      <c r="N22" s="477">
        <f t="shared" si="23"/>
        <v>6.931565642633938</v>
      </c>
      <c r="O22" s="477">
        <f t="shared" si="23"/>
        <v>6.931565642633938</v>
      </c>
      <c r="P22" s="477">
        <f t="shared" si="23"/>
        <v>6.931565642633938</v>
      </c>
      <c r="Q22" s="477">
        <f t="shared" si="23"/>
        <v>6.931565642633938</v>
      </c>
      <c r="R22" s="477">
        <f t="shared" si="23"/>
        <v>6.931565642633938</v>
      </c>
      <c r="S22" s="477">
        <f t="shared" si="23"/>
        <v>6.931565642633938</v>
      </c>
      <c r="T22" s="477">
        <f t="shared" si="23"/>
        <v>6.931565642633938</v>
      </c>
      <c r="U22" s="478">
        <f>G22</f>
        <v>5.6239473598527123</v>
      </c>
      <c r="V22" s="478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79">
        <f>F85</f>
        <v>0.25</v>
      </c>
      <c r="G28" s="479">
        <f t="shared" ref="G28:M28" si="25">G85</f>
        <v>0.25</v>
      </c>
      <c r="H28" s="479">
        <f t="shared" si="25"/>
        <v>0.25</v>
      </c>
      <c r="I28" s="479">
        <f t="shared" si="25"/>
        <v>0.27</v>
      </c>
      <c r="J28" s="479">
        <f t="shared" si="25"/>
        <v>0.27</v>
      </c>
      <c r="K28" s="479">
        <f t="shared" si="25"/>
        <v>0.27</v>
      </c>
      <c r="L28" s="479">
        <f t="shared" si="25"/>
        <v>0.27</v>
      </c>
      <c r="M28" s="479">
        <f t="shared" si="25"/>
        <v>0.27</v>
      </c>
      <c r="N28" s="480">
        <v>0.3</v>
      </c>
      <c r="O28" s="480">
        <v>0.3</v>
      </c>
      <c r="P28" s="480">
        <v>0.3</v>
      </c>
      <c r="Q28" s="480">
        <v>0.3</v>
      </c>
      <c r="R28" s="480">
        <v>0.3</v>
      </c>
      <c r="S28" s="480">
        <v>0.3</v>
      </c>
      <c r="T28" s="481">
        <v>0.35</v>
      </c>
      <c r="U28" s="479">
        <f>G28</f>
        <v>0.25</v>
      </c>
      <c r="V28" s="479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1317.4395499999998</v>
      </c>
      <c r="G35" s="176">
        <f t="shared" si="26"/>
        <v>2209.542024941667</v>
      </c>
      <c r="H35" s="176">
        <f t="shared" si="26"/>
        <v>1736.0686916083337</v>
      </c>
      <c r="I35" s="176">
        <f t="shared" si="26"/>
        <v>2860.5678582750002</v>
      </c>
      <c r="J35" s="176">
        <f t="shared" si="26"/>
        <v>2564.6470249416666</v>
      </c>
      <c r="K35" s="176">
        <f t="shared" si="26"/>
        <v>1736.0686916083337</v>
      </c>
      <c r="L35" s="176">
        <f t="shared" si="26"/>
        <v>3097.3045249416668</v>
      </c>
      <c r="M35" s="176">
        <f t="shared" si="26"/>
        <v>2919.7520249416671</v>
      </c>
      <c r="N35" s="176">
        <f t="shared" si="26"/>
        <v>2623.8311916083335</v>
      </c>
      <c r="O35" s="176">
        <f t="shared" si="26"/>
        <v>4044.2511916083331</v>
      </c>
      <c r="P35" s="176">
        <f t="shared" si="26"/>
        <v>3570.7778582750002</v>
      </c>
      <c r="Q35" s="176">
        <f t="shared" si="26"/>
        <v>4340.1720249416667</v>
      </c>
      <c r="R35" s="176">
        <f t="shared" si="26"/>
        <v>4695.2770249416672</v>
      </c>
      <c r="S35" s="176">
        <f t="shared" si="26"/>
        <v>4991.1978582749998</v>
      </c>
      <c r="T35" s="271">
        <f t="shared" si="26"/>
        <v>6880.7512166666666</v>
      </c>
      <c r="U35" s="271"/>
      <c r="V35" s="271"/>
      <c r="W35" s="271"/>
      <c r="X35" s="261">
        <f t="shared" si="26"/>
        <v>3092.9645499999997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106.53149999999999</v>
      </c>
      <c r="G43" s="144">
        <f t="shared" si="27"/>
        <v>106.53149999999999</v>
      </c>
      <c r="H43" s="144">
        <f t="shared" si="27"/>
        <v>106.53149999999999</v>
      </c>
      <c r="I43" s="144">
        <f t="shared" si="27"/>
        <v>106.53149999999999</v>
      </c>
      <c r="J43" s="144">
        <f t="shared" si="27"/>
        <v>106.53149999999999</v>
      </c>
      <c r="K43" s="144">
        <f t="shared" si="27"/>
        <v>106.53149999999999</v>
      </c>
      <c r="L43" s="144">
        <f t="shared" si="27"/>
        <v>106.53149999999999</v>
      </c>
      <c r="M43" s="144">
        <f t="shared" si="27"/>
        <v>106.53149999999999</v>
      </c>
      <c r="N43" s="144">
        <f t="shared" si="27"/>
        <v>106.53149999999999</v>
      </c>
      <c r="O43" s="144">
        <f t="shared" si="27"/>
        <v>106.53149999999999</v>
      </c>
      <c r="P43" s="144">
        <f t="shared" si="27"/>
        <v>106.53149999999999</v>
      </c>
      <c r="Q43" s="144">
        <f t="shared" si="27"/>
        <v>106.53149999999999</v>
      </c>
      <c r="R43" s="144">
        <f t="shared" si="27"/>
        <v>106.53149999999999</v>
      </c>
      <c r="S43" s="144">
        <f t="shared" si="27"/>
        <v>106.53149999999999</v>
      </c>
      <c r="T43" s="267">
        <f t="shared" si="27"/>
        <v>106.53149999999999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60.082326595393823</v>
      </c>
      <c r="G44" s="36">
        <f>1/G40*$B$6*5.678*$C$6</f>
        <v>60.079152283015361</v>
      </c>
      <c r="H44" s="36">
        <f>1/H40*$B$6*5.678*$C$6</f>
        <v>60.079152283015361</v>
      </c>
      <c r="I44" s="36">
        <f t="shared" ref="I44:T44" si="28">1/I40*$B$6*5.678*$C$6</f>
        <v>60.079152283015361</v>
      </c>
      <c r="J44" s="36">
        <f t="shared" si="28"/>
        <v>60.079152283015361</v>
      </c>
      <c r="K44" s="36">
        <f t="shared" si="28"/>
        <v>60.079152283015361</v>
      </c>
      <c r="L44" s="36">
        <f t="shared" si="28"/>
        <v>60.079152283015361</v>
      </c>
      <c r="M44" s="36">
        <f t="shared" si="28"/>
        <v>60.079152283015361</v>
      </c>
      <c r="N44" s="36">
        <f t="shared" si="28"/>
        <v>39.051448983959979</v>
      </c>
      <c r="O44" s="36">
        <f t="shared" si="28"/>
        <v>39.051448983959979</v>
      </c>
      <c r="P44" s="36">
        <f t="shared" si="28"/>
        <v>39.051448983959979</v>
      </c>
      <c r="Q44" s="36">
        <f t="shared" si="28"/>
        <v>39.051448983959979</v>
      </c>
      <c r="R44" s="36">
        <f t="shared" si="28"/>
        <v>39.051448983959979</v>
      </c>
      <c r="S44" s="36">
        <f t="shared" si="28"/>
        <v>37.19185617519998</v>
      </c>
      <c r="T44" s="272">
        <f t="shared" si="28"/>
        <v>37.19185617519998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227.02918985333332</v>
      </c>
      <c r="G45" s="36">
        <f t="shared" si="29"/>
        <v>221.35346010700002</v>
      </c>
      <c r="H45" s="36">
        <f t="shared" si="29"/>
        <v>221.35346010700002</v>
      </c>
      <c r="I45" s="36">
        <f t="shared" si="29"/>
        <v>170.27189239</v>
      </c>
      <c r="J45" s="36">
        <f t="shared" si="29"/>
        <v>170.27189239</v>
      </c>
      <c r="K45" s="36">
        <f t="shared" si="29"/>
        <v>170.27189239</v>
      </c>
      <c r="L45" s="36">
        <f t="shared" si="29"/>
        <v>119.19032467299999</v>
      </c>
      <c r="M45" s="36">
        <f t="shared" si="29"/>
        <v>119.19032467299999</v>
      </c>
      <c r="N45" s="36">
        <f t="shared" si="29"/>
        <v>119.19032467299999</v>
      </c>
      <c r="O45" s="36">
        <f t="shared" si="29"/>
        <v>119.19032467299999</v>
      </c>
      <c r="P45" s="36">
        <f t="shared" si="29"/>
        <v>119.19032467299999</v>
      </c>
      <c r="Q45" s="36">
        <f t="shared" si="29"/>
        <v>119.19032467299999</v>
      </c>
      <c r="R45" s="36">
        <f t="shared" si="29"/>
        <v>119.19032467299999</v>
      </c>
      <c r="S45" s="36">
        <f t="shared" si="29"/>
        <v>119.19032467299999</v>
      </c>
      <c r="T45" s="272">
        <f t="shared" si="29"/>
        <v>117.42889130344828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130.97837876153847</v>
      </c>
      <c r="G46" s="36">
        <f t="shared" si="30"/>
        <v>130.97837876153847</v>
      </c>
      <c r="H46" s="36">
        <f t="shared" si="30"/>
        <v>130.97837876153847</v>
      </c>
      <c r="I46" s="36">
        <f t="shared" si="30"/>
        <v>89.616785468421028</v>
      </c>
      <c r="J46" s="36">
        <f t="shared" si="30"/>
        <v>89.616785468421028</v>
      </c>
      <c r="K46" s="36">
        <f t="shared" si="30"/>
        <v>89.616785468421028</v>
      </c>
      <c r="L46" s="36">
        <f t="shared" si="30"/>
        <v>89.616785468421028</v>
      </c>
      <c r="M46" s="36">
        <f t="shared" si="30"/>
        <v>89.616785468421028</v>
      </c>
      <c r="N46" s="36">
        <f t="shared" si="30"/>
        <v>89.616785468421028</v>
      </c>
      <c r="O46" s="36">
        <f t="shared" si="30"/>
        <v>56.75729746333333</v>
      </c>
      <c r="P46" s="36">
        <f t="shared" si="30"/>
        <v>56.75729746333333</v>
      </c>
      <c r="Q46" s="36">
        <f t="shared" si="30"/>
        <v>56.75729746333333</v>
      </c>
      <c r="R46" s="36">
        <f t="shared" si="30"/>
        <v>56.75729746333333</v>
      </c>
      <c r="S46" s="36">
        <f t="shared" si="30"/>
        <v>44.808392734210514</v>
      </c>
      <c r="T46" s="272">
        <f t="shared" si="30"/>
        <v>44.808392734210514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428.63996443266558</v>
      </c>
      <c r="G48" s="294">
        <f t="shared" ref="G48:T48" si="32">IF($B$12=0,SUM(G44:G47),SUM(G43,G44,G45,G47))</f>
        <v>422.96106037395384</v>
      </c>
      <c r="H48" s="294">
        <f t="shared" si="32"/>
        <v>422.96106037395384</v>
      </c>
      <c r="I48" s="294">
        <f t="shared" si="32"/>
        <v>330.51789936383636</v>
      </c>
      <c r="J48" s="294">
        <f t="shared" si="32"/>
        <v>330.51789936383636</v>
      </c>
      <c r="K48" s="294">
        <f t="shared" si="32"/>
        <v>330.51789936383636</v>
      </c>
      <c r="L48" s="294">
        <f t="shared" si="32"/>
        <v>279.43633164683638</v>
      </c>
      <c r="M48" s="294">
        <f t="shared" si="32"/>
        <v>279.43633164683638</v>
      </c>
      <c r="N48" s="294">
        <f t="shared" si="32"/>
        <v>258.40862834778102</v>
      </c>
      <c r="O48" s="294">
        <f t="shared" si="32"/>
        <v>225.54914034269331</v>
      </c>
      <c r="P48" s="294">
        <f t="shared" si="32"/>
        <v>225.54914034269331</v>
      </c>
      <c r="Q48" s="294">
        <f t="shared" si="32"/>
        <v>225.54914034269331</v>
      </c>
      <c r="R48" s="294">
        <f t="shared" si="32"/>
        <v>225.54914034269331</v>
      </c>
      <c r="S48" s="294">
        <f t="shared" si="32"/>
        <v>211.74064280481048</v>
      </c>
      <c r="T48" s="294">
        <f t="shared" si="32"/>
        <v>209.97920943525878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297.66158567112711</v>
      </c>
      <c r="G49" s="294">
        <f t="shared" ref="G49:T49" si="33">SUM(G44,G45,G47)</f>
        <v>291.98268161241538</v>
      </c>
      <c r="H49" s="294">
        <f t="shared" si="33"/>
        <v>291.98268161241538</v>
      </c>
      <c r="I49" s="294">
        <f t="shared" si="33"/>
        <v>240.90111389541536</v>
      </c>
      <c r="J49" s="294">
        <f t="shared" si="33"/>
        <v>240.90111389541536</v>
      </c>
      <c r="K49" s="294">
        <f t="shared" si="33"/>
        <v>240.90111389541536</v>
      </c>
      <c r="L49" s="294">
        <f t="shared" si="33"/>
        <v>189.81954617841535</v>
      </c>
      <c r="M49" s="294">
        <f t="shared" si="33"/>
        <v>189.81954617841535</v>
      </c>
      <c r="N49" s="294">
        <f t="shared" si="33"/>
        <v>168.79184287935996</v>
      </c>
      <c r="O49" s="294">
        <f t="shared" si="33"/>
        <v>168.79184287935996</v>
      </c>
      <c r="P49" s="294">
        <f t="shared" si="33"/>
        <v>168.79184287935996</v>
      </c>
      <c r="Q49" s="294">
        <f t="shared" si="33"/>
        <v>168.79184287935996</v>
      </c>
      <c r="R49" s="294">
        <f t="shared" si="33"/>
        <v>168.79184287935996</v>
      </c>
      <c r="S49" s="294">
        <f t="shared" si="33"/>
        <v>166.93225007059996</v>
      </c>
      <c r="T49" s="294">
        <f t="shared" si="33"/>
        <v>165.17081670104827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5" t="s">
        <v>622</v>
      </c>
      <c r="E56" s="552"/>
      <c r="F56" s="556"/>
      <c r="G56" s="551" t="s">
        <v>615</v>
      </c>
      <c r="H56" s="552"/>
      <c r="I56" s="553"/>
      <c r="J56" s="554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6" t="s">
        <v>614</v>
      </c>
      <c r="E57" s="547"/>
      <c r="F57" s="548"/>
      <c r="G57" s="549" t="s">
        <v>616</v>
      </c>
      <c r="H57" s="547"/>
      <c r="I57" s="550"/>
      <c r="J57" s="548"/>
      <c r="K57" s="545">
        <v>1.17</v>
      </c>
      <c r="L57" s="545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6"/>
      <c r="E58" s="547"/>
      <c r="F58" s="548"/>
      <c r="G58" s="549" t="s">
        <v>617</v>
      </c>
      <c r="H58" s="547"/>
      <c r="I58" s="550"/>
      <c r="J58" s="548"/>
      <c r="K58" s="545">
        <v>0.86</v>
      </c>
      <c r="L58" s="545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6" t="s">
        <v>618</v>
      </c>
      <c r="E59" s="547"/>
      <c r="F59" s="548"/>
      <c r="G59" s="549" t="s">
        <v>616</v>
      </c>
      <c r="H59" s="547"/>
      <c r="I59" s="550"/>
      <c r="J59" s="548"/>
      <c r="K59" s="545">
        <v>1.45</v>
      </c>
      <c r="L59" s="545"/>
      <c r="S59" s="17"/>
      <c r="T59" s="17"/>
      <c r="U59" s="17"/>
      <c r="V59" s="17"/>
      <c r="W59" s="17"/>
    </row>
    <row r="60" spans="2:24" ht="15" customHeight="1">
      <c r="D60" s="546"/>
      <c r="E60" s="547"/>
      <c r="F60" s="548"/>
      <c r="G60" s="549" t="s">
        <v>617</v>
      </c>
      <c r="H60" s="547"/>
      <c r="I60" s="550"/>
      <c r="J60" s="548"/>
      <c r="K60" s="545">
        <v>0.85</v>
      </c>
      <c r="L60" s="545"/>
      <c r="S60" s="17"/>
      <c r="T60" s="17"/>
      <c r="U60" s="17"/>
      <c r="V60" s="17"/>
      <c r="W60" s="17"/>
    </row>
    <row r="61" spans="2:24" ht="15" customHeight="1">
      <c r="D61" s="546" t="s">
        <v>619</v>
      </c>
      <c r="E61" s="547"/>
      <c r="F61" s="548"/>
      <c r="G61" s="549" t="s">
        <v>616</v>
      </c>
      <c r="H61" s="547"/>
      <c r="I61" s="550"/>
      <c r="J61" s="548"/>
      <c r="K61" s="545">
        <v>2.0699999999999998</v>
      </c>
      <c r="L61" s="545"/>
      <c r="S61" s="17"/>
      <c r="T61" s="17"/>
      <c r="U61" s="17"/>
      <c r="V61" s="17"/>
      <c r="W61" s="17"/>
    </row>
    <row r="62" spans="2:24" ht="15" customHeight="1">
      <c r="B62" s="2"/>
      <c r="D62" s="546"/>
      <c r="E62" s="547"/>
      <c r="F62" s="548"/>
      <c r="G62" s="549" t="s">
        <v>617</v>
      </c>
      <c r="H62" s="547"/>
      <c r="I62" s="550"/>
      <c r="J62" s="548"/>
      <c r="K62" s="545">
        <v>0.92</v>
      </c>
      <c r="L62" s="545"/>
      <c r="S62" s="17"/>
      <c r="T62" s="17"/>
      <c r="U62" s="17"/>
      <c r="V62" s="17"/>
      <c r="W62" s="17"/>
    </row>
    <row r="63" spans="2:24" ht="15" customHeight="1">
      <c r="D63" s="546" t="s">
        <v>620</v>
      </c>
      <c r="E63" s="547"/>
      <c r="F63" s="548"/>
      <c r="G63" s="549" t="s">
        <v>616</v>
      </c>
      <c r="H63" s="547"/>
      <c r="I63" s="550"/>
      <c r="J63" s="548"/>
      <c r="K63" s="545">
        <v>3.67</v>
      </c>
      <c r="L63" s="545"/>
      <c r="S63" s="17"/>
      <c r="T63" s="17"/>
      <c r="U63" s="17"/>
      <c r="V63" s="17"/>
      <c r="W63" s="17"/>
    </row>
    <row r="64" spans="2:24" ht="15" customHeight="1">
      <c r="D64" s="546" t="s">
        <v>621</v>
      </c>
      <c r="E64" s="547"/>
      <c r="F64" s="548"/>
      <c r="G64" s="549" t="s">
        <v>617</v>
      </c>
      <c r="H64" s="547"/>
      <c r="I64" s="550"/>
      <c r="J64" s="548"/>
      <c r="K64" s="545">
        <v>1.24</v>
      </c>
      <c r="L64" s="545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10" sqref="B10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14.745501874999999</v>
      </c>
      <c r="J2" s="49">
        <f>L2*0.5</f>
        <v>29.491003749999997</v>
      </c>
      <c r="K2" s="49">
        <f>L2*0.75</f>
        <v>44.236505624999992</v>
      </c>
      <c r="L2" s="356">
        <f>IF(Age="existing",0.15*A_houseSI+3.5*(Nbedrooms+1)+(65/4),0.15*A_houseSI+3.5*(Nbedrooms+1))</f>
        <v>58.982007499999995</v>
      </c>
      <c r="M2" s="296">
        <f>1.25*L2</f>
        <v>73.727509374999997</v>
      </c>
      <c r="N2" s="49">
        <f>L2*2</f>
        <v>117.96401499999999</v>
      </c>
      <c r="O2" s="49">
        <f>L2*3</f>
        <v>176.94602249999997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31.709907158234664</v>
      </c>
      <c r="J3" s="49">
        <f>L3*0.5</f>
        <v>63.419814316469328</v>
      </c>
      <c r="K3" s="49">
        <f>L3*0.75</f>
        <v>95.129721474703985</v>
      </c>
      <c r="L3" s="357">
        <f>IF(Age="existing",0.03*A_houseFT+7.5*(Nbedrooms+1)+(130/4), 0.03*A_houseFT+7.5*(Nbedrooms+1))</f>
        <v>126.83962863293866</v>
      </c>
      <c r="M3" s="296">
        <f>1.25*L3</f>
        <v>158.54953579117333</v>
      </c>
      <c r="N3" s="49">
        <f>L3*2</f>
        <v>253.67925726587731</v>
      </c>
      <c r="O3" s="49">
        <f>L3*3</f>
        <v>380.51888589881594</v>
      </c>
      <c r="R3" s="543" t="s">
        <v>921</v>
      </c>
      <c r="S3" s="544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1340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13.005349036910927</v>
      </c>
      <c r="C9" s="227">
        <f>(Leakage!I34*A_houseSI*Weather!C25)/1.44</f>
        <v>13.322552671957537</v>
      </c>
      <c r="D9" s="227">
        <f>(Leakage!J34*A_houseSI*Weather!D25)/1.44</f>
        <v>13.639756307004143</v>
      </c>
      <c r="E9" s="227">
        <f>(Leakage!K34*A_houseSI*Weather!E25)/1.44</f>
        <v>12.159472676786638</v>
      </c>
      <c r="F9" s="227">
        <f>(Leakage!L34*A_houseSI*Weather!F25)/1.44</f>
        <v>12.688145401864318</v>
      </c>
      <c r="G9" s="227">
        <f>(Leakage!M34*A_houseSI*Weather!G25)/1.44</f>
        <v>15.8601817523304</v>
      </c>
      <c r="H9" s="227">
        <f>(Leakage!N34*A_houseSI*Weather!H25)/1.44</f>
        <v>13.216818126941998</v>
      </c>
      <c r="I9" s="227">
        <f>(Leakage!O34*A_houseSI*Weather!I25)/1.44</f>
        <v>14.274163577097362</v>
      </c>
      <c r="J9" s="227">
        <f>(Leakage!P34*A_houseSI*Weather!J25)/1.44</f>
        <v>14.5384999396362</v>
      </c>
      <c r="K9" s="227">
        <f>(Leakage!Q34*A_houseSI*Weather!K25)/1.44</f>
        <v>12.688145401864315</v>
      </c>
      <c r="L9" s="227">
        <f>(Leakage!R34*A_houseSI*Weather!L25)/1.44</f>
        <v>11.84226904174003</v>
      </c>
      <c r="M9" s="227">
        <f>(Leakage!S34*A_houseSI*Weather!M25)/1.44</f>
        <v>12.89961449189539</v>
      </c>
      <c r="N9" s="227">
        <f>(Leakage!T34*A_houseSI*Weather!N25)/1.44</f>
        <v>13.322552671957531</v>
      </c>
      <c r="O9" s="227">
        <f>(Leakage!U34*A_houseSI*Weather!O25)/1.44</f>
        <v>14.802836302175034</v>
      </c>
      <c r="P9" s="227">
        <f>(Leakage!V34*A_houseSI*Weather!P25)/1.44</f>
        <v>11.10212722663128</v>
      </c>
      <c r="Q9" s="227">
        <f>(Leakage!W34*A_houseSI*Weather!Q25)/1.44</f>
        <v>12.053738131771105</v>
      </c>
      <c r="R9" s="227">
        <f>(Leakage!X34*A_houseSI*Weather!R25)/1.44</f>
        <v>11.366463589170118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FanSize*IF($L$2=0,0,$L$2-(B9/$L$2)*B9)</f>
        <v>56.114368524302535</v>
      </c>
      <c r="C10" s="348">
        <f t="shared" si="0"/>
        <v>55.972777783682133</v>
      </c>
      <c r="D10" s="348">
        <f t="shared" si="0"/>
        <v>55.827775217986549</v>
      </c>
      <c r="E10" s="348">
        <f t="shared" si="0"/>
        <v>56.475263798922668</v>
      </c>
      <c r="F10" s="348">
        <f t="shared" si="0"/>
        <v>56.252547439847739</v>
      </c>
      <c r="G10" s="348">
        <f t="shared" si="0"/>
        <v>54.717226156012096</v>
      </c>
      <c r="H10" s="348">
        <f t="shared" si="0"/>
        <v>56.020353788897289</v>
      </c>
      <c r="I10" s="348">
        <f t="shared" si="0"/>
        <v>55.527534611369795</v>
      </c>
      <c r="J10" s="348">
        <f t="shared" si="0"/>
        <v>55.398406509565717</v>
      </c>
      <c r="K10" s="348">
        <f t="shared" si="0"/>
        <v>56.252547439847746</v>
      </c>
      <c r="L10" s="348">
        <f t="shared" si="0"/>
        <v>56.604344514267368</v>
      </c>
      <c r="M10" s="348">
        <f t="shared" si="0"/>
        <v>56.160807254492624</v>
      </c>
      <c r="N10" s="348">
        <f t="shared" si="0"/>
        <v>55.972777783682133</v>
      </c>
      <c r="O10" s="348">
        <f t="shared" si="0"/>
        <v>55.266909084792765</v>
      </c>
      <c r="P10" s="348">
        <f t="shared" si="0"/>
        <v>56.892264641445927</v>
      </c>
      <c r="Q10" s="348">
        <f t="shared" si="0"/>
        <v>56.518669795712583</v>
      </c>
      <c r="R10" s="348">
        <f t="shared" si="0"/>
        <v>56.791568415268436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24.471476113448336</v>
      </c>
      <c r="C11" s="242">
        <f>C10*0.4361</f>
        <v>24.409728391463776</v>
      </c>
      <c r="D11" s="242">
        <f t="shared" ref="D11:P11" si="1">D10*0.4361</f>
        <v>24.346492772563934</v>
      </c>
      <c r="E11" s="242">
        <f t="shared" si="1"/>
        <v>24.628862542710173</v>
      </c>
      <c r="F11" s="242">
        <f t="shared" si="1"/>
        <v>24.531735938517599</v>
      </c>
      <c r="G11" s="242">
        <f t="shared" si="1"/>
        <v>23.862182326636873</v>
      </c>
      <c r="H11" s="242">
        <f t="shared" si="1"/>
        <v>24.430476287338106</v>
      </c>
      <c r="I11" s="242">
        <f t="shared" si="1"/>
        <v>24.215557844018367</v>
      </c>
      <c r="J11" s="242">
        <f t="shared" si="1"/>
        <v>24.159245078821609</v>
      </c>
      <c r="K11" s="242">
        <f t="shared" si="1"/>
        <v>24.531735938517603</v>
      </c>
      <c r="L11" s="242">
        <f t="shared" si="1"/>
        <v>24.685154642672</v>
      </c>
      <c r="M11" s="242">
        <f t="shared" si="1"/>
        <v>24.491728043684233</v>
      </c>
      <c r="N11" s="242">
        <f t="shared" si="1"/>
        <v>24.409728391463776</v>
      </c>
      <c r="O11" s="242">
        <f t="shared" si="1"/>
        <v>24.101899051878124</v>
      </c>
      <c r="P11" s="242">
        <f t="shared" si="1"/>
        <v>24.810716610134566</v>
      </c>
      <c r="Q11" s="242">
        <f>Q10*0.4361</f>
        <v>24.647791897910256</v>
      </c>
      <c r="R11" s="242">
        <f>R10*0.4361</f>
        <v>24.766802985898565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63.521465169510464</v>
      </c>
      <c r="C12" s="399">
        <f t="shared" ref="C12:R12" si="2">IF(VentSystem="CFIS",0,0.566*C13*-1000)</f>
        <v>63.36118445112816</v>
      </c>
      <c r="D12" s="399">
        <f t="shared" si="2"/>
        <v>63.197041546760772</v>
      </c>
      <c r="E12" s="399">
        <f t="shared" si="2"/>
        <v>63.929998620380459</v>
      </c>
      <c r="F12" s="399">
        <f t="shared" si="2"/>
        <v>63.677883701907632</v>
      </c>
      <c r="G12" s="399">
        <f t="shared" si="2"/>
        <v>61.939900008605683</v>
      </c>
      <c r="H12" s="399">
        <f t="shared" si="2"/>
        <v>63.415040489031725</v>
      </c>
      <c r="I12" s="399">
        <f t="shared" si="2"/>
        <v>62.857169180070599</v>
      </c>
      <c r="J12" s="399">
        <f t="shared" si="2"/>
        <v>62.710996168828387</v>
      </c>
      <c r="K12" s="399">
        <f t="shared" si="2"/>
        <v>63.677883701907646</v>
      </c>
      <c r="L12" s="399">
        <f t="shared" si="2"/>
        <v>64.076117990150664</v>
      </c>
      <c r="M12" s="399">
        <f t="shared" si="2"/>
        <v>63.574033812085638</v>
      </c>
      <c r="N12" s="399">
        <f t="shared" si="2"/>
        <v>63.36118445112816</v>
      </c>
      <c r="O12" s="399">
        <f t="shared" si="2"/>
        <v>62.562141083985402</v>
      </c>
      <c r="P12" s="399">
        <f t="shared" si="2"/>
        <v>64.402043574116789</v>
      </c>
      <c r="Q12" s="399">
        <f t="shared" si="2"/>
        <v>63.979134208746636</v>
      </c>
      <c r="R12" s="399">
        <f t="shared" si="2"/>
        <v>64.28805544608386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IF(VentSystem="CFIS",3*B10/-1000,IF(AND(VentSystem="Simple Exhaust",HumControl=1),B10/-1000,IF(AND(VentSystem="Simple Exhaust",HumControl&gt;1),2*B10/-1000,0)))</f>
        <v>-0.11222873704860507</v>
      </c>
      <c r="C13" s="399">
        <f t="shared" si="3"/>
        <v>-0.11194555556736427</v>
      </c>
      <c r="D13" s="399">
        <f t="shared" si="3"/>
        <v>-0.1116555504359731</v>
      </c>
      <c r="E13" s="399">
        <f t="shared" si="3"/>
        <v>-0.11295052759784534</v>
      </c>
      <c r="F13" s="399">
        <f t="shared" si="3"/>
        <v>-0.11250509487969548</v>
      </c>
      <c r="G13" s="399">
        <f t="shared" si="3"/>
        <v>-0.10943445231202419</v>
      </c>
      <c r="H13" s="399">
        <f t="shared" si="3"/>
        <v>-0.11204070757779458</v>
      </c>
      <c r="I13" s="399">
        <f t="shared" si="3"/>
        <v>-0.11105506922273958</v>
      </c>
      <c r="J13" s="399">
        <f t="shared" si="3"/>
        <v>-0.11079681301913144</v>
      </c>
      <c r="K13" s="399">
        <f t="shared" si="3"/>
        <v>-0.1125050948796955</v>
      </c>
      <c r="L13" s="399">
        <f t="shared" si="3"/>
        <v>-0.11320868902853473</v>
      </c>
      <c r="M13" s="399">
        <f t="shared" si="3"/>
        <v>-0.11232161450898524</v>
      </c>
      <c r="N13" s="399">
        <f t="shared" si="3"/>
        <v>-0.11194555556736427</v>
      </c>
      <c r="O13" s="399">
        <f t="shared" si="3"/>
        <v>-0.11053381816958553</v>
      </c>
      <c r="P13" s="399">
        <f t="shared" si="3"/>
        <v>-0.11378452928289186</v>
      </c>
      <c r="Q13" s="399">
        <f t="shared" si="3"/>
        <v>-0.11303733959142516</v>
      </c>
      <c r="R13" s="399">
        <f t="shared" si="3"/>
        <v>-0.11358313683053688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VLOOKUP(VentSystem,$R$2:$S$4,2,FALSE)</f>
        <v>1</v>
      </c>
      <c r="C14" s="400">
        <f t="shared" si="4"/>
        <v>1</v>
      </c>
      <c r="D14" s="400">
        <f t="shared" si="4"/>
        <v>1</v>
      </c>
      <c r="E14" s="400">
        <f t="shared" si="4"/>
        <v>1</v>
      </c>
      <c r="F14" s="400">
        <f t="shared" si="4"/>
        <v>1</v>
      </c>
      <c r="G14" s="400">
        <f t="shared" si="4"/>
        <v>1</v>
      </c>
      <c r="H14" s="400">
        <f t="shared" si="4"/>
        <v>1</v>
      </c>
      <c r="I14" s="400">
        <f t="shared" si="4"/>
        <v>1</v>
      </c>
      <c r="J14" s="400">
        <f t="shared" si="4"/>
        <v>1</v>
      </c>
      <c r="K14" s="400">
        <f t="shared" si="4"/>
        <v>1</v>
      </c>
      <c r="L14" s="400">
        <f t="shared" si="4"/>
        <v>1</v>
      </c>
      <c r="M14" s="400">
        <f t="shared" si="4"/>
        <v>1</v>
      </c>
      <c r="N14" s="400">
        <f t="shared" si="4"/>
        <v>1</v>
      </c>
      <c r="O14" s="400">
        <f t="shared" si="4"/>
        <v>1</v>
      </c>
      <c r="P14" s="400">
        <f t="shared" si="4"/>
        <v>1</v>
      </c>
      <c r="Q14" s="400">
        <f t="shared" si="4"/>
        <v>1</v>
      </c>
      <c r="R14" s="400">
        <f t="shared" si="4"/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4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2">
        <f>F29*G17</f>
        <v>10.199999999999999</v>
      </c>
      <c r="K17" s="42">
        <f>E17*10^-3*3600/V_houseSI</f>
        <v>0.11330627578261142</v>
      </c>
      <c r="L17" s="44">
        <f>E17*10^-3*3600/V_houseSI+10/100*A_houseSI*3600/1000/V_houseSI</f>
        <v>0.25730627578261145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4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2">
        <f>F24*G18</f>
        <v>37.200000000000003</v>
      </c>
      <c r="K18" s="42">
        <f>E18*10^-3*3600/V_houseSI</f>
        <v>0.22661255156522284</v>
      </c>
      <c r="L18" s="44">
        <f>E18*10^-3*3600/V_houseSI+10/100*A_houseSI*3600/1000/V_houseSI</f>
        <v>0.37061255156522288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5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2">
        <f>F42</f>
        <v>11.8</v>
      </c>
      <c r="K19" s="42">
        <f>E19*10^-3*3600/V_houseSI</f>
        <v>0.158628786095656</v>
      </c>
      <c r="L19" s="44">
        <f>E19*10^-3*3600/V_houseSI+10/100*A_houseSI*3600/1000/V_houseSI</f>
        <v>0.30262878609565602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4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3">
        <v>0</v>
      </c>
      <c r="K20" s="42">
        <f>E20*10^-3*3600/V_houseSI</f>
        <v>0.3399188273478343</v>
      </c>
      <c r="L20" s="44">
        <f>E20*10^-3*3600/V_houseSI+10/100*A_houseSI*3600/1000/V_houseSI</f>
        <v>0.48391882734783431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0.50772882298229516</v>
      </c>
      <c r="C67" s="71">
        <f>($B$67*A_houseSI*Weather!B25)/1.44</f>
        <v>43.351163456369754</v>
      </c>
      <c r="D67" s="71">
        <f>($B$67*A_houseSI*Weather!C25)/1.44</f>
        <v>44.408508906525114</v>
      </c>
      <c r="E67" s="71">
        <f>($B$67*A_houseSI*Weather!D25)/1.44</f>
        <v>45.465854356680474</v>
      </c>
      <c r="F67" s="71">
        <f>($B$67*A_houseSI*Weather!E25)/1.44</f>
        <v>48.637890707146553</v>
      </c>
      <c r="G67" s="71">
        <f>($B$67*A_houseSI*Weather!F25)/1.44</f>
        <v>50.752581607457273</v>
      </c>
      <c r="H67" s="71">
        <f>($B$67*A_houseSI*Weather!G25)/1.44</f>
        <v>63.440727009321598</v>
      </c>
      <c r="I67" s="71">
        <f>($B$67*A_houseSI*Weather!H25)/1.44</f>
        <v>52.867272507767993</v>
      </c>
      <c r="J67" s="71">
        <f>($B$67*A_houseSI*Weather!I25)/1.44</f>
        <v>57.096654308389446</v>
      </c>
      <c r="K67" s="71">
        <f>($B$67*A_houseSI*Weather!J25)/1.44</f>
        <v>58.153999758544799</v>
      </c>
      <c r="L67" s="71">
        <f>($B$67*A_houseSI*Weather!K25)/1.44</f>
        <v>63.440727009321598</v>
      </c>
      <c r="M67" s="71">
        <f>($B$67*A_houseSI*Weather!L25)/1.44</f>
        <v>59.211345208700159</v>
      </c>
      <c r="N67" s="71">
        <f>($B$67*A_houseSI*Weather!M25)/1.44</f>
        <v>64.498072459476958</v>
      </c>
      <c r="O67" s="71">
        <f>($B$67*A_houseSI*Weather!N25)/1.44</f>
        <v>66.612763359787678</v>
      </c>
      <c r="P67" s="71">
        <f>($B$67*A_houseSI*Weather!O25)/1.44</f>
        <v>74.01418151087519</v>
      </c>
      <c r="Q67" s="71">
        <f>($B$67*A_houseSI*Weather!P25)/1.44</f>
        <v>74.01418151087519</v>
      </c>
    </row>
    <row r="68" spans="1:19" ht="15" customHeight="1">
      <c r="A68" s="71">
        <v>7</v>
      </c>
      <c r="B68" s="71">
        <f>Leakage!AF12</f>
        <v>0.3554101760876065</v>
      </c>
      <c r="C68" s="71">
        <f>($B$68*A_houseSI*Weather!B25)/1.44</f>
        <v>30.345814419458819</v>
      </c>
      <c r="D68" s="71">
        <f>($B$68*A_houseSI*Weather!C25)/1.44</f>
        <v>31.085956234567568</v>
      </c>
      <c r="E68" s="71">
        <f>($B$68*A_houseSI*Weather!D25)/1.44</f>
        <v>31.826098049676325</v>
      </c>
      <c r="F68" s="71">
        <f>($B$68*A_houseSI*Weather!E25)/1.44</f>
        <v>34.046523495002582</v>
      </c>
      <c r="G68" s="71">
        <f>($B$68*A_houseSI*Weather!F25)/1.44</f>
        <v>35.526807125220081</v>
      </c>
      <c r="H68" s="71">
        <f>($B$68*A_houseSI*Weather!G25)/1.44</f>
        <v>44.4085089065251</v>
      </c>
      <c r="I68" s="71">
        <f>($B$68*A_houseSI*Weather!H25)/1.44</f>
        <v>37.007090755437581</v>
      </c>
      <c r="J68" s="71">
        <f>($B$68*A_houseSI*Weather!I25)/1.44</f>
        <v>39.967658015872594</v>
      </c>
      <c r="K68" s="71">
        <f>($B$68*A_houseSI*Weather!J25)/1.44</f>
        <v>40.707799830981344</v>
      </c>
      <c r="L68" s="71">
        <f>($B$68*A_houseSI*Weather!K25)/1.44</f>
        <v>44.4085089065251</v>
      </c>
      <c r="M68" s="71">
        <f>($B$68*A_houseSI*Weather!L25)/1.44</f>
        <v>41.447941646090101</v>
      </c>
      <c r="N68" s="71">
        <f>($B$68*A_houseSI*Weather!M25)/1.44</f>
        <v>45.148650721633857</v>
      </c>
      <c r="O68" s="71">
        <f>($B$68*A_houseSI*Weather!N25)/1.44</f>
        <v>46.628934351851356</v>
      </c>
      <c r="P68" s="71">
        <f>($B$68*A_houseSI*Weather!O25)/1.44</f>
        <v>51.809927057612619</v>
      </c>
      <c r="Q68" s="71">
        <f>($B$68*A_houseSI*Weather!P25)/1.44</f>
        <v>51.809927057612619</v>
      </c>
    </row>
    <row r="69" spans="1:19" ht="15" customHeight="1">
      <c r="A69" s="71">
        <v>5</v>
      </c>
      <c r="B69" s="71">
        <f>Leakage!AF13</f>
        <v>0.25386441149114758</v>
      </c>
      <c r="C69" s="71">
        <f>($B$69*A_houseSI*Weather!B25)/1.44</f>
        <v>21.675581728184877</v>
      </c>
      <c r="D69" s="71">
        <f>($B$69*A_houseSI*Weather!C25)/1.44</f>
        <v>22.204254453262557</v>
      </c>
      <c r="E69" s="71">
        <f>($B$69*A_houseSI*Weather!D25)/1.44</f>
        <v>22.732927178340237</v>
      </c>
      <c r="F69" s="71">
        <f>($B$69*A_houseSI*Weather!E25)/1.44</f>
        <v>24.318945353573277</v>
      </c>
      <c r="G69" s="71">
        <f>($B$69*A_houseSI*Weather!F25)/1.44</f>
        <v>25.376290803728637</v>
      </c>
      <c r="H69" s="71">
        <f>($B$69*A_houseSI*Weather!G25)/1.44</f>
        <v>31.720363504660799</v>
      </c>
      <c r="I69" s="71">
        <f>($B$69*A_houseSI*Weather!H25)/1.44</f>
        <v>26.433636253883996</v>
      </c>
      <c r="J69" s="71">
        <f>($B$69*A_houseSI*Weather!I25)/1.44</f>
        <v>28.548327154194723</v>
      </c>
      <c r="K69" s="71">
        <f>($B$69*A_houseSI*Weather!J25)/1.44</f>
        <v>29.0769998792724</v>
      </c>
      <c r="L69" s="71">
        <f>($B$69*A_houseSI*Weather!K25)/1.44</f>
        <v>31.720363504660799</v>
      </c>
      <c r="M69" s="71">
        <f>($B$69*A_houseSI*Weather!L25)/1.44</f>
        <v>29.60567260435008</v>
      </c>
      <c r="N69" s="71">
        <f>($B$69*A_houseSI*Weather!M25)/1.44</f>
        <v>32.249036229738479</v>
      </c>
      <c r="O69" s="71">
        <f>($B$69*A_houseSI*Weather!N25)/1.44</f>
        <v>33.306381679893839</v>
      </c>
      <c r="P69" s="71">
        <f>($B$69*A_houseSI*Weather!O25)/1.44</f>
        <v>37.007090755437595</v>
      </c>
      <c r="Q69" s="71">
        <f>($B$69*A_houseSI*Weather!P25)/1.44</f>
        <v>37.007090755437595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13.005349036910927</v>
      </c>
      <c r="D70" s="71">
        <f>($B$70*A_houseSI*Weather!C25)/1.44</f>
        <v>13.322552671957537</v>
      </c>
      <c r="E70" s="71">
        <f>($B$70*A_houseSI*Weather!D25)/1.44</f>
        <v>13.639756307004143</v>
      </c>
      <c r="F70" s="71">
        <f>($B$70*A_houseSI*Weather!E25)/1.44</f>
        <v>14.59136721214397</v>
      </c>
      <c r="G70" s="71">
        <f>($B$70*A_houseSI*Weather!F25)/1.44</f>
        <v>15.225774482237185</v>
      </c>
      <c r="H70" s="71">
        <f>($B$70*A_houseSI*Weather!G25)/1.44</f>
        <v>19.032218102796481</v>
      </c>
      <c r="I70" s="71">
        <f>($B$70*A_houseSI*Weather!H25)/1.44</f>
        <v>15.860181752330401</v>
      </c>
      <c r="J70" s="71">
        <f>($B$70*A_houseSI*Weather!I25)/1.44</f>
        <v>17.128996292516835</v>
      </c>
      <c r="K70" s="71">
        <f>($B$70*A_houseSI*Weather!J25)/1.44</f>
        <v>17.446199927563441</v>
      </c>
      <c r="L70" s="71">
        <f>($B$70*A_houseSI*Weather!K25)/1.44</f>
        <v>19.032218102796481</v>
      </c>
      <c r="M70" s="71">
        <f>($B$70*A_houseSI*Weather!L25)/1.44</f>
        <v>17.763403562610051</v>
      </c>
      <c r="N70" s="71">
        <f>($B$70*A_houseSI*Weather!M25)/1.44</f>
        <v>19.349421737843091</v>
      </c>
      <c r="O70" s="71">
        <f>($B$70*A_houseSI*Weather!N25)/1.44</f>
        <v>19.983829007936308</v>
      </c>
      <c r="P70" s="71">
        <f>($B$70*A_houseSI*Weather!O25)/1.44</f>
        <v>22.204254453262561</v>
      </c>
      <c r="Q70" s="71">
        <f>($B$70*A_houseSI*Weather!P25)/1.44</f>
        <v>22.204254453262561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6.5026745184554633</v>
      </c>
      <c r="D71" s="71">
        <f>($B$71*A_houseSI*Weather!C25)/1.44</f>
        <v>6.6612763359787683</v>
      </c>
      <c r="E71" s="71">
        <f>($B$71*A_houseSI*Weather!D25)/1.44</f>
        <v>6.8198781535020716</v>
      </c>
      <c r="F71" s="71">
        <f>($B$71*A_houseSI*Weather!E25)/1.44</f>
        <v>7.295683606071985</v>
      </c>
      <c r="G71" s="71">
        <f>($B$71*A_houseSI*Weather!F25)/1.44</f>
        <v>7.6128872411185924</v>
      </c>
      <c r="H71" s="71">
        <f>($B$71*A_houseSI*Weather!G25)/1.44</f>
        <v>9.5161090513982405</v>
      </c>
      <c r="I71" s="71">
        <f>($B$71*A_houseSI*Weather!H25)/1.44</f>
        <v>7.9300908761652007</v>
      </c>
      <c r="J71" s="71">
        <f>($B$71*A_houseSI*Weather!I25)/1.44</f>
        <v>8.5644981462584173</v>
      </c>
      <c r="K71" s="71">
        <f>($B$71*A_houseSI*Weather!J25)/1.44</f>
        <v>8.7230999637817206</v>
      </c>
      <c r="L71" s="71">
        <f>($B$71*A_houseSI*Weather!K25)/1.44</f>
        <v>9.5161090513982405</v>
      </c>
      <c r="M71" s="71">
        <f>($B$71*A_houseSI*Weather!L25)/1.44</f>
        <v>8.8817017813050256</v>
      </c>
      <c r="N71" s="71">
        <f>($B$71*A_houseSI*Weather!M25)/1.44</f>
        <v>9.6747108689215455</v>
      </c>
      <c r="O71" s="71">
        <f>($B$71*A_houseSI*Weather!N25)/1.44</f>
        <v>9.9919145039681538</v>
      </c>
      <c r="P71" s="71">
        <f>($B$71*A_houseSI*Weather!O25)/1.44</f>
        <v>11.10212722663128</v>
      </c>
      <c r="Q71" s="71">
        <f>($B$71*A_houseSI*Weather!P25)/1.44</f>
        <v>11.10212722663128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2.601069807382185</v>
      </c>
      <c r="D72" s="71">
        <f>($B$72*A_houseSI*Weather!C25)/1.44</f>
        <v>2.6645105343915065</v>
      </c>
      <c r="E72" s="71">
        <f>($B$72*A_houseSI*Weather!D25)/1.44</f>
        <v>2.7279512614008281</v>
      </c>
      <c r="F72" s="71">
        <f>($B$72*A_houseSI*Weather!E25)/1.44</f>
        <v>2.9182734424287933</v>
      </c>
      <c r="G72" s="71">
        <f>($B$72*A_houseSI*Weather!F25)/1.44</f>
        <v>3.045154896447436</v>
      </c>
      <c r="H72" s="71">
        <f>($B$72*A_houseSI*Weather!G25)/1.44</f>
        <v>3.8064436205592949</v>
      </c>
      <c r="I72" s="71">
        <f>($B$72*A_houseSI*Weather!H25)/1.44</f>
        <v>3.1720363504660796</v>
      </c>
      <c r="J72" s="71">
        <f>($B$72*A_houseSI*Weather!I25)/1.44</f>
        <v>3.4257992585033663</v>
      </c>
      <c r="K72" s="71">
        <f>($B$72*A_houseSI*Weather!J25)/1.44</f>
        <v>3.4892399855126879</v>
      </c>
      <c r="L72" s="71">
        <f>($B$72*A_houseSI*Weather!K25)/1.44</f>
        <v>3.8064436205592949</v>
      </c>
      <c r="M72" s="71">
        <f>($B$72*A_houseSI*Weather!L25)/1.44</f>
        <v>3.5526807125220095</v>
      </c>
      <c r="N72" s="71">
        <f>($B$72*A_houseSI*Weather!M25)/1.44</f>
        <v>3.8698843475686164</v>
      </c>
      <c r="O72" s="71">
        <f>($B$72*A_houseSI*Weather!N25)/1.44</f>
        <v>3.99676580158726</v>
      </c>
      <c r="P72" s="71">
        <f>($B$72*A_houseSI*Weather!O25)/1.44</f>
        <v>4.440850890652511</v>
      </c>
      <c r="Q72" s="71">
        <f>($B$72*A_houseSI*Weather!P25)/1.44</f>
        <v>4.440850890652511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0.50772882298229516</v>
      </c>
      <c r="C78" s="345">
        <f>IF(Age="existing",IF(Fans!$L$2-Fans!C67&lt;=0,0,Fans!$L$2-Fans!C67),IF(C67&lt;(2/3)*Fans!$L$2,Fans!$L$2-Fans!C67,(1/3)*Fans!$L$2))</f>
        <v>19.660669166666665</v>
      </c>
      <c r="D78" s="345">
        <f>IF(Age="existing",IF(Fans!$L$2-Fans!D67&lt;=0,0,Fans!$L$2-Fans!D67),IF(D67&lt;(2/3)*Fans!$L$2,Fans!$L$2-Fans!D67,(1/3)*Fans!$L$2))</f>
        <v>19.660669166666665</v>
      </c>
      <c r="E78" s="345">
        <f>IF(Age="existing",IF(Fans!$L$2-Fans!E67&lt;=0,0,Fans!$L$2-Fans!E67),IF(E67&lt;(2/3)*Fans!$L$2,Fans!$L$2-Fans!E67,(1/3)*Fans!$L$2))</f>
        <v>19.660669166666665</v>
      </c>
      <c r="F78" s="345">
        <f>IF(Age="existing",IF(Fans!$L$2-Fans!F67&lt;=0,0,Fans!$L$2-Fans!F67),IF(F67&lt;(2/3)*Fans!$L$2,Fans!$L$2-Fans!F67,(1/3)*Fans!$L$2))</f>
        <v>19.660669166666665</v>
      </c>
      <c r="G78" s="345">
        <f>IF(Age="existing",IF(Fans!$L$2-Fans!G67&lt;=0,0,Fans!$L$2-Fans!G67),IF(G67&lt;(2/3)*Fans!$L$2,Fans!$L$2-Fans!G67,(1/3)*Fans!$L$2))</f>
        <v>19.660669166666665</v>
      </c>
      <c r="H78" s="345">
        <f>IF(Age="existing",IF(Fans!$L$2-Fans!H67&lt;=0,0,Fans!$L$2-Fans!H67),IF(H67&lt;(2/3)*Fans!$L$2,Fans!$L$2-Fans!H67,(1/3)*Fans!$L$2))</f>
        <v>19.660669166666665</v>
      </c>
      <c r="I78" s="345">
        <f>IF(Age="existing",IF(Fans!$L$2-Fans!I67&lt;=0,0,Fans!$L$2-Fans!I67),IF(I67&lt;(2/3)*Fans!$L$2,Fans!$L$2-Fans!I67,(1/3)*Fans!$L$2))</f>
        <v>19.660669166666665</v>
      </c>
      <c r="J78" s="345">
        <f>IF(Age="existing",IF(Fans!$L$2-Fans!J67&lt;=0,0,Fans!$L$2-Fans!J67),IF(J67&lt;(2/3)*Fans!$L$2,Fans!$L$2-Fans!J67,(1/3)*Fans!$L$2))</f>
        <v>19.660669166666665</v>
      </c>
      <c r="K78" s="345">
        <f>IF(Age="existing",IF(Fans!$L$2-Fans!K67&lt;=0,0,Fans!$L$2-Fans!K67),IF(K67&lt;(2/3)*Fans!$L$2,Fans!$L$2-Fans!K67,(1/3)*Fans!$L$2))</f>
        <v>19.660669166666665</v>
      </c>
      <c r="L78" s="345">
        <f>IF(Age="existing",IF(Fans!$L$2-Fans!L67&lt;=0,0,Fans!$L$2-Fans!L67),IF(L67&lt;(2/3)*Fans!$L$2,Fans!$L$2-Fans!L67,(1/3)*Fans!$L$2))</f>
        <v>19.660669166666665</v>
      </c>
      <c r="M78" s="345">
        <f>IF(Age="existing",IF(Fans!$L$2-Fans!M67&lt;=0,0,Fans!$L$2-Fans!M67),IF(M67&lt;(2/3)*Fans!$L$2,Fans!$L$2-Fans!M67,(1/3)*Fans!$L$2))</f>
        <v>19.660669166666665</v>
      </c>
      <c r="N78" s="345">
        <f>IF(Age="existing",IF(Fans!$L$2-Fans!N67&lt;=0,0,Fans!$L$2-Fans!N67),IF(N67&lt;(2/3)*Fans!$L$2,Fans!$L$2-Fans!N67,(1/3)*Fans!$L$2))</f>
        <v>19.660669166666665</v>
      </c>
      <c r="O78" s="345">
        <f>IF(Age="existing",IF(Fans!$L$2-Fans!O67&lt;=0,0,Fans!$L$2-Fans!O67),IF(O67&lt;(2/3)*Fans!$L$2,Fans!$L$2-Fans!O67,(1/3)*Fans!$L$2))</f>
        <v>19.660669166666665</v>
      </c>
      <c r="P78" s="345">
        <f>IF(Age="existing",IF(Fans!$L$2-Fans!P67&lt;=0,0,Fans!$L$2-Fans!P67),IF(P67&lt;(2/3)*Fans!$L$2,Fans!$L$2-Fans!P67,(1/3)*Fans!$L$2))</f>
        <v>19.660669166666665</v>
      </c>
      <c r="Q78" s="345">
        <f>IF(Age="existing",IF(Fans!$L$2-Fans!Q67&lt;=0,0,Fans!$L$2-Fans!Q67),IF(Q67&lt;(2/3)*Fans!$L$2,Fans!$L$2-Fans!Q67,(1/3)*Fans!$L$2))</f>
        <v>19.660669166666665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</v>
      </c>
      <c r="C79" s="345">
        <f>IF(Age="existing",IF(Fans!$L$2-Fans!C68&lt;=0,0,Fans!$L$2-Fans!C68),IF(C68&lt;(2/3)*Fans!$L$2,Fans!$L$2-Fans!C68,(1/3)*Fans!$L$2))</f>
        <v>28.636193080541176</v>
      </c>
      <c r="D79" s="345">
        <f>IF(Age="existing",IF(Fans!$L$2-Fans!D68&lt;=0,0,Fans!$L$2-Fans!D68),IF(D68&lt;(2/3)*Fans!$L$2,Fans!$L$2-Fans!D68,(1/3)*Fans!$L$2))</f>
        <v>27.896051265432426</v>
      </c>
      <c r="E79" s="345">
        <f>IF(Age="existing",IF(Fans!$L$2-Fans!E68&lt;=0,0,Fans!$L$2-Fans!E68),IF(E68&lt;(2/3)*Fans!$L$2,Fans!$L$2-Fans!E68,(1/3)*Fans!$L$2))</f>
        <v>27.155909450323669</v>
      </c>
      <c r="F79" s="345">
        <f>IF(Age="existing",IF(Fans!$L$2-Fans!F68&lt;=0,0,Fans!$L$2-Fans!F68),IF(F68&lt;(2/3)*Fans!$L$2,Fans!$L$2-Fans!F68,(1/3)*Fans!$L$2))</f>
        <v>24.935484004997413</v>
      </c>
      <c r="G79" s="345">
        <f>IF(Age="existing",IF(Fans!$L$2-Fans!G68&lt;=0,0,Fans!$L$2-Fans!G68),IF(G68&lt;(2/3)*Fans!$L$2,Fans!$L$2-Fans!G68,(1/3)*Fans!$L$2))</f>
        <v>23.455200374779913</v>
      </c>
      <c r="H79" s="345">
        <f>IF(Age="existing",IF(Fans!$L$2-Fans!H68&lt;=0,0,Fans!$L$2-Fans!H68),IF(H68&lt;(2/3)*Fans!$L$2,Fans!$L$2-Fans!H68,(1/3)*Fans!$L$2))</f>
        <v>19.660669166666665</v>
      </c>
      <c r="I79" s="345">
        <f>IF(Age="existing",IF(Fans!$L$2-Fans!I68&lt;=0,0,Fans!$L$2-Fans!I68),IF(I68&lt;(2/3)*Fans!$L$2,Fans!$L$2-Fans!I68,(1/3)*Fans!$L$2))</f>
        <v>21.974916744562414</v>
      </c>
      <c r="J79" s="345">
        <f>IF(Age="existing",IF(Fans!$L$2-Fans!J68&lt;=0,0,Fans!$L$2-Fans!J68),IF(J68&lt;(2/3)*Fans!$L$2,Fans!$L$2-Fans!J68,(1/3)*Fans!$L$2))</f>
        <v>19.660669166666665</v>
      </c>
      <c r="K79" s="345">
        <f>IF(Age="existing",IF(Fans!$L$2-Fans!K68&lt;=0,0,Fans!$L$2-Fans!K68),IF(K68&lt;(2/3)*Fans!$L$2,Fans!$L$2-Fans!K68,(1/3)*Fans!$L$2))</f>
        <v>19.660669166666665</v>
      </c>
      <c r="L79" s="345">
        <f>IF(Age="existing",IF(Fans!$L$2-Fans!L68&lt;=0,0,Fans!$L$2-Fans!L68),IF(L68&lt;(2/3)*Fans!$L$2,Fans!$L$2-Fans!L68,(1/3)*Fans!$L$2))</f>
        <v>19.660669166666665</v>
      </c>
      <c r="M79" s="345">
        <f>IF(Age="existing",IF(Fans!$L$2-Fans!M68&lt;=0,0,Fans!$L$2-Fans!M68),IF(M68&lt;(2/3)*Fans!$L$2,Fans!$L$2-Fans!M68,(1/3)*Fans!$L$2))</f>
        <v>19.660669166666665</v>
      </c>
      <c r="N79" s="345">
        <f>IF(Age="existing",IF(Fans!$L$2-Fans!N68&lt;=0,0,Fans!$L$2-Fans!N68),IF(N68&lt;(2/3)*Fans!$L$2,Fans!$L$2-Fans!N68,(1/3)*Fans!$L$2))</f>
        <v>19.660669166666665</v>
      </c>
      <c r="O79" s="345">
        <f>IF(Age="existing",IF(Fans!$L$2-Fans!O68&lt;=0,0,Fans!$L$2-Fans!O68),IF(O68&lt;(2/3)*Fans!$L$2,Fans!$L$2-Fans!O68,(1/3)*Fans!$L$2))</f>
        <v>19.660669166666665</v>
      </c>
      <c r="P79" s="345">
        <f>IF(Age="existing",IF(Fans!$L$2-Fans!P68&lt;=0,0,Fans!$L$2-Fans!P68),IF(P68&lt;(2/3)*Fans!$L$2,Fans!$L$2-Fans!P68,(1/3)*Fans!$L$2))</f>
        <v>19.660669166666665</v>
      </c>
      <c r="Q79" s="345">
        <f>IF(Age="existing",IF(Fans!$L$2-Fans!Q68&lt;=0,0,Fans!$L$2-Fans!Q68),IF(Q68&lt;(2/3)*Fans!$L$2,Fans!$L$2-Fans!Q68,(1/3)*Fans!$L$2))</f>
        <v>19.660669166666665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0.25386441149114758</v>
      </c>
      <c r="C80" s="345">
        <f>IF(Age="existing",IF(Fans!$L$2-Fans!C69&lt;=0,0,Fans!$L$2-Fans!C69),IF(C69&lt;(2/3)*Fans!$L$2,Fans!$L$2-Fans!C69,(1/3)*Fans!$L$2))</f>
        <v>37.306425771815114</v>
      </c>
      <c r="D80" s="345">
        <f>IF(Age="existing",IF(Fans!$L$2-Fans!D69&lt;=0,0,Fans!$L$2-Fans!D69),IF(D69&lt;(2/3)*Fans!$L$2,Fans!$L$2-Fans!D69,(1/3)*Fans!$L$2))</f>
        <v>36.777753046737438</v>
      </c>
      <c r="E80" s="345">
        <f>IF(Age="existing",IF(Fans!$L$2-Fans!E69&lt;=0,0,Fans!$L$2-Fans!E69),IF(E69&lt;(2/3)*Fans!$L$2,Fans!$L$2-Fans!E69,(1/3)*Fans!$L$2))</f>
        <v>36.249080321659761</v>
      </c>
      <c r="F80" s="345">
        <f>IF(Age="existing",IF(Fans!$L$2-Fans!F69&lt;=0,0,Fans!$L$2-Fans!F69),IF(F69&lt;(2/3)*Fans!$L$2,Fans!$L$2-Fans!F69,(1/3)*Fans!$L$2))</f>
        <v>34.663062146426718</v>
      </c>
      <c r="G80" s="345">
        <f>IF(Age="existing",IF(Fans!$L$2-Fans!G69&lt;=0,0,Fans!$L$2-Fans!G69),IF(G69&lt;(2/3)*Fans!$L$2,Fans!$L$2-Fans!G69,(1/3)*Fans!$L$2))</f>
        <v>33.605716696271358</v>
      </c>
      <c r="H80" s="345">
        <f>IF(Age="existing",IF(Fans!$L$2-Fans!H69&lt;=0,0,Fans!$L$2-Fans!H69),IF(H69&lt;(2/3)*Fans!$L$2,Fans!$L$2-Fans!H69,(1/3)*Fans!$L$2))</f>
        <v>27.261643995339195</v>
      </c>
      <c r="I80" s="345">
        <f>IF(Age="existing",IF(Fans!$L$2-Fans!I69&lt;=0,0,Fans!$L$2-Fans!I69),IF(I69&lt;(2/3)*Fans!$L$2,Fans!$L$2-Fans!I69,(1/3)*Fans!$L$2))</f>
        <v>32.548371246115998</v>
      </c>
      <c r="J80" s="345">
        <f>IF(Age="existing",IF(Fans!$L$2-Fans!J69&lt;=0,0,Fans!$L$2-Fans!J69),IF(J69&lt;(2/3)*Fans!$L$2,Fans!$L$2-Fans!J69,(1/3)*Fans!$L$2))</f>
        <v>30.433680345805271</v>
      </c>
      <c r="K80" s="345">
        <f>IF(Age="existing",IF(Fans!$L$2-Fans!K69&lt;=0,0,Fans!$L$2-Fans!K69),IF(K69&lt;(2/3)*Fans!$L$2,Fans!$L$2-Fans!K69,(1/3)*Fans!$L$2))</f>
        <v>29.905007620727595</v>
      </c>
      <c r="L80" s="345">
        <f>IF(Age="existing",IF(Fans!$L$2-Fans!L69&lt;=0,0,Fans!$L$2-Fans!L69),IF(L69&lt;(2/3)*Fans!$L$2,Fans!$L$2-Fans!L69,(1/3)*Fans!$L$2))</f>
        <v>27.261643995339195</v>
      </c>
      <c r="M80" s="345">
        <f>IF(Age="existing",IF(Fans!$L$2-Fans!M69&lt;=0,0,Fans!$L$2-Fans!M69),IF(M69&lt;(2/3)*Fans!$L$2,Fans!$L$2-Fans!M69,(1/3)*Fans!$L$2))</f>
        <v>29.376334895649915</v>
      </c>
      <c r="N80" s="345">
        <f>IF(Age="existing",IF(Fans!$L$2-Fans!N69&lt;=0,0,Fans!$L$2-Fans!N69),IF(N69&lt;(2/3)*Fans!$L$2,Fans!$L$2-Fans!N69,(1/3)*Fans!$L$2))</f>
        <v>26.732971270261515</v>
      </c>
      <c r="O80" s="345">
        <f>IF(Age="existing",IF(Fans!$L$2-Fans!O69&lt;=0,0,Fans!$L$2-Fans!O69),IF(O69&lt;(2/3)*Fans!$L$2,Fans!$L$2-Fans!O69,(1/3)*Fans!$L$2))</f>
        <v>25.675625820106156</v>
      </c>
      <c r="P80" s="345">
        <f>IF(Age="existing",IF(Fans!$L$2-Fans!P69&lt;=0,0,Fans!$L$2-Fans!P69),IF(P69&lt;(2/3)*Fans!$L$2,Fans!$L$2-Fans!P69,(1/3)*Fans!$L$2))</f>
        <v>21.9749167445624</v>
      </c>
      <c r="Q80" s="345">
        <f>IF(Age="existing",IF(Fans!$L$2-Fans!Q69&lt;=0,0,Fans!$L$2-Fans!Q69),IF(Q69&lt;(2/3)*Fans!$L$2,Fans!$L$2-Fans!Q69,(1/3)*Fans!$L$2))</f>
        <v>21.9749167445624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45.976658463089066</v>
      </c>
      <c r="D81" s="345">
        <f>IF(Age="existing",IF(Fans!$L$2-Fans!D70&lt;=0,0,Fans!$L$2-Fans!D70),IF(D70&lt;(2/3)*Fans!$L$2,Fans!$L$2-Fans!D70,(1/3)*Fans!$L$2))</f>
        <v>45.659454828042456</v>
      </c>
      <c r="E81" s="345">
        <f>IF(Age="existing",IF(Fans!$L$2-Fans!E70&lt;=0,0,Fans!$L$2-Fans!E70),IF(E70&lt;(2/3)*Fans!$L$2,Fans!$L$2-Fans!E70,(1/3)*Fans!$L$2))</f>
        <v>45.342251192995853</v>
      </c>
      <c r="F81" s="345">
        <f>IF(Age="existing",IF(Fans!$L$2-Fans!F70&lt;=0,0,Fans!$L$2-Fans!F70),IF(F70&lt;(2/3)*Fans!$L$2,Fans!$L$2-Fans!F70,(1/3)*Fans!$L$2))</f>
        <v>44.390640287856023</v>
      </c>
      <c r="G81" s="345">
        <f>IF(Age="existing",IF(Fans!$L$2-Fans!G70&lt;=0,0,Fans!$L$2-Fans!G70),IF(G70&lt;(2/3)*Fans!$L$2,Fans!$L$2-Fans!G70,(1/3)*Fans!$L$2))</f>
        <v>43.75623301776281</v>
      </c>
      <c r="H81" s="345">
        <f>IF(Age="existing",IF(Fans!$L$2-Fans!H70&lt;=0,0,Fans!$L$2-Fans!H70),IF(H70&lt;(2/3)*Fans!$L$2,Fans!$L$2-Fans!H70,(1/3)*Fans!$L$2))</f>
        <v>39.949789397203517</v>
      </c>
      <c r="I81" s="345">
        <f>IF(Age="existing",IF(Fans!$L$2-Fans!I70&lt;=0,0,Fans!$L$2-Fans!I70),IF(I70&lt;(2/3)*Fans!$L$2,Fans!$L$2-Fans!I70,(1/3)*Fans!$L$2))</f>
        <v>43.12182574766959</v>
      </c>
      <c r="J81" s="345">
        <f>IF(Age="existing",IF(Fans!$L$2-Fans!J70&lt;=0,0,Fans!$L$2-Fans!J70),IF(J70&lt;(2/3)*Fans!$L$2,Fans!$L$2-Fans!J70,(1/3)*Fans!$L$2))</f>
        <v>41.853011207483164</v>
      </c>
      <c r="K81" s="345">
        <f>IF(Age="existing",IF(Fans!$L$2-Fans!K70&lt;=0,0,Fans!$L$2-Fans!K70),IF(K70&lt;(2/3)*Fans!$L$2,Fans!$L$2-Fans!K70,(1/3)*Fans!$L$2))</f>
        <v>41.535807572436553</v>
      </c>
      <c r="L81" s="345">
        <f>IF(Age="existing",IF(Fans!$L$2-Fans!L70&lt;=0,0,Fans!$L$2-Fans!L70),IF(L70&lt;(2/3)*Fans!$L$2,Fans!$L$2-Fans!L70,(1/3)*Fans!$L$2))</f>
        <v>39.949789397203517</v>
      </c>
      <c r="M81" s="345">
        <f>IF(Age="existing",IF(Fans!$L$2-Fans!M70&lt;=0,0,Fans!$L$2-Fans!M70),IF(M70&lt;(2/3)*Fans!$L$2,Fans!$L$2-Fans!M70,(1/3)*Fans!$L$2))</f>
        <v>41.218603937389943</v>
      </c>
      <c r="N81" s="345">
        <f>IF(Age="existing",IF(Fans!$L$2-Fans!N70&lt;=0,0,Fans!$L$2-Fans!N70),IF(N70&lt;(2/3)*Fans!$L$2,Fans!$L$2-Fans!N70,(1/3)*Fans!$L$2))</f>
        <v>39.632585762156907</v>
      </c>
      <c r="O81" s="345">
        <f>IF(Age="existing",IF(Fans!$L$2-Fans!O70&lt;=0,0,Fans!$L$2-Fans!O70),IF(O70&lt;(2/3)*Fans!$L$2,Fans!$L$2-Fans!O70,(1/3)*Fans!$L$2))</f>
        <v>38.998178492063687</v>
      </c>
      <c r="P81" s="345">
        <f>IF(Age="existing",IF(Fans!$L$2-Fans!P70&lt;=0,0,Fans!$L$2-Fans!P70),IF(P70&lt;(2/3)*Fans!$L$2,Fans!$L$2-Fans!P70,(1/3)*Fans!$L$2))</f>
        <v>36.777753046737431</v>
      </c>
      <c r="Q81" s="345">
        <f>IF(Age="existing",IF(Fans!$L$2-Fans!Q70&lt;=0,0,Fans!$L$2-Fans!Q70),IF(Q70&lt;(2/3)*Fans!$L$2,Fans!$L$2-Fans!Q70,(1/3)*Fans!$L$2))</f>
        <v>36.777753046737431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52.47933298154453</v>
      </c>
      <c r="D82" s="345">
        <f>IF(Age="existing",IF(Fans!$L$2-Fans!D71&lt;=0,0,Fans!$L$2-Fans!D71),IF(D71&lt;(2/3)*Fans!$L$2,Fans!$L$2-Fans!D71,(1/3)*Fans!$L$2))</f>
        <v>52.320731164021225</v>
      </c>
      <c r="E82" s="345">
        <f>IF(Age="existing",IF(Fans!$L$2-Fans!E71&lt;=0,0,Fans!$L$2-Fans!E71),IF(E71&lt;(2/3)*Fans!$L$2,Fans!$L$2-Fans!E71,(1/3)*Fans!$L$2))</f>
        <v>52.16212934649792</v>
      </c>
      <c r="F82" s="345">
        <f>IF(Age="existing",IF(Fans!$L$2-Fans!F71&lt;=0,0,Fans!$L$2-Fans!F71),IF(F71&lt;(2/3)*Fans!$L$2,Fans!$L$2-Fans!F71,(1/3)*Fans!$L$2))</f>
        <v>51.686323893928012</v>
      </c>
      <c r="G82" s="345">
        <f>IF(Age="existing",IF(Fans!$L$2-Fans!G71&lt;=0,0,Fans!$L$2-Fans!G71),IF(G71&lt;(2/3)*Fans!$L$2,Fans!$L$2-Fans!G71,(1/3)*Fans!$L$2))</f>
        <v>51.369120258881402</v>
      </c>
      <c r="H82" s="345">
        <f>IF(Age="existing",IF(Fans!$L$2-Fans!H71&lt;=0,0,Fans!$L$2-Fans!H71),IF(H71&lt;(2/3)*Fans!$L$2,Fans!$L$2-Fans!H71,(1/3)*Fans!$L$2))</f>
        <v>49.465898448601756</v>
      </c>
      <c r="I82" s="345">
        <f>IF(Age="existing",IF(Fans!$L$2-Fans!I71&lt;=0,0,Fans!$L$2-Fans!I71),IF(I71&lt;(2/3)*Fans!$L$2,Fans!$L$2-Fans!I71,(1/3)*Fans!$L$2))</f>
        <v>51.051916623834792</v>
      </c>
      <c r="J82" s="345">
        <f>IF(Age="existing",IF(Fans!$L$2-Fans!J71&lt;=0,0,Fans!$L$2-Fans!J71),IF(J71&lt;(2/3)*Fans!$L$2,Fans!$L$2-Fans!J71,(1/3)*Fans!$L$2))</f>
        <v>50.417509353741579</v>
      </c>
      <c r="K82" s="345">
        <f>IF(Age="existing",IF(Fans!$L$2-Fans!K71&lt;=0,0,Fans!$L$2-Fans!K71),IF(K71&lt;(2/3)*Fans!$L$2,Fans!$L$2-Fans!K71,(1/3)*Fans!$L$2))</f>
        <v>50.258907536218274</v>
      </c>
      <c r="L82" s="345">
        <f>IF(Age="existing",IF(Fans!$L$2-Fans!L71&lt;=0,0,Fans!$L$2-Fans!L71),IF(L71&lt;(2/3)*Fans!$L$2,Fans!$L$2-Fans!L71,(1/3)*Fans!$L$2))</f>
        <v>49.465898448601756</v>
      </c>
      <c r="M82" s="345">
        <f>IF(Age="existing",IF(Fans!$L$2-Fans!M71&lt;=0,0,Fans!$L$2-Fans!M71),IF(M71&lt;(2/3)*Fans!$L$2,Fans!$L$2-Fans!M71,(1/3)*Fans!$L$2))</f>
        <v>50.100305718694969</v>
      </c>
      <c r="N82" s="345">
        <f>IF(Age="existing",IF(Fans!$L$2-Fans!N71&lt;=0,0,Fans!$L$2-Fans!N71),IF(N71&lt;(2/3)*Fans!$L$2,Fans!$L$2-Fans!N71,(1/3)*Fans!$L$2))</f>
        <v>49.307296631078451</v>
      </c>
      <c r="O82" s="345">
        <f>IF(Age="existing",IF(Fans!$L$2-Fans!O71&lt;=0,0,Fans!$L$2-Fans!O71),IF(O71&lt;(2/3)*Fans!$L$2,Fans!$L$2-Fans!O71,(1/3)*Fans!$L$2))</f>
        <v>48.990092996031841</v>
      </c>
      <c r="P82" s="345">
        <f>IF(Age="existing",IF(Fans!$L$2-Fans!P71&lt;=0,0,Fans!$L$2-Fans!P71),IF(P71&lt;(2/3)*Fans!$L$2,Fans!$L$2-Fans!P71,(1/3)*Fans!$L$2))</f>
        <v>47.879880273368713</v>
      </c>
      <c r="Q82" s="345">
        <f>IF(Age="existing",IF(Fans!$L$2-Fans!Q71&lt;=0,0,Fans!$L$2-Fans!Q71),IF(Q71&lt;(2/3)*Fans!$L$2,Fans!$L$2-Fans!Q71,(1/3)*Fans!$L$2))</f>
        <v>47.879880273368713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56.380937692617806</v>
      </c>
      <c r="D83" s="345">
        <f>IF(Age="existing",IF(Fans!$L$2-Fans!D72&lt;=0,0,Fans!$L$2-Fans!D72),IF(D72&lt;(2/3)*Fans!$L$2,Fans!$L$2-Fans!D72,(1/3)*Fans!$L$2))</f>
        <v>56.317496965608491</v>
      </c>
      <c r="E83" s="345">
        <f>IF(Age="existing",IF(Fans!$L$2-Fans!E72&lt;=0,0,Fans!$L$2-Fans!E72),IF(E72&lt;(2/3)*Fans!$L$2,Fans!$L$2-Fans!E72,(1/3)*Fans!$L$2))</f>
        <v>56.254056238599169</v>
      </c>
      <c r="F83" s="345">
        <f>IF(Age="existing",IF(Fans!$L$2-Fans!F72&lt;=0,0,Fans!$L$2-Fans!F72),IF(F72&lt;(2/3)*Fans!$L$2,Fans!$L$2-Fans!F72,(1/3)*Fans!$L$2))</f>
        <v>56.063734057571203</v>
      </c>
      <c r="G83" s="345">
        <f>IF(Age="existing",IF(Fans!$L$2-Fans!G72&lt;=0,0,Fans!$L$2-Fans!G72),IF(G72&lt;(2/3)*Fans!$L$2,Fans!$L$2-Fans!G72,(1/3)*Fans!$L$2))</f>
        <v>55.936852603552559</v>
      </c>
      <c r="H83" s="345">
        <f>IF(Age="existing",IF(Fans!$L$2-Fans!H72&lt;=0,0,Fans!$L$2-Fans!H72),IF(H72&lt;(2/3)*Fans!$L$2,Fans!$L$2-Fans!H72,(1/3)*Fans!$L$2))</f>
        <v>55.175563879440702</v>
      </c>
      <c r="I83" s="345">
        <f>IF(Age="existing",IF(Fans!$L$2-Fans!I72&lt;=0,0,Fans!$L$2-Fans!I72),IF(I72&lt;(2/3)*Fans!$L$2,Fans!$L$2-Fans!I72,(1/3)*Fans!$L$2))</f>
        <v>55.809971149533915</v>
      </c>
      <c r="J83" s="345">
        <f>IF(Age="existing",IF(Fans!$L$2-Fans!J72&lt;=0,0,Fans!$L$2-Fans!J72),IF(J72&lt;(2/3)*Fans!$L$2,Fans!$L$2-Fans!J72,(1/3)*Fans!$L$2))</f>
        <v>55.556208241496627</v>
      </c>
      <c r="K83" s="345">
        <f>IF(Age="existing",IF(Fans!$L$2-Fans!K72&lt;=0,0,Fans!$L$2-Fans!K72),IF(K72&lt;(2/3)*Fans!$L$2,Fans!$L$2-Fans!K72,(1/3)*Fans!$L$2))</f>
        <v>55.492767514487305</v>
      </c>
      <c r="L83" s="345">
        <f>IF(Age="existing",IF(Fans!$L$2-Fans!L72&lt;=0,0,Fans!$L$2-Fans!L72),IF(L72&lt;(2/3)*Fans!$L$2,Fans!$L$2-Fans!L72,(1/3)*Fans!$L$2))</f>
        <v>55.175563879440702</v>
      </c>
      <c r="M83" s="345">
        <f>IF(Age="existing",IF(Fans!$L$2-Fans!M72&lt;=0,0,Fans!$L$2-Fans!M72),IF(M72&lt;(2/3)*Fans!$L$2,Fans!$L$2-Fans!M72,(1/3)*Fans!$L$2))</f>
        <v>55.429326787477983</v>
      </c>
      <c r="N83" s="345">
        <f>IF(Age="existing",IF(Fans!$L$2-Fans!N72&lt;=0,0,Fans!$L$2-Fans!N72),IF(N72&lt;(2/3)*Fans!$L$2,Fans!$L$2-Fans!N72,(1/3)*Fans!$L$2))</f>
        <v>55.11212315243138</v>
      </c>
      <c r="O83" s="345">
        <f>IF(Age="existing",IF(Fans!$L$2-Fans!O72&lt;=0,0,Fans!$L$2-Fans!O72),IF(O72&lt;(2/3)*Fans!$L$2,Fans!$L$2-Fans!O72,(1/3)*Fans!$L$2))</f>
        <v>54.985241698412736</v>
      </c>
      <c r="P83" s="345">
        <f>IF(Age="existing",IF(Fans!$L$2-Fans!P72&lt;=0,0,Fans!$L$2-Fans!P72),IF(P72&lt;(2/3)*Fans!$L$2,Fans!$L$2-Fans!P72,(1/3)*Fans!$L$2))</f>
        <v>54.541156609347482</v>
      </c>
      <c r="Q83" s="345">
        <f>IF(Age="existing",IF(Fans!$L$2-Fans!Q72&lt;=0,0,Fans!$L$2-Fans!Q72),IF(Q72&lt;(2/3)*Fans!$L$2,Fans!$L$2-Fans!Q72,(1/3)*Fans!$L$2))</f>
        <v>54.541156609347482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58.982007499999995</v>
      </c>
      <c r="D84" s="346">
        <f t="shared" ref="D84:Q84" si="15">$L$2</f>
        <v>58.982007499999995</v>
      </c>
      <c r="E84" s="346">
        <f t="shared" si="15"/>
        <v>58.982007499999995</v>
      </c>
      <c r="F84" s="346">
        <f t="shared" si="15"/>
        <v>58.982007499999995</v>
      </c>
      <c r="G84" s="346">
        <f t="shared" si="15"/>
        <v>58.982007499999995</v>
      </c>
      <c r="H84" s="346">
        <f t="shared" si="15"/>
        <v>58.982007499999995</v>
      </c>
      <c r="I84" s="346">
        <f t="shared" si="15"/>
        <v>58.982007499999995</v>
      </c>
      <c r="J84" s="346">
        <f t="shared" si="15"/>
        <v>58.982007499999995</v>
      </c>
      <c r="K84" s="346">
        <f t="shared" si="15"/>
        <v>58.982007499999995</v>
      </c>
      <c r="L84" s="346">
        <f t="shared" si="15"/>
        <v>58.982007499999995</v>
      </c>
      <c r="M84" s="346">
        <f t="shared" si="15"/>
        <v>58.982007499999995</v>
      </c>
      <c r="N84" s="346">
        <f t="shared" si="15"/>
        <v>58.982007499999995</v>
      </c>
      <c r="O84" s="346">
        <f t="shared" si="15"/>
        <v>58.982007499999995</v>
      </c>
      <c r="P84" s="346">
        <f t="shared" si="15"/>
        <v>58.982007499999995</v>
      </c>
      <c r="Q84" s="346">
        <f t="shared" si="15"/>
        <v>58.982007499999995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0.50772882298229516</v>
      </c>
      <c r="C89" s="219">
        <f>1.1*C78</f>
        <v>21.626736083333334</v>
      </c>
      <c r="D89" s="219">
        <f t="shared" ref="D89:Q89" si="16">1.1*D78</f>
        <v>21.626736083333334</v>
      </c>
      <c r="E89" s="219">
        <f t="shared" si="16"/>
        <v>21.626736083333334</v>
      </c>
      <c r="F89" s="219">
        <f t="shared" si="16"/>
        <v>21.626736083333334</v>
      </c>
      <c r="G89" s="219">
        <f t="shared" si="16"/>
        <v>21.626736083333334</v>
      </c>
      <c r="H89" s="219">
        <f t="shared" si="16"/>
        <v>21.626736083333334</v>
      </c>
      <c r="I89" s="219">
        <f t="shared" si="16"/>
        <v>21.626736083333334</v>
      </c>
      <c r="J89" s="219">
        <f t="shared" si="16"/>
        <v>21.626736083333334</v>
      </c>
      <c r="K89" s="219">
        <f t="shared" si="16"/>
        <v>21.626736083333334</v>
      </c>
      <c r="L89" s="219">
        <f t="shared" si="16"/>
        <v>21.626736083333334</v>
      </c>
      <c r="M89" s="219">
        <f t="shared" si="16"/>
        <v>21.626736083333334</v>
      </c>
      <c r="N89" s="219">
        <f t="shared" si="16"/>
        <v>21.626736083333334</v>
      </c>
      <c r="O89" s="219">
        <f t="shared" si="16"/>
        <v>21.626736083333334</v>
      </c>
      <c r="P89" s="219">
        <f t="shared" si="16"/>
        <v>21.626736083333334</v>
      </c>
      <c r="Q89" s="219">
        <f t="shared" si="16"/>
        <v>21.626736083333334</v>
      </c>
    </row>
    <row r="90" spans="1:19" ht="15" customHeight="1">
      <c r="A90" s="71">
        <v>7</v>
      </c>
      <c r="B90" s="219">
        <f>Leakage!AF12</f>
        <v>0.3554101760876065</v>
      </c>
      <c r="C90" s="219">
        <f t="shared" ref="C90:Q90" si="17">1.1*C79</f>
        <v>31.499812388595295</v>
      </c>
      <c r="D90" s="219">
        <f t="shared" si="17"/>
        <v>30.68565639197567</v>
      </c>
      <c r="E90" s="219">
        <f t="shared" si="17"/>
        <v>29.871500395356037</v>
      </c>
      <c r="F90" s="219">
        <f t="shared" si="17"/>
        <v>27.429032405497157</v>
      </c>
      <c r="G90" s="219">
        <f t="shared" si="17"/>
        <v>25.800720412257906</v>
      </c>
      <c r="H90" s="219">
        <f t="shared" si="17"/>
        <v>21.626736083333334</v>
      </c>
      <c r="I90" s="219">
        <f t="shared" si="17"/>
        <v>24.172408419018659</v>
      </c>
      <c r="J90" s="219">
        <f t="shared" si="17"/>
        <v>21.626736083333334</v>
      </c>
      <c r="K90" s="219">
        <f t="shared" si="17"/>
        <v>21.626736083333334</v>
      </c>
      <c r="L90" s="219">
        <f t="shared" si="17"/>
        <v>21.626736083333334</v>
      </c>
      <c r="M90" s="219">
        <f t="shared" si="17"/>
        <v>21.626736083333334</v>
      </c>
      <c r="N90" s="219">
        <f t="shared" si="17"/>
        <v>21.626736083333334</v>
      </c>
      <c r="O90" s="219">
        <f t="shared" si="17"/>
        <v>21.626736083333334</v>
      </c>
      <c r="P90" s="219">
        <f t="shared" si="17"/>
        <v>21.626736083333334</v>
      </c>
      <c r="Q90" s="219">
        <f t="shared" si="17"/>
        <v>21.626736083333334</v>
      </c>
    </row>
    <row r="91" spans="1:19" ht="15" customHeight="1">
      <c r="A91" s="71">
        <v>5</v>
      </c>
      <c r="B91" s="219">
        <f>Leakage!AF13</f>
        <v>0.25386441149114758</v>
      </c>
      <c r="C91" s="219">
        <f t="shared" ref="C91:Q91" si="18">1.1*C80</f>
        <v>41.037068348996627</v>
      </c>
      <c r="D91" s="219">
        <f t="shared" si="18"/>
        <v>40.455528351411182</v>
      </c>
      <c r="E91" s="219">
        <f t="shared" si="18"/>
        <v>39.873988353825737</v>
      </c>
      <c r="F91" s="219">
        <f t="shared" si="18"/>
        <v>38.129368361069396</v>
      </c>
      <c r="G91" s="219">
        <f t="shared" si="18"/>
        <v>36.9662883658985</v>
      </c>
      <c r="H91" s="219">
        <f t="shared" si="18"/>
        <v>29.987808394873117</v>
      </c>
      <c r="I91" s="219">
        <f t="shared" si="18"/>
        <v>35.803208370727603</v>
      </c>
      <c r="J91" s="219">
        <f t="shared" si="18"/>
        <v>33.477048380385803</v>
      </c>
      <c r="K91" s="219">
        <f t="shared" si="18"/>
        <v>32.895508382800358</v>
      </c>
      <c r="L91" s="219">
        <f t="shared" si="18"/>
        <v>29.987808394873117</v>
      </c>
      <c r="M91" s="219">
        <f t="shared" si="18"/>
        <v>32.313968385214906</v>
      </c>
      <c r="N91" s="219">
        <f t="shared" si="18"/>
        <v>29.406268397287668</v>
      </c>
      <c r="O91" s="219">
        <f t="shared" si="18"/>
        <v>28.243188402116772</v>
      </c>
      <c r="P91" s="219">
        <f t="shared" si="18"/>
        <v>24.172408419018641</v>
      </c>
      <c r="Q91" s="219">
        <f t="shared" si="18"/>
        <v>24.172408419018641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50.57432430939798</v>
      </c>
      <c r="D92" s="219">
        <f t="shared" si="19"/>
        <v>50.225400310846709</v>
      </c>
      <c r="E92" s="219">
        <f t="shared" si="19"/>
        <v>49.876476312295445</v>
      </c>
      <c r="F92" s="219">
        <f t="shared" si="19"/>
        <v>48.829704316641632</v>
      </c>
      <c r="G92" s="219">
        <f t="shared" si="19"/>
        <v>48.131856319539096</v>
      </c>
      <c r="H92" s="219">
        <f t="shared" si="19"/>
        <v>43.944768336923872</v>
      </c>
      <c r="I92" s="219">
        <f t="shared" si="19"/>
        <v>47.434008322436554</v>
      </c>
      <c r="J92" s="219">
        <f t="shared" si="19"/>
        <v>46.038312328231484</v>
      </c>
      <c r="K92" s="219">
        <f t="shared" si="19"/>
        <v>45.689388329680213</v>
      </c>
      <c r="L92" s="219">
        <f t="shared" si="19"/>
        <v>43.944768336923872</v>
      </c>
      <c r="M92" s="219">
        <f t="shared" si="19"/>
        <v>45.340464331128942</v>
      </c>
      <c r="N92" s="219">
        <f t="shared" si="19"/>
        <v>43.595844338372601</v>
      </c>
      <c r="O92" s="219">
        <f t="shared" si="19"/>
        <v>42.897996341270058</v>
      </c>
      <c r="P92" s="219">
        <f t="shared" si="19"/>
        <v>40.455528351411175</v>
      </c>
      <c r="Q92" s="219">
        <f t="shared" si="19"/>
        <v>40.455528351411175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57.727266279698988</v>
      </c>
      <c r="D93" s="219">
        <f t="shared" si="20"/>
        <v>57.552804280423352</v>
      </c>
      <c r="E93" s="219">
        <f t="shared" si="20"/>
        <v>57.378342281147717</v>
      </c>
      <c r="F93" s="219">
        <f t="shared" si="20"/>
        <v>56.854956283320817</v>
      </c>
      <c r="G93" s="219">
        <f t="shared" si="20"/>
        <v>56.506032284769546</v>
      </c>
      <c r="H93" s="219">
        <f t="shared" si="20"/>
        <v>54.412488293461934</v>
      </c>
      <c r="I93" s="219">
        <f t="shared" si="20"/>
        <v>56.157108286218275</v>
      </c>
      <c r="J93" s="219">
        <f t="shared" si="20"/>
        <v>55.45926028911574</v>
      </c>
      <c r="K93" s="219">
        <f t="shared" si="20"/>
        <v>55.284798289840104</v>
      </c>
      <c r="L93" s="219">
        <f t="shared" si="20"/>
        <v>54.412488293461934</v>
      </c>
      <c r="M93" s="219">
        <f t="shared" si="20"/>
        <v>55.110336290564469</v>
      </c>
      <c r="N93" s="219">
        <f t="shared" si="20"/>
        <v>54.238026294186298</v>
      </c>
      <c r="O93" s="219">
        <f t="shared" si="20"/>
        <v>53.889102295635027</v>
      </c>
      <c r="P93" s="219">
        <f t="shared" si="20"/>
        <v>52.667868300705585</v>
      </c>
      <c r="Q93" s="219">
        <f t="shared" si="20"/>
        <v>52.667868300705585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62.019031461879592</v>
      </c>
      <c r="D94" s="219">
        <f t="shared" si="21"/>
        <v>61.949246662169344</v>
      </c>
      <c r="E94" s="219">
        <f t="shared" si="21"/>
        <v>61.879461862459088</v>
      </c>
      <c r="F94" s="219">
        <f t="shared" si="21"/>
        <v>61.670107463328328</v>
      </c>
      <c r="G94" s="219">
        <f t="shared" si="21"/>
        <v>61.530537863907817</v>
      </c>
      <c r="H94" s="219">
        <f t="shared" si="21"/>
        <v>60.693120267384778</v>
      </c>
      <c r="I94" s="219">
        <f t="shared" si="21"/>
        <v>61.390968264487313</v>
      </c>
      <c r="J94" s="219">
        <f t="shared" si="21"/>
        <v>61.111829065646297</v>
      </c>
      <c r="K94" s="219">
        <f t="shared" si="21"/>
        <v>61.042044265936042</v>
      </c>
      <c r="L94" s="219">
        <f t="shared" si="21"/>
        <v>60.693120267384778</v>
      </c>
      <c r="M94" s="219">
        <f t="shared" si="21"/>
        <v>60.972259466225786</v>
      </c>
      <c r="N94" s="219">
        <f t="shared" si="21"/>
        <v>60.623335467674522</v>
      </c>
      <c r="O94" s="219">
        <f t="shared" si="21"/>
        <v>60.483765868254011</v>
      </c>
      <c r="P94" s="219">
        <f t="shared" si="21"/>
        <v>59.995272270282236</v>
      </c>
      <c r="Q94" s="219">
        <f t="shared" si="21"/>
        <v>59.995272270282236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0.50772882298229516</v>
      </c>
      <c r="C99" s="347">
        <f>C78*0.4361</f>
        <v>8.5740178235833326</v>
      </c>
      <c r="D99" s="347">
        <f t="shared" ref="D99:Q99" si="22">D78*0.4361</f>
        <v>8.5740178235833326</v>
      </c>
      <c r="E99" s="347">
        <f t="shared" si="22"/>
        <v>8.5740178235833326</v>
      </c>
      <c r="F99" s="347">
        <f t="shared" si="22"/>
        <v>8.5740178235833326</v>
      </c>
      <c r="G99" s="347">
        <f t="shared" si="22"/>
        <v>8.5740178235833326</v>
      </c>
      <c r="H99" s="347">
        <f t="shared" si="22"/>
        <v>8.5740178235833326</v>
      </c>
      <c r="I99" s="347">
        <f t="shared" si="22"/>
        <v>8.5740178235833326</v>
      </c>
      <c r="J99" s="347">
        <f t="shared" si="22"/>
        <v>8.5740178235833326</v>
      </c>
      <c r="K99" s="347">
        <f t="shared" si="22"/>
        <v>8.5740178235833326</v>
      </c>
      <c r="L99" s="347">
        <f t="shared" si="22"/>
        <v>8.5740178235833326</v>
      </c>
      <c r="M99" s="347">
        <f t="shared" si="22"/>
        <v>8.5740178235833326</v>
      </c>
      <c r="N99" s="347">
        <f t="shared" si="22"/>
        <v>8.5740178235833326</v>
      </c>
      <c r="O99" s="347">
        <f t="shared" si="22"/>
        <v>8.5740178235833326</v>
      </c>
      <c r="P99" s="347">
        <f t="shared" si="22"/>
        <v>8.5740178235833326</v>
      </c>
      <c r="Q99" s="347">
        <f t="shared" si="22"/>
        <v>8.5740178235833326</v>
      </c>
    </row>
    <row r="100" spans="1:17" ht="15" customHeight="1">
      <c r="A100" s="345">
        <v>7</v>
      </c>
      <c r="B100" s="347">
        <f>Leakage!AF12</f>
        <v>0.3554101760876065</v>
      </c>
      <c r="C100" s="347">
        <f t="shared" ref="C100:Q100" si="23">C79*0.4361</f>
        <v>12.488243802424007</v>
      </c>
      <c r="D100" s="347">
        <f t="shared" si="23"/>
        <v>12.16546795685508</v>
      </c>
      <c r="E100" s="347">
        <f t="shared" si="23"/>
        <v>11.842692111286151</v>
      </c>
      <c r="F100" s="347">
        <f t="shared" si="23"/>
        <v>10.874364574579371</v>
      </c>
      <c r="G100" s="347">
        <f t="shared" si="23"/>
        <v>10.22881288344152</v>
      </c>
      <c r="H100" s="347">
        <f t="shared" si="23"/>
        <v>8.5740178235833326</v>
      </c>
      <c r="I100" s="347">
        <f t="shared" si="23"/>
        <v>9.5832611923036684</v>
      </c>
      <c r="J100" s="347">
        <f t="shared" si="23"/>
        <v>8.5740178235833326</v>
      </c>
      <c r="K100" s="347">
        <f t="shared" si="23"/>
        <v>8.5740178235833326</v>
      </c>
      <c r="L100" s="347">
        <f t="shared" si="23"/>
        <v>8.5740178235833326</v>
      </c>
      <c r="M100" s="347">
        <f t="shared" si="23"/>
        <v>8.5740178235833326</v>
      </c>
      <c r="N100" s="347">
        <f t="shared" si="23"/>
        <v>8.5740178235833326</v>
      </c>
      <c r="O100" s="347">
        <f t="shared" si="23"/>
        <v>8.5740178235833326</v>
      </c>
      <c r="P100" s="347">
        <f t="shared" si="23"/>
        <v>8.5740178235833326</v>
      </c>
      <c r="Q100" s="347">
        <f t="shared" si="23"/>
        <v>8.5740178235833326</v>
      </c>
    </row>
    <row r="101" spans="1:17" ht="15" customHeight="1">
      <c r="A101" s="345">
        <v>5</v>
      </c>
      <c r="B101" s="347">
        <f>Leakage!AF13</f>
        <v>0.25386441149114758</v>
      </c>
      <c r="C101" s="347">
        <f t="shared" ref="C101:Q101" si="24">C80*0.4361</f>
        <v>16.269332279088569</v>
      </c>
      <c r="D101" s="347">
        <f t="shared" si="24"/>
        <v>16.038778103682198</v>
      </c>
      <c r="E101" s="347">
        <f t="shared" si="24"/>
        <v>15.808223928275821</v>
      </c>
      <c r="F101" s="347">
        <f t="shared" si="24"/>
        <v>15.116561402056691</v>
      </c>
      <c r="G101" s="347">
        <f t="shared" si="24"/>
        <v>14.655453051243938</v>
      </c>
      <c r="H101" s="347">
        <f t="shared" si="24"/>
        <v>11.888802946367424</v>
      </c>
      <c r="I101" s="347">
        <f t="shared" si="24"/>
        <v>14.194344700431186</v>
      </c>
      <c r="J101" s="347">
        <f t="shared" si="24"/>
        <v>13.272127998805679</v>
      </c>
      <c r="K101" s="347">
        <f t="shared" si="24"/>
        <v>13.041573823399304</v>
      </c>
      <c r="L101" s="347">
        <f t="shared" si="24"/>
        <v>11.888802946367424</v>
      </c>
      <c r="M101" s="347">
        <f t="shared" si="24"/>
        <v>12.811019647992927</v>
      </c>
      <c r="N101" s="347">
        <f t="shared" si="24"/>
        <v>11.658248770961047</v>
      </c>
      <c r="O101" s="347">
        <f t="shared" si="24"/>
        <v>11.197140420148294</v>
      </c>
      <c r="P101" s="347">
        <f t="shared" si="24"/>
        <v>9.583261192303663</v>
      </c>
      <c r="Q101" s="347">
        <f t="shared" si="24"/>
        <v>9.583261192303663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20.050420755753141</v>
      </c>
      <c r="D102" s="347">
        <f t="shared" si="25"/>
        <v>19.912088250509314</v>
      </c>
      <c r="E102" s="347">
        <f t="shared" si="25"/>
        <v>19.77375574526549</v>
      </c>
      <c r="F102" s="347">
        <f t="shared" si="25"/>
        <v>19.358758229534011</v>
      </c>
      <c r="G102" s="347">
        <f t="shared" si="25"/>
        <v>19.08209321904636</v>
      </c>
      <c r="H102" s="347">
        <f t="shared" si="25"/>
        <v>17.422103156120453</v>
      </c>
      <c r="I102" s="347">
        <f t="shared" si="25"/>
        <v>18.805428208558709</v>
      </c>
      <c r="J102" s="347">
        <f t="shared" si="25"/>
        <v>18.252098187583407</v>
      </c>
      <c r="K102" s="347">
        <f t="shared" si="25"/>
        <v>18.113765682339579</v>
      </c>
      <c r="L102" s="347">
        <f t="shared" si="25"/>
        <v>17.422103156120453</v>
      </c>
      <c r="M102" s="347">
        <f t="shared" si="25"/>
        <v>17.975433177095752</v>
      </c>
      <c r="N102" s="347">
        <f t="shared" si="25"/>
        <v>17.283770650876626</v>
      </c>
      <c r="O102" s="347">
        <f t="shared" si="25"/>
        <v>17.007105640388975</v>
      </c>
      <c r="P102" s="347">
        <f t="shared" si="25"/>
        <v>16.038778103682194</v>
      </c>
      <c r="Q102" s="347">
        <f t="shared" si="25"/>
        <v>16.038778103682194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22.886237113251568</v>
      </c>
      <c r="D103" s="347">
        <f t="shared" si="26"/>
        <v>22.817070860629656</v>
      </c>
      <c r="E103" s="347">
        <f t="shared" si="26"/>
        <v>22.747904608007744</v>
      </c>
      <c r="F103" s="347">
        <f t="shared" si="26"/>
        <v>22.540405850142005</v>
      </c>
      <c r="G103" s="347">
        <f t="shared" si="26"/>
        <v>22.402073344898177</v>
      </c>
      <c r="H103" s="347">
        <f t="shared" si="26"/>
        <v>21.572078313435224</v>
      </c>
      <c r="I103" s="347">
        <f t="shared" si="26"/>
        <v>22.263740839654353</v>
      </c>
      <c r="J103" s="347">
        <f t="shared" si="26"/>
        <v>21.987075829166702</v>
      </c>
      <c r="K103" s="347">
        <f t="shared" si="26"/>
        <v>21.91790957654479</v>
      </c>
      <c r="L103" s="347">
        <f t="shared" si="26"/>
        <v>21.572078313435224</v>
      </c>
      <c r="M103" s="347">
        <f t="shared" si="26"/>
        <v>21.848743323922875</v>
      </c>
      <c r="N103" s="347">
        <f t="shared" si="26"/>
        <v>21.502912060813312</v>
      </c>
      <c r="O103" s="347">
        <f t="shared" si="26"/>
        <v>21.364579555569485</v>
      </c>
      <c r="P103" s="347">
        <f t="shared" si="26"/>
        <v>20.880415787216094</v>
      </c>
      <c r="Q103" s="347">
        <f t="shared" si="26"/>
        <v>20.880415787216094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24.587726927750623</v>
      </c>
      <c r="D104" s="347">
        <f t="shared" si="27"/>
        <v>24.560060426701863</v>
      </c>
      <c r="E104" s="347">
        <f t="shared" si="27"/>
        <v>24.532393925653096</v>
      </c>
      <c r="F104" s="347">
        <f t="shared" si="27"/>
        <v>24.449394422506803</v>
      </c>
      <c r="G104" s="347">
        <f t="shared" si="27"/>
        <v>24.394061420409269</v>
      </c>
      <c r="H104" s="347">
        <f t="shared" si="27"/>
        <v>24.062063407824091</v>
      </c>
      <c r="I104" s="347">
        <f t="shared" si="27"/>
        <v>24.338728418311739</v>
      </c>
      <c r="J104" s="347">
        <f t="shared" si="27"/>
        <v>24.228062414116678</v>
      </c>
      <c r="K104" s="347">
        <f t="shared" si="27"/>
        <v>24.200395913067911</v>
      </c>
      <c r="L104" s="347">
        <f t="shared" si="27"/>
        <v>24.062063407824091</v>
      </c>
      <c r="M104" s="347">
        <f t="shared" si="27"/>
        <v>24.172729412019148</v>
      </c>
      <c r="N104" s="347">
        <f t="shared" si="27"/>
        <v>24.034396906775324</v>
      </c>
      <c r="O104" s="347">
        <f t="shared" si="27"/>
        <v>23.979063904677794</v>
      </c>
      <c r="P104" s="347">
        <f t="shared" si="27"/>
        <v>23.785398397336436</v>
      </c>
      <c r="Q104" s="347">
        <f t="shared" si="27"/>
        <v>23.785398397336436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25.722053470749998</v>
      </c>
      <c r="D105" s="347">
        <f t="shared" si="28"/>
        <v>25.722053470749998</v>
      </c>
      <c r="E105" s="347">
        <f t="shared" si="28"/>
        <v>25.722053470749998</v>
      </c>
      <c r="F105" s="347">
        <f t="shared" si="28"/>
        <v>25.722053470749998</v>
      </c>
      <c r="G105" s="347">
        <f t="shared" si="28"/>
        <v>25.722053470749998</v>
      </c>
      <c r="H105" s="347">
        <f t="shared" si="28"/>
        <v>25.722053470749998</v>
      </c>
      <c r="I105" s="347">
        <f t="shared" si="28"/>
        <v>25.722053470749998</v>
      </c>
      <c r="J105" s="347">
        <f t="shared" si="28"/>
        <v>25.722053470749998</v>
      </c>
      <c r="K105" s="347">
        <f t="shared" si="28"/>
        <v>25.722053470749998</v>
      </c>
      <c r="L105" s="347">
        <f t="shared" si="28"/>
        <v>25.722053470749998</v>
      </c>
      <c r="M105" s="347">
        <f t="shared" si="28"/>
        <v>25.722053470749998</v>
      </c>
      <c r="N105" s="347">
        <f t="shared" si="28"/>
        <v>25.722053470749998</v>
      </c>
      <c r="O105" s="347">
        <f t="shared" si="28"/>
        <v>25.722053470749998</v>
      </c>
      <c r="P105" s="347">
        <f t="shared" si="28"/>
        <v>25.722053470749998</v>
      </c>
      <c r="Q105" s="347">
        <f t="shared" si="28"/>
        <v>25.722053470749998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0.50772882298229516</v>
      </c>
      <c r="C111" s="219">
        <f>C99*1.1</f>
        <v>9.4314196059416666</v>
      </c>
      <c r="D111" s="219">
        <f t="shared" ref="D111:Q111" si="29">D99*1.1</f>
        <v>9.4314196059416666</v>
      </c>
      <c r="E111" s="219">
        <f t="shared" si="29"/>
        <v>9.4314196059416666</v>
      </c>
      <c r="F111" s="219">
        <f t="shared" si="29"/>
        <v>9.4314196059416666</v>
      </c>
      <c r="G111" s="219">
        <f t="shared" si="29"/>
        <v>9.4314196059416666</v>
      </c>
      <c r="H111" s="219">
        <f t="shared" si="29"/>
        <v>9.4314196059416666</v>
      </c>
      <c r="I111" s="219">
        <f t="shared" si="29"/>
        <v>9.4314196059416666</v>
      </c>
      <c r="J111" s="219">
        <f t="shared" si="29"/>
        <v>9.4314196059416666</v>
      </c>
      <c r="K111" s="219">
        <f t="shared" si="29"/>
        <v>9.4314196059416666</v>
      </c>
      <c r="L111" s="219">
        <f t="shared" si="29"/>
        <v>9.4314196059416666</v>
      </c>
      <c r="M111" s="219">
        <f t="shared" si="29"/>
        <v>9.4314196059416666</v>
      </c>
      <c r="N111" s="219">
        <f t="shared" si="29"/>
        <v>9.4314196059416666</v>
      </c>
      <c r="O111" s="219">
        <f t="shared" si="29"/>
        <v>9.4314196059416666</v>
      </c>
      <c r="P111" s="219">
        <f t="shared" si="29"/>
        <v>9.4314196059416666</v>
      </c>
      <c r="Q111" s="219">
        <f t="shared" si="29"/>
        <v>9.4314196059416666</v>
      </c>
    </row>
    <row r="112" spans="1:17" ht="15" customHeight="1">
      <c r="A112" s="71">
        <v>7</v>
      </c>
      <c r="B112" s="219">
        <f>Leakage!AF12</f>
        <v>0.3554101760876065</v>
      </c>
      <c r="C112" s="219">
        <f t="shared" ref="C112:Q112" si="30">C100*1.1</f>
        <v>13.737068182666409</v>
      </c>
      <c r="D112" s="219">
        <f t="shared" si="30"/>
        <v>13.38201475254059</v>
      </c>
      <c r="E112" s="219">
        <f t="shared" si="30"/>
        <v>13.026961322414767</v>
      </c>
      <c r="F112" s="219">
        <f t="shared" si="30"/>
        <v>11.961801032037309</v>
      </c>
      <c r="G112" s="219">
        <f t="shared" si="30"/>
        <v>11.251694171785674</v>
      </c>
      <c r="H112" s="219">
        <f t="shared" si="30"/>
        <v>9.4314196059416666</v>
      </c>
      <c r="I112" s="219">
        <f t="shared" si="30"/>
        <v>10.541587311534036</v>
      </c>
      <c r="J112" s="219">
        <f t="shared" si="30"/>
        <v>9.4314196059416666</v>
      </c>
      <c r="K112" s="219">
        <f t="shared" si="30"/>
        <v>9.4314196059416666</v>
      </c>
      <c r="L112" s="219">
        <f t="shared" si="30"/>
        <v>9.4314196059416666</v>
      </c>
      <c r="M112" s="219">
        <f t="shared" si="30"/>
        <v>9.4314196059416666</v>
      </c>
      <c r="N112" s="219">
        <f t="shared" si="30"/>
        <v>9.4314196059416666</v>
      </c>
      <c r="O112" s="219">
        <f t="shared" si="30"/>
        <v>9.4314196059416666</v>
      </c>
      <c r="P112" s="219">
        <f t="shared" si="30"/>
        <v>9.4314196059416666</v>
      </c>
      <c r="Q112" s="219">
        <f t="shared" si="30"/>
        <v>9.4314196059416666</v>
      </c>
    </row>
    <row r="113" spans="1:17" ht="15" customHeight="1">
      <c r="A113" s="71">
        <v>5</v>
      </c>
      <c r="B113" s="219">
        <f>Leakage!AF13</f>
        <v>0.25386441149114758</v>
      </c>
      <c r="C113" s="219">
        <f t="shared" ref="C113:Q113" si="31">C101*1.1</f>
        <v>17.896265506997427</v>
      </c>
      <c r="D113" s="219">
        <f t="shared" si="31"/>
        <v>17.642655914050419</v>
      </c>
      <c r="E113" s="219">
        <f t="shared" si="31"/>
        <v>17.389046321103404</v>
      </c>
      <c r="F113" s="219">
        <f t="shared" si="31"/>
        <v>16.628217542262362</v>
      </c>
      <c r="G113" s="219">
        <f t="shared" si="31"/>
        <v>16.120998356368332</v>
      </c>
      <c r="H113" s="219">
        <f t="shared" si="31"/>
        <v>13.077683241004166</v>
      </c>
      <c r="I113" s="219">
        <f t="shared" si="31"/>
        <v>15.613779170474306</v>
      </c>
      <c r="J113" s="219">
        <f t="shared" si="31"/>
        <v>14.599340798686248</v>
      </c>
      <c r="K113" s="219">
        <f t="shared" si="31"/>
        <v>14.345731205739236</v>
      </c>
      <c r="L113" s="219">
        <f t="shared" si="31"/>
        <v>13.077683241004166</v>
      </c>
      <c r="M113" s="219">
        <f t="shared" si="31"/>
        <v>14.092121612792221</v>
      </c>
      <c r="N113" s="219">
        <f t="shared" si="31"/>
        <v>12.824073648057151</v>
      </c>
      <c r="O113" s="219">
        <f t="shared" si="31"/>
        <v>12.316854462163125</v>
      </c>
      <c r="P113" s="219">
        <f t="shared" si="31"/>
        <v>10.54158731153403</v>
      </c>
      <c r="Q113" s="219">
        <f t="shared" si="31"/>
        <v>10.54158731153403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22.055462831328455</v>
      </c>
      <c r="D114" s="219">
        <f t="shared" si="32"/>
        <v>21.903297075560246</v>
      </c>
      <c r="E114" s="219">
        <f t="shared" si="32"/>
        <v>21.751131319792041</v>
      </c>
      <c r="F114" s="219">
        <f t="shared" si="32"/>
        <v>21.294634052487414</v>
      </c>
      <c r="G114" s="219">
        <f t="shared" si="32"/>
        <v>20.990302540950999</v>
      </c>
      <c r="H114" s="219">
        <f t="shared" si="32"/>
        <v>19.164313471732502</v>
      </c>
      <c r="I114" s="219">
        <f t="shared" si="32"/>
        <v>20.685971029414581</v>
      </c>
      <c r="J114" s="219">
        <f t="shared" si="32"/>
        <v>20.077308006341749</v>
      </c>
      <c r="K114" s="219">
        <f t="shared" si="32"/>
        <v>19.92514225057354</v>
      </c>
      <c r="L114" s="219">
        <f t="shared" si="32"/>
        <v>19.164313471732502</v>
      </c>
      <c r="M114" s="219">
        <f t="shared" si="32"/>
        <v>19.772976494805327</v>
      </c>
      <c r="N114" s="219">
        <f t="shared" si="32"/>
        <v>19.012147715964289</v>
      </c>
      <c r="O114" s="219">
        <f t="shared" si="32"/>
        <v>18.707816204427875</v>
      </c>
      <c r="P114" s="219">
        <f t="shared" si="32"/>
        <v>17.642655914050415</v>
      </c>
      <c r="Q114" s="219">
        <f t="shared" si="32"/>
        <v>17.642655914050415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25.174860824576726</v>
      </c>
      <c r="D115" s="219">
        <f t="shared" si="33"/>
        <v>25.098777946692625</v>
      </c>
      <c r="E115" s="219">
        <f t="shared" si="33"/>
        <v>25.02269506880852</v>
      </c>
      <c r="F115" s="219">
        <f t="shared" si="33"/>
        <v>24.794446435156207</v>
      </c>
      <c r="G115" s="219">
        <f t="shared" si="33"/>
        <v>24.642280679387998</v>
      </c>
      <c r="H115" s="219">
        <f t="shared" si="33"/>
        <v>23.729286144778747</v>
      </c>
      <c r="I115" s="219">
        <f t="shared" si="33"/>
        <v>24.490114923619792</v>
      </c>
      <c r="J115" s="219">
        <f t="shared" si="33"/>
        <v>24.185783412083374</v>
      </c>
      <c r="K115" s="219">
        <f t="shared" si="33"/>
        <v>24.10970053419927</v>
      </c>
      <c r="L115" s="219">
        <f t="shared" si="33"/>
        <v>23.729286144778747</v>
      </c>
      <c r="M115" s="219">
        <f t="shared" si="33"/>
        <v>24.033617656315165</v>
      </c>
      <c r="N115" s="219">
        <f t="shared" si="33"/>
        <v>23.653203266894646</v>
      </c>
      <c r="O115" s="219">
        <f t="shared" si="33"/>
        <v>23.501037511126434</v>
      </c>
      <c r="P115" s="219">
        <f t="shared" si="33"/>
        <v>22.968457365937706</v>
      </c>
      <c r="Q115" s="219">
        <f t="shared" si="33"/>
        <v>22.968457365937706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27.046499620525687</v>
      </c>
      <c r="D116" s="219">
        <f t="shared" si="34"/>
        <v>27.016066469372053</v>
      </c>
      <c r="E116" s="219">
        <f t="shared" si="34"/>
        <v>26.985633318218408</v>
      </c>
      <c r="F116" s="219">
        <f t="shared" si="34"/>
        <v>26.894333864757485</v>
      </c>
      <c r="G116" s="219">
        <f t="shared" si="34"/>
        <v>26.833467562450199</v>
      </c>
      <c r="H116" s="219">
        <f t="shared" si="34"/>
        <v>26.468269748606502</v>
      </c>
      <c r="I116" s="219">
        <f t="shared" si="34"/>
        <v>26.772601260142913</v>
      </c>
      <c r="J116" s="219">
        <f t="shared" si="34"/>
        <v>26.650868655528349</v>
      </c>
      <c r="K116" s="219">
        <f t="shared" si="34"/>
        <v>26.620435504374704</v>
      </c>
      <c r="L116" s="219">
        <f t="shared" si="34"/>
        <v>26.468269748606502</v>
      </c>
      <c r="M116" s="219">
        <f t="shared" si="34"/>
        <v>26.590002353221067</v>
      </c>
      <c r="N116" s="219">
        <f t="shared" si="34"/>
        <v>26.437836597452858</v>
      </c>
      <c r="O116" s="219">
        <f t="shared" si="34"/>
        <v>26.376970295145576</v>
      </c>
      <c r="P116" s="219">
        <f t="shared" si="34"/>
        <v>26.163938237070081</v>
      </c>
      <c r="Q116" s="219">
        <f t="shared" si="34"/>
        <v>26.163938237070081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7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8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80078.817411194846</v>
      </c>
      <c r="C5" s="5" t="s">
        <v>339</v>
      </c>
      <c r="D5" s="523">
        <f>B5/24/3412</f>
        <v>0.97790662137547446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977.90662137547451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7" t="s">
        <v>605</v>
      </c>
      <c r="P9" s="559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8"/>
      <c r="P10" s="560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2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883.73611000000005</v>
      </c>
      <c r="C19" s="17">
        <f>B19/1000</f>
        <v>0.88373611000000007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133.97361100000001</v>
      </c>
      <c r="C20" s="17">
        <f>B20/1000</f>
        <v>0.13397361099999999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0.99960016666666662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0.89964014999999997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8">
        <f>D10-(D11*2/3)</f>
        <v>0.3998400666666666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69">
        <v>0.65</v>
      </c>
      <c r="F14" s="290"/>
    </row>
    <row r="15" spans="1:7" ht="15" customHeight="1">
      <c r="A15" s="484" t="s">
        <v>352</v>
      </c>
      <c r="B15" s="485"/>
      <c r="C15" s="485"/>
      <c r="D15" s="486">
        <f>D11*D13/(SQRT(1.2/2)*4^(D14-0.5))</f>
        <v>0.5660247946157696</v>
      </c>
      <c r="E15" s="485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7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7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7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7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7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6.1224999999999996</v>
      </c>
    </row>
    <row r="28" spans="1:11" ht="15" customHeight="1">
      <c r="A28" s="100" t="s">
        <v>458</v>
      </c>
      <c r="C28" s="18">
        <f>L_houseSI</f>
        <v>24.49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0.22993743866145203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0.24070361173211011</v>
      </c>
    </row>
    <row r="37" spans="1:4" ht="15" customHeight="1">
      <c r="A37" s="1" t="s">
        <v>1273</v>
      </c>
      <c r="B37" s="1">
        <f>B36*Leakage!H14</f>
        <v>6.0175902933027527E-2</v>
      </c>
    </row>
    <row r="38" spans="1:4" ht="15" customHeight="1">
      <c r="A38" s="1" t="s">
        <v>1269</v>
      </c>
      <c r="B38" s="1">
        <f>Leakage!H32</f>
        <v>4.6856257812500003E-2</v>
      </c>
    </row>
    <row r="39" spans="1:4" ht="15" customHeight="1">
      <c r="A39" s="1" t="s">
        <v>1274</v>
      </c>
      <c r="B39" s="1">
        <f>B38*Leakage!H14</f>
        <v>1.1714064453125001E-2</v>
      </c>
    </row>
    <row r="40" spans="1:4" ht="15" customHeight="1">
      <c r="A40" s="1" t="s">
        <v>1270</v>
      </c>
      <c r="B40" s="1">
        <f>D15 * SQRT(1.20411 / 2) * 4^(D14 - 0.5)</f>
        <v>0.5407076801060825</v>
      </c>
    </row>
    <row r="41" spans="1:4" ht="15" customHeight="1">
      <c r="A41" s="1" t="s">
        <v>1271</v>
      </c>
      <c r="B41" s="1">
        <f>B39 * SQRT(1.20411 / 2) * 4^(D14 - 0.5)</f>
        <v>1.1190118657897185E-2</v>
      </c>
    </row>
    <row r="42" spans="1:4" ht="15" customHeight="1">
      <c r="A42" s="1" t="s">
        <v>1272</v>
      </c>
      <c r="B42" s="1">
        <f>B37 * SQRT(1.20411 / 2) * 4^(D14 - 0.5)</f>
        <v>5.7484359665363007E-2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871.55665769644793</v>
      </c>
      <c r="C9" s="5" t="s">
        <v>557</v>
      </c>
      <c r="D9" s="17">
        <f>B9*0.3048^2</f>
        <v>80.970263032239416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161.39938105489776</v>
      </c>
      <c r="C10" s="139" t="s">
        <v>557</v>
      </c>
      <c r="D10" s="17">
        <f>B10*0.3048^2</f>
        <v>14.994493154118409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89" t="s">
        <v>375</v>
      </c>
      <c r="B12" s="490">
        <f>D12/(0.3048/12)</f>
        <v>9.8425196850393686</v>
      </c>
      <c r="C12" s="491" t="s">
        <v>217</v>
      </c>
      <c r="D12" s="495">
        <v>0.25</v>
      </c>
      <c r="E12" s="491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89" t="s">
        <v>377</v>
      </c>
      <c r="B13" s="490">
        <f>D13/(0.3048/12)</f>
        <v>17.716535433070867</v>
      </c>
      <c r="C13" s="491" t="s">
        <v>217</v>
      </c>
      <c r="D13" s="495">
        <v>0.45</v>
      </c>
      <c r="E13" s="491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2" t="s">
        <v>378</v>
      </c>
      <c r="B14" s="493">
        <f>D14/(0.3048/12)</f>
        <v>30.921187535332606</v>
      </c>
      <c r="C14" s="494" t="s">
        <v>217</v>
      </c>
      <c r="D14" s="493">
        <f>PI()*D12</f>
        <v>0.78539816339744828</v>
      </c>
      <c r="E14" s="494" t="s">
        <v>134</v>
      </c>
      <c r="F14"/>
      <c r="G14" s="58" t="s">
        <v>366</v>
      </c>
      <c r="H14" s="86" t="s">
        <v>134</v>
      </c>
      <c r="I14" s="486">
        <f>VLOOKUP(I13,$G$6:$J$9,4,FALSE)</f>
        <v>0.05</v>
      </c>
      <c r="J14" s="486">
        <f t="shared" ref="J14:X14" si="1">VLOOKUP(J13,$G$6:$J$9,4,FALSE)</f>
        <v>0.05</v>
      </c>
      <c r="K14" s="486">
        <f t="shared" si="1"/>
        <v>0.05</v>
      </c>
      <c r="L14" s="486">
        <f t="shared" si="1"/>
        <v>0.05</v>
      </c>
      <c r="M14" s="486">
        <f t="shared" si="1"/>
        <v>0.05</v>
      </c>
      <c r="N14" s="486">
        <f t="shared" si="1"/>
        <v>0.05</v>
      </c>
      <c r="O14" s="486">
        <f t="shared" si="1"/>
        <v>0.05</v>
      </c>
      <c r="P14" s="486">
        <f t="shared" si="1"/>
        <v>0.05</v>
      </c>
      <c r="Q14" s="486">
        <f t="shared" si="1"/>
        <v>0.05</v>
      </c>
      <c r="R14" s="486">
        <f t="shared" si="1"/>
        <v>0.05</v>
      </c>
      <c r="S14" s="486">
        <f t="shared" si="1"/>
        <v>0.05</v>
      </c>
      <c r="T14" s="486">
        <f t="shared" si="1"/>
        <v>0.05</v>
      </c>
      <c r="U14" s="486">
        <f t="shared" si="1"/>
        <v>0.05</v>
      </c>
      <c r="V14" s="486">
        <f t="shared" si="1"/>
        <v>0.05</v>
      </c>
      <c r="W14" s="486">
        <f t="shared" si="1"/>
        <v>0.05</v>
      </c>
      <c r="X14" s="486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2" t="s">
        <v>379</v>
      </c>
      <c r="B15" s="493">
        <f>D15/(0.3048/12)</f>
        <v>55.658137563598693</v>
      </c>
      <c r="C15" s="494" t="s">
        <v>217</v>
      </c>
      <c r="D15" s="493">
        <f>PI()*D13</f>
        <v>1.4137166941154069</v>
      </c>
      <c r="E15" s="494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89" t="s">
        <v>381</v>
      </c>
      <c r="B16" s="490">
        <f>D16/0.3048</f>
        <v>338.23668254676801</v>
      </c>
      <c r="C16" s="491" t="s">
        <v>133</v>
      </c>
      <c r="D16" s="496">
        <f>D9/D14</f>
        <v>103.09454084025489</v>
      </c>
      <c r="E16" s="491" t="s">
        <v>134</v>
      </c>
      <c r="G16" s="58" t="s">
        <v>382</v>
      </c>
      <c r="H16" s="86" t="s">
        <v>587</v>
      </c>
      <c r="I16" s="486">
        <f t="shared" ref="I16:X16" si="3">(I13+I15)/5.678</f>
        <v>1.5322296583303978</v>
      </c>
      <c r="J16" s="486">
        <f t="shared" si="3"/>
        <v>1.5322296583303978</v>
      </c>
      <c r="K16" s="486">
        <f t="shared" si="3"/>
        <v>1.5322296583303978</v>
      </c>
      <c r="L16" s="486">
        <f t="shared" si="3"/>
        <v>1.5322296583303978</v>
      </c>
      <c r="M16" s="486">
        <f t="shared" si="3"/>
        <v>1.5322296583303978</v>
      </c>
      <c r="N16" s="486">
        <f t="shared" si="3"/>
        <v>1.5322296583303978</v>
      </c>
      <c r="O16" s="486">
        <f t="shared" si="3"/>
        <v>1.5322296583303978</v>
      </c>
      <c r="P16" s="486">
        <f t="shared" si="3"/>
        <v>1.5322296583303978</v>
      </c>
      <c r="Q16" s="486">
        <f t="shared" si="3"/>
        <v>1.5322296583303978</v>
      </c>
      <c r="R16" s="486">
        <f t="shared" si="3"/>
        <v>1.5322296583303978</v>
      </c>
      <c r="S16" s="486">
        <f t="shared" si="3"/>
        <v>1.5322296583303978</v>
      </c>
      <c r="T16" s="486">
        <f t="shared" si="3"/>
        <v>1.5322296583303978</v>
      </c>
      <c r="U16" s="486">
        <f t="shared" si="3"/>
        <v>1.5322296583303978</v>
      </c>
      <c r="V16" s="486">
        <f t="shared" si="3"/>
        <v>1.5322296583303978</v>
      </c>
      <c r="W16" s="486">
        <f t="shared" si="3"/>
        <v>1.5322296583303978</v>
      </c>
      <c r="X16" s="486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89" t="s">
        <v>383</v>
      </c>
      <c r="B17" s="490">
        <f>D17/0.3048</f>
        <v>34.798012607692179</v>
      </c>
      <c r="C17" s="491" t="s">
        <v>133</v>
      </c>
      <c r="D17" s="496">
        <f>D10/D15</f>
        <v>10.606434242824577</v>
      </c>
      <c r="E17" s="491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226"/>
  <sheetViews>
    <sheetView tabSelected="1" topLeftCell="A84" zoomScale="85" zoomScaleNormal="85" zoomScalePageLayoutView="85" workbookViewId="0">
      <selection activeCell="B100" sqref="B10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3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1">
        <v>0.8</v>
      </c>
      <c r="D14" s="501">
        <v>0.8</v>
      </c>
      <c r="E14" s="501">
        <v>0.8</v>
      </c>
      <c r="F14" s="501">
        <v>0.9</v>
      </c>
      <c r="G14" s="501">
        <v>0.9</v>
      </c>
      <c r="H14" s="501">
        <v>0.9</v>
      </c>
      <c r="I14" s="501">
        <v>0.9</v>
      </c>
      <c r="J14" s="501">
        <v>0.9</v>
      </c>
      <c r="K14" s="501">
        <v>0.94</v>
      </c>
      <c r="L14" s="501">
        <v>0.94</v>
      </c>
      <c r="M14" s="501">
        <v>0.94</v>
      </c>
      <c r="N14" s="501">
        <v>0.94</v>
      </c>
      <c r="O14" s="501">
        <v>0.94</v>
      </c>
      <c r="P14" s="501">
        <v>0.94</v>
      </c>
      <c r="Q14" s="501">
        <v>0.94</v>
      </c>
      <c r="R14" s="502">
        <f>D14</f>
        <v>0.8</v>
      </c>
      <c r="S14" s="502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0.7466563786008229</v>
      </c>
      <c r="D17" s="312">
        <f>VLOOKUP(CONCATENATE(HVAC!D16,HomeSize),HVAC!$D$57:$K$75,8,FALSE)</f>
        <v>0.65519547325102878</v>
      </c>
      <c r="E17" s="312" t="e">
        <f>VLOOKUP(CONCATENATE(HVAC!E16,HomeSize),HVAC!$D$57:$K$75,8,FALSE)</f>
        <v>#N/A</v>
      </c>
      <c r="F17" s="312">
        <f>VLOOKUP(CONCATENATE(HVAC!F16,HomeSize),HVAC!$D$57:$K$75,8,FALSE)</f>
        <v>0.71116255144032914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0.64277263374485594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0.63117283950617287</v>
      </c>
      <c r="S17" s="312">
        <f>VLOOKUP(CONCATENATE(HVAC!S16,HomeSize),HVAC!$D$57:$K$75,8,FALSE)</f>
        <v>0.70421810699588472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3.2225308641975308</v>
      </c>
      <c r="D18" s="312">
        <f>VLOOKUP(CONCATENATE(HVAC!D16,HomeSize),HVAC!$D$57:$K$75,7,FALSE)</f>
        <v>7.4259259259259256</v>
      </c>
      <c r="E18" s="312" t="e">
        <f>VLOOKUP(CONCATENATE(HVAC!E16,HomeSize),HVAC!$D$57:$K$75,7,FALSE)</f>
        <v>#N/A</v>
      </c>
      <c r="F18" s="312">
        <f>VLOOKUP(CONCATENATE(HVAC!F16,HomeSize),HVAC!$D$57:$K$75,7,FALSE)</f>
        <v>9.1395061728395053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10.729938271604937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5.4438271604938269</v>
      </c>
      <c r="S18" s="312">
        <f>VLOOKUP(CONCATENATE(HVAC!S16,HomeSize),HVAC!$D$57:$K$75,7,FALSE)</f>
        <v>7.4669753086419748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2.4101975473372845</v>
      </c>
      <c r="D19" s="137">
        <f t="shared" ref="D19:Q19" si="0">D17*A_houseFT/1000</f>
        <v>2.1149628770537374</v>
      </c>
      <c r="E19" s="137" t="e">
        <f t="shared" si="0"/>
        <v>#N/A</v>
      </c>
      <c r="F19" s="137">
        <f t="shared" si="0"/>
        <v>2.29562391263782</v>
      </c>
      <c r="G19" s="137" t="e">
        <f t="shared" si="0"/>
        <v>#N/A</v>
      </c>
      <c r="H19" s="137" t="e">
        <f t="shared" si="0"/>
        <v>#N/A</v>
      </c>
      <c r="I19" s="137">
        <f t="shared" si="0"/>
        <v>2.0748621049089246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2.0374181126991724</v>
      </c>
      <c r="S19" s="312">
        <f>S17*A_houseFT/1000</f>
        <v>2.2732073319357511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10.402289738235725</v>
      </c>
      <c r="D20" s="319">
        <f t="shared" si="1"/>
        <v>23.970796964079259</v>
      </c>
      <c r="E20" s="319" t="e">
        <f t="shared" si="1"/>
        <v>#N/A</v>
      </c>
      <c r="F20" s="319">
        <f t="shared" si="1"/>
        <v>29.502212788874271</v>
      </c>
      <c r="G20" s="319" t="e">
        <f t="shared" si="1"/>
        <v>#N/A</v>
      </c>
      <c r="H20" s="319" t="e">
        <f t="shared" si="1"/>
        <v>#N/A</v>
      </c>
      <c r="I20" s="319">
        <f t="shared" si="1"/>
        <v>34.636107915885923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17.572606685470902</v>
      </c>
      <c r="S20" s="319">
        <f t="shared" si="1"/>
        <v>24.103303863340376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2">
        <f>VLOOKUP(CONCATENATE(C16,HomeSize),HVAC!$D$57:$K$75,5,FALSE)*C19</f>
        <v>856.10216881420342</v>
      </c>
      <c r="D21" s="522">
        <f>VLOOKUP(CONCATENATE(D16,HomeSize),HVAC!$D$57:$K$75,5,FALSE)*D19</f>
        <v>751.23481392948747</v>
      </c>
      <c r="E21" s="522" t="e">
        <f>VLOOKUP(CONCATENATE(E16,HomeSize),HVAC!$D$57:$K$75,5,FALSE)*E19</f>
        <v>#N/A</v>
      </c>
      <c r="F21" s="522">
        <f>VLOOKUP(CONCATENATE(F16,HomeSize),HVAC!$D$57:$K$75,5,FALSE)*F19</f>
        <v>886.34039266946229</v>
      </c>
      <c r="G21" s="522" t="e">
        <f>VLOOKUP(CONCATENATE(G16,HomeSize),HVAC!$D$57:$K$75,5,FALSE)*G19</f>
        <v>#N/A</v>
      </c>
      <c r="H21" s="522" t="e">
        <f>VLOOKUP(CONCATENATE(H16,HomeSize),HVAC!$D$57:$K$75,5,FALSE)*H19</f>
        <v>#N/A</v>
      </c>
      <c r="I21" s="522">
        <f>VLOOKUP(CONCATENATE(I16,HomeSize),HVAC!$D$57:$K$75,5,FALSE)*I19</f>
        <v>801.10425870533584</v>
      </c>
      <c r="J21" s="522" t="e">
        <f>VLOOKUP(CONCATENATE(J16,HomeSize),HVAC!$D$57:$K$75,5,FALSE)*J19</f>
        <v>#N/A</v>
      </c>
      <c r="K21" s="522" t="e">
        <f>VLOOKUP(CONCATENATE(K16,HomeSize),HVAC!$D$57:$K$75,5,FALSE)*K19</f>
        <v>#N/A</v>
      </c>
      <c r="L21" s="522" t="e">
        <f>VLOOKUP(CONCATENATE(L16,HomeSize),HVAC!$D$57:$K$75,5,FALSE)*L19</f>
        <v>#N/A</v>
      </c>
      <c r="M21" s="522" t="e">
        <f>VLOOKUP(CONCATENATE(M16,HomeSize),HVAC!$D$57:$K$75,5,FALSE)*M19</f>
        <v>#N/A</v>
      </c>
      <c r="N21" s="522" t="e">
        <f>VLOOKUP(CONCATENATE(N16,HomeSize),HVAC!$D$57:$K$75,5,FALSE)*N19</f>
        <v>#N/A</v>
      </c>
      <c r="O21" s="522" t="e">
        <f>VLOOKUP(CONCATENATE(O16,HomeSize),HVAC!$D$57:$K$75,5,FALSE)*O19</f>
        <v>#N/A</v>
      </c>
      <c r="P21" s="522" t="e">
        <f>VLOOKUP(CONCATENATE(P16,HomeSize),HVAC!$D$57:$K$75,5,FALSE)*P19</f>
        <v>#N/A</v>
      </c>
      <c r="Q21" s="522" t="e">
        <f>VLOOKUP(CONCATENATE(Q16,HomeSize),HVAC!$D$57:$K$75,5,FALSE)*Q19</f>
        <v>#N/A</v>
      </c>
      <c r="R21" s="522">
        <f>VLOOKUP(CONCATENATE(R16,HomeSize),HVAC!$D$57:$K$75,5,FALSE)*R19</f>
        <v>723.69091363074597</v>
      </c>
      <c r="S21" s="522">
        <f>VLOOKUP(CONCATENATE(S16,HomeSize),HVAC!$D$57:$K$75,5,FALSE)*S19</f>
        <v>877.68535086039356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2">
        <f>16.8*C20</f>
        <v>174.75846760236018</v>
      </c>
      <c r="D22" s="522">
        <f t="shared" ref="D22:S22" si="2">16.8*D20</f>
        <v>402.70938899653157</v>
      </c>
      <c r="E22" s="522" t="e">
        <f t="shared" si="2"/>
        <v>#N/A</v>
      </c>
      <c r="F22" s="522">
        <f t="shared" si="2"/>
        <v>495.6371748530878</v>
      </c>
      <c r="G22" s="522" t="e">
        <f t="shared" si="2"/>
        <v>#N/A</v>
      </c>
      <c r="H22" s="522" t="e">
        <f t="shared" si="2"/>
        <v>#N/A</v>
      </c>
      <c r="I22" s="522">
        <f t="shared" si="2"/>
        <v>581.88661298688351</v>
      </c>
      <c r="J22" s="522" t="e">
        <f t="shared" si="2"/>
        <v>#N/A</v>
      </c>
      <c r="K22" s="522" t="e">
        <f t="shared" si="2"/>
        <v>#N/A</v>
      </c>
      <c r="L22" s="522" t="e">
        <f t="shared" si="2"/>
        <v>#N/A</v>
      </c>
      <c r="M22" s="522" t="e">
        <f t="shared" si="2"/>
        <v>#N/A</v>
      </c>
      <c r="N22" s="522" t="e">
        <f t="shared" si="2"/>
        <v>#N/A</v>
      </c>
      <c r="O22" s="522" t="e">
        <f t="shared" si="2"/>
        <v>#N/A</v>
      </c>
      <c r="P22" s="522" t="e">
        <f t="shared" si="2"/>
        <v>#N/A</v>
      </c>
      <c r="Q22" s="522" t="e">
        <f t="shared" si="2"/>
        <v>#N/A</v>
      </c>
      <c r="R22" s="522">
        <f t="shared" si="2"/>
        <v>295.21979231591115</v>
      </c>
      <c r="S22" s="522">
        <f t="shared" si="2"/>
        <v>404.93550490411832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2">
        <f>IF(C22&gt;C21*0.8,C20,(C21*0.8/C22)*C20)</f>
        <v>40.766769943533497</v>
      </c>
      <c r="D23" s="522">
        <f t="shared" ref="D23:S23" si="3">IF(D22&gt;D21*0.8,D20,(D21*0.8/D22)*D20)</f>
        <v>35.773086377594637</v>
      </c>
      <c r="E23" s="522" t="e">
        <f t="shared" si="3"/>
        <v>#N/A</v>
      </c>
      <c r="F23" s="522">
        <f t="shared" si="3"/>
        <v>42.206685365212486</v>
      </c>
      <c r="G23" s="522" t="e">
        <f t="shared" si="3"/>
        <v>#N/A</v>
      </c>
      <c r="H23" s="522" t="e">
        <f t="shared" si="3"/>
        <v>#N/A</v>
      </c>
      <c r="I23" s="522">
        <f t="shared" si="3"/>
        <v>38.147821843111238</v>
      </c>
      <c r="J23" s="522" t="e">
        <f t="shared" si="3"/>
        <v>#N/A</v>
      </c>
      <c r="K23" s="522" t="e">
        <f t="shared" si="3"/>
        <v>#N/A</v>
      </c>
      <c r="L23" s="522" t="e">
        <f t="shared" si="3"/>
        <v>#N/A</v>
      </c>
      <c r="M23" s="522" t="e">
        <f t="shared" si="3"/>
        <v>#N/A</v>
      </c>
      <c r="N23" s="522" t="e">
        <f t="shared" si="3"/>
        <v>#N/A</v>
      </c>
      <c r="O23" s="522" t="e">
        <f t="shared" si="3"/>
        <v>#N/A</v>
      </c>
      <c r="P23" s="522" t="e">
        <f t="shared" si="3"/>
        <v>#N/A</v>
      </c>
      <c r="Q23" s="522" t="e">
        <f t="shared" si="3"/>
        <v>#N/A</v>
      </c>
      <c r="R23" s="522">
        <f t="shared" si="3"/>
        <v>34.46147207765457</v>
      </c>
      <c r="S23" s="522">
        <f t="shared" si="3"/>
        <v>41.7945405171616</v>
      </c>
      <c r="U23" s="305" t="s">
        <v>1406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7">
        <f>ROUNDUP(C19*2,0)/2</f>
        <v>2.5</v>
      </c>
      <c r="D24" s="497">
        <f t="shared" ref="D24:S24" si="4">ROUNDUP(D19*2,0)/2</f>
        <v>2.5</v>
      </c>
      <c r="E24" s="497" t="e">
        <f t="shared" si="4"/>
        <v>#N/A</v>
      </c>
      <c r="F24" s="497">
        <f t="shared" si="4"/>
        <v>2.5</v>
      </c>
      <c r="G24" s="497" t="e">
        <f>ROUNDUP(G19*2,0)/2</f>
        <v>#N/A</v>
      </c>
      <c r="H24" s="497" t="e">
        <f t="shared" si="4"/>
        <v>#N/A</v>
      </c>
      <c r="I24" s="497">
        <f t="shared" si="4"/>
        <v>2.5</v>
      </c>
      <c r="J24" s="497" t="e">
        <f t="shared" si="4"/>
        <v>#N/A</v>
      </c>
      <c r="K24" s="497" t="e">
        <f t="shared" si="4"/>
        <v>#N/A</v>
      </c>
      <c r="L24" s="497" t="e">
        <f t="shared" si="4"/>
        <v>#N/A</v>
      </c>
      <c r="M24" s="497" t="e">
        <f t="shared" si="4"/>
        <v>#N/A</v>
      </c>
      <c r="N24" s="497" t="e">
        <f t="shared" si="4"/>
        <v>#N/A</v>
      </c>
      <c r="O24" s="497" t="e">
        <f t="shared" si="4"/>
        <v>#N/A</v>
      </c>
      <c r="P24" s="497" t="e">
        <f t="shared" si="4"/>
        <v>#N/A</v>
      </c>
      <c r="Q24" s="497" t="e">
        <f t="shared" si="4"/>
        <v>#N/A</v>
      </c>
      <c r="R24" s="497">
        <f t="shared" si="4"/>
        <v>2.5</v>
      </c>
      <c r="S24" s="497">
        <f t="shared" si="4"/>
        <v>2.5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7">
        <f>C24*12</f>
        <v>30</v>
      </c>
      <c r="D25" s="497">
        <f t="shared" ref="D25:S25" si="5">D24*12</f>
        <v>30</v>
      </c>
      <c r="E25" s="497" t="e">
        <f t="shared" si="5"/>
        <v>#N/A</v>
      </c>
      <c r="F25" s="497">
        <f t="shared" si="5"/>
        <v>30</v>
      </c>
      <c r="G25" s="497" t="e">
        <f t="shared" si="5"/>
        <v>#N/A</v>
      </c>
      <c r="H25" s="497" t="e">
        <f t="shared" si="5"/>
        <v>#N/A</v>
      </c>
      <c r="I25" s="497">
        <f t="shared" si="5"/>
        <v>30</v>
      </c>
      <c r="J25" s="497" t="e">
        <f t="shared" si="5"/>
        <v>#N/A</v>
      </c>
      <c r="K25" s="497" t="e">
        <f t="shared" si="5"/>
        <v>#N/A</v>
      </c>
      <c r="L25" s="497" t="e">
        <f t="shared" si="5"/>
        <v>#N/A</v>
      </c>
      <c r="M25" s="497" t="e">
        <f t="shared" si="5"/>
        <v>#N/A</v>
      </c>
      <c r="N25" s="497" t="e">
        <f t="shared" si="5"/>
        <v>#N/A</v>
      </c>
      <c r="O25" s="497" t="e">
        <f t="shared" si="5"/>
        <v>#N/A</v>
      </c>
      <c r="P25" s="497" t="e">
        <f t="shared" si="5"/>
        <v>#N/A</v>
      </c>
      <c r="Q25" s="497" t="e">
        <f t="shared" si="5"/>
        <v>#N/A</v>
      </c>
      <c r="R25" s="497">
        <f t="shared" si="5"/>
        <v>30</v>
      </c>
      <c r="S25" s="497">
        <f t="shared" si="5"/>
        <v>30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8">
        <f>ROUNDUP(C23/10,0)*10</f>
        <v>50</v>
      </c>
      <c r="D26" s="498">
        <f>ROUNDUP(D23/10,0)*10</f>
        <v>40</v>
      </c>
      <c r="E26" s="498" t="e">
        <f>ROUNDUP(E23/10,0)*10</f>
        <v>#N/A</v>
      </c>
      <c r="F26" s="498">
        <f>ROUNDUP(F23/10,0)*10</f>
        <v>50</v>
      </c>
      <c r="G26" s="498" t="e">
        <f t="shared" ref="G26:S26" si="6">ROUNDUP(G23/10,0)*10</f>
        <v>#N/A</v>
      </c>
      <c r="H26" s="498" t="e">
        <f t="shared" si="6"/>
        <v>#N/A</v>
      </c>
      <c r="I26" s="498">
        <f t="shared" si="6"/>
        <v>40</v>
      </c>
      <c r="J26" s="498" t="e">
        <f t="shared" si="6"/>
        <v>#N/A</v>
      </c>
      <c r="K26" s="498" t="e">
        <f t="shared" si="6"/>
        <v>#N/A</v>
      </c>
      <c r="L26" s="498" t="e">
        <f t="shared" si="6"/>
        <v>#N/A</v>
      </c>
      <c r="M26" s="498" t="e">
        <f t="shared" si="6"/>
        <v>#N/A</v>
      </c>
      <c r="N26" s="498" t="e">
        <f t="shared" si="6"/>
        <v>#N/A</v>
      </c>
      <c r="O26" s="498" t="e">
        <f t="shared" si="6"/>
        <v>#N/A</v>
      </c>
      <c r="P26" s="498" t="e">
        <f t="shared" si="6"/>
        <v>#N/A</v>
      </c>
      <c r="Q26" s="498" t="e">
        <f t="shared" si="6"/>
        <v>#N/A</v>
      </c>
      <c r="R26" s="498">
        <f t="shared" si="6"/>
        <v>40</v>
      </c>
      <c r="S26" s="498">
        <f t="shared" si="6"/>
        <v>50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6">
        <f>VLOOKUP(CONCATENATE(C16,HomeSize),HVAC!$D$57:$K$75,5,FALSE)*C24*0.3048^3/60</f>
        <v>0.41908932956160005</v>
      </c>
      <c r="D27" s="486">
        <f>VLOOKUP(CONCATENATE(D16,HomeSize),HVAC!$D$57:$K$75,5,FALSE)*D24*0.3048^3/60</f>
        <v>0.41908932956160005</v>
      </c>
      <c r="E27" s="486" t="e">
        <f>VLOOKUP(CONCATENATE(E16,HomeSize),HVAC!$D$57:$K$75,5,FALSE)*E24*0.3048^3/60</f>
        <v>#N/A</v>
      </c>
      <c r="F27" s="486">
        <f>VLOOKUP(CONCATENATE(F16,HomeSize),HVAC!$D$57:$K$75,5,FALSE)*F24*0.3048^3/60</f>
        <v>0.45554726954880009</v>
      </c>
      <c r="G27" s="486" t="e">
        <f>VLOOKUP(CONCATENATE(G16,HomeSize),HVAC!$D$57:$K$75,5,FALSE)*G24*0.3048^3/60</f>
        <v>#N/A</v>
      </c>
      <c r="H27" s="486" t="e">
        <f>VLOOKUP(CONCATENATE(H16,HomeSize),HVAC!$D$57:$K$75,5,FALSE)*H24*0.3048^3/60</f>
        <v>#N/A</v>
      </c>
      <c r="I27" s="486">
        <f>VLOOKUP(CONCATENATE(I16,HomeSize),HVAC!$D$57:$K$75,5,FALSE)*I24*0.3048^3/60</f>
        <v>0.45554726954880009</v>
      </c>
      <c r="J27" s="486" t="e">
        <f>VLOOKUP(CONCATENATE(J16,HomeSize),HVAC!$D$57:$K$75,5,FALSE)*J24*0.3048^3/60</f>
        <v>#N/A</v>
      </c>
      <c r="K27" s="486" t="e">
        <f>VLOOKUP(CONCATENATE(K16,HomeSize),HVAC!$D$57:$K$75,5,FALSE)*K24*0.3048^3/60</f>
        <v>#N/A</v>
      </c>
      <c r="L27" s="486" t="e">
        <f>VLOOKUP(CONCATENATE(L16,HomeSize),HVAC!$D$57:$K$75,5,FALSE)*L24*0.3048^3/60</f>
        <v>#N/A</v>
      </c>
      <c r="M27" s="486" t="e">
        <f>VLOOKUP(CONCATENATE(M16,HomeSize),HVAC!$D$57:$K$75,5,FALSE)*M24*0.3048^3/60</f>
        <v>#N/A</v>
      </c>
      <c r="N27" s="486" t="e">
        <f>VLOOKUP(CONCATENATE(N16,HomeSize),HVAC!$D$57:$K$75,5,FALSE)*N24*0.3048^3/60</f>
        <v>#N/A</v>
      </c>
      <c r="O27" s="486" t="e">
        <f>VLOOKUP(CONCATENATE(O16,HomeSize),HVAC!$D$57:$K$75,5,FALSE)*O24*0.3048^3/60</f>
        <v>#N/A</v>
      </c>
      <c r="P27" s="486" t="e">
        <f>VLOOKUP(CONCATENATE(P16,HomeSize),HVAC!$D$57:$K$75,5,FALSE)*P24*0.3048^3/60</f>
        <v>#N/A</v>
      </c>
      <c r="Q27" s="486" t="e">
        <f>VLOOKUP(CONCATENATE(Q16,HomeSize),HVAC!$D$57:$K$75,5,FALSE)*Q24*0.3048^3/60</f>
        <v>#N/A</v>
      </c>
      <c r="R27" s="486">
        <f>VLOOKUP(CONCATENATE(R16,HomeSize),HVAC!$D$57:$K$75,5,FALSE)*R24*0.3048^3/60</f>
        <v>0.41908932956160005</v>
      </c>
      <c r="S27" s="486">
        <f>VLOOKUP(CONCATENATE(S16,HomeSize),HVAC!$D$57:$K$75,5,FALSE)*S24*0.3048^3/60</f>
        <v>0.45554726954880009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6">
        <f>16.8*C26*(1/2119)</f>
        <v>0.39641340254837187</v>
      </c>
      <c r="D28" s="486">
        <f t="shared" ref="D28:S28" si="7">16.8*D26*(1/2119)</f>
        <v>0.31713072203869752</v>
      </c>
      <c r="E28" s="486" t="e">
        <f t="shared" si="7"/>
        <v>#N/A</v>
      </c>
      <c r="F28" s="486">
        <f t="shared" si="7"/>
        <v>0.39641340254837187</v>
      </c>
      <c r="G28" s="486" t="e">
        <f t="shared" si="7"/>
        <v>#N/A</v>
      </c>
      <c r="H28" s="486" t="e">
        <f t="shared" si="7"/>
        <v>#N/A</v>
      </c>
      <c r="I28" s="486">
        <f t="shared" si="7"/>
        <v>0.31713072203869752</v>
      </c>
      <c r="J28" s="486" t="e">
        <f t="shared" si="7"/>
        <v>#N/A</v>
      </c>
      <c r="K28" s="486" t="e">
        <f t="shared" si="7"/>
        <v>#N/A</v>
      </c>
      <c r="L28" s="486" t="e">
        <f t="shared" si="7"/>
        <v>#N/A</v>
      </c>
      <c r="M28" s="486" t="e">
        <f t="shared" si="7"/>
        <v>#N/A</v>
      </c>
      <c r="N28" s="486" t="e">
        <f t="shared" si="7"/>
        <v>#N/A</v>
      </c>
      <c r="O28" s="486" t="e">
        <f t="shared" si="7"/>
        <v>#N/A</v>
      </c>
      <c r="P28" s="486" t="e">
        <f t="shared" si="7"/>
        <v>#N/A</v>
      </c>
      <c r="Q28" s="486" t="e">
        <f t="shared" si="7"/>
        <v>#N/A</v>
      </c>
      <c r="R28" s="486">
        <f t="shared" si="7"/>
        <v>0.31713072203869752</v>
      </c>
      <c r="S28" s="486">
        <f t="shared" si="7"/>
        <v>0.39641340254837187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499">
        <f>C27*2119*0.167</f>
        <v>148.3043983199521</v>
      </c>
      <c r="D29" s="499">
        <f t="shared" ref="D29:S29" si="8">D27*2119*0.167</f>
        <v>148.3043983199521</v>
      </c>
      <c r="E29" s="499" t="e">
        <f t="shared" si="8"/>
        <v>#N/A</v>
      </c>
      <c r="F29" s="499">
        <f t="shared" si="8"/>
        <v>161.20587891704255</v>
      </c>
      <c r="G29" s="499" t="e">
        <f t="shared" si="8"/>
        <v>#N/A</v>
      </c>
      <c r="H29" s="499" t="e">
        <f t="shared" si="8"/>
        <v>#N/A</v>
      </c>
      <c r="I29" s="499">
        <f t="shared" si="8"/>
        <v>161.20587891704255</v>
      </c>
      <c r="J29" s="499" t="e">
        <f t="shared" si="8"/>
        <v>#N/A</v>
      </c>
      <c r="K29" s="499" t="e">
        <f t="shared" si="8"/>
        <v>#N/A</v>
      </c>
      <c r="L29" s="499" t="e">
        <f t="shared" si="8"/>
        <v>#N/A</v>
      </c>
      <c r="M29" s="499" t="e">
        <f t="shared" si="8"/>
        <v>#N/A</v>
      </c>
      <c r="N29" s="499" t="e">
        <f t="shared" si="8"/>
        <v>#N/A</v>
      </c>
      <c r="O29" s="499" t="e">
        <f t="shared" si="8"/>
        <v>#N/A</v>
      </c>
      <c r="P29" s="499" t="e">
        <f t="shared" si="8"/>
        <v>#N/A</v>
      </c>
      <c r="Q29" s="499" t="e">
        <f t="shared" si="8"/>
        <v>#N/A</v>
      </c>
      <c r="R29" s="499">
        <f t="shared" si="8"/>
        <v>148.3043983199521</v>
      </c>
      <c r="S29" s="499">
        <f t="shared" si="8"/>
        <v>161.20587891704255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499">
        <f>C28*2119*0.167</f>
        <v>140.28</v>
      </c>
      <c r="D30" s="499">
        <f t="shared" ref="D30:S30" si="9">D28*2119*0.167</f>
        <v>112.224</v>
      </c>
      <c r="E30" s="499" t="e">
        <f t="shared" si="9"/>
        <v>#N/A</v>
      </c>
      <c r="F30" s="499">
        <f t="shared" si="9"/>
        <v>140.28</v>
      </c>
      <c r="G30" s="499" t="e">
        <f t="shared" si="9"/>
        <v>#N/A</v>
      </c>
      <c r="H30" s="499" t="e">
        <f t="shared" si="9"/>
        <v>#N/A</v>
      </c>
      <c r="I30" s="499">
        <f t="shared" si="9"/>
        <v>112.224</v>
      </c>
      <c r="J30" s="499" t="e">
        <f t="shared" si="9"/>
        <v>#N/A</v>
      </c>
      <c r="K30" s="499" t="e">
        <f t="shared" si="9"/>
        <v>#N/A</v>
      </c>
      <c r="L30" s="499" t="e">
        <f t="shared" si="9"/>
        <v>#N/A</v>
      </c>
      <c r="M30" s="499" t="e">
        <f t="shared" si="9"/>
        <v>#N/A</v>
      </c>
      <c r="N30" s="499" t="e">
        <f t="shared" si="9"/>
        <v>#N/A</v>
      </c>
      <c r="O30" s="499" t="e">
        <f t="shared" si="9"/>
        <v>#N/A</v>
      </c>
      <c r="P30" s="499" t="e">
        <f t="shared" si="9"/>
        <v>#N/A</v>
      </c>
      <c r="Q30" s="499" t="e">
        <f t="shared" si="9"/>
        <v>#N/A</v>
      </c>
      <c r="R30" s="499">
        <f t="shared" si="9"/>
        <v>112.224</v>
      </c>
      <c r="S30" s="499">
        <f t="shared" si="9"/>
        <v>140.28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0">
        <f>C27*Ducts!$D$18/(25^Ducts!$D$20)</f>
        <v>0</v>
      </c>
      <c r="D31" s="500">
        <f>D27*Ducts!$D$18/(25^Ducts!$D$20)</f>
        <v>0</v>
      </c>
      <c r="E31" s="500" t="e">
        <f>E27*Ducts!$D$18/(25^Ducts!$D$20)</f>
        <v>#N/A</v>
      </c>
      <c r="F31" s="500">
        <f>F27*Ducts!$D$18/(25^Ducts!$D$20)</f>
        <v>0</v>
      </c>
      <c r="G31" s="500" t="e">
        <f>G27*Ducts!$D$18/(25^Ducts!$D$20)</f>
        <v>#N/A</v>
      </c>
      <c r="H31" s="500" t="e">
        <f>H27*Ducts!$D$18/(25^Ducts!$D$20)</f>
        <v>#N/A</v>
      </c>
      <c r="I31" s="500">
        <f>I27*Ducts!$D$18/(25^Ducts!$D$20)</f>
        <v>0</v>
      </c>
      <c r="J31" s="500" t="e">
        <f>J27*Ducts!$D$18/(25^Ducts!$D$20)</f>
        <v>#N/A</v>
      </c>
      <c r="K31" s="500" t="e">
        <f>K27*Ducts!$D$18/(25^Ducts!$D$20)</f>
        <v>#N/A</v>
      </c>
      <c r="L31" s="500" t="e">
        <f>L27*Ducts!$D$18/(25^Ducts!$D$20)</f>
        <v>#N/A</v>
      </c>
      <c r="M31" s="500" t="e">
        <f>M27*Ducts!$D$18/(25^Ducts!$D$20)</f>
        <v>#N/A</v>
      </c>
      <c r="N31" s="500" t="e">
        <f>N27*Ducts!$D$18/(25^Ducts!$D$20)</f>
        <v>#N/A</v>
      </c>
      <c r="O31" s="500" t="e">
        <f>O27*Ducts!$D$18/(25^Ducts!$D$20)</f>
        <v>#N/A</v>
      </c>
      <c r="P31" s="500" t="e">
        <f>P27*Ducts!$D$18/(25^Ducts!$D$20)</f>
        <v>#N/A</v>
      </c>
      <c r="Q31" s="500" t="e">
        <f>Q27*Ducts!$D$18/(25^Ducts!$D$20)</f>
        <v>#N/A</v>
      </c>
      <c r="R31" s="500">
        <f>R27*Ducts!$D$18/(25^Ducts!$D$20)</f>
        <v>0</v>
      </c>
      <c r="S31" s="500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0">
        <f>C27*Ducts!$D$19/(25^Ducts!$D$21)</f>
        <v>0</v>
      </c>
      <c r="D32" s="500">
        <f>D27*Ducts!$D$19/(25^Ducts!$D$21)</f>
        <v>0</v>
      </c>
      <c r="E32" s="500" t="e">
        <f>E27*Ducts!$D$19/(25^Ducts!$D$21)</f>
        <v>#N/A</v>
      </c>
      <c r="F32" s="500">
        <f>F27*Ducts!$D$19/(25^Ducts!$D$21)</f>
        <v>0</v>
      </c>
      <c r="G32" s="500" t="e">
        <f>G27*Ducts!$D$19/(25^Ducts!$D$21)</f>
        <v>#N/A</v>
      </c>
      <c r="H32" s="500" t="e">
        <f>H27*Ducts!$D$19/(25^Ducts!$D$21)</f>
        <v>#N/A</v>
      </c>
      <c r="I32" s="500">
        <f>I27*Ducts!$D$19/(25^Ducts!$D$21)</f>
        <v>0</v>
      </c>
      <c r="J32" s="500" t="e">
        <f>J27*Ducts!$D$19/(25^Ducts!$D$21)</f>
        <v>#N/A</v>
      </c>
      <c r="K32" s="500" t="e">
        <f>K27*Ducts!$D$19/(25^Ducts!$D$21)</f>
        <v>#N/A</v>
      </c>
      <c r="L32" s="500" t="e">
        <f>L27*Ducts!$D$19/(25^Ducts!$D$21)</f>
        <v>#N/A</v>
      </c>
      <c r="M32" s="500" t="e">
        <f>M27*Ducts!$D$19/(25^Ducts!$D$21)</f>
        <v>#N/A</v>
      </c>
      <c r="N32" s="500" t="e">
        <f>N27*Ducts!$D$19/(25^Ducts!$D$21)</f>
        <v>#N/A</v>
      </c>
      <c r="O32" s="500" t="e">
        <f>O27*Ducts!$D$19/(25^Ducts!$D$21)</f>
        <v>#N/A</v>
      </c>
      <c r="P32" s="500" t="e">
        <f>P27*Ducts!$D$19/(25^Ducts!$D$21)</f>
        <v>#N/A</v>
      </c>
      <c r="Q32" s="500" t="e">
        <f>Q27*Ducts!$D$19/(25^Ducts!$D$21)</f>
        <v>#N/A</v>
      </c>
      <c r="R32" s="500">
        <f>R27*Ducts!$D$19/(25^Ducts!$D$21)</f>
        <v>0</v>
      </c>
      <c r="S32" s="500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6.8410602505901945</v>
      </c>
      <c r="J40" s="317">
        <f>D40/(A_houseFT/1000)</f>
        <v>21.685337187318726</v>
      </c>
      <c r="K40" s="315">
        <f>J40/12</f>
        <v>1.8071114322765605</v>
      </c>
      <c r="L40" s="196">
        <v>7.5</v>
      </c>
      <c r="M40" s="196">
        <v>23.8</v>
      </c>
      <c r="O40" s="320">
        <f>C$27/0.00047194745</f>
        <v>887.9999872053553</v>
      </c>
      <c r="P40" s="283">
        <f>O40/C29</f>
        <v>5.9876847704110769</v>
      </c>
      <c r="Q40" s="293">
        <f>O40/6</f>
        <v>147.99999786755922</v>
      </c>
      <c r="R40" s="319">
        <f>C28</f>
        <v>0.39641340254837187</v>
      </c>
      <c r="S40" s="293">
        <f>R40/0.00047194745</f>
        <v>839.95241959326586</v>
      </c>
      <c r="T40" s="293">
        <f>C30</f>
        <v>140.28</v>
      </c>
      <c r="U40" s="312">
        <f>S40/T40</f>
        <v>5.9876847704110769</v>
      </c>
      <c r="V40" s="293">
        <f t="shared" ref="V40:V48" si="10">S40/6</f>
        <v>139.99206993221097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887.9999872053553</v>
      </c>
      <c r="P41" s="283">
        <f>O41/D29</f>
        <v>5.9876847704110769</v>
      </c>
      <c r="Q41" s="293">
        <f t="shared" ref="Q41:Q54" si="11">O41/6</f>
        <v>147.99999786755922</v>
      </c>
      <c r="R41" s="319">
        <f>D28</f>
        <v>0.31713072203869752</v>
      </c>
      <c r="S41" s="293">
        <f t="shared" ref="S41:S54" si="12">R41/0.00047194745</f>
        <v>671.96193567461273</v>
      </c>
      <c r="T41" s="293">
        <f>D30</f>
        <v>112.224</v>
      </c>
      <c r="U41" s="312">
        <f t="shared" ref="U41:U54" si="13">S41/T41</f>
        <v>5.9876847704110769</v>
      </c>
      <c r="V41" s="293">
        <f t="shared" si="10"/>
        <v>111.99365594576879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965.24998609230772</v>
      </c>
      <c r="P43" s="283">
        <f>O43/F29</f>
        <v>5.9876847704110761</v>
      </c>
      <c r="Q43" s="293">
        <f t="shared" si="11"/>
        <v>160.87499768205129</v>
      </c>
      <c r="R43" s="319">
        <f>F28</f>
        <v>0.39641340254837187</v>
      </c>
      <c r="S43" s="293">
        <f t="shared" si="12"/>
        <v>839.95241959326586</v>
      </c>
      <c r="T43" s="293">
        <f>F30</f>
        <v>140.28</v>
      </c>
      <c r="U43" s="312">
        <f t="shared" si="13"/>
        <v>5.9876847704110769</v>
      </c>
      <c r="V43" s="293">
        <f t="shared" si="10"/>
        <v>139.99206993221097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965.24998609230772</v>
      </c>
      <c r="P46" s="283">
        <f>O46/I29</f>
        <v>5.9876847704110761</v>
      </c>
      <c r="Q46" s="293">
        <f t="shared" si="11"/>
        <v>160.87499768205129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12.216179018911062</v>
      </c>
      <c r="M54" s="309">
        <f>G54/(A_houseFT/1000)</f>
        <v>38.7238164059263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6" t="s">
        <v>802</v>
      </c>
      <c r="D85" s="517" t="s">
        <v>794</v>
      </c>
      <c r="E85" s="516" t="s">
        <v>405</v>
      </c>
      <c r="F85" s="516" t="s">
        <v>800</v>
      </c>
      <c r="G85" s="516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8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8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19" t="s">
        <v>809</v>
      </c>
      <c r="D92" s="520" t="s">
        <v>803</v>
      </c>
      <c r="E92" s="519" t="s">
        <v>804</v>
      </c>
      <c r="F92" s="519" t="s">
        <v>805</v>
      </c>
      <c r="G92" s="519" t="s">
        <v>806</v>
      </c>
      <c r="H92" s="519" t="s">
        <v>800</v>
      </c>
      <c r="I92" s="519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  <row r="98" spans="1:20" ht="15" customHeight="1">
      <c r="A98" s="563" t="s">
        <v>1351</v>
      </c>
      <c r="B98" s="114"/>
      <c r="C98" s="114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2"/>
    </row>
    <row r="99" spans="1:20" ht="15" customHeight="1">
      <c r="A99" s="564" t="s">
        <v>1352</v>
      </c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228"/>
    </row>
    <row r="100" spans="1:20" ht="15" customHeight="1">
      <c r="A100" s="564" t="s">
        <v>1421</v>
      </c>
      <c r="B100" s="87">
        <f>70-Weather!B28</f>
        <v>23</v>
      </c>
      <c r="C100" s="87">
        <f>70-Weather!C28</f>
        <v>38</v>
      </c>
      <c r="D100" s="87">
        <f>70-Weather!D28</f>
        <v>36</v>
      </c>
      <c r="E100" s="87">
        <f>70-Weather!E28</f>
        <v>52</v>
      </c>
      <c r="F100" s="87">
        <f>70-Weather!F28</f>
        <v>46</v>
      </c>
      <c r="G100" s="87">
        <f>70-Weather!G28</f>
        <v>32</v>
      </c>
      <c r="H100" s="87">
        <f>70-Weather!H28</f>
        <v>57</v>
      </c>
      <c r="I100" s="87">
        <f>70-Weather!I28</f>
        <v>54</v>
      </c>
      <c r="J100" s="87">
        <f>70-Weather!J28</f>
        <v>47</v>
      </c>
      <c r="K100" s="87">
        <f>70-Weather!K28</f>
        <v>70</v>
      </c>
      <c r="L100" s="87">
        <f>70-Weather!L28</f>
        <v>60</v>
      </c>
      <c r="M100" s="87">
        <f>70-Weather!M28</f>
        <v>77</v>
      </c>
      <c r="N100" s="87">
        <f>70-Weather!N28</f>
        <v>86</v>
      </c>
      <c r="O100" s="87">
        <f>70-Weather!O28</f>
        <v>86</v>
      </c>
      <c r="P100" s="87">
        <f>70-Weather!P28</f>
        <v>117</v>
      </c>
      <c r="Q100" s="87">
        <f>70-Weather!Q28</f>
        <v>32</v>
      </c>
      <c r="R100" s="228">
        <f>70-Weather!R28</f>
        <v>42</v>
      </c>
      <c r="S100" s="305"/>
      <c r="T100" s="305"/>
    </row>
    <row r="101" spans="1:20" s="305" customFormat="1" ht="15" customHeight="1">
      <c r="A101" s="565" t="s">
        <v>1422</v>
      </c>
      <c r="B101" s="104">
        <f>Weather!B29-75</f>
        <v>15</v>
      </c>
      <c r="C101" s="104">
        <f>Weather!C29-75</f>
        <v>19</v>
      </c>
      <c r="D101" s="104">
        <f>Weather!D29-75</f>
        <v>32</v>
      </c>
      <c r="E101" s="104">
        <f>Weather!E29-75</f>
        <v>20</v>
      </c>
      <c r="F101" s="104">
        <f>Weather!F29-75</f>
        <v>23</v>
      </c>
      <c r="G101" s="104">
        <f>Weather!G29-75</f>
        <v>2</v>
      </c>
      <c r="H101" s="104">
        <f>Weather!H29-75</f>
        <v>16</v>
      </c>
      <c r="I101" s="104">
        <f>Weather!I29-75</f>
        <v>19</v>
      </c>
      <c r="J101" s="104">
        <f>Weather!J29-75</f>
        <v>13</v>
      </c>
      <c r="K101" s="104">
        <f>Weather!K29-75</f>
        <v>16</v>
      </c>
      <c r="L101" s="104">
        <f>Weather!L29-75</f>
        <v>19</v>
      </c>
      <c r="M101" s="104">
        <f>Weather!M29-75</f>
        <v>10</v>
      </c>
      <c r="N101" s="104">
        <f>Weather!N29-75</f>
        <v>13</v>
      </c>
      <c r="O101" s="104">
        <f>Weather!O29-75</f>
        <v>7</v>
      </c>
      <c r="P101" s="104">
        <f>Weather!P29-75</f>
        <v>3</v>
      </c>
      <c r="Q101" s="104">
        <f>Weather!Q29-75</f>
        <v>18</v>
      </c>
      <c r="R101" s="89">
        <f>Weather!R29-75</f>
        <v>17</v>
      </c>
    </row>
    <row r="102" spans="1:20" s="305" customFormat="1" ht="15" customHeight="1"/>
    <row r="103" spans="1:20" s="305" customFormat="1" ht="15" customHeight="1">
      <c r="A103" s="563" t="s">
        <v>1380</v>
      </c>
      <c r="B103" s="114"/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2"/>
    </row>
    <row r="104" spans="1:20" s="305" customFormat="1" ht="15" customHeight="1">
      <c r="A104" s="564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228"/>
    </row>
    <row r="105" spans="1:20" ht="15" customHeight="1">
      <c r="A105" s="566" t="s">
        <v>258</v>
      </c>
      <c r="B105" s="87">
        <f>(1/UA!F6)*UA!$B$6*UA!$C$6*10.7639+(1/UA!F9*UA!$B$9*UA!$C$9*10.7639)</f>
        <v>121.89326315423379</v>
      </c>
      <c r="C105" s="87">
        <f>(1/UA!G6)*UA!$B$6*UA!$C$6*10.7639+(1/UA!G9*UA!$B$9*UA!$C$9*10.7639)</f>
        <v>121.89326315423379</v>
      </c>
      <c r="D105" s="87">
        <f>(1/UA!H6)*UA!$B$6*UA!$C$6*10.7639+(1/UA!H9*UA!$B$9*UA!$C$9*10.7639)</f>
        <v>121.89326315423379</v>
      </c>
      <c r="E105" s="87">
        <f>(1/UA!I6)*UA!$B$6*UA!$C$6*10.7639+(1/UA!I9*UA!$B$9*UA!$C$9*10.7639)</f>
        <v>82.030618641957972</v>
      </c>
      <c r="F105" s="87">
        <f>(1/UA!J6)*UA!$B$6*UA!$C$6*10.7639+(1/UA!J9*UA!$B$9*UA!$C$9*10.7639)</f>
        <v>82.030618641957972</v>
      </c>
      <c r="G105" s="87">
        <f>(1/UA!K6)*UA!$B$6*UA!$C$6*10.7639+(1/UA!K9*UA!$B$9*UA!$C$9*10.7639)</f>
        <v>82.030618641957972</v>
      </c>
      <c r="H105" s="87">
        <f>(1/UA!L6)*UA!$B$6*UA!$C$6*10.7639+(1/UA!L9*UA!$B$9*UA!$C$9*10.7639)</f>
        <v>82.030618641957972</v>
      </c>
      <c r="I105" s="87">
        <f>(1/UA!M6)*UA!$B$6*UA!$C$6*10.7639+(1/UA!M9*UA!$B$9*UA!$C$9*10.7639)</f>
        <v>82.030618641957972</v>
      </c>
      <c r="J105" s="87">
        <f>(1/UA!N6)*UA!$B$6*UA!$C$6*10.7639+(1/UA!N9*UA!$B$9*UA!$C$9*10.7639)</f>
        <v>82.030618641957972</v>
      </c>
      <c r="K105" s="87">
        <f>(1/UA!O6)*UA!$B$6*UA!$C$6*10.7639+(1/UA!O9*UA!$B$9*UA!$C$9*10.7639)</f>
        <v>82.030618641957972</v>
      </c>
      <c r="L105" s="87">
        <f>(1/UA!P6)*UA!$B$6*UA!$C$6*10.7639+(1/UA!P9*UA!$B$9*UA!$C$9*10.7639)</f>
        <v>82.030618641957972</v>
      </c>
      <c r="M105" s="87">
        <f>(1/UA!Q6)*UA!$B$6*UA!$C$6*10.7639+(1/UA!Q9*UA!$B$9*UA!$C$9*10.7639)</f>
        <v>67.224493537398374</v>
      </c>
      <c r="N105" s="87">
        <f>(1/UA!R6)*UA!$B$6*UA!$C$6*10.7639+(1/UA!R9*UA!$B$9*UA!$C$9*10.7639)</f>
        <v>67.224493537398374</v>
      </c>
      <c r="O105" s="87">
        <f>(1/UA!S6)*UA!$B$6*UA!$C$6*10.7639+(1/UA!S9*UA!$B$9*UA!$C$9*10.7639)</f>
        <v>67.224493537398374</v>
      </c>
      <c r="P105" s="87">
        <f>(1/UA!T6)*UA!$B$6*UA!$C$6*10.7639+(1/UA!T9*UA!$B$9*UA!$C$9*10.7639)</f>
        <v>67.224493537398374</v>
      </c>
      <c r="Q105" s="87">
        <f>(1/UA!U6)*UA!$B$6*UA!$C$6*10.7639+(1/UA!U9*UA!$B$9*UA!$C$9*10.7639)</f>
        <v>121.89326315423379</v>
      </c>
      <c r="R105" s="228">
        <f>(1/UA!V6)*UA!$B$6*UA!$C$6*10.7639+(1/UA!V9*UA!$B$9*UA!$C$9*10.7639)</f>
        <v>82.030618641957972</v>
      </c>
    </row>
    <row r="106" spans="1:20" ht="15" customHeight="1">
      <c r="A106" s="566" t="s">
        <v>260</v>
      </c>
      <c r="B106" s="87">
        <f>(1/UA!F7)*UA!$B$7*UA!$C$7*10.7639</f>
        <v>258.23030961559999</v>
      </c>
      <c r="C106" s="87">
        <f>(1/UA!G7)*UA!$B$7*UA!$C$7*10.7639</f>
        <v>258.23030961559999</v>
      </c>
      <c r="D106" s="87">
        <f>(1/UA!H7)*UA!$B$7*UA!$C$7*10.7639</f>
        <v>258.23030961559999</v>
      </c>
      <c r="E106" s="87">
        <f>(1/UA!I7)*UA!$B$7*UA!$C$7*10.7639</f>
        <v>193.67273221169998</v>
      </c>
      <c r="F106" s="87">
        <f>(1/UA!J7)*UA!$B$7*UA!$C$7*10.7639</f>
        <v>193.67273221169998</v>
      </c>
      <c r="G106" s="87">
        <f>(1/UA!K7)*UA!$B$7*UA!$C$7*10.7639</f>
        <v>193.67273221169998</v>
      </c>
      <c r="H106" s="87">
        <f>(1/UA!L7)*UA!$B$7*UA!$C$7*10.7639</f>
        <v>193.67273221169998</v>
      </c>
      <c r="I106" s="87">
        <f>(1/UA!M7)*UA!$B$7*UA!$C$7*10.7639</f>
        <v>193.67273221169998</v>
      </c>
      <c r="J106" s="87">
        <f>(1/UA!N7)*UA!$B$7*UA!$C$7*10.7639</f>
        <v>174.30545899053001</v>
      </c>
      <c r="K106" s="87">
        <f>(1/UA!O7)*UA!$B$7*UA!$C$7*10.7639</f>
        <v>174.30545899053001</v>
      </c>
      <c r="L106" s="87">
        <f>(1/UA!P7)*UA!$B$7*UA!$C$7*10.7639</f>
        <v>174.30545899053001</v>
      </c>
      <c r="M106" s="87">
        <f>(1/UA!Q7)*UA!$B$7*UA!$C$7*10.7639</f>
        <v>174.30545899053001</v>
      </c>
      <c r="N106" s="87">
        <f>(1/UA!R7)*UA!$B$7*UA!$C$7*10.7639</f>
        <v>174.30545899053001</v>
      </c>
      <c r="O106" s="87">
        <f>(1/UA!S7)*UA!$B$7*UA!$C$7*10.7639</f>
        <v>174.30545899053001</v>
      </c>
      <c r="P106" s="87">
        <f>(1/UA!T7)*UA!$B$7*UA!$C$7*10.7639</f>
        <v>174.30545899053001</v>
      </c>
      <c r="Q106" s="87">
        <f>(1/UA!U7)*UA!$B$7*UA!$C$7*10.7639</f>
        <v>258.23030961559999</v>
      </c>
      <c r="R106" s="228">
        <f>(1/UA!V7)*UA!$B$7*UA!$C$7*10.7639</f>
        <v>193.67273221169998</v>
      </c>
    </row>
    <row r="107" spans="1:20" ht="15" customHeight="1">
      <c r="A107" s="566" t="s">
        <v>261</v>
      </c>
      <c r="B107" s="87">
        <f>(1/UA!F8)*UA!$B$8*UA!$C$8*10.7639</f>
        <v>248.29837463038459</v>
      </c>
      <c r="C107" s="87">
        <f>(1/UA!G8)*UA!$B$8*UA!$C$8*10.7639</f>
        <v>248.29837463038459</v>
      </c>
      <c r="D107" s="87">
        <f>(1/UA!H8)*UA!$B$8*UA!$C$8*10.7639</f>
        <v>248.29837463038459</v>
      </c>
      <c r="E107" s="87">
        <f>(1/UA!I8)*UA!$B$8*UA!$C$8*10.7639</f>
        <v>169.88836158921049</v>
      </c>
      <c r="F107" s="87">
        <f>(1/UA!J8)*UA!$B$8*UA!$C$8*10.7639</f>
        <v>169.88836158921049</v>
      </c>
      <c r="G107" s="87">
        <f>(1/UA!K8)*UA!$B$8*UA!$C$8*10.7639</f>
        <v>169.88836158921049</v>
      </c>
      <c r="H107" s="87">
        <f>(1/UA!L8)*UA!$B$8*UA!$C$8*10.7639</f>
        <v>169.88836158921049</v>
      </c>
      <c r="I107" s="87">
        <f>(1/UA!M8)*UA!$B$8*UA!$C$8*10.7639</f>
        <v>169.88836158921049</v>
      </c>
      <c r="J107" s="87">
        <f>(1/UA!N8)*UA!$B$8*UA!$C$8*10.7639</f>
        <v>107.59596233983332</v>
      </c>
      <c r="K107" s="87">
        <f>(1/UA!O8)*UA!$B$8*UA!$C$8*10.7639</f>
        <v>107.59596233983332</v>
      </c>
      <c r="L107" s="87">
        <f>(1/UA!P8)*UA!$B$8*UA!$C$8*10.7639</f>
        <v>107.59596233983332</v>
      </c>
      <c r="M107" s="87">
        <f>(1/UA!Q8)*UA!$B$8*UA!$C$8*10.7639</f>
        <v>107.59596233983332</v>
      </c>
      <c r="N107" s="87">
        <f>(1/UA!R8)*UA!$B$8*UA!$C$8*10.7639</f>
        <v>107.59596233983332</v>
      </c>
      <c r="O107" s="87">
        <f>(1/UA!S8)*UA!$B$8*UA!$C$8*10.7639</f>
        <v>84.944180794605245</v>
      </c>
      <c r="P107" s="87">
        <f>(1/UA!T8)*UA!$B$8*UA!$C$8*10.7639</f>
        <v>84.944180794605245</v>
      </c>
      <c r="Q107" s="87">
        <f>(1/UA!U8)*UA!$B$8*UA!$C$8*10.7639</f>
        <v>248.29837463038459</v>
      </c>
      <c r="R107" s="228">
        <f>(1/UA!V8)*UA!$B$8*UA!$C$8*10.7639</f>
        <v>169.88836158921049</v>
      </c>
    </row>
    <row r="108" spans="1:20" ht="15" customHeight="1">
      <c r="A108" s="567" t="s">
        <v>1353</v>
      </c>
      <c r="B108" s="87">
        <f>(1/UA!F20+UA!$B$20)*planareaSI*10.7639</f>
        <v>172.15353974373329</v>
      </c>
      <c r="C108" s="87">
        <f>(1/UA!G20+UA!$B$20)*planareaSI*10.7639</f>
        <v>149.50175819850526</v>
      </c>
      <c r="D108" s="87">
        <f>(1/UA!H20+UA!$B$20)*planareaSI*10.7639</f>
        <v>149.50175819850526</v>
      </c>
      <c r="E108" s="87">
        <f>(1/UA!I20+UA!$B$20)*planareaSI*10.7639</f>
        <v>149.50175819850526</v>
      </c>
      <c r="F108" s="87">
        <f>(1/UA!J20+UA!$B$20)*planareaSI*10.7639</f>
        <v>149.50175819850526</v>
      </c>
      <c r="G108" s="87">
        <f>(1/UA!K20+UA!$B$20)*planareaSI*10.7639</f>
        <v>149.50175819850526</v>
      </c>
      <c r="H108" s="87">
        <f>(1/UA!L20+UA!$B$20)*planareaSI*10.7639</f>
        <v>130.43265638747141</v>
      </c>
      <c r="I108" s="87">
        <f>(1/UA!M20+UA!$B$20)*planareaSI*10.7639</f>
        <v>130.43265638747141</v>
      </c>
      <c r="J108" s="87">
        <f>(1/UA!N20+UA!$B$20)*planareaSI*10.7639</f>
        <v>130.43265638747141</v>
      </c>
      <c r="K108" s="87">
        <f>(1/UA!O20+UA!$B$20)*planareaSI*10.7639</f>
        <v>130.43265638747141</v>
      </c>
      <c r="L108" s="87">
        <f>(1/UA!P20+UA!$B$20)*planareaSI*10.7639</f>
        <v>130.43265638747141</v>
      </c>
      <c r="M108" s="87">
        <f>(1/UA!Q20+UA!$B$20)*planareaSI*10.7639</f>
        <v>130.43265638747141</v>
      </c>
      <c r="N108" s="87">
        <f>(1/UA!R20+UA!$B$20)*planareaSI*10.7639</f>
        <v>130.43265638747141</v>
      </c>
      <c r="O108" s="87">
        <f>(1/UA!S20+UA!$B$20)*planareaSI*10.7639</f>
        <v>130.43265638747141</v>
      </c>
      <c r="P108" s="87">
        <f>(1/UA!T20+UA!$B$20)*planareaSI*10.7639</f>
        <v>130.43265638747141</v>
      </c>
      <c r="Q108" s="87">
        <f>(1/UA!U20+UA!$B$20)*planareaSI*10.7639</f>
        <v>149.50175819850526</v>
      </c>
      <c r="R108" s="228">
        <f>(1/UA!V20+UA!$B$20)*planareaSI*10.7639</f>
        <v>149.50175819850526</v>
      </c>
    </row>
    <row r="109" spans="1:20" ht="15" customHeight="1">
      <c r="A109" s="567" t="s">
        <v>1366</v>
      </c>
      <c r="B109" s="87">
        <f>SUM(B105:B108)</f>
        <v>800.5754871439517</v>
      </c>
      <c r="C109" s="87">
        <f t="shared" ref="C109:M109" si="17">SUM(C105:C108)</f>
        <v>777.9237055987237</v>
      </c>
      <c r="D109" s="87">
        <f t="shared" si="17"/>
        <v>777.9237055987237</v>
      </c>
      <c r="E109" s="87">
        <f t="shared" si="17"/>
        <v>595.09347064137376</v>
      </c>
      <c r="F109" s="87">
        <f t="shared" si="17"/>
        <v>595.09347064137376</v>
      </c>
      <c r="G109" s="87">
        <f t="shared" si="17"/>
        <v>595.09347064137376</v>
      </c>
      <c r="H109" s="87">
        <f t="shared" si="17"/>
        <v>576.02436883033988</v>
      </c>
      <c r="I109" s="87">
        <f t="shared" si="17"/>
        <v>576.02436883033988</v>
      </c>
      <c r="J109" s="87">
        <f t="shared" si="17"/>
        <v>494.36469635979273</v>
      </c>
      <c r="K109" s="87">
        <f t="shared" si="17"/>
        <v>494.36469635979273</v>
      </c>
      <c r="L109" s="87">
        <f t="shared" si="17"/>
        <v>494.36469635979273</v>
      </c>
      <c r="M109" s="87">
        <f t="shared" si="17"/>
        <v>479.55857125523312</v>
      </c>
      <c r="N109" s="87">
        <f t="shared" ref="N109" si="18">SUM(N105:N108)</f>
        <v>479.55857125523312</v>
      </c>
      <c r="O109" s="87">
        <f t="shared" ref="O109" si="19">SUM(O105:O108)</f>
        <v>456.90678971000506</v>
      </c>
      <c r="P109" s="87">
        <f t="shared" ref="P109" si="20">SUM(P105:P108)</f>
        <v>456.90678971000506</v>
      </c>
      <c r="Q109" s="87">
        <f t="shared" ref="Q109" si="21">SUM(Q105:Q108)</f>
        <v>777.9237055987237</v>
      </c>
      <c r="R109" s="228">
        <f t="shared" ref="R109" si="22">SUM(R105:R108)</f>
        <v>595.09347064137376</v>
      </c>
    </row>
    <row r="110" spans="1:20" s="305" customFormat="1" ht="15" customHeight="1">
      <c r="A110" s="568" t="s">
        <v>1403</v>
      </c>
      <c r="B110" s="578">
        <f>B109*B100</f>
        <v>18413.236204310888</v>
      </c>
      <c r="C110" s="578">
        <f t="shared" ref="C110:M110" si="23">C109*C100</f>
        <v>29561.100812751502</v>
      </c>
      <c r="D110" s="578">
        <f t="shared" si="23"/>
        <v>28005.253401554051</v>
      </c>
      <c r="E110" s="578">
        <f t="shared" si="23"/>
        <v>30944.860473351437</v>
      </c>
      <c r="F110" s="578">
        <f t="shared" si="23"/>
        <v>27374.299649503191</v>
      </c>
      <c r="G110" s="578">
        <f t="shared" si="23"/>
        <v>19042.99106052396</v>
      </c>
      <c r="H110" s="578">
        <f t="shared" si="23"/>
        <v>32833.389023329371</v>
      </c>
      <c r="I110" s="578">
        <f t="shared" si="23"/>
        <v>31105.315916838354</v>
      </c>
      <c r="J110" s="578">
        <f t="shared" si="23"/>
        <v>23235.140728910257</v>
      </c>
      <c r="K110" s="578">
        <f t="shared" si="23"/>
        <v>34605.528745185489</v>
      </c>
      <c r="L110" s="578">
        <f t="shared" si="23"/>
        <v>29661.881781587563</v>
      </c>
      <c r="M110" s="578">
        <f t="shared" si="23"/>
        <v>36926.009986652949</v>
      </c>
      <c r="N110" s="578">
        <f t="shared" ref="N110" si="24">N109*N100</f>
        <v>41242.037127950047</v>
      </c>
      <c r="O110" s="578">
        <f t="shared" ref="O110" si="25">O109*O100</f>
        <v>39293.983915060438</v>
      </c>
      <c r="P110" s="578">
        <f t="shared" ref="P110" si="26">P109*P100</f>
        <v>53458.094396070592</v>
      </c>
      <c r="Q110" s="578">
        <f t="shared" ref="Q110" si="27">Q109*Q100</f>
        <v>24893.558579159158</v>
      </c>
      <c r="R110" s="579">
        <f t="shared" ref="R110" si="28">R109*R100</f>
        <v>24993.925766937697</v>
      </c>
    </row>
    <row r="111" spans="1:20" s="305" customFormat="1" ht="15" customHeight="1"/>
    <row r="112" spans="1:20" s="305" customFormat="1" ht="15" customHeight="1"/>
    <row r="113" spans="1:18" s="305" customFormat="1" ht="15" customHeight="1">
      <c r="A113" s="563" t="s">
        <v>1354</v>
      </c>
      <c r="B113" s="114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2"/>
    </row>
    <row r="114" spans="1:18" s="305" customFormat="1" ht="15" customHeight="1">
      <c r="A114" s="564"/>
      <c r="B114" s="87"/>
      <c r="C114" s="87"/>
      <c r="D114" s="87"/>
      <c r="E114" s="87">
        <f>IF(Stories=1,1.6,IF(Stories=2,2,2.3))*Leakage!H31*1550</f>
        <v>110.67001845238094</v>
      </c>
      <c r="F114" s="87">
        <f>IF(Stories=1,0.6,IF(Stories=2,0.7,0.8))*Leakage!H31*1550</f>
        <v>41.501256919642856</v>
      </c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228"/>
    </row>
    <row r="115" spans="1:18" ht="15" customHeight="1">
      <c r="A115" s="564" t="s">
        <v>1354</v>
      </c>
      <c r="B115" s="87">
        <f>2.11888*Fans!B9</f>
        <v>27.556773967329821</v>
      </c>
      <c r="C115" s="87">
        <f>2.11888*Fans!C9</f>
        <v>28.228890405557383</v>
      </c>
      <c r="D115" s="87">
        <f>2.11888*Fans!D9</f>
        <v>28.901006843784938</v>
      </c>
      <c r="E115" s="87">
        <f>2.11888*Fans!E9</f>
        <v>25.764463465389671</v>
      </c>
      <c r="F115" s="87">
        <f>2.11888*Fans!F9</f>
        <v>26.884657529102267</v>
      </c>
      <c r="G115" s="87">
        <f>2.11888*Fans!G9</f>
        <v>33.605821911377838</v>
      </c>
      <c r="H115" s="87">
        <f>2.11888*Fans!H9</f>
        <v>28.004851592814859</v>
      </c>
      <c r="I115" s="87">
        <f>2.11888*Fans!I9</f>
        <v>30.245239720240054</v>
      </c>
      <c r="J115" s="87">
        <f>2.11888*Fans!J9</f>
        <v>30.805336752096348</v>
      </c>
      <c r="K115" s="87">
        <f>2.11888*Fans!K9</f>
        <v>26.884657529102256</v>
      </c>
      <c r="L115" s="87">
        <f>2.11888*Fans!L9</f>
        <v>25.092347027162113</v>
      </c>
      <c r="M115" s="87">
        <f>2.11888*Fans!M9</f>
        <v>27.332735154587301</v>
      </c>
      <c r="N115" s="87">
        <f>2.11888*Fans!N9</f>
        <v>28.228890405557372</v>
      </c>
      <c r="O115" s="87">
        <f>2.11888*Fans!O9</f>
        <v>31.365433783952636</v>
      </c>
      <c r="P115" s="87">
        <f>2.11888*Fans!P9</f>
        <v>23.524075337964486</v>
      </c>
      <c r="Q115" s="87">
        <f>2.11888*Fans!Q9</f>
        <v>25.540424652647157</v>
      </c>
      <c r="R115" s="228">
        <f>2.11888*Fans!R9</f>
        <v>24.084172369820781</v>
      </c>
    </row>
    <row r="116" spans="1:18" ht="15" customHeight="1">
      <c r="A116" s="564" t="s">
        <v>1367</v>
      </c>
      <c r="B116" s="87">
        <f>B115/(B115+Fans!B10*2.11888)</f>
        <v>0.18815686023880515</v>
      </c>
      <c r="C116" s="87">
        <f>C115/(C115+Fans!C10*2.11888)</f>
        <v>0.19225758192301495</v>
      </c>
      <c r="D116" s="87">
        <f>D115/(D115+Fans!D10*2.11888)</f>
        <v>0.1963472144119198</v>
      </c>
      <c r="E116" s="87">
        <f>E115/(E115+Fans!E10*2.11888)</f>
        <v>0.17716208003639716</v>
      </c>
      <c r="F116" s="87">
        <f>F115/(F115+Fans!F10*2.11888)</f>
        <v>0.18404435579138029</v>
      </c>
      <c r="G116" s="87">
        <f>G115/(G115+Fans!G10*2.11888)</f>
        <v>0.22472037755945512</v>
      </c>
      <c r="H116" s="87">
        <f>H115/(H115+Fans!H10*2.11888)</f>
        <v>0.19089194086389893</v>
      </c>
      <c r="I116" s="87">
        <f>I115/(I115+Fans!I10*2.11888)</f>
        <v>0.20449593559395352</v>
      </c>
      <c r="J116" s="87">
        <f>J115/(J115+Fans!J10*2.11888)</f>
        <v>0.20788022630363434</v>
      </c>
      <c r="K116" s="87">
        <f>K115/(K115+Fans!K10*2.11888)</f>
        <v>0.18404435579138023</v>
      </c>
      <c r="L116" s="87">
        <f>L115/(L115+Fans!L10*2.11888)</f>
        <v>0.173014681464846</v>
      </c>
      <c r="M116" s="87">
        <f>M115/(M115+Fans!M10*2.11888)</f>
        <v>0.18678736917169295</v>
      </c>
      <c r="N116" s="87">
        <f>N115/(N115+Fans!N10*2.11888)</f>
        <v>0.19225758192301487</v>
      </c>
      <c r="O116" s="87">
        <f>O115/(O115+Fans!O10*2.11888)</f>
        <v>0.21125859984826201</v>
      </c>
      <c r="P116" s="87">
        <f>P115/(P115+Fans!P10*2.11888)</f>
        <v>0.16328004298018636</v>
      </c>
      <c r="Q116" s="87">
        <f>Q115/(Q115+Fans!Q10*2.11888)</f>
        <v>0.17578117053316994</v>
      </c>
      <c r="R116" s="228">
        <f>R115/(R115+Fans!R10*2.11888)</f>
        <v>0.16676631139276318</v>
      </c>
    </row>
    <row r="117" spans="1:18" ht="15" customHeight="1">
      <c r="A117" s="564" t="s">
        <v>1368</v>
      </c>
      <c r="B117" s="87">
        <f>(Fans!B10*2.118888)+(HVAC!B116*HVAC!B115)</f>
        <v>124.08505816172557</v>
      </c>
      <c r="C117" s="87">
        <f>(Fans!C10*2.118888)+(HVAC!C116*HVAC!C115)</f>
        <v>124.02726538225293</v>
      </c>
      <c r="D117" s="87">
        <f>(Fans!D10*2.118888)+(HVAC!D116*HVAC!D115)</f>
        <v>123.96743516356609</v>
      </c>
      <c r="E117" s="87">
        <f>(Fans!E10*2.118888)+(HVAC!E116*HVAC!E115)</f>
        <v>124.22924469892185</v>
      </c>
      <c r="F117" s="87">
        <f>(Fans!F10*2.118888)+(HVAC!F116*HVAC!F115)</f>
        <v>124.14081721533961</v>
      </c>
      <c r="G117" s="87">
        <f>(Fans!G10*2.118888)+(HVAC!G116*HVAC!G115)</f>
        <v>123.49158688338079</v>
      </c>
      <c r="H117" s="87">
        <f>(Fans!H10*2.118888)+(HVAC!H116*HVAC!H115)</f>
        <v>124.04675587320688</v>
      </c>
      <c r="I117" s="87">
        <f>(Fans!I10*2.118888)+(HVAC!I116*HVAC!I115)</f>
        <v>123.84165535147002</v>
      </c>
      <c r="J117" s="87">
        <f>(Fans!J10*2.118888)+(HVAC!J116*HVAC!J115)</f>
        <v>123.78683914762614</v>
      </c>
      <c r="K117" s="87">
        <f>(Fans!K10*2.118888)+(HVAC!K116*HVAC!K115)</f>
        <v>124.14081721533962</v>
      </c>
      <c r="L117" s="87">
        <f>(Fans!L10*2.118888)+(HVAC!L116*HVAC!L115)</f>
        <v>124.2796107672568</v>
      </c>
      <c r="M117" s="87">
        <f>(Fans!M10*2.118888)+(HVAC!M116*HVAC!M115)</f>
        <v>124.10387025364938</v>
      </c>
      <c r="N117" s="87">
        <f>(Fans!N10*2.118888)+(HVAC!N116*HVAC!N115)</f>
        <v>124.02726538225292</v>
      </c>
      <c r="O117" s="87">
        <f>(Fans!O10*2.118888)+(HVAC!O116*HVAC!O115)</f>
        <v>123.7306080816896</v>
      </c>
      <c r="P117" s="87">
        <f>(Fans!P10*2.118888)+(HVAC!P116*HVAC!P115)</f>
        <v>124.38934887383607</v>
      </c>
      <c r="Q117" s="87">
        <f>(Fans!Q10*2.118888)+(HVAC!Q116*HVAC!Q115)</f>
        <v>124.2462569474544</v>
      </c>
      <c r="R117" s="228">
        <f>(Fans!R10*2.118888)+(HVAC!R116*HVAC!R115)</f>
        <v>124.35140140535383</v>
      </c>
    </row>
    <row r="118" spans="1:18" ht="15" customHeight="1">
      <c r="A118" s="564" t="s">
        <v>1369</v>
      </c>
      <c r="B118" s="87">
        <f>B117*60/(V_houseSI*35.3147)</f>
        <v>0.28120797594010427</v>
      </c>
      <c r="C118" s="87">
        <f>C117*60/(V_houseSI*35.3147)</f>
        <v>0.28107700295447474</v>
      </c>
      <c r="D118" s="87">
        <f>D117*60/(V_houseSI*35.3147)</f>
        <v>0.28094141261873062</v>
      </c>
      <c r="E118" s="87">
        <f>E117*60/(V_houseSI*35.3147)</f>
        <v>0.28153473892739267</v>
      </c>
      <c r="F118" s="87">
        <f>F117*60/(V_houseSI*35.3147)</f>
        <v>0.28133433999101765</v>
      </c>
      <c r="G118" s="87">
        <f>G117*60/(V_houseSI*35.3147)</f>
        <v>0.27986302063739243</v>
      </c>
      <c r="H118" s="87">
        <f>H117*60/(V_houseSI*35.3147)</f>
        <v>0.28112117331303715</v>
      </c>
      <c r="I118" s="87">
        <f>I117*60/(V_houseSI*35.3147)</f>
        <v>0.28065636390377924</v>
      </c>
      <c r="J118" s="87">
        <f>J117*60/(V_houseSI*35.3147)</f>
        <v>0.28053213658777504</v>
      </c>
      <c r="K118" s="87">
        <f>K117*60/(V_houseSI*35.3147)</f>
        <v>0.2813343399910177</v>
      </c>
      <c r="L118" s="87">
        <f>L117*60/(V_houseSI*35.3147)</f>
        <v>0.28164888111616504</v>
      </c>
      <c r="M118" s="87">
        <f>M117*60/(V_houseSI*35.3147)</f>
        <v>0.28125060887570075</v>
      </c>
      <c r="N118" s="87">
        <f>N117*60/(V_houseSI*35.3147)</f>
        <v>0.28107700295447474</v>
      </c>
      <c r="O118" s="87">
        <f>O117*60/(V_houseSI*35.3147)</f>
        <v>0.28040470283812596</v>
      </c>
      <c r="P118" s="87">
        <f>P117*60/(V_houseSI*35.3147)</f>
        <v>0.28189757528846771</v>
      </c>
      <c r="Q118" s="87">
        <f>Q117*60/(V_houseSI*35.3147)</f>
        <v>0.28157329296481587</v>
      </c>
      <c r="R118" s="228">
        <f>R117*60/(V_houseSI*35.3147)</f>
        <v>0.28181157677291691</v>
      </c>
    </row>
    <row r="119" spans="1:18" s="305" customFormat="1" ht="15" customHeight="1">
      <c r="A119" s="564" t="s">
        <v>1370</v>
      </c>
      <c r="B119" s="576">
        <f>1.1*B117*B100</f>
        <v>3139.351971491657</v>
      </c>
      <c r="C119" s="576">
        <f t="shared" ref="C119:R119" si="29">1.1*C117*C100</f>
        <v>5184.3396929781729</v>
      </c>
      <c r="D119" s="576">
        <f t="shared" si="29"/>
        <v>4909.1104324772168</v>
      </c>
      <c r="E119" s="576">
        <f t="shared" si="29"/>
        <v>7105.9127967783306</v>
      </c>
      <c r="F119" s="576">
        <f t="shared" si="29"/>
        <v>6281.5253510961838</v>
      </c>
      <c r="G119" s="576">
        <f t="shared" si="29"/>
        <v>4346.9038582950043</v>
      </c>
      <c r="H119" s="576">
        <f t="shared" si="29"/>
        <v>7777.7315932500715</v>
      </c>
      <c r="I119" s="576">
        <f t="shared" si="29"/>
        <v>7356.1943278773206</v>
      </c>
      <c r="J119" s="576">
        <f t="shared" si="29"/>
        <v>6399.7795839322716</v>
      </c>
      <c r="K119" s="576">
        <f t="shared" si="29"/>
        <v>9558.8429255811516</v>
      </c>
      <c r="L119" s="576">
        <f t="shared" si="29"/>
        <v>8202.4543106389501</v>
      </c>
      <c r="M119" s="576">
        <f t="shared" si="29"/>
        <v>10511.597810484102</v>
      </c>
      <c r="N119" s="576">
        <f t="shared" si="29"/>
        <v>11732.979305161127</v>
      </c>
      <c r="O119" s="576">
        <f t="shared" si="29"/>
        <v>11704.915524527836</v>
      </c>
      <c r="P119" s="576">
        <f t="shared" si="29"/>
        <v>16008.909200062704</v>
      </c>
      <c r="Q119" s="576">
        <f t="shared" si="29"/>
        <v>4373.468244550395</v>
      </c>
      <c r="R119" s="577">
        <f t="shared" si="29"/>
        <v>5745.0347449273468</v>
      </c>
    </row>
    <row r="120" spans="1:18" ht="15" customHeight="1">
      <c r="A120" s="564" t="s">
        <v>1354</v>
      </c>
      <c r="B120" s="87">
        <f>2.11888*Fans!B9</f>
        <v>27.556773967329821</v>
      </c>
      <c r="C120" s="87">
        <f>2.11888*Fans!C9</f>
        <v>28.228890405557383</v>
      </c>
      <c r="D120" s="87">
        <f>2.11888*Fans!D9</f>
        <v>28.901006843784938</v>
      </c>
      <c r="E120" s="87">
        <f>2.11888*Fans!E9</f>
        <v>25.764463465389671</v>
      </c>
      <c r="F120" s="87">
        <f>2.11888*Fans!F9</f>
        <v>26.884657529102267</v>
      </c>
      <c r="G120" s="87">
        <f>2.11888*Fans!G9</f>
        <v>33.605821911377838</v>
      </c>
      <c r="H120" s="87">
        <f>2.11888*Fans!H9</f>
        <v>28.004851592814859</v>
      </c>
      <c r="I120" s="87">
        <f>2.11888*Fans!I9</f>
        <v>30.245239720240054</v>
      </c>
      <c r="J120" s="87">
        <f>2.11888*Fans!J9</f>
        <v>30.805336752096348</v>
      </c>
      <c r="K120" s="87">
        <f>2.11888*Fans!K9</f>
        <v>26.884657529102256</v>
      </c>
      <c r="L120" s="87">
        <f>2.11888*Fans!L9</f>
        <v>25.092347027162113</v>
      </c>
      <c r="M120" s="87">
        <f>2.11888*Fans!M9</f>
        <v>27.332735154587301</v>
      </c>
      <c r="N120" s="87">
        <f>2.11888*Fans!N9</f>
        <v>28.228890405557372</v>
      </c>
      <c r="O120" s="87">
        <f>2.11888*Fans!O9</f>
        <v>31.365433783952636</v>
      </c>
      <c r="P120" s="87">
        <f>2.11888*Fans!P9</f>
        <v>23.524075337964486</v>
      </c>
      <c r="Q120" s="87">
        <f>2.11888*Fans!Q9</f>
        <v>25.540424652647157</v>
      </c>
      <c r="R120" s="228">
        <f>2.11888*Fans!R9</f>
        <v>24.084172369820781</v>
      </c>
    </row>
    <row r="121" spans="1:18" ht="15" customHeight="1">
      <c r="A121" s="564" t="s">
        <v>1367</v>
      </c>
      <c r="B121" s="87">
        <f>B120/(B120+Fans!B10*2.11888)</f>
        <v>0.18815686023880515</v>
      </c>
      <c r="C121" s="87">
        <f>C120/(C120+Fans!C10*2.11888)</f>
        <v>0.19225758192301495</v>
      </c>
      <c r="D121" s="87">
        <f>D120/(D120+Fans!D10*2.11888)</f>
        <v>0.1963472144119198</v>
      </c>
      <c r="E121" s="87">
        <f>E120/(E120+Fans!E10*2.11888)</f>
        <v>0.17716208003639716</v>
      </c>
      <c r="F121" s="87">
        <f>F120/(F120+Fans!F10*2.11888)</f>
        <v>0.18404435579138029</v>
      </c>
      <c r="G121" s="87">
        <f>G120/(G120+Fans!G10*2.11888)</f>
        <v>0.22472037755945512</v>
      </c>
      <c r="H121" s="87">
        <f>H120/(H120+Fans!H10*2.11888)</f>
        <v>0.19089194086389893</v>
      </c>
      <c r="I121" s="87">
        <f>I120/(I120+Fans!I10*2.11888)</f>
        <v>0.20449593559395352</v>
      </c>
      <c r="J121" s="87">
        <f>J120/(J120+Fans!J10*2.11888)</f>
        <v>0.20788022630363434</v>
      </c>
      <c r="K121" s="87">
        <f>K120/(K120+Fans!K10*2.11888)</f>
        <v>0.18404435579138023</v>
      </c>
      <c r="L121" s="87">
        <f>L120/(L120+Fans!L10*2.11888)</f>
        <v>0.173014681464846</v>
      </c>
      <c r="M121" s="87">
        <f>M120/(M120+Fans!M10*2.11888)</f>
        <v>0.18678736917169295</v>
      </c>
      <c r="N121" s="87">
        <f>N120/(N120+Fans!N10*2.11888)</f>
        <v>0.19225758192301487</v>
      </c>
      <c r="O121" s="87">
        <f>O120/(O120+Fans!O10*2.11888)</f>
        <v>0.21125859984826201</v>
      </c>
      <c r="P121" s="87">
        <f>P120/(P120+Fans!P10*2.11888)</f>
        <v>0.16328004298018636</v>
      </c>
      <c r="Q121" s="87">
        <f>Q120/(Q120+Fans!Q10*2.11888)</f>
        <v>0.17578117053316994</v>
      </c>
      <c r="R121" s="228">
        <f>R120/(R120+Fans!R10*2.11888)</f>
        <v>0.16676631139276318</v>
      </c>
    </row>
    <row r="122" spans="1:18" ht="15" customHeight="1">
      <c r="A122" s="564" t="s">
        <v>1368</v>
      </c>
      <c r="B122" s="87">
        <f>(Fans!B10*2.118888)+(HVAC!B121*HVAC!B120)</f>
        <v>124.08505816172557</v>
      </c>
      <c r="C122" s="87">
        <f>(Fans!C10*2.118888)+(HVAC!C121*HVAC!C120)</f>
        <v>124.02726538225293</v>
      </c>
      <c r="D122" s="87">
        <f>(Fans!D10*2.118888)+(HVAC!D121*HVAC!D120)</f>
        <v>123.96743516356609</v>
      </c>
      <c r="E122" s="87">
        <f>(Fans!E10*2.118888)+(HVAC!E121*HVAC!E120)</f>
        <v>124.22924469892185</v>
      </c>
      <c r="F122" s="87">
        <f>(Fans!F10*2.118888)+(HVAC!F121*HVAC!F120)</f>
        <v>124.14081721533961</v>
      </c>
      <c r="G122" s="87">
        <f>(Fans!G10*2.118888)+(HVAC!G121*HVAC!G120)</f>
        <v>123.49158688338079</v>
      </c>
      <c r="H122" s="87">
        <f>(Fans!H10*2.118888)+(HVAC!H121*HVAC!H120)</f>
        <v>124.04675587320688</v>
      </c>
      <c r="I122" s="87">
        <f>(Fans!I10*2.118888)+(HVAC!I121*HVAC!I120)</f>
        <v>123.84165535147002</v>
      </c>
      <c r="J122" s="87">
        <f>(Fans!J10*2.118888)+(HVAC!J121*HVAC!J120)</f>
        <v>123.78683914762614</v>
      </c>
      <c r="K122" s="87">
        <f>(Fans!K10*2.118888)+(HVAC!K121*HVAC!K120)</f>
        <v>124.14081721533962</v>
      </c>
      <c r="L122" s="87">
        <f>(Fans!L10*2.118888)+(HVAC!L121*HVAC!L120)</f>
        <v>124.2796107672568</v>
      </c>
      <c r="M122" s="87">
        <f>(Fans!M10*2.118888)+(HVAC!M121*HVAC!M120)</f>
        <v>124.10387025364938</v>
      </c>
      <c r="N122" s="87">
        <f>(Fans!N10*2.118888)+(HVAC!N121*HVAC!N120)</f>
        <v>124.02726538225292</v>
      </c>
      <c r="O122" s="87">
        <f>(Fans!O10*2.118888)+(HVAC!O121*HVAC!O120)</f>
        <v>123.7306080816896</v>
      </c>
      <c r="P122" s="87">
        <f>(Fans!P10*2.118888)+(HVAC!P121*HVAC!P120)</f>
        <v>124.38934887383607</v>
      </c>
      <c r="Q122" s="87">
        <f>(Fans!Q10*2.118888)+(HVAC!Q121*HVAC!Q120)</f>
        <v>124.2462569474544</v>
      </c>
      <c r="R122" s="228">
        <f>(Fans!R10*2.118888)+(HVAC!R121*HVAC!R120)</f>
        <v>124.35140140535383</v>
      </c>
    </row>
    <row r="123" spans="1:18" ht="15" customHeight="1">
      <c r="A123" s="564" t="s">
        <v>1369</v>
      </c>
      <c r="B123" s="87">
        <f>B122*60/(V_houseSI*35.3147)</f>
        <v>0.28120797594010427</v>
      </c>
      <c r="C123" s="87">
        <f>C122*60/(V_houseSI*35.3147)</f>
        <v>0.28107700295447474</v>
      </c>
      <c r="D123" s="87">
        <f>D122*60/(V_houseSI*35.3147)</f>
        <v>0.28094141261873062</v>
      </c>
      <c r="E123" s="87">
        <f>E122*60/(V_houseSI*35.3147)</f>
        <v>0.28153473892739267</v>
      </c>
      <c r="F123" s="87">
        <f>F122*60/(V_houseSI*35.3147)</f>
        <v>0.28133433999101765</v>
      </c>
      <c r="G123" s="87">
        <f>G122*60/(V_houseSI*35.3147)</f>
        <v>0.27986302063739243</v>
      </c>
      <c r="H123" s="87">
        <f>H122*60/(V_houseSI*35.3147)</f>
        <v>0.28112117331303715</v>
      </c>
      <c r="I123" s="87">
        <f>I122*60/(V_houseSI*35.3147)</f>
        <v>0.28065636390377924</v>
      </c>
      <c r="J123" s="87">
        <f>J122*60/(V_houseSI*35.3147)</f>
        <v>0.28053213658777504</v>
      </c>
      <c r="K123" s="87">
        <f>K122*60/(V_houseSI*35.3147)</f>
        <v>0.2813343399910177</v>
      </c>
      <c r="L123" s="87">
        <f>L122*60/(V_houseSI*35.3147)</f>
        <v>0.28164888111616504</v>
      </c>
      <c r="M123" s="87">
        <f>M122*60/(V_houseSI*35.3147)</f>
        <v>0.28125060887570075</v>
      </c>
      <c r="N123" s="87">
        <f>N122*60/(V_houseSI*35.3147)</f>
        <v>0.28107700295447474</v>
      </c>
      <c r="O123" s="87">
        <f>O122*60/(V_houseSI*35.3147)</f>
        <v>0.28040470283812596</v>
      </c>
      <c r="P123" s="87">
        <f>P122*60/(V_houseSI*35.3147)</f>
        <v>0.28189757528846771</v>
      </c>
      <c r="Q123" s="87">
        <f>Q122*60/(V_houseSI*35.3147)</f>
        <v>0.28157329296481587</v>
      </c>
      <c r="R123" s="228">
        <f>R122*60/(V_houseSI*35.3147)</f>
        <v>0.28181157677291691</v>
      </c>
    </row>
    <row r="124" spans="1:18" ht="15" customHeight="1">
      <c r="A124" s="564" t="s">
        <v>1371</v>
      </c>
      <c r="B124" s="576">
        <f>1.1*B122*B101</f>
        <v>2047.4034596684719</v>
      </c>
      <c r="C124" s="576">
        <f t="shared" ref="C124:R124" si="30">1.1*C122*C101</f>
        <v>2592.1698464890865</v>
      </c>
      <c r="D124" s="576">
        <f t="shared" si="30"/>
        <v>4363.6537177575265</v>
      </c>
      <c r="E124" s="576">
        <f t="shared" si="30"/>
        <v>2733.0433833762809</v>
      </c>
      <c r="F124" s="576">
        <f t="shared" si="30"/>
        <v>3140.7626755480919</v>
      </c>
      <c r="G124" s="576">
        <f t="shared" si="30"/>
        <v>271.68149114343777</v>
      </c>
      <c r="H124" s="576">
        <f t="shared" si="30"/>
        <v>2183.2229033684412</v>
      </c>
      <c r="I124" s="576">
        <f t="shared" si="30"/>
        <v>2588.2905968457239</v>
      </c>
      <c r="J124" s="576">
        <f t="shared" si="30"/>
        <v>1770.1517998110539</v>
      </c>
      <c r="K124" s="576">
        <f t="shared" si="30"/>
        <v>2184.8783829899776</v>
      </c>
      <c r="L124" s="576">
        <f t="shared" si="30"/>
        <v>2597.4438650356674</v>
      </c>
      <c r="M124" s="576">
        <f t="shared" si="30"/>
        <v>1365.1425727901433</v>
      </c>
      <c r="N124" s="576">
        <f t="shared" si="30"/>
        <v>1773.5898949662169</v>
      </c>
      <c r="O124" s="576">
        <f t="shared" si="30"/>
        <v>952.72568222900998</v>
      </c>
      <c r="P124" s="576">
        <f t="shared" si="30"/>
        <v>410.48485128365905</v>
      </c>
      <c r="Q124" s="576">
        <f t="shared" si="30"/>
        <v>2460.075887559597</v>
      </c>
      <c r="R124" s="577">
        <f t="shared" si="30"/>
        <v>2325.3712062801164</v>
      </c>
    </row>
    <row r="125" spans="1:18" ht="15" customHeight="1">
      <c r="A125" s="565" t="s">
        <v>1372</v>
      </c>
      <c r="B125" s="578">
        <f>0.68*B122*Weather!B31</f>
        <v>4134.5141379486959</v>
      </c>
      <c r="C125" s="578">
        <f>0.68*C122*Weather!C31</f>
        <v>3542.2186993171445</v>
      </c>
      <c r="D125" s="578">
        <f>0.68*D122*Weather!D31</f>
        <v>0</v>
      </c>
      <c r="E125" s="578">
        <f>0.68*E122*Weather!E31</f>
        <v>2787.7042510438064</v>
      </c>
      <c r="F125" s="578">
        <f>0.68*F122*Weather!F31</f>
        <v>0</v>
      </c>
      <c r="G125" s="578">
        <f>0.68*G122*Weather!G31</f>
        <v>0</v>
      </c>
      <c r="H125" s="578">
        <f>0.68*H122*Weather!H31</f>
        <v>2952.3127897823242</v>
      </c>
      <c r="I125" s="578">
        <f>0.68*I122*Weather!I31</f>
        <v>0</v>
      </c>
      <c r="J125" s="578">
        <f>0.68*J122*Weather!J31</f>
        <v>0</v>
      </c>
      <c r="K125" s="578">
        <f>0.68*K122*Weather!K31</f>
        <v>1941.5623812479121</v>
      </c>
      <c r="L125" s="578">
        <f>0.68*L122*Weather!L31</f>
        <v>0</v>
      </c>
      <c r="M125" s="578">
        <f>0.68*M122*Weather!M31</f>
        <v>1265.8594765872238</v>
      </c>
      <c r="N125" s="578">
        <f>0.68*N122*Weather!N31</f>
        <v>0</v>
      </c>
      <c r="O125" s="578">
        <f>0.68*O122*Weather!O31</f>
        <v>841.36813495548938</v>
      </c>
      <c r="P125" s="578">
        <f>0.68*P122*Weather!P31</f>
        <v>0</v>
      </c>
      <c r="Q125" s="578">
        <f>0.68*Q122*Weather!Q31</f>
        <v>3126.035824797953</v>
      </c>
      <c r="R125" s="579">
        <f>0.68*R122*Weather!R31</f>
        <v>4312.5066007376709</v>
      </c>
    </row>
    <row r="127" spans="1:18" s="305" customFormat="1" ht="15" customHeight="1">
      <c r="A127" s="563" t="s">
        <v>1404</v>
      </c>
      <c r="B127" s="114"/>
      <c r="C127" s="114"/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2"/>
    </row>
    <row r="128" spans="1:18" ht="15" customHeight="1">
      <c r="A128" s="564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228"/>
    </row>
    <row r="129" spans="1:21" ht="15" customHeight="1">
      <c r="A129" s="574" t="s">
        <v>1373</v>
      </c>
      <c r="B129" s="575" t="s">
        <v>1374</v>
      </c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228"/>
    </row>
    <row r="130" spans="1:21" ht="15" customHeight="1">
      <c r="A130" s="564" t="s">
        <v>1375</v>
      </c>
      <c r="B130" s="87">
        <v>10</v>
      </c>
      <c r="C130" s="87">
        <v>10</v>
      </c>
      <c r="D130" s="87">
        <v>15</v>
      </c>
      <c r="E130" s="87">
        <v>15</v>
      </c>
      <c r="F130" s="87">
        <v>15</v>
      </c>
      <c r="G130" s="87">
        <v>20</v>
      </c>
      <c r="H130" s="87">
        <v>20</v>
      </c>
      <c r="I130" s="87">
        <v>20</v>
      </c>
      <c r="J130" s="87">
        <v>25</v>
      </c>
      <c r="K130" s="87">
        <v>25</v>
      </c>
      <c r="L130" s="87">
        <v>30</v>
      </c>
      <c r="M130" s="87">
        <v>35</v>
      </c>
      <c r="N130" s="87"/>
      <c r="O130" s="87"/>
      <c r="P130" s="87"/>
      <c r="Q130" s="87"/>
      <c r="R130" s="228"/>
    </row>
    <row r="131" spans="1:21" ht="15" customHeight="1">
      <c r="A131" s="564" t="s">
        <v>1376</v>
      </c>
      <c r="B131" s="87" t="s">
        <v>230</v>
      </c>
      <c r="C131" s="87" t="s">
        <v>1364</v>
      </c>
      <c r="D131" s="87" t="s">
        <v>230</v>
      </c>
      <c r="E131" s="87" t="s">
        <v>1364</v>
      </c>
      <c r="F131" s="87" t="s">
        <v>1365</v>
      </c>
      <c r="G131" s="87" t="s">
        <v>230</v>
      </c>
      <c r="H131" s="87" t="s">
        <v>1364</v>
      </c>
      <c r="I131" s="87" t="s">
        <v>1365</v>
      </c>
      <c r="J131" s="87" t="s">
        <v>1364</v>
      </c>
      <c r="K131" s="87" t="s">
        <v>1365</v>
      </c>
      <c r="L131" s="87" t="s">
        <v>1365</v>
      </c>
      <c r="M131" s="87" t="s">
        <v>1365</v>
      </c>
      <c r="N131" s="87"/>
      <c r="O131" s="87"/>
      <c r="P131" s="87"/>
      <c r="Q131" s="87"/>
      <c r="R131" s="228"/>
    </row>
    <row r="132" spans="1:21" ht="15" customHeight="1">
      <c r="A132" s="564" t="s">
        <v>1377</v>
      </c>
      <c r="B132" s="87">
        <v>17.600000000000001</v>
      </c>
      <c r="C132" s="87">
        <v>13.6</v>
      </c>
      <c r="D132" s="87">
        <v>22.6</v>
      </c>
      <c r="E132" s="87">
        <v>18.600000000000001</v>
      </c>
      <c r="F132" s="87">
        <v>13.6</v>
      </c>
      <c r="G132" s="87">
        <v>27.6</v>
      </c>
      <c r="H132" s="87">
        <v>23.6</v>
      </c>
      <c r="I132" s="87">
        <v>18.600000000000001</v>
      </c>
      <c r="J132" s="87">
        <v>28.6</v>
      </c>
      <c r="K132" s="87">
        <v>23.6</v>
      </c>
      <c r="L132" s="87">
        <v>28.6</v>
      </c>
      <c r="M132" s="87">
        <v>33.6</v>
      </c>
      <c r="N132" s="87"/>
      <c r="O132" s="87"/>
      <c r="P132" s="87"/>
      <c r="Q132" s="87"/>
      <c r="R132" s="228"/>
    </row>
    <row r="133" spans="1:21" ht="15" customHeight="1">
      <c r="A133" s="564" t="s">
        <v>1378</v>
      </c>
      <c r="B133" s="87">
        <v>38</v>
      </c>
      <c r="C133" s="87">
        <v>34</v>
      </c>
      <c r="D133" s="87">
        <v>43</v>
      </c>
      <c r="E133" s="87">
        <v>39</v>
      </c>
      <c r="F133" s="87">
        <v>34</v>
      </c>
      <c r="G133" s="87">
        <v>48</v>
      </c>
      <c r="H133" s="87">
        <v>44</v>
      </c>
      <c r="I133" s="87">
        <v>39</v>
      </c>
      <c r="J133" s="87">
        <v>49</v>
      </c>
      <c r="K133" s="87">
        <v>44</v>
      </c>
      <c r="L133" s="87">
        <v>49</v>
      </c>
      <c r="M133" s="87">
        <v>54</v>
      </c>
      <c r="N133" s="87"/>
      <c r="O133" s="87"/>
      <c r="P133" s="87"/>
      <c r="Q133" s="87"/>
      <c r="R133" s="228"/>
    </row>
    <row r="134" spans="1:21" ht="15" customHeight="1">
      <c r="A134" s="564" t="s">
        <v>1379</v>
      </c>
      <c r="B134" s="87">
        <v>30</v>
      </c>
      <c r="C134" s="87">
        <v>26</v>
      </c>
      <c r="D134" s="87">
        <v>35</v>
      </c>
      <c r="E134" s="87">
        <v>31</v>
      </c>
      <c r="F134" s="87">
        <v>26</v>
      </c>
      <c r="G134" s="87">
        <v>40</v>
      </c>
      <c r="H134" s="87">
        <v>36</v>
      </c>
      <c r="I134" s="87">
        <v>31</v>
      </c>
      <c r="J134" s="87">
        <v>41</v>
      </c>
      <c r="K134" s="87">
        <v>36</v>
      </c>
      <c r="L134" s="87">
        <v>41</v>
      </c>
      <c r="M134" s="87">
        <v>46</v>
      </c>
      <c r="N134" s="87"/>
      <c r="O134" s="87"/>
      <c r="P134" s="87"/>
      <c r="Q134" s="87"/>
      <c r="R134" s="228"/>
    </row>
    <row r="135" spans="1:21" ht="15" customHeight="1">
      <c r="A135" s="564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228"/>
    </row>
    <row r="136" spans="1:21" ht="15" customHeight="1">
      <c r="A136" s="564"/>
      <c r="B136" s="87"/>
      <c r="C136" s="87"/>
      <c r="D136" s="87"/>
      <c r="E136" s="87"/>
      <c r="F136" s="87">
        <f>F132+(G101-F130)</f>
        <v>0.59999999999999964</v>
      </c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228"/>
    </row>
    <row r="137" spans="1:21" ht="15" customHeight="1">
      <c r="A137" s="564" t="s">
        <v>1381</v>
      </c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228"/>
      <c r="S137" s="305"/>
      <c r="T137" s="305"/>
      <c r="U137" s="305"/>
    </row>
    <row r="138" spans="1:21" ht="15" customHeight="1">
      <c r="A138" s="564" t="s">
        <v>230</v>
      </c>
      <c r="B138" s="87">
        <f>$D$132+(B101-$D$130)</f>
        <v>22.6</v>
      </c>
      <c r="C138" s="87">
        <f>$D$132+(C101-$D$130)</f>
        <v>26.6</v>
      </c>
      <c r="D138" s="87">
        <f>$D$132+(D101-$D$130)</f>
        <v>39.6</v>
      </c>
      <c r="E138" s="87">
        <f>$D$132+(E101-$D$130)</f>
        <v>27.6</v>
      </c>
      <c r="F138" s="87">
        <f>$D$132+(F101-$D$130)</f>
        <v>30.6</v>
      </c>
      <c r="G138" s="87">
        <f>$D$132+(G101-$D$130)</f>
        <v>9.6000000000000014</v>
      </c>
      <c r="H138" s="87">
        <f>$D$132+(H101-$D$130)</f>
        <v>23.6</v>
      </c>
      <c r="I138" s="87">
        <f>$D$132+(I101-$D$130)</f>
        <v>26.6</v>
      </c>
      <c r="J138" s="87">
        <f>$D$132+(J101-$D$130)</f>
        <v>20.6</v>
      </c>
      <c r="K138" s="87">
        <f>$D$132+(K101-$D$130)</f>
        <v>23.6</v>
      </c>
      <c r="L138" s="87">
        <f>$D$132+(L101-$D$130)</f>
        <v>26.6</v>
      </c>
      <c r="M138" s="87">
        <f>$D$132+(M101-$D$130)</f>
        <v>17.600000000000001</v>
      </c>
      <c r="N138" s="87">
        <f>$D$132+(N101-$D$130)</f>
        <v>20.6</v>
      </c>
      <c r="O138" s="87">
        <f>$D$132+(O101-$D$130)</f>
        <v>14.600000000000001</v>
      </c>
      <c r="P138" s="87">
        <f>$D$132+(P101-$D$130)</f>
        <v>10.600000000000001</v>
      </c>
      <c r="Q138" s="87">
        <f>$D$132+(Q101-$D$130)</f>
        <v>25.6</v>
      </c>
      <c r="R138" s="228">
        <f>$D$132+(R101-$D$130)</f>
        <v>24.6</v>
      </c>
      <c r="S138" s="305"/>
      <c r="T138" s="305"/>
      <c r="U138" s="305"/>
    </row>
    <row r="139" spans="1:21" ht="15" customHeight="1">
      <c r="A139" s="564" t="s">
        <v>1364</v>
      </c>
      <c r="B139" s="87">
        <f>$E$132+(B101-$E$130)</f>
        <v>18.600000000000001</v>
      </c>
      <c r="C139" s="87">
        <f>$E$132+(C101-$E$130)</f>
        <v>22.6</v>
      </c>
      <c r="D139" s="87">
        <f>$E$132+(D101-$E$130)</f>
        <v>35.6</v>
      </c>
      <c r="E139" s="87">
        <f>$E$132+(E101-$E$130)</f>
        <v>23.6</v>
      </c>
      <c r="F139" s="87">
        <f>$E$132+(F101-$E$130)</f>
        <v>26.6</v>
      </c>
      <c r="G139" s="87">
        <f>$E$132+(G101-$E$130)</f>
        <v>5.6000000000000014</v>
      </c>
      <c r="H139" s="87">
        <f>$E$132+(H101-$E$130)</f>
        <v>19.600000000000001</v>
      </c>
      <c r="I139" s="87">
        <f>$E$132+(I101-$E$130)</f>
        <v>22.6</v>
      </c>
      <c r="J139" s="87">
        <f>$E$132+(J101-$E$130)</f>
        <v>16.600000000000001</v>
      </c>
      <c r="K139" s="87">
        <f>$E$132+(K101-$E$130)</f>
        <v>19.600000000000001</v>
      </c>
      <c r="L139" s="87">
        <f>$E$132+(L101-$E$130)</f>
        <v>22.6</v>
      </c>
      <c r="M139" s="87">
        <f>$E$132+(M101-$E$130)</f>
        <v>13.600000000000001</v>
      </c>
      <c r="N139" s="87">
        <f>$E$132+(N101-$E$130)</f>
        <v>16.600000000000001</v>
      </c>
      <c r="O139" s="87">
        <f>$E$132+(O101-$E$130)</f>
        <v>10.600000000000001</v>
      </c>
      <c r="P139" s="87">
        <f>$E$132+(P101-$E$130)</f>
        <v>6.6000000000000014</v>
      </c>
      <c r="Q139" s="87">
        <f>$E$132+(Q101-$E$130)</f>
        <v>21.6</v>
      </c>
      <c r="R139" s="228">
        <f>$E$132+(R101-$E$130)</f>
        <v>20.6</v>
      </c>
      <c r="S139" s="305"/>
      <c r="T139" s="305"/>
      <c r="U139" s="305"/>
    </row>
    <row r="140" spans="1:21" ht="15" customHeight="1">
      <c r="A140" s="564" t="s">
        <v>1365</v>
      </c>
      <c r="B140" s="87">
        <f>$F$132+(B101-$F$130)</f>
        <v>13.6</v>
      </c>
      <c r="C140" s="87">
        <f>$F$132+(C101-$F$130)</f>
        <v>17.600000000000001</v>
      </c>
      <c r="D140" s="87">
        <f>$F$132+(D101-$F$130)</f>
        <v>30.6</v>
      </c>
      <c r="E140" s="87">
        <f>$F$132+(E101-$F$130)</f>
        <v>18.600000000000001</v>
      </c>
      <c r="F140" s="87">
        <f>$F$132+(F101-$F$130)</f>
        <v>21.6</v>
      </c>
      <c r="G140" s="87">
        <f>$F$132+(G101-$F$130)</f>
        <v>0.59999999999999964</v>
      </c>
      <c r="H140" s="87">
        <f>$F$132+(H101-$F$130)</f>
        <v>14.6</v>
      </c>
      <c r="I140" s="87">
        <f>$F$132+(I101-$F$130)</f>
        <v>17.600000000000001</v>
      </c>
      <c r="J140" s="87">
        <f>$F$132+(J101-$F$130)</f>
        <v>11.6</v>
      </c>
      <c r="K140" s="87">
        <f>$F$132+(K101-$F$130)</f>
        <v>14.6</v>
      </c>
      <c r="L140" s="87">
        <f>$F$132+(L101-$F$130)</f>
        <v>17.600000000000001</v>
      </c>
      <c r="M140" s="87">
        <f>$F$132+(M101-$F$130)</f>
        <v>8.6</v>
      </c>
      <c r="N140" s="87">
        <f>$F$132+(N101-$F$130)</f>
        <v>11.6</v>
      </c>
      <c r="O140" s="87">
        <f>$F$132+(O101-$F$130)</f>
        <v>5.6</v>
      </c>
      <c r="P140" s="87">
        <f>$F$132+(P101-$F$130)</f>
        <v>1.5999999999999996</v>
      </c>
      <c r="Q140" s="87">
        <f>$F$132+(Q101-$F$130)</f>
        <v>16.600000000000001</v>
      </c>
      <c r="R140" s="228">
        <f>$F$132+(R101-$F$130)</f>
        <v>15.6</v>
      </c>
      <c r="S140" s="305"/>
      <c r="T140" s="305"/>
      <c r="U140" s="305"/>
    </row>
    <row r="141" spans="1:21" ht="15" customHeight="1">
      <c r="A141" s="564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228"/>
      <c r="S141" s="305"/>
      <c r="T141" s="305"/>
      <c r="U141" s="305"/>
    </row>
    <row r="142" spans="1:21" ht="15" customHeight="1">
      <c r="A142" s="564" t="s">
        <v>1378</v>
      </c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228"/>
      <c r="S142" s="305"/>
      <c r="T142" s="305"/>
      <c r="U142" s="305"/>
    </row>
    <row r="143" spans="1:21" ht="15" customHeight="1">
      <c r="A143" s="564" t="s">
        <v>230</v>
      </c>
      <c r="B143" s="87">
        <f>$D$133+(B101-$D$130)</f>
        <v>43</v>
      </c>
      <c r="C143" s="87">
        <f>$D$133+(C101-$D$130)</f>
        <v>47</v>
      </c>
      <c r="D143" s="87">
        <f>$D$133+(D101-$D$130)</f>
        <v>60</v>
      </c>
      <c r="E143" s="87">
        <f>$D$133+(E101-$D$130)</f>
        <v>48</v>
      </c>
      <c r="F143" s="87">
        <f>$D$133+(F101-$D$130)</f>
        <v>51</v>
      </c>
      <c r="G143" s="87">
        <f>$D$133+(G101-$D$130)</f>
        <v>30</v>
      </c>
      <c r="H143" s="87">
        <f>$D$133+(H101-$D$130)</f>
        <v>44</v>
      </c>
      <c r="I143" s="87">
        <f>$D$133+(I101-$D$130)</f>
        <v>47</v>
      </c>
      <c r="J143" s="87">
        <f>$D$133+(J101-$D$130)</f>
        <v>41</v>
      </c>
      <c r="K143" s="87">
        <f>$D$133+(K101-$D$130)</f>
        <v>44</v>
      </c>
      <c r="L143" s="87">
        <f>$D$133+(L101-$D$130)</f>
        <v>47</v>
      </c>
      <c r="M143" s="87">
        <f>$D$133+(M101-$D$130)</f>
        <v>38</v>
      </c>
      <c r="N143" s="87">
        <f>$D$133+(N101-$D$130)</f>
        <v>41</v>
      </c>
      <c r="O143" s="87">
        <f>$D$133+(O101-$D$130)</f>
        <v>35</v>
      </c>
      <c r="P143" s="87">
        <f>$D$133+(P101-$D$130)</f>
        <v>31</v>
      </c>
      <c r="Q143" s="87">
        <f>$D$133+(Q101-$D$130)</f>
        <v>46</v>
      </c>
      <c r="R143" s="228">
        <f>$D$133+(R101-$D$130)</f>
        <v>45</v>
      </c>
      <c r="S143" s="305"/>
      <c r="T143" s="305"/>
      <c r="U143" s="305"/>
    </row>
    <row r="144" spans="1:21" ht="15" customHeight="1">
      <c r="A144" s="564" t="s">
        <v>1364</v>
      </c>
      <c r="B144" s="87">
        <f>$E$133+(B101-$E$130)</f>
        <v>39</v>
      </c>
      <c r="C144" s="87">
        <f>$E$133+(C101-$E$130)</f>
        <v>43</v>
      </c>
      <c r="D144" s="87">
        <f>$E$133+(D101-$E$130)</f>
        <v>56</v>
      </c>
      <c r="E144" s="87">
        <f>$E$133+(E101-$E$130)</f>
        <v>44</v>
      </c>
      <c r="F144" s="87">
        <f>$E$133+(F101-$E$130)</f>
        <v>47</v>
      </c>
      <c r="G144" s="87">
        <f>$E$133+(G101-$E$130)</f>
        <v>26</v>
      </c>
      <c r="H144" s="87">
        <f>$E$133+(H101-$E$130)</f>
        <v>40</v>
      </c>
      <c r="I144" s="87">
        <f>$E$133+(I101-$E$130)</f>
        <v>43</v>
      </c>
      <c r="J144" s="87">
        <f>$E$133+(J101-$E$130)</f>
        <v>37</v>
      </c>
      <c r="K144" s="87">
        <f>$E$133+(K101-$E$130)</f>
        <v>40</v>
      </c>
      <c r="L144" s="87">
        <f>$E$133+(L101-$E$130)</f>
        <v>43</v>
      </c>
      <c r="M144" s="87">
        <f>$E$133+(M101-$E$130)</f>
        <v>34</v>
      </c>
      <c r="N144" s="87">
        <f>$E$133+(N101-$E$130)</f>
        <v>37</v>
      </c>
      <c r="O144" s="87">
        <f>$E$133+(O101-$E$130)</f>
        <v>31</v>
      </c>
      <c r="P144" s="87">
        <f>$E$133+(P101-$E$130)</f>
        <v>27</v>
      </c>
      <c r="Q144" s="87">
        <f>$E$133+(Q101-$E$130)</f>
        <v>42</v>
      </c>
      <c r="R144" s="228">
        <f>$E$133+(R101-$E$130)</f>
        <v>41</v>
      </c>
      <c r="S144" s="305"/>
      <c r="T144" s="305"/>
      <c r="U144" s="305"/>
    </row>
    <row r="145" spans="1:21" ht="15" customHeight="1">
      <c r="A145" s="564" t="s">
        <v>1365</v>
      </c>
      <c r="B145" s="87">
        <f>$F$133+(B101-$F$130)</f>
        <v>34</v>
      </c>
      <c r="C145" s="87">
        <f>$F$133+(C101-$F$130)</f>
        <v>38</v>
      </c>
      <c r="D145" s="87">
        <f>$F$133+(D101-$F$130)</f>
        <v>51</v>
      </c>
      <c r="E145" s="87">
        <f>$F$133+(E101-$F$130)</f>
        <v>39</v>
      </c>
      <c r="F145" s="87">
        <f>$F$133+(F101-$F$130)</f>
        <v>42</v>
      </c>
      <c r="G145" s="87">
        <f>$F$133+(G101-$F$130)</f>
        <v>21</v>
      </c>
      <c r="H145" s="87">
        <f>$F$133+(H101-$F$130)</f>
        <v>35</v>
      </c>
      <c r="I145" s="87">
        <f>$F$133+(I101-$F$130)</f>
        <v>38</v>
      </c>
      <c r="J145" s="87">
        <f>$F$133+(J101-$F$130)</f>
        <v>32</v>
      </c>
      <c r="K145" s="87">
        <f>$F$133+(K101-$F$130)</f>
        <v>35</v>
      </c>
      <c r="L145" s="87">
        <f>$F$133+(L101-$F$130)</f>
        <v>38</v>
      </c>
      <c r="M145" s="87">
        <f>$F$133+(M101-$F$130)</f>
        <v>29</v>
      </c>
      <c r="N145" s="87">
        <f>$F$133+(N101-$F$130)</f>
        <v>32</v>
      </c>
      <c r="O145" s="87">
        <f>$F$133+(O101-$F$130)</f>
        <v>26</v>
      </c>
      <c r="P145" s="87">
        <f>$F$133+(P101-$F$130)</f>
        <v>22</v>
      </c>
      <c r="Q145" s="87">
        <f>$F$133+(Q101-$F$130)</f>
        <v>37</v>
      </c>
      <c r="R145" s="228">
        <f>$F$133+(R101-$F$130)</f>
        <v>36</v>
      </c>
      <c r="S145" s="305"/>
      <c r="T145" s="305"/>
      <c r="U145" s="305"/>
    </row>
    <row r="146" spans="1:21" ht="15" customHeight="1">
      <c r="A146" s="564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228"/>
      <c r="S146" s="305"/>
      <c r="T146" s="305"/>
      <c r="U146" s="305"/>
    </row>
    <row r="147" spans="1:21" ht="15" customHeight="1">
      <c r="A147" s="564" t="s">
        <v>1379</v>
      </c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228"/>
      <c r="S147" s="305"/>
      <c r="T147" s="305"/>
      <c r="U147" s="305"/>
    </row>
    <row r="148" spans="1:21" ht="15" customHeight="1">
      <c r="A148" s="564" t="s">
        <v>230</v>
      </c>
      <c r="B148" s="87">
        <f>$D$134+(B101-$D$130)</f>
        <v>35</v>
      </c>
      <c r="C148" s="87">
        <f>$D$134+(C101-$D$130)</f>
        <v>39</v>
      </c>
      <c r="D148" s="87">
        <f>$D$134+(D101-$D$130)</f>
        <v>52</v>
      </c>
      <c r="E148" s="87">
        <f>$D$134+(E101-$D$130)</f>
        <v>40</v>
      </c>
      <c r="F148" s="87">
        <f>$D$134+(F101-$D$130)</f>
        <v>43</v>
      </c>
      <c r="G148" s="87">
        <f>$D$134+(G101-$D$130)</f>
        <v>22</v>
      </c>
      <c r="H148" s="87">
        <f>$D$134+(H101-$D$130)</f>
        <v>36</v>
      </c>
      <c r="I148" s="87">
        <f>$D$134+(I101-$D$130)</f>
        <v>39</v>
      </c>
      <c r="J148" s="87">
        <f>$D$134+(J101-$D$130)</f>
        <v>33</v>
      </c>
      <c r="K148" s="87">
        <f>$D$134+(K101-$D$130)</f>
        <v>36</v>
      </c>
      <c r="L148" s="87">
        <f>$D$134+(L101-$D$130)</f>
        <v>39</v>
      </c>
      <c r="M148" s="87">
        <f>$D$134+(M101-$D$130)</f>
        <v>30</v>
      </c>
      <c r="N148" s="87">
        <f>$D$134+(N101-$D$130)</f>
        <v>33</v>
      </c>
      <c r="O148" s="87">
        <f>$D$134+(O101-$D$130)</f>
        <v>27</v>
      </c>
      <c r="P148" s="87">
        <f>$D$134+(P101-$D$130)</f>
        <v>23</v>
      </c>
      <c r="Q148" s="87">
        <f>$D$134+(Q101-$D$130)</f>
        <v>38</v>
      </c>
      <c r="R148" s="228">
        <f>$D$134+(R101-$D$130)</f>
        <v>37</v>
      </c>
      <c r="S148" s="305"/>
      <c r="T148" s="305"/>
      <c r="U148" s="305"/>
    </row>
    <row r="149" spans="1:21" ht="15" customHeight="1">
      <c r="A149" s="564" t="s">
        <v>1364</v>
      </c>
      <c r="B149" s="87">
        <f>$E$134+(B101-$E$130)</f>
        <v>31</v>
      </c>
      <c r="C149" s="87">
        <f>$E$134+(C101-$E$130)</f>
        <v>35</v>
      </c>
      <c r="D149" s="87">
        <f>$E$134+(D101-$E$130)</f>
        <v>48</v>
      </c>
      <c r="E149" s="87">
        <f>$E$134+(E101-$E$130)</f>
        <v>36</v>
      </c>
      <c r="F149" s="87">
        <f>$E$134+(F101-$E$130)</f>
        <v>39</v>
      </c>
      <c r="G149" s="87">
        <f>$E$134+(G101-$E$130)</f>
        <v>18</v>
      </c>
      <c r="H149" s="87">
        <f>$E$134+(H101-$E$130)</f>
        <v>32</v>
      </c>
      <c r="I149" s="87">
        <f>$E$134+(I101-$E$130)</f>
        <v>35</v>
      </c>
      <c r="J149" s="87">
        <f>$E$134+(J101-$E$130)</f>
        <v>29</v>
      </c>
      <c r="K149" s="87">
        <f>$E$134+(K101-$E$130)</f>
        <v>32</v>
      </c>
      <c r="L149" s="87">
        <f>$E$134+(L101-$E$130)</f>
        <v>35</v>
      </c>
      <c r="M149" s="87">
        <f>$E$134+(M101-$E$130)</f>
        <v>26</v>
      </c>
      <c r="N149" s="87">
        <f>$E$134+(N101-$E$130)</f>
        <v>29</v>
      </c>
      <c r="O149" s="87">
        <f>$E$134+(O101-$E$130)</f>
        <v>23</v>
      </c>
      <c r="P149" s="87">
        <f>$E$134+(P101-$E$130)</f>
        <v>19</v>
      </c>
      <c r="Q149" s="87">
        <f>$E$134+(Q101-$E$130)</f>
        <v>34</v>
      </c>
      <c r="R149" s="228">
        <f>$E$134+(R101-$E$130)</f>
        <v>33</v>
      </c>
      <c r="S149" s="305"/>
      <c r="T149" s="305"/>
      <c r="U149" s="305"/>
    </row>
    <row r="150" spans="1:21" ht="15" customHeight="1">
      <c r="A150" s="564" t="s">
        <v>1365</v>
      </c>
      <c r="B150" s="87">
        <f>$F$134+(B101-$F$130)</f>
        <v>26</v>
      </c>
      <c r="C150" s="87">
        <f>$F$134+(C101-$F$130)</f>
        <v>30</v>
      </c>
      <c r="D150" s="87">
        <f>$F$134+(D101-$F$130)</f>
        <v>43</v>
      </c>
      <c r="E150" s="87">
        <f>$F$134+(E101-$F$130)</f>
        <v>31</v>
      </c>
      <c r="F150" s="87">
        <f>$F$134+(F101-$F$130)</f>
        <v>34</v>
      </c>
      <c r="G150" s="87">
        <f>$F$134+(G101-$F$130)</f>
        <v>13</v>
      </c>
      <c r="H150" s="87">
        <f>$F$134+(H101-$F$130)</f>
        <v>27</v>
      </c>
      <c r="I150" s="87">
        <f>$F$134+(I101-$F$130)</f>
        <v>30</v>
      </c>
      <c r="J150" s="87">
        <f>$F$134+(J101-$F$130)</f>
        <v>24</v>
      </c>
      <c r="K150" s="87">
        <f>$F$134+(K101-$F$130)</f>
        <v>27</v>
      </c>
      <c r="L150" s="87">
        <f>$F$134+(L101-$F$130)</f>
        <v>30</v>
      </c>
      <c r="M150" s="87">
        <f>$F$134+(M101-$F$130)</f>
        <v>21</v>
      </c>
      <c r="N150" s="87">
        <f>$F$134+(N101-$F$130)</f>
        <v>24</v>
      </c>
      <c r="O150" s="87">
        <f>$F$134+(O101-$F$130)</f>
        <v>18</v>
      </c>
      <c r="P150" s="87">
        <f>$F$134+(P101-$F$130)</f>
        <v>14</v>
      </c>
      <c r="Q150" s="87">
        <f>$F$134+(Q101-$F$130)</f>
        <v>29</v>
      </c>
      <c r="R150" s="228">
        <f>$F$134+(R101-$F$130)</f>
        <v>28</v>
      </c>
      <c r="S150" s="305"/>
      <c r="T150" s="305"/>
      <c r="U150" s="305"/>
    </row>
    <row r="151" spans="1:21" ht="15" customHeight="1">
      <c r="A151" s="564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228"/>
    </row>
    <row r="152" spans="1:21" ht="15" customHeight="1">
      <c r="A152" s="564" t="s">
        <v>1381</v>
      </c>
      <c r="B152" s="87">
        <f>VLOOKUP(Weather!B33,HVAC!$A$138:$R$140,Weather!B34,FALSE)</f>
        <v>22.6</v>
      </c>
      <c r="C152" s="87">
        <f>VLOOKUP(Weather!C33,HVAC!$A$138:$R$140,Weather!C34,FALSE)</f>
        <v>22.6</v>
      </c>
      <c r="D152" s="87">
        <f>VLOOKUP(Weather!D33,HVAC!$A$138:$R$140,Weather!D34,FALSE)</f>
        <v>30.6</v>
      </c>
      <c r="E152" s="87">
        <f>VLOOKUP(Weather!E33,HVAC!$A$138:$R$140,Weather!E34,FALSE)</f>
        <v>23.6</v>
      </c>
      <c r="F152" s="87">
        <f>VLOOKUP(Weather!F33,HVAC!$A$138:$R$140,Weather!F34,FALSE)</f>
        <v>21.6</v>
      </c>
      <c r="G152" s="87">
        <f>VLOOKUP(Weather!G33,HVAC!$A$138:$R$140,Weather!G34,FALSE)</f>
        <v>5.6000000000000014</v>
      </c>
      <c r="H152" s="87">
        <f>VLOOKUP(Weather!H33,HVAC!$A$138:$R$140,Weather!H34,FALSE)</f>
        <v>19.600000000000001</v>
      </c>
      <c r="I152" s="87">
        <f>VLOOKUP(Weather!I33,HVAC!$A$138:$R$140,Weather!I34,FALSE)</f>
        <v>17.600000000000001</v>
      </c>
      <c r="J152" s="87">
        <f>VLOOKUP(Weather!J33,HVAC!$A$138:$R$140,Weather!J34,FALSE)</f>
        <v>11.6</v>
      </c>
      <c r="K152" s="87">
        <f>VLOOKUP(Weather!K33,HVAC!$A$138:$R$140,Weather!K34,FALSE)</f>
        <v>19.600000000000001</v>
      </c>
      <c r="L152" s="87">
        <f>VLOOKUP(Weather!L33,HVAC!$A$138:$R$140,Weather!L34,FALSE)</f>
        <v>17.600000000000001</v>
      </c>
      <c r="M152" s="87">
        <f>VLOOKUP(Weather!M33,HVAC!$A$138:$R$140,Weather!M34,FALSE)</f>
        <v>13.600000000000001</v>
      </c>
      <c r="N152" s="87">
        <f>VLOOKUP(Weather!N33,HVAC!$A$138:$R$140,Weather!N34,FALSE)</f>
        <v>11.6</v>
      </c>
      <c r="O152" s="87">
        <f>VLOOKUP(Weather!O33,HVAC!$A$138:$R$140,Weather!O34,FALSE)</f>
        <v>10.600000000000001</v>
      </c>
      <c r="P152" s="87">
        <f>VLOOKUP(Weather!P33,HVAC!$A$138:$R$140,Weather!P34,FALSE)</f>
        <v>6.6000000000000014</v>
      </c>
      <c r="Q152" s="87">
        <f>VLOOKUP(Weather!Q33,HVAC!$A$138:$R$140,Weather!Q34,FALSE)</f>
        <v>21.6</v>
      </c>
      <c r="R152" s="228">
        <f>VLOOKUP(Weather!R33,HVAC!$A$138:$R$140,Weather!R34,FALSE)</f>
        <v>24.6</v>
      </c>
    </row>
    <row r="153" spans="1:21" ht="15" customHeight="1">
      <c r="A153" s="564" t="s">
        <v>1378</v>
      </c>
      <c r="B153" s="87">
        <f>VLOOKUP(Weather!B33,HVAC!$A$143:$R$145,Weather!B34,FALSE)</f>
        <v>43</v>
      </c>
      <c r="C153" s="87">
        <f>VLOOKUP(Weather!C33,HVAC!$A$143:$R$145,Weather!C34,FALSE)</f>
        <v>43</v>
      </c>
      <c r="D153" s="87">
        <f>VLOOKUP(Weather!D33,HVAC!$A$143:$R$145,Weather!D34,FALSE)</f>
        <v>51</v>
      </c>
      <c r="E153" s="87">
        <f>VLOOKUP(Weather!E33,HVAC!$A$143:$R$145,Weather!E34,FALSE)</f>
        <v>44</v>
      </c>
      <c r="F153" s="87">
        <f>VLOOKUP(Weather!F33,HVAC!$A$143:$R$145,Weather!F34,FALSE)</f>
        <v>42</v>
      </c>
      <c r="G153" s="87">
        <f>VLOOKUP(Weather!G33,HVAC!$A$143:$R$145,Weather!G34,FALSE)</f>
        <v>26</v>
      </c>
      <c r="H153" s="87">
        <f>VLOOKUP(Weather!H33,HVAC!$A$143:$R$145,Weather!H34,FALSE)</f>
        <v>40</v>
      </c>
      <c r="I153" s="87">
        <f>VLOOKUP(Weather!I33,HVAC!$A$143:$R$145,Weather!I34,FALSE)</f>
        <v>38</v>
      </c>
      <c r="J153" s="87">
        <f>VLOOKUP(Weather!J33,HVAC!$A$143:$R$145,Weather!J34,FALSE)</f>
        <v>32</v>
      </c>
      <c r="K153" s="87">
        <f>VLOOKUP(Weather!K33,HVAC!$A$143:$R$145,Weather!K34,FALSE)</f>
        <v>40</v>
      </c>
      <c r="L153" s="87">
        <f>VLOOKUP(Weather!L33,HVAC!$A$143:$R$145,Weather!L34,FALSE)</f>
        <v>38</v>
      </c>
      <c r="M153" s="87">
        <f>VLOOKUP(Weather!M33,HVAC!$A$143:$R$145,Weather!M34,FALSE)</f>
        <v>34</v>
      </c>
      <c r="N153" s="87">
        <f>VLOOKUP(Weather!N33,HVAC!$A$143:$R$145,Weather!N34,FALSE)</f>
        <v>32</v>
      </c>
      <c r="O153" s="87">
        <f>VLOOKUP(Weather!O33,HVAC!$A$143:$R$145,Weather!O34,FALSE)</f>
        <v>31</v>
      </c>
      <c r="P153" s="87">
        <f>VLOOKUP(Weather!P33,HVAC!$A$143:$R$145,Weather!P34,FALSE)</f>
        <v>27</v>
      </c>
      <c r="Q153" s="87">
        <f>VLOOKUP(Weather!Q33,HVAC!$A$143:$R$145,Weather!Q34,FALSE)</f>
        <v>42</v>
      </c>
      <c r="R153" s="228">
        <f>VLOOKUP(Weather!R33,HVAC!$A$143:$R$145,Weather!R34,FALSE)</f>
        <v>45</v>
      </c>
    </row>
    <row r="154" spans="1:21" ht="15" customHeight="1">
      <c r="A154" s="564" t="s">
        <v>1379</v>
      </c>
      <c r="B154" s="87">
        <f>VLOOKUP(Weather!B33,HVAC!$A$148:$R$150,Weather!B34,FALSE)</f>
        <v>35</v>
      </c>
      <c r="C154" s="87">
        <f>VLOOKUP(Weather!C33,HVAC!$A$148:$R$150,Weather!C34,FALSE)</f>
        <v>35</v>
      </c>
      <c r="D154" s="87">
        <f>VLOOKUP(Weather!D33,HVAC!$A$148:$R$150,Weather!D34,FALSE)</f>
        <v>43</v>
      </c>
      <c r="E154" s="87">
        <f>VLOOKUP(Weather!E33,HVAC!$A$148:$R$150,Weather!E34,FALSE)</f>
        <v>36</v>
      </c>
      <c r="F154" s="87">
        <f>VLOOKUP(Weather!F33,HVAC!$A$148:$R$150,Weather!F34,FALSE)</f>
        <v>34</v>
      </c>
      <c r="G154" s="87">
        <f>VLOOKUP(Weather!G33,HVAC!$A$148:$R$150,Weather!G34,FALSE)</f>
        <v>18</v>
      </c>
      <c r="H154" s="87">
        <f>VLOOKUP(Weather!H33,HVAC!$A$148:$R$150,Weather!H34,FALSE)</f>
        <v>32</v>
      </c>
      <c r="I154" s="87">
        <f>VLOOKUP(Weather!I33,HVAC!$A$148:$R$150,Weather!I34,FALSE)</f>
        <v>30</v>
      </c>
      <c r="J154" s="87">
        <f>VLOOKUP(Weather!J33,HVAC!$A$148:$R$150,Weather!J34,FALSE)</f>
        <v>24</v>
      </c>
      <c r="K154" s="87">
        <f>VLOOKUP(Weather!K33,HVAC!$A$148:$R$150,Weather!K34,FALSE)</f>
        <v>32</v>
      </c>
      <c r="L154" s="87">
        <f>VLOOKUP(Weather!L33,HVAC!$A$148:$R$150,Weather!L34,FALSE)</f>
        <v>30</v>
      </c>
      <c r="M154" s="87">
        <f>VLOOKUP(Weather!M33,HVAC!$A$148:$R$150,Weather!M34,FALSE)</f>
        <v>26</v>
      </c>
      <c r="N154" s="87">
        <f>VLOOKUP(Weather!N33,HVAC!$A$148:$R$150,Weather!N34,FALSE)</f>
        <v>24</v>
      </c>
      <c r="O154" s="87">
        <f>VLOOKUP(Weather!O33,HVAC!$A$148:$R$150,Weather!O34,FALSE)</f>
        <v>23</v>
      </c>
      <c r="P154" s="87">
        <f>VLOOKUP(Weather!P33,HVAC!$A$148:$R$150,Weather!P34,FALSE)</f>
        <v>19</v>
      </c>
      <c r="Q154" s="87">
        <f>VLOOKUP(Weather!Q33,HVAC!$A$148:$R$150,Weather!Q34,FALSE)</f>
        <v>34</v>
      </c>
      <c r="R154" s="228">
        <f>VLOOKUP(Weather!R33,HVAC!$A$148:$R$150,Weather!R34,FALSE)</f>
        <v>37</v>
      </c>
    </row>
    <row r="155" spans="1:21" ht="15" customHeight="1">
      <c r="A155" s="564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228"/>
    </row>
    <row r="156" spans="1:21" ht="15" customHeight="1">
      <c r="A156" s="564" t="s">
        <v>1381</v>
      </c>
      <c r="B156" s="576">
        <f>B105*B152</f>
        <v>2754.787747285684</v>
      </c>
      <c r="C156" s="576">
        <f>C105*C152</f>
        <v>2754.787747285684</v>
      </c>
      <c r="D156" s="576">
        <f>D105*D152</f>
        <v>3729.9338525195544</v>
      </c>
      <c r="E156" s="576">
        <f>E105*E152</f>
        <v>1935.9225999502082</v>
      </c>
      <c r="F156" s="576">
        <f>F105*F152</f>
        <v>1771.8613626662923</v>
      </c>
      <c r="G156" s="576">
        <f>G105*G152</f>
        <v>459.37146439496473</v>
      </c>
      <c r="H156" s="576">
        <f>H105*H152</f>
        <v>1607.8001253823763</v>
      </c>
      <c r="I156" s="576">
        <f>I105*I152</f>
        <v>1443.7388880984604</v>
      </c>
      <c r="J156" s="576">
        <f>J105*J152</f>
        <v>951.55517624671245</v>
      </c>
      <c r="K156" s="576">
        <f>K105*K152</f>
        <v>1607.8001253823763</v>
      </c>
      <c r="L156" s="576">
        <f>L105*L152</f>
        <v>1443.7388880984604</v>
      </c>
      <c r="M156" s="576">
        <f>M105*M152</f>
        <v>914.25311210861798</v>
      </c>
      <c r="N156" s="576">
        <f>N105*N152</f>
        <v>779.80412503382115</v>
      </c>
      <c r="O156" s="576">
        <f>O105*O152</f>
        <v>712.57963149642285</v>
      </c>
      <c r="P156" s="576">
        <f>P105*P152</f>
        <v>443.68165734682935</v>
      </c>
      <c r="Q156" s="576">
        <f>Q105*Q152</f>
        <v>2632.8944841314501</v>
      </c>
      <c r="R156" s="577">
        <f>R105*R152</f>
        <v>2017.9532185921662</v>
      </c>
    </row>
    <row r="157" spans="1:21" ht="15" customHeight="1">
      <c r="A157" s="564" t="s">
        <v>1378</v>
      </c>
      <c r="B157" s="576">
        <f>B108*B153</f>
        <v>7402.6022089805319</v>
      </c>
      <c r="C157" s="576">
        <f>C108*C153</f>
        <v>6428.5756025357259</v>
      </c>
      <c r="D157" s="576">
        <f>D108*D153</f>
        <v>7624.5896681237682</v>
      </c>
      <c r="E157" s="576">
        <f>E108*E153</f>
        <v>6578.0773607342317</v>
      </c>
      <c r="F157" s="576">
        <f>F108*F153</f>
        <v>6279.0738443372211</v>
      </c>
      <c r="G157" s="576">
        <f>G108*G153</f>
        <v>3887.0457131611365</v>
      </c>
      <c r="H157" s="576">
        <f>H108*H153</f>
        <v>5217.3062554988564</v>
      </c>
      <c r="I157" s="576">
        <f>I108*I153</f>
        <v>4956.4409427239134</v>
      </c>
      <c r="J157" s="576">
        <f>J108*J153</f>
        <v>4173.8450043990852</v>
      </c>
      <c r="K157" s="576">
        <f>K108*K153</f>
        <v>5217.3062554988564</v>
      </c>
      <c r="L157" s="576">
        <f>L108*L153</f>
        <v>4956.4409427239134</v>
      </c>
      <c r="M157" s="576">
        <f>M108*M153</f>
        <v>4434.7103171740282</v>
      </c>
      <c r="N157" s="576">
        <f>N108*N153</f>
        <v>4173.8450043990852</v>
      </c>
      <c r="O157" s="576">
        <f>O108*O153</f>
        <v>4043.4123480116136</v>
      </c>
      <c r="P157" s="576">
        <f>P108*P153</f>
        <v>3521.681722461728</v>
      </c>
      <c r="Q157" s="576">
        <f>Q108*Q153</f>
        <v>6279.0738443372211</v>
      </c>
      <c r="R157" s="577">
        <f>R108*R153</f>
        <v>6727.5791189327365</v>
      </c>
    </row>
    <row r="158" spans="1:21" ht="15" customHeight="1">
      <c r="A158" s="565" t="s">
        <v>1379</v>
      </c>
      <c r="B158" s="578">
        <f>B108*B154</f>
        <v>6025.3738910306656</v>
      </c>
      <c r="C158" s="578">
        <f>C108*C154</f>
        <v>5232.5615369476836</v>
      </c>
      <c r="D158" s="578">
        <f>D108*D154</f>
        <v>6428.5756025357259</v>
      </c>
      <c r="E158" s="578">
        <f>E108*E154</f>
        <v>5382.0632951461894</v>
      </c>
      <c r="F158" s="578">
        <f>F108*F154</f>
        <v>5083.0597787491788</v>
      </c>
      <c r="G158" s="578">
        <f>G108*G154</f>
        <v>2691.0316475730947</v>
      </c>
      <c r="H158" s="578">
        <f>H108*H154</f>
        <v>4173.8450043990852</v>
      </c>
      <c r="I158" s="578">
        <f>I108*I154</f>
        <v>3912.9796916241421</v>
      </c>
      <c r="J158" s="578">
        <f>J108*J154</f>
        <v>3130.3837532993139</v>
      </c>
      <c r="K158" s="578">
        <f>K108*K154</f>
        <v>4173.8450043990852</v>
      </c>
      <c r="L158" s="578">
        <f>L108*L154</f>
        <v>3912.9796916241421</v>
      </c>
      <c r="M158" s="578">
        <f>M108*M154</f>
        <v>3391.2490660742569</v>
      </c>
      <c r="N158" s="578">
        <f>N108*N154</f>
        <v>3130.3837532993139</v>
      </c>
      <c r="O158" s="578">
        <f>O108*O154</f>
        <v>2999.9510969118423</v>
      </c>
      <c r="P158" s="578">
        <f>P108*P154</f>
        <v>2478.2204713619567</v>
      </c>
      <c r="Q158" s="578">
        <f>Q108*Q154</f>
        <v>5083.0597787491788</v>
      </c>
      <c r="R158" s="579">
        <f>R108*R154</f>
        <v>5531.5650533446942</v>
      </c>
    </row>
    <row r="161" spans="1:18" ht="15" customHeight="1">
      <c r="A161" s="563" t="s">
        <v>1423</v>
      </c>
      <c r="B161" s="114"/>
      <c r="C161" s="114"/>
      <c r="D161" s="114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2"/>
    </row>
    <row r="162" spans="1:18" ht="15" customHeight="1">
      <c r="A162" s="564" t="s">
        <v>1382</v>
      </c>
      <c r="B162" s="87" t="s">
        <v>1408</v>
      </c>
      <c r="C162" s="87"/>
      <c r="D162" s="87"/>
      <c r="E162" s="87"/>
      <c r="F162" s="87"/>
      <c r="G162" s="87"/>
      <c r="H162" s="87"/>
      <c r="I162" s="87" t="s">
        <v>1409</v>
      </c>
      <c r="J162" s="87"/>
      <c r="K162" s="87"/>
      <c r="L162" s="87"/>
      <c r="M162" s="87"/>
      <c r="N162" s="87"/>
      <c r="O162" s="87"/>
      <c r="P162" s="87"/>
      <c r="Q162" s="87"/>
      <c r="R162" s="228"/>
    </row>
    <row r="163" spans="1:18" ht="15" customHeight="1">
      <c r="A163" s="564"/>
      <c r="B163" s="87" t="s">
        <v>1386</v>
      </c>
      <c r="C163" s="87" t="s">
        <v>1407</v>
      </c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228"/>
    </row>
    <row r="164" spans="1:18" s="305" customFormat="1" ht="15" customHeight="1">
      <c r="A164" s="564"/>
      <c r="B164" s="87">
        <v>10</v>
      </c>
      <c r="C164" s="87">
        <v>15</v>
      </c>
      <c r="D164" s="87">
        <v>20</v>
      </c>
      <c r="E164" s="87">
        <v>25</v>
      </c>
      <c r="F164" s="87">
        <v>30</v>
      </c>
      <c r="G164" s="87">
        <v>35</v>
      </c>
      <c r="H164" s="87"/>
      <c r="I164" s="87">
        <v>10</v>
      </c>
      <c r="J164" s="87">
        <v>15</v>
      </c>
      <c r="K164" s="87">
        <v>20</v>
      </c>
      <c r="L164" s="87">
        <v>25</v>
      </c>
      <c r="M164" s="87">
        <v>30</v>
      </c>
      <c r="N164" s="87">
        <v>35</v>
      </c>
      <c r="O164" s="87"/>
      <c r="P164" s="87"/>
      <c r="Q164" s="87"/>
      <c r="R164" s="228"/>
    </row>
    <row r="165" spans="1:18" ht="15" customHeight="1">
      <c r="A165" s="564" t="s">
        <v>28</v>
      </c>
      <c r="B165" s="87">
        <v>17</v>
      </c>
      <c r="C165" s="87">
        <v>18</v>
      </c>
      <c r="D165" s="87">
        <v>19</v>
      </c>
      <c r="E165" s="87">
        <v>20</v>
      </c>
      <c r="F165" s="87">
        <v>21</v>
      </c>
      <c r="G165" s="87">
        <v>22</v>
      </c>
      <c r="H165" s="87"/>
      <c r="I165" s="87">
        <v>17</v>
      </c>
      <c r="J165" s="87">
        <v>18</v>
      </c>
      <c r="K165" s="87">
        <v>19</v>
      </c>
      <c r="L165" s="87">
        <v>20</v>
      </c>
      <c r="M165" s="87">
        <v>21</v>
      </c>
      <c r="N165" s="87">
        <v>22</v>
      </c>
      <c r="O165" s="87"/>
      <c r="P165" s="87"/>
      <c r="Q165" s="87"/>
      <c r="R165" s="228"/>
    </row>
    <row r="166" spans="1:18" ht="15" customHeight="1">
      <c r="A166" s="564" t="s">
        <v>1383</v>
      </c>
      <c r="B166" s="87">
        <v>24</v>
      </c>
      <c r="C166" s="87">
        <v>25</v>
      </c>
      <c r="D166" s="87">
        <v>26</v>
      </c>
      <c r="E166" s="87">
        <v>27</v>
      </c>
      <c r="F166" s="87">
        <v>28</v>
      </c>
      <c r="G166" s="87">
        <v>29</v>
      </c>
      <c r="H166" s="87"/>
      <c r="I166" s="87">
        <v>43</v>
      </c>
      <c r="J166" s="87">
        <v>44</v>
      </c>
      <c r="K166" s="87">
        <v>45</v>
      </c>
      <c r="L166" s="87">
        <v>46</v>
      </c>
      <c r="M166" s="87">
        <v>47</v>
      </c>
      <c r="N166" s="87">
        <v>48</v>
      </c>
      <c r="O166" s="87"/>
      <c r="P166" s="87"/>
      <c r="Q166" s="87"/>
      <c r="R166" s="228"/>
    </row>
    <row r="167" spans="1:18" ht="15" customHeight="1">
      <c r="A167" s="564" t="s">
        <v>1384</v>
      </c>
      <c r="B167" s="87">
        <v>28</v>
      </c>
      <c r="C167" s="87">
        <v>29</v>
      </c>
      <c r="D167" s="87">
        <v>30</v>
      </c>
      <c r="E167" s="87">
        <v>31</v>
      </c>
      <c r="F167" s="87">
        <v>32</v>
      </c>
      <c r="G167" s="87">
        <v>33</v>
      </c>
      <c r="H167" s="87"/>
      <c r="I167" s="87">
        <v>62</v>
      </c>
      <c r="J167" s="87">
        <v>63</v>
      </c>
      <c r="K167" s="87">
        <v>64</v>
      </c>
      <c r="L167" s="87">
        <v>65</v>
      </c>
      <c r="M167" s="87">
        <v>66</v>
      </c>
      <c r="N167" s="87">
        <v>67</v>
      </c>
      <c r="O167" s="87"/>
      <c r="P167" s="87"/>
      <c r="Q167" s="87"/>
      <c r="R167" s="228"/>
    </row>
    <row r="168" spans="1:18" ht="15" customHeight="1">
      <c r="A168" s="564" t="s">
        <v>1385</v>
      </c>
      <c r="B168" s="87">
        <v>26</v>
      </c>
      <c r="C168" s="87">
        <v>27</v>
      </c>
      <c r="D168" s="87">
        <v>28</v>
      </c>
      <c r="E168" s="87">
        <v>29</v>
      </c>
      <c r="F168" s="87">
        <v>30</v>
      </c>
      <c r="G168" s="87">
        <v>31</v>
      </c>
      <c r="H168" s="87"/>
      <c r="I168" s="87">
        <v>53</v>
      </c>
      <c r="J168" s="87">
        <v>54</v>
      </c>
      <c r="K168" s="87">
        <v>55</v>
      </c>
      <c r="L168" s="87">
        <v>56</v>
      </c>
      <c r="M168" s="87">
        <v>57</v>
      </c>
      <c r="N168" s="87">
        <v>58</v>
      </c>
      <c r="O168" s="87"/>
      <c r="P168" s="87"/>
      <c r="Q168" s="87"/>
      <c r="R168" s="228"/>
    </row>
    <row r="169" spans="1:18" ht="15" customHeight="1">
      <c r="A169" s="564" t="s">
        <v>30</v>
      </c>
      <c r="B169" s="87">
        <v>20</v>
      </c>
      <c r="C169" s="87">
        <v>21</v>
      </c>
      <c r="D169" s="87">
        <v>22</v>
      </c>
      <c r="E169" s="87">
        <v>23</v>
      </c>
      <c r="F169" s="87">
        <v>24</v>
      </c>
      <c r="G169" s="87">
        <v>25</v>
      </c>
      <c r="H169" s="87"/>
      <c r="I169" s="87">
        <v>30</v>
      </c>
      <c r="J169" s="87">
        <v>31</v>
      </c>
      <c r="K169" s="87">
        <v>32</v>
      </c>
      <c r="L169" s="87">
        <v>33</v>
      </c>
      <c r="M169" s="87">
        <v>34</v>
      </c>
      <c r="N169" s="87">
        <v>35</v>
      </c>
      <c r="O169" s="87"/>
      <c r="P169" s="87"/>
      <c r="Q169" s="87"/>
      <c r="R169" s="228"/>
    </row>
    <row r="170" spans="1:18" ht="15" customHeight="1">
      <c r="A170" s="564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228"/>
    </row>
    <row r="171" spans="1:18" ht="15" customHeight="1">
      <c r="A171" s="564" t="s">
        <v>28</v>
      </c>
      <c r="B171" s="87">
        <f>$B$165+(B101-$B$164)/5</f>
        <v>18</v>
      </c>
      <c r="C171" s="87">
        <f>$B$165+(C101-$B$164)/5</f>
        <v>18.8</v>
      </c>
      <c r="D171" s="87">
        <f>$B$165+(D101-$B$164)/5</f>
        <v>21.4</v>
      </c>
      <c r="E171" s="87">
        <f>$B$165+(E101-$B$164)/5</f>
        <v>19</v>
      </c>
      <c r="F171" s="87">
        <f>$B$165+(F101-$B$164)/5</f>
        <v>19.600000000000001</v>
      </c>
      <c r="G171" s="87">
        <f>$B$165+(G101-$B$164)/5</f>
        <v>15.4</v>
      </c>
      <c r="H171" s="87">
        <f>$B$165+(H101-$B$164)/5</f>
        <v>18.2</v>
      </c>
      <c r="I171" s="87">
        <f>$B$165+(I101-$B$164)/5</f>
        <v>18.8</v>
      </c>
      <c r="J171" s="87">
        <f>$B$165+(J101-$B$164)/5</f>
        <v>17.600000000000001</v>
      </c>
      <c r="K171" s="87">
        <f>$B$165+(K101-$B$164)/5</f>
        <v>18.2</v>
      </c>
      <c r="L171" s="87">
        <f>$B$165+(L101-$B$164)/5</f>
        <v>18.8</v>
      </c>
      <c r="M171" s="87">
        <f>$B$165+(M101-$B$164)/5</f>
        <v>17</v>
      </c>
      <c r="N171" s="87">
        <f>$B$165+(N101-$B$164)/5</f>
        <v>17.600000000000001</v>
      </c>
      <c r="O171" s="87">
        <f>$B$165+(O101-$B$164)/5</f>
        <v>16.399999999999999</v>
      </c>
      <c r="P171" s="87">
        <f>$B$165+(P101-$B$164)/5</f>
        <v>15.6</v>
      </c>
      <c r="Q171" s="87">
        <f>$B$165+(Q101-$B$164)/5</f>
        <v>18.600000000000001</v>
      </c>
      <c r="R171" s="228">
        <f>$B$165+(R101-$B$164)/5</f>
        <v>18.399999999999999</v>
      </c>
    </row>
    <row r="172" spans="1:18" ht="15" customHeight="1">
      <c r="A172" s="564" t="s">
        <v>1383</v>
      </c>
      <c r="B172" s="87">
        <f>$B$166+(B101-$B$164)/5</f>
        <v>25</v>
      </c>
      <c r="C172" s="87">
        <f>$B$166+(C101-$B$164)/5</f>
        <v>25.8</v>
      </c>
      <c r="D172" s="87">
        <f>$B$166+(D101-$B$164)/5</f>
        <v>28.4</v>
      </c>
      <c r="E172" s="87">
        <f>$B$166+(E101-$B$164)/5</f>
        <v>26</v>
      </c>
      <c r="F172" s="87">
        <f>$B$166+(F101-$B$164)/5</f>
        <v>26.6</v>
      </c>
      <c r="G172" s="87">
        <f>$B$166+(G101-$B$164)/5</f>
        <v>22.4</v>
      </c>
      <c r="H172" s="87">
        <f>$B$166+(H101-$B$164)/5</f>
        <v>25.2</v>
      </c>
      <c r="I172" s="87">
        <f>$B$166+(I101-$B$164)/5</f>
        <v>25.8</v>
      </c>
      <c r="J172" s="87">
        <f>$B$166+(J101-$B$164)/5</f>
        <v>24.6</v>
      </c>
      <c r="K172" s="87">
        <f>$B$166+(K101-$B$164)/5</f>
        <v>25.2</v>
      </c>
      <c r="L172" s="87">
        <f>$B$166+(L101-$B$164)/5</f>
        <v>25.8</v>
      </c>
      <c r="M172" s="87">
        <f>$B$166+(M101-$B$164)/5</f>
        <v>24</v>
      </c>
      <c r="N172" s="87">
        <f>$B$166+(N101-$B$164)/5</f>
        <v>24.6</v>
      </c>
      <c r="O172" s="87">
        <f>$B$166+(O101-$B$164)/5</f>
        <v>23.4</v>
      </c>
      <c r="P172" s="87">
        <f>$B$166+(P101-$B$164)/5</f>
        <v>22.6</v>
      </c>
      <c r="Q172" s="87">
        <f>$B$166+(Q101-$B$164)/5</f>
        <v>25.6</v>
      </c>
      <c r="R172" s="228">
        <f>$B$166+(R101-$B$164)/5</f>
        <v>25.4</v>
      </c>
    </row>
    <row r="173" spans="1:18" ht="15" customHeight="1">
      <c r="A173" s="564" t="s">
        <v>1384</v>
      </c>
      <c r="B173" s="87">
        <f>$B$167+(B101-$B$164)/5</f>
        <v>29</v>
      </c>
      <c r="C173" s="87">
        <f>$B$167+(C101-$B$164)/5</f>
        <v>29.8</v>
      </c>
      <c r="D173" s="87">
        <f>$B$167+(D101-$B$164)/5</f>
        <v>32.4</v>
      </c>
      <c r="E173" s="87">
        <f>$B$167+(E101-$B$164)/5</f>
        <v>30</v>
      </c>
      <c r="F173" s="87">
        <f>$B$167+(F101-$B$164)/5</f>
        <v>30.6</v>
      </c>
      <c r="G173" s="87">
        <f>$B$167+(G101-$B$164)/5</f>
        <v>26.4</v>
      </c>
      <c r="H173" s="87">
        <f>$B$167+(H101-$B$164)/5</f>
        <v>29.2</v>
      </c>
      <c r="I173" s="87">
        <f>$B$167+(I101-$B$164)/5</f>
        <v>29.8</v>
      </c>
      <c r="J173" s="87">
        <f>$B$167+(J101-$B$164)/5</f>
        <v>28.6</v>
      </c>
      <c r="K173" s="87">
        <f>$B$167+(K101-$B$164)/5</f>
        <v>29.2</v>
      </c>
      <c r="L173" s="87">
        <f>$B$167+(L101-$B$164)/5</f>
        <v>29.8</v>
      </c>
      <c r="M173" s="87">
        <f>$B$167+(M101-$B$164)/5</f>
        <v>28</v>
      </c>
      <c r="N173" s="87">
        <f>$B$167+(N101-$B$164)/5</f>
        <v>28.6</v>
      </c>
      <c r="O173" s="87">
        <f>$B$167+(O101-$B$164)/5</f>
        <v>27.4</v>
      </c>
      <c r="P173" s="87">
        <f>$B$167+(P101-$B$164)/5</f>
        <v>26.6</v>
      </c>
      <c r="Q173" s="87">
        <f>$B$167+(Q101-$B$164)/5</f>
        <v>29.6</v>
      </c>
      <c r="R173" s="228">
        <f>$B$167+(R101-$B$164)/5</f>
        <v>29.4</v>
      </c>
    </row>
    <row r="174" spans="1:18" ht="15" customHeight="1">
      <c r="A174" s="564" t="s">
        <v>1385</v>
      </c>
      <c r="B174" s="87">
        <f>$B$168+(B101-$B$164)/5</f>
        <v>27</v>
      </c>
      <c r="C174" s="87">
        <f>$B$168+(C101-$B$164)/5</f>
        <v>27.8</v>
      </c>
      <c r="D174" s="87">
        <f>$B$168+(D101-$B$164)/5</f>
        <v>30.4</v>
      </c>
      <c r="E174" s="87">
        <f>$B$168+(E101-$B$164)/5</f>
        <v>28</v>
      </c>
      <c r="F174" s="87">
        <f>$B$168+(F101-$B$164)/5</f>
        <v>28.6</v>
      </c>
      <c r="G174" s="87">
        <f>$B$168+(G101-$B$164)/5</f>
        <v>24.4</v>
      </c>
      <c r="H174" s="87">
        <f>$B$168+(H101-$B$164)/5</f>
        <v>27.2</v>
      </c>
      <c r="I174" s="87">
        <f>$B$168+(I101-$B$164)/5</f>
        <v>27.8</v>
      </c>
      <c r="J174" s="87">
        <f>$B$168+(J101-$B$164)/5</f>
        <v>26.6</v>
      </c>
      <c r="K174" s="87">
        <f>$B$168+(K101-$B$164)/5</f>
        <v>27.2</v>
      </c>
      <c r="L174" s="87">
        <f>$B$168+(L101-$B$164)/5</f>
        <v>27.8</v>
      </c>
      <c r="M174" s="87">
        <f>$B$168+(M101-$B$164)/5</f>
        <v>26</v>
      </c>
      <c r="N174" s="87">
        <f>$B$168+(N101-$B$164)/5</f>
        <v>26.6</v>
      </c>
      <c r="O174" s="87">
        <f>$B$168+(O101-$B$164)/5</f>
        <v>25.4</v>
      </c>
      <c r="P174" s="87">
        <f>$B$168+(P101-$B$164)/5</f>
        <v>24.6</v>
      </c>
      <c r="Q174" s="87">
        <f>$B$168+(Q101-$B$164)/5</f>
        <v>27.6</v>
      </c>
      <c r="R174" s="228">
        <f>$B$168+(R101-$B$164)/5</f>
        <v>27.4</v>
      </c>
    </row>
    <row r="175" spans="1:18" ht="15" customHeight="1">
      <c r="A175" s="564" t="s">
        <v>30</v>
      </c>
      <c r="B175" s="87">
        <f>$B$169+(B101-$B$164)/5</f>
        <v>21</v>
      </c>
      <c r="C175" s="87">
        <f>$B$169+(C101-$B$164)/5</f>
        <v>21.8</v>
      </c>
      <c r="D175" s="87">
        <f>$B$169+(D101-$B$164)/5</f>
        <v>24.4</v>
      </c>
      <c r="E175" s="87">
        <f>$B$169+(E101-$B$164)/5</f>
        <v>22</v>
      </c>
      <c r="F175" s="87">
        <f>$B$169+(F101-$B$164)/5</f>
        <v>22.6</v>
      </c>
      <c r="G175" s="87">
        <f>$B$169+(G101-$B$164)/5</f>
        <v>18.399999999999999</v>
      </c>
      <c r="H175" s="87">
        <f>$B$169+(H101-$B$164)/5</f>
        <v>21.2</v>
      </c>
      <c r="I175" s="87">
        <f>$B$169+(I101-$B$164)/5</f>
        <v>21.8</v>
      </c>
      <c r="J175" s="87">
        <f>$B$169+(J101-$B$164)/5</f>
        <v>20.6</v>
      </c>
      <c r="K175" s="87">
        <f>$B$169+(K101-$B$164)/5</f>
        <v>21.2</v>
      </c>
      <c r="L175" s="87">
        <f>$B$169+(L101-$B$164)/5</f>
        <v>21.8</v>
      </c>
      <c r="M175" s="87">
        <f>$B$169+(M101-$B$164)/5</f>
        <v>20</v>
      </c>
      <c r="N175" s="87">
        <f>$B$169+(N101-$B$164)/5</f>
        <v>20.6</v>
      </c>
      <c r="O175" s="87">
        <f>$B$169+(O101-$B$164)/5</f>
        <v>19.399999999999999</v>
      </c>
      <c r="P175" s="87">
        <f>$B$169+(P101-$B$164)/5</f>
        <v>18.600000000000001</v>
      </c>
      <c r="Q175" s="87">
        <f>$B$169+(Q101-$B$164)/5</f>
        <v>21.6</v>
      </c>
      <c r="R175" s="228">
        <f>$B$169+(R101-$B$164)/5</f>
        <v>21.4</v>
      </c>
    </row>
    <row r="176" spans="1:18" ht="15" customHeight="1">
      <c r="A176" s="564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228"/>
    </row>
    <row r="177" spans="1:18" ht="15" customHeight="1">
      <c r="A177" s="564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228"/>
    </row>
    <row r="178" spans="1:18" ht="15" customHeight="1">
      <c r="A178" s="564"/>
      <c r="B178" s="87" t="s">
        <v>1387</v>
      </c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228"/>
    </row>
    <row r="179" spans="1:18" ht="15" customHeight="1">
      <c r="A179" s="564" t="s">
        <v>28</v>
      </c>
      <c r="B179" s="576">
        <f>A_windowSI*(1/0.0929)/4*B171</f>
        <v>2905.1888589881596</v>
      </c>
      <c r="C179" s="576">
        <f>A_windowSI*(1/0.0929)/4*C171</f>
        <v>3034.3083638320782</v>
      </c>
      <c r="D179" s="576">
        <f>A_windowSI*(1/0.0929)/4*D171</f>
        <v>3453.9467545748116</v>
      </c>
      <c r="E179" s="576">
        <f>A_windowSI*(1/0.0929)/4*E171</f>
        <v>3066.5882400430573</v>
      </c>
      <c r="F179" s="576">
        <f>A_windowSI*(1/0.0929)/4*F171</f>
        <v>3163.4278686759963</v>
      </c>
      <c r="G179" s="576">
        <f>A_windowSI*(1/0.0929)/4*G171</f>
        <v>2485.5504682454257</v>
      </c>
      <c r="H179" s="576">
        <f>A_windowSI*(1/0.0929)/4*H171</f>
        <v>2937.4687351991392</v>
      </c>
      <c r="I179" s="576">
        <f>A_windowSI*(1/0.0929)/4*I171</f>
        <v>3034.3083638320782</v>
      </c>
      <c r="J179" s="576">
        <f>A_windowSI*(1/0.0929)/4*J171</f>
        <v>2840.6291065662008</v>
      </c>
      <c r="K179" s="576">
        <f>A_windowSI*(1/0.0929)/4*K171</f>
        <v>2937.4687351991392</v>
      </c>
      <c r="L179" s="576">
        <f>A_windowSI*(1/0.0929)/4*L171</f>
        <v>3034.3083638320782</v>
      </c>
      <c r="M179" s="576">
        <f>A_windowSI*(1/0.0929)/4*M171</f>
        <v>2743.7894779332619</v>
      </c>
      <c r="N179" s="576">
        <f>A_windowSI*(1/0.0929)/4*N171</f>
        <v>2840.6291065662008</v>
      </c>
      <c r="O179" s="576">
        <f>A_windowSI*(1/0.0929)/4*O171</f>
        <v>2646.949849300323</v>
      </c>
      <c r="P179" s="576">
        <f>A_windowSI*(1/0.0929)/4*P171</f>
        <v>2517.8303444564049</v>
      </c>
      <c r="Q179" s="576">
        <f>A_windowSI*(1/0.0929)/4*Q171</f>
        <v>3002.0284876210985</v>
      </c>
      <c r="R179" s="577">
        <f>A_windowSI*(1/0.0929)/4*R171</f>
        <v>2969.7486114101184</v>
      </c>
    </row>
    <row r="180" spans="1:18" ht="15" customHeight="1">
      <c r="A180" s="564" t="s">
        <v>1383</v>
      </c>
      <c r="B180" s="576">
        <v>0</v>
      </c>
      <c r="C180" s="576">
        <v>0</v>
      </c>
      <c r="D180" s="576">
        <v>0</v>
      </c>
      <c r="E180" s="576">
        <v>0</v>
      </c>
      <c r="F180" s="576">
        <v>0</v>
      </c>
      <c r="G180" s="576">
        <v>0</v>
      </c>
      <c r="H180" s="576">
        <v>0</v>
      </c>
      <c r="I180" s="576">
        <v>0</v>
      </c>
      <c r="J180" s="576">
        <v>0</v>
      </c>
      <c r="K180" s="576">
        <v>0</v>
      </c>
      <c r="L180" s="576">
        <v>0</v>
      </c>
      <c r="M180" s="576">
        <v>0</v>
      </c>
      <c r="N180" s="576">
        <v>0</v>
      </c>
      <c r="O180" s="576">
        <v>0</v>
      </c>
      <c r="P180" s="576">
        <v>0</v>
      </c>
      <c r="Q180" s="576">
        <v>0</v>
      </c>
      <c r="R180" s="577">
        <v>0</v>
      </c>
    </row>
    <row r="181" spans="1:18" ht="15" customHeight="1">
      <c r="A181" s="564" t="s">
        <v>1384</v>
      </c>
      <c r="B181" s="576">
        <f>A_windowSI*(1/0.0929)/2*B173</f>
        <v>9361.1641011840693</v>
      </c>
      <c r="C181" s="576">
        <f>A_windowSI*(1/0.0929)/2*C173</f>
        <v>9619.4031108719064</v>
      </c>
      <c r="D181" s="576">
        <f>A_windowSI*(1/0.0929)/2*D173</f>
        <v>10458.679892357375</v>
      </c>
      <c r="E181" s="576">
        <f>A_windowSI*(1/0.0929)/2*E173</f>
        <v>9683.9628632938657</v>
      </c>
      <c r="F181" s="576">
        <f>A_windowSI*(1/0.0929)/2*F173</f>
        <v>9877.6421205597435</v>
      </c>
      <c r="G181" s="576">
        <f>A_windowSI*(1/0.0929)/2*G173</f>
        <v>8521.8873196986005</v>
      </c>
      <c r="H181" s="576">
        <f>A_windowSI*(1/0.0929)/2*H173</f>
        <v>9425.7238536060286</v>
      </c>
      <c r="I181" s="576">
        <f>A_windowSI*(1/0.0929)/2*I173</f>
        <v>9619.4031108719064</v>
      </c>
      <c r="J181" s="576">
        <f>A_windowSI*(1/0.0929)/2*J173</f>
        <v>9232.0445963401526</v>
      </c>
      <c r="K181" s="576">
        <f>A_windowSI*(1/0.0929)/2*K173</f>
        <v>9425.7238536060286</v>
      </c>
      <c r="L181" s="576">
        <f>A_windowSI*(1/0.0929)/2*L173</f>
        <v>9619.4031108719064</v>
      </c>
      <c r="M181" s="576">
        <f>A_windowSI*(1/0.0929)/2*M173</f>
        <v>9038.3653390742747</v>
      </c>
      <c r="N181" s="576">
        <f>A_windowSI*(1/0.0929)/2*N173</f>
        <v>9232.0445963401526</v>
      </c>
      <c r="O181" s="576">
        <f>A_windowSI*(1/0.0929)/2*O173</f>
        <v>8844.6860818083969</v>
      </c>
      <c r="P181" s="576">
        <f>A_windowSI*(1/0.0929)/2*P173</f>
        <v>8586.4470721205616</v>
      </c>
      <c r="Q181" s="576">
        <f>A_windowSI*(1/0.0929)/2*Q173</f>
        <v>9554.8433584499471</v>
      </c>
      <c r="R181" s="577">
        <f>A_windowSI*(1/0.0929)/2*R173</f>
        <v>9490.2836060279878</v>
      </c>
    </row>
    <row r="182" spans="1:18" ht="15" customHeight="1">
      <c r="A182" s="564" t="s">
        <v>1385</v>
      </c>
      <c r="B182" s="576">
        <v>0</v>
      </c>
      <c r="C182" s="576">
        <v>0</v>
      </c>
      <c r="D182" s="576">
        <v>0</v>
      </c>
      <c r="E182" s="576">
        <v>0</v>
      </c>
      <c r="F182" s="576">
        <v>0</v>
      </c>
      <c r="G182" s="576">
        <v>0</v>
      </c>
      <c r="H182" s="576">
        <v>0</v>
      </c>
      <c r="I182" s="576">
        <v>0</v>
      </c>
      <c r="J182" s="576">
        <v>0</v>
      </c>
      <c r="K182" s="576">
        <v>0</v>
      </c>
      <c r="L182" s="576">
        <v>0</v>
      </c>
      <c r="M182" s="576">
        <v>0</v>
      </c>
      <c r="N182" s="576">
        <v>0</v>
      </c>
      <c r="O182" s="576">
        <v>0</v>
      </c>
      <c r="P182" s="576">
        <v>0</v>
      </c>
      <c r="Q182" s="576">
        <v>0</v>
      </c>
      <c r="R182" s="577">
        <v>0</v>
      </c>
    </row>
    <row r="183" spans="1:18" ht="15" customHeight="1">
      <c r="A183" s="565" t="s">
        <v>30</v>
      </c>
      <c r="B183" s="578">
        <f>A_windowSI*(1/0.0929)/4*B175</f>
        <v>3389.3870021528528</v>
      </c>
      <c r="C183" s="578">
        <f>A_windowSI*(1/0.0929)/4*C175</f>
        <v>3518.5065069967713</v>
      </c>
      <c r="D183" s="578">
        <f>A_windowSI*(1/0.0929)/4*D175</f>
        <v>3938.1448977395053</v>
      </c>
      <c r="E183" s="578">
        <f>A_windowSI*(1/0.0929)/4*E175</f>
        <v>3550.7863832077505</v>
      </c>
      <c r="F183" s="578">
        <f>A_windowSI*(1/0.0929)/4*F175</f>
        <v>3647.6260118406894</v>
      </c>
      <c r="G183" s="578">
        <f>A_windowSI*(1/0.0929)/4*G175</f>
        <v>2969.7486114101184</v>
      </c>
      <c r="H183" s="578">
        <f>A_windowSI*(1/0.0929)/4*H175</f>
        <v>3421.6668783638324</v>
      </c>
      <c r="I183" s="578">
        <f>A_windowSI*(1/0.0929)/4*I175</f>
        <v>3518.5065069967713</v>
      </c>
      <c r="J183" s="578">
        <f>A_windowSI*(1/0.0929)/4*J175</f>
        <v>3324.827249730894</v>
      </c>
      <c r="K183" s="578">
        <f>A_windowSI*(1/0.0929)/4*K175</f>
        <v>3421.6668783638324</v>
      </c>
      <c r="L183" s="578">
        <f>A_windowSI*(1/0.0929)/4*L175</f>
        <v>3518.5065069967713</v>
      </c>
      <c r="M183" s="578">
        <f>A_windowSI*(1/0.0929)/4*M175</f>
        <v>3227.9876210979551</v>
      </c>
      <c r="N183" s="578">
        <f>A_windowSI*(1/0.0929)/4*N175</f>
        <v>3324.827249730894</v>
      </c>
      <c r="O183" s="578">
        <f>A_windowSI*(1/0.0929)/4*O175</f>
        <v>3131.1479924650162</v>
      </c>
      <c r="P183" s="578">
        <f>A_windowSI*(1/0.0929)/4*P175</f>
        <v>3002.0284876210985</v>
      </c>
      <c r="Q183" s="578">
        <f>A_windowSI*(1/0.0929)/4*Q175</f>
        <v>3486.2266307857917</v>
      </c>
      <c r="R183" s="579">
        <f>A_windowSI*(1/0.0929)/4*R175</f>
        <v>3453.9467545748116</v>
      </c>
    </row>
    <row r="184" spans="1:18" ht="15" customHeight="1">
      <c r="B184" s="305"/>
    </row>
    <row r="185" spans="1:18" s="305" customFormat="1" ht="15" customHeight="1">
      <c r="A185" s="563" t="s">
        <v>1405</v>
      </c>
      <c r="B185" s="114"/>
      <c r="C185" s="114"/>
      <c r="D185" s="114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  <c r="R185" s="112"/>
    </row>
    <row r="186" spans="1:18" ht="15" customHeight="1">
      <c r="A186" s="564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228"/>
    </row>
    <row r="187" spans="1:18" ht="15" customHeight="1">
      <c r="A187" s="564" t="s">
        <v>1411</v>
      </c>
      <c r="B187" s="576">
        <f>Noccupants*300</f>
        <v>1200</v>
      </c>
      <c r="C187" s="576">
        <f>Noccupants*300</f>
        <v>1200</v>
      </c>
      <c r="D187" s="576">
        <f>Noccupants*300</f>
        <v>1200</v>
      </c>
      <c r="E187" s="576">
        <f>Noccupants*300</f>
        <v>1200</v>
      </c>
      <c r="F187" s="576">
        <f>Noccupants*300</f>
        <v>1200</v>
      </c>
      <c r="G187" s="576">
        <f>Noccupants*300</f>
        <v>1200</v>
      </c>
      <c r="H187" s="576">
        <f>Noccupants*300</f>
        <v>1200</v>
      </c>
      <c r="I187" s="576">
        <f>Noccupants*300</f>
        <v>1200</v>
      </c>
      <c r="J187" s="576">
        <f>Noccupants*300</f>
        <v>1200</v>
      </c>
      <c r="K187" s="576">
        <f>Noccupants*300</f>
        <v>1200</v>
      </c>
      <c r="L187" s="576">
        <f>Noccupants*300</f>
        <v>1200</v>
      </c>
      <c r="M187" s="576">
        <f>Noccupants*300</f>
        <v>1200</v>
      </c>
      <c r="N187" s="576">
        <f>Noccupants*300</f>
        <v>1200</v>
      </c>
      <c r="O187" s="576">
        <f>Noccupants*300</f>
        <v>1200</v>
      </c>
      <c r="P187" s="576">
        <f>Noccupants*300</f>
        <v>1200</v>
      </c>
      <c r="Q187" s="576">
        <f>Noccupants*300</f>
        <v>1200</v>
      </c>
      <c r="R187" s="577">
        <f>Noccupants*300</f>
        <v>1200</v>
      </c>
    </row>
    <row r="188" spans="1:18" s="305" customFormat="1" ht="15" customHeight="1">
      <c r="A188" s="564" t="s">
        <v>1412</v>
      </c>
      <c r="B188" s="576">
        <f>Noccupants*230</f>
        <v>920</v>
      </c>
      <c r="C188" s="576">
        <f>Noccupants*230</f>
        <v>920</v>
      </c>
      <c r="D188" s="576">
        <f>Noccupants*230</f>
        <v>920</v>
      </c>
      <c r="E188" s="576">
        <f>Noccupants*230</f>
        <v>920</v>
      </c>
      <c r="F188" s="576">
        <f>Noccupants*230</f>
        <v>920</v>
      </c>
      <c r="G188" s="576">
        <f>Noccupants*230</f>
        <v>920</v>
      </c>
      <c r="H188" s="576">
        <f>Noccupants*230</f>
        <v>920</v>
      </c>
      <c r="I188" s="576">
        <f>Noccupants*230</f>
        <v>920</v>
      </c>
      <c r="J188" s="576">
        <f>Noccupants*230</f>
        <v>920</v>
      </c>
      <c r="K188" s="576">
        <f>Noccupants*230</f>
        <v>920</v>
      </c>
      <c r="L188" s="576">
        <f>Noccupants*230</f>
        <v>920</v>
      </c>
      <c r="M188" s="576">
        <f>Noccupants*230</f>
        <v>920</v>
      </c>
      <c r="N188" s="576">
        <f>Noccupants*230</f>
        <v>920</v>
      </c>
      <c r="O188" s="576">
        <f>Noccupants*230</f>
        <v>920</v>
      </c>
      <c r="P188" s="576">
        <f>Noccupants*230</f>
        <v>920</v>
      </c>
      <c r="Q188" s="576">
        <f>Noccupants*230</f>
        <v>920</v>
      </c>
      <c r="R188" s="577">
        <f>Noccupants*230</f>
        <v>920</v>
      </c>
    </row>
    <row r="189" spans="1:18" ht="15" customHeight="1">
      <c r="A189" s="565" t="s">
        <v>1388</v>
      </c>
      <c r="B189" s="578">
        <v>1200</v>
      </c>
      <c r="C189" s="578">
        <v>1200</v>
      </c>
      <c r="D189" s="578">
        <v>1200</v>
      </c>
      <c r="E189" s="578">
        <v>1200</v>
      </c>
      <c r="F189" s="578">
        <v>1200</v>
      </c>
      <c r="G189" s="578">
        <v>1200</v>
      </c>
      <c r="H189" s="578">
        <v>1200</v>
      </c>
      <c r="I189" s="578">
        <v>1200</v>
      </c>
      <c r="J189" s="578">
        <v>1200</v>
      </c>
      <c r="K189" s="578">
        <v>1200</v>
      </c>
      <c r="L189" s="578">
        <v>1200</v>
      </c>
      <c r="M189" s="578">
        <v>1200</v>
      </c>
      <c r="N189" s="578">
        <v>1200</v>
      </c>
      <c r="O189" s="578">
        <v>1200</v>
      </c>
      <c r="P189" s="578">
        <v>1200</v>
      </c>
      <c r="Q189" s="578">
        <v>1200</v>
      </c>
      <c r="R189" s="579">
        <v>1200</v>
      </c>
    </row>
    <row r="190" spans="1:18" s="305" customFormat="1" ht="15" customHeight="1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</row>
    <row r="191" spans="1:18" s="305" customFormat="1" ht="15" customHeight="1">
      <c r="A191" s="563" t="s">
        <v>1425</v>
      </c>
      <c r="B191" s="114"/>
      <c r="C191" s="114"/>
      <c r="D191" s="114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  <c r="R191" s="112"/>
    </row>
    <row r="192" spans="1:18" ht="15" customHeight="1">
      <c r="A192" s="564"/>
      <c r="B192" s="573">
        <f>12000*C19</f>
        <v>28922.370568047416</v>
      </c>
      <c r="C192" s="573">
        <f t="shared" ref="C192:R192" si="31">12000*D19</f>
        <v>25379.554524644849</v>
      </c>
      <c r="D192" s="573" t="e">
        <f t="shared" si="31"/>
        <v>#N/A</v>
      </c>
      <c r="E192" s="573">
        <f t="shared" si="31"/>
        <v>27547.486951653838</v>
      </c>
      <c r="F192" s="573" t="e">
        <f t="shared" si="31"/>
        <v>#N/A</v>
      </c>
      <c r="G192" s="573" t="e">
        <f t="shared" si="31"/>
        <v>#N/A</v>
      </c>
      <c r="H192" s="573">
        <f t="shared" si="31"/>
        <v>24898.345258907095</v>
      </c>
      <c r="I192" s="573" t="e">
        <f t="shared" si="31"/>
        <v>#N/A</v>
      </c>
      <c r="J192" s="573" t="e">
        <f t="shared" si="31"/>
        <v>#N/A</v>
      </c>
      <c r="K192" s="573" t="e">
        <f t="shared" si="31"/>
        <v>#N/A</v>
      </c>
      <c r="L192" s="573" t="e">
        <f t="shared" si="31"/>
        <v>#N/A</v>
      </c>
      <c r="M192" s="573" t="e">
        <f t="shared" si="31"/>
        <v>#N/A</v>
      </c>
      <c r="N192" s="573" t="e">
        <f t="shared" si="31"/>
        <v>#N/A</v>
      </c>
      <c r="O192" s="573" t="e">
        <f t="shared" si="31"/>
        <v>#N/A</v>
      </c>
      <c r="P192" s="573" t="e">
        <f t="shared" si="31"/>
        <v>#N/A</v>
      </c>
      <c r="Q192" s="573">
        <f t="shared" si="31"/>
        <v>24449.01735239007</v>
      </c>
      <c r="R192" s="315">
        <f t="shared" si="31"/>
        <v>27278.487983229013</v>
      </c>
    </row>
    <row r="193" spans="1:19" s="305" customFormat="1" ht="15" customHeight="1">
      <c r="A193" s="564" t="s">
        <v>1426</v>
      </c>
      <c r="B193" s="580">
        <f>SUM(B124,B156,IF(Inputs!$C$110=1,B157, B158),B179:B183,B187:B189)</f>
        <v>31180.53337825977</v>
      </c>
      <c r="C193" s="580">
        <f>SUM(C124,C156,IF(Inputs!$C$110=1,C157, C158),C179:C183,C187:C189)</f>
        <v>31267.751178011251</v>
      </c>
      <c r="D193" s="580">
        <f>SUM(D124,D156,IF(Inputs!$C$110=1,D157, D158),D179:D183,D187:D189)</f>
        <v>36888.948783072541</v>
      </c>
      <c r="E193" s="580">
        <f>SUM(E124,E156,IF(Inputs!$C$110=1,E157, E158),E179:E183,E187:E189)</f>
        <v>30868.380830605391</v>
      </c>
      <c r="F193" s="580">
        <f>SUM(F124,F156,IF(Inputs!$C$110=1,F157, F158),F179:F183,F187:F189)</f>
        <v>31200.393883628036</v>
      </c>
      <c r="G193" s="580">
        <f>SUM(G124,G156,IF(Inputs!$C$110=1,G157, G158),G179:G183,G187:G189)</f>
        <v>21915.285068053683</v>
      </c>
      <c r="H193" s="580">
        <f>SUM(H124,H156,IF(Inputs!$C$110=1,H157, H158),H179:H183,H187:H189)</f>
        <v>28113.188751418675</v>
      </c>
      <c r="I193" s="580">
        <f>SUM(I124,I156,IF(Inputs!$C$110=1,I157, I158),I179:I183,I187:I189)</f>
        <v>28480.688409368853</v>
      </c>
      <c r="J193" s="580">
        <f>SUM(J124,J156,IF(Inputs!$C$110=1,J157, J158),J179:J183,J187:J189)</f>
        <v>25613.052933094099</v>
      </c>
      <c r="K193" s="580">
        <f>SUM(K124,K156,IF(Inputs!$C$110=1,K157, K158),K179:K183,K187:K189)</f>
        <v>28114.84423104021</v>
      </c>
      <c r="L193" s="580">
        <f>SUM(L124,L156,IF(Inputs!$C$110=1,L157, L158),L179:L183,L187:L189)</f>
        <v>28489.841677558798</v>
      </c>
      <c r="M193" s="580">
        <f>SUM(M124,M156,IF(Inputs!$C$110=1,M157, M158),M179:M183,M187:M189)</f>
        <v>25044.248440178282</v>
      </c>
      <c r="N193" s="580">
        <f>SUM(N124,N156,IF(Inputs!$C$110=1,N157, N158),N179:N183,N187:N189)</f>
        <v>25444.73997703637</v>
      </c>
      <c r="O193" s="580">
        <f>SUM(O124,O156,IF(Inputs!$C$110=1,O157, O158),O179:O183,O187:O189)</f>
        <v>23651.50158531078</v>
      </c>
      <c r="P193" s="580">
        <f>SUM(P124,P156,IF(Inputs!$C$110=1,P157, P158),P179:P183,P187:P189)</f>
        <v>21802.154135290282</v>
      </c>
      <c r="Q193" s="580">
        <f>SUM(Q124,Q156,IF(Inputs!$C$110=1,Q157, Q158),Q179:Q183,Q187:Q189)</f>
        <v>30735.142692885107</v>
      </c>
      <c r="R193" s="581">
        <f>SUM(R124,R156,IF(Inputs!$C$110=1,R157, R158),R179:R183,R187:R189)</f>
        <v>30304.882515817939</v>
      </c>
    </row>
    <row r="194" spans="1:19" s="305" customFormat="1" ht="15" customHeight="1">
      <c r="A194" s="564" t="s">
        <v>1427</v>
      </c>
      <c r="B194" s="580">
        <f>SUM(B110,B119)</f>
        <v>21552.588175802546</v>
      </c>
      <c r="C194" s="580">
        <f t="shared" ref="C194:R194" si="32">SUM(C110,C119)</f>
        <v>34745.440505729675</v>
      </c>
      <c r="D194" s="580">
        <f t="shared" si="32"/>
        <v>32914.363834031268</v>
      </c>
      <c r="E194" s="580">
        <f t="shared" si="32"/>
        <v>38050.773270129765</v>
      </c>
      <c r="F194" s="580">
        <f t="shared" si="32"/>
        <v>33655.825000599376</v>
      </c>
      <c r="G194" s="580">
        <f t="shared" si="32"/>
        <v>23389.894918818965</v>
      </c>
      <c r="H194" s="580">
        <f t="shared" si="32"/>
        <v>40611.120616579443</v>
      </c>
      <c r="I194" s="580">
        <f t="shared" si="32"/>
        <v>38461.510244715675</v>
      </c>
      <c r="J194" s="580">
        <f t="shared" si="32"/>
        <v>29634.920312842529</v>
      </c>
      <c r="K194" s="580">
        <f t="shared" si="32"/>
        <v>44164.371670766639</v>
      </c>
      <c r="L194" s="580">
        <f t="shared" si="32"/>
        <v>37864.336092226513</v>
      </c>
      <c r="M194" s="580">
        <f t="shared" si="32"/>
        <v>47437.607797137054</v>
      </c>
      <c r="N194" s="580">
        <f t="shared" si="32"/>
        <v>52975.016433111174</v>
      </c>
      <c r="O194" s="580">
        <f t="shared" si="32"/>
        <v>50998.899439588276</v>
      </c>
      <c r="P194" s="580">
        <f t="shared" si="32"/>
        <v>69467.003596133291</v>
      </c>
      <c r="Q194" s="580">
        <f t="shared" si="32"/>
        <v>29267.026823709552</v>
      </c>
      <c r="R194" s="581">
        <f t="shared" si="32"/>
        <v>30738.960511865043</v>
      </c>
    </row>
    <row r="195" spans="1:19" s="305" customFormat="1" ht="15" customHeight="1">
      <c r="A195" s="564"/>
      <c r="B195" s="571">
        <f>1000*C20</f>
        <v>10402.289738235724</v>
      </c>
      <c r="C195" s="571">
        <f t="shared" ref="C195:R195" si="33">1000*D20</f>
        <v>23970.796964079258</v>
      </c>
      <c r="D195" s="571" t="e">
        <f t="shared" si="33"/>
        <v>#N/A</v>
      </c>
      <c r="E195" s="571">
        <f t="shared" si="33"/>
        <v>29502.212788874273</v>
      </c>
      <c r="F195" s="571" t="e">
        <f t="shared" si="33"/>
        <v>#N/A</v>
      </c>
      <c r="G195" s="571" t="e">
        <f t="shared" si="33"/>
        <v>#N/A</v>
      </c>
      <c r="H195" s="571">
        <f t="shared" si="33"/>
        <v>34636.107915885921</v>
      </c>
      <c r="I195" s="571" t="e">
        <f t="shared" si="33"/>
        <v>#N/A</v>
      </c>
      <c r="J195" s="571" t="e">
        <f t="shared" si="33"/>
        <v>#N/A</v>
      </c>
      <c r="K195" s="571" t="e">
        <f t="shared" si="33"/>
        <v>#N/A</v>
      </c>
      <c r="L195" s="571" t="e">
        <f t="shared" si="33"/>
        <v>#N/A</v>
      </c>
      <c r="M195" s="571" t="e">
        <f t="shared" si="33"/>
        <v>#N/A</v>
      </c>
      <c r="N195" s="571" t="e">
        <f t="shared" si="33"/>
        <v>#N/A</v>
      </c>
      <c r="O195" s="571" t="e">
        <f t="shared" si="33"/>
        <v>#N/A</v>
      </c>
      <c r="P195" s="571" t="e">
        <f t="shared" si="33"/>
        <v>#N/A</v>
      </c>
      <c r="Q195" s="571">
        <f t="shared" si="33"/>
        <v>17572.606685470902</v>
      </c>
      <c r="R195" s="194">
        <f t="shared" si="33"/>
        <v>24103.303863340374</v>
      </c>
    </row>
    <row r="196" spans="1:19" s="305" customFormat="1" ht="15" customHeight="1">
      <c r="A196" s="564" t="s">
        <v>1428</v>
      </c>
      <c r="B196" s="571">
        <f>SUM(B125,B188)</f>
        <v>5054.5141379486959</v>
      </c>
      <c r="C196" s="571">
        <f>SUM(C125,C188)</f>
        <v>4462.2186993171445</v>
      </c>
      <c r="D196" s="571">
        <f>SUM(D125,D188)</f>
        <v>920</v>
      </c>
      <c r="E196" s="571">
        <f>SUM(E125,E188)</f>
        <v>3707.7042510438064</v>
      </c>
      <c r="F196" s="571">
        <f>SUM(F125,F188)</f>
        <v>920</v>
      </c>
      <c r="G196" s="571">
        <f>SUM(G125,G188)</f>
        <v>920</v>
      </c>
      <c r="H196" s="571">
        <f>SUM(H125,H188)</f>
        <v>3872.3127897823242</v>
      </c>
      <c r="I196" s="571">
        <f>SUM(I125,I188)</f>
        <v>920</v>
      </c>
      <c r="J196" s="571">
        <f>SUM(J125,J188)</f>
        <v>920</v>
      </c>
      <c r="K196" s="571">
        <f>SUM(K125,K188)</f>
        <v>2861.5623812479121</v>
      </c>
      <c r="L196" s="571">
        <f>SUM(L125,L188)</f>
        <v>920</v>
      </c>
      <c r="M196" s="571">
        <f>SUM(M125,M188)</f>
        <v>2185.859476587224</v>
      </c>
      <c r="N196" s="571">
        <f>SUM(N125,N188)</f>
        <v>920</v>
      </c>
      <c r="O196" s="571">
        <f>SUM(O125,O188)</f>
        <v>1761.3681349554895</v>
      </c>
      <c r="P196" s="571">
        <f>SUM(P125,P188)</f>
        <v>920</v>
      </c>
      <c r="Q196" s="571">
        <f>SUM(Q125,Q188)</f>
        <v>4046.035824797953</v>
      </c>
      <c r="R196" s="194">
        <f>SUM(R125,R188)</f>
        <v>5232.5066007376709</v>
      </c>
    </row>
    <row r="197" spans="1:19" s="305" customFormat="1" ht="15" customHeight="1">
      <c r="A197" s="564" t="s">
        <v>1413</v>
      </c>
      <c r="B197" s="571">
        <f>B193/SUM(B193,B196)</f>
        <v>0.86050758907690861</v>
      </c>
      <c r="C197" s="571">
        <f t="shared" ref="C197:R197" si="34">C193/SUM(C193,C196)</f>
        <v>0.87511272148738806</v>
      </c>
      <c r="D197" s="571">
        <f t="shared" si="34"/>
        <v>0.97566713623067214</v>
      </c>
      <c r="E197" s="571">
        <f t="shared" si="34"/>
        <v>0.89276679987661123</v>
      </c>
      <c r="F197" s="571">
        <f t="shared" si="34"/>
        <v>0.97135776094984538</v>
      </c>
      <c r="G197" s="571">
        <f t="shared" si="34"/>
        <v>0.95971147295695158</v>
      </c>
      <c r="H197" s="571">
        <f t="shared" si="34"/>
        <v>0.8789353737413077</v>
      </c>
      <c r="I197" s="571">
        <f t="shared" si="34"/>
        <v>0.96870821569923404</v>
      </c>
      <c r="J197" s="571">
        <f t="shared" si="34"/>
        <v>0.96532626673907906</v>
      </c>
      <c r="K197" s="571">
        <f t="shared" si="34"/>
        <v>0.90762122872855266</v>
      </c>
      <c r="L197" s="571">
        <f t="shared" si="34"/>
        <v>0.96871795468718869</v>
      </c>
      <c r="M197" s="571">
        <f t="shared" si="34"/>
        <v>0.91972637481758224</v>
      </c>
      <c r="N197" s="571">
        <f t="shared" si="34"/>
        <v>0.96510490902617219</v>
      </c>
      <c r="O197" s="571">
        <f t="shared" si="34"/>
        <v>0.93068991600146467</v>
      </c>
      <c r="P197" s="571">
        <f t="shared" si="34"/>
        <v>0.95951088111971183</v>
      </c>
      <c r="Q197" s="571">
        <f t="shared" si="34"/>
        <v>0.88367168689407949</v>
      </c>
      <c r="R197" s="194">
        <f t="shared" si="34"/>
        <v>0.85276052262657542</v>
      </c>
    </row>
    <row r="198" spans="1:19" s="305" customFormat="1" ht="15" customHeight="1">
      <c r="A198" s="564"/>
      <c r="B198" s="571"/>
      <c r="C198" s="571"/>
      <c r="D198" s="571"/>
      <c r="E198" s="571"/>
      <c r="F198" s="571"/>
      <c r="G198" s="571"/>
      <c r="H198" s="571"/>
      <c r="I198" s="571"/>
      <c r="J198" s="571"/>
      <c r="K198" s="571"/>
      <c r="L198" s="571"/>
      <c r="M198" s="571"/>
      <c r="N198" s="571"/>
      <c r="O198" s="571"/>
      <c r="P198" s="571"/>
      <c r="Q198" s="571"/>
      <c r="R198" s="194"/>
    </row>
    <row r="199" spans="1:19" s="305" customFormat="1" ht="15" customHeight="1">
      <c r="A199" s="564" t="s">
        <v>1429</v>
      </c>
      <c r="B199" s="584">
        <f>SUM(B193,B196)</f>
        <v>36235.047516208462</v>
      </c>
      <c r="C199" s="585">
        <f t="shared" ref="C199:R199" si="35">SUM(C193,C196)</f>
        <v>35729.969877328396</v>
      </c>
      <c r="D199" s="585">
        <f t="shared" si="35"/>
        <v>37808.948783072541</v>
      </c>
      <c r="E199" s="585">
        <f t="shared" si="35"/>
        <v>34576.085081649195</v>
      </c>
      <c r="F199" s="585">
        <f t="shared" si="35"/>
        <v>32120.393883628036</v>
      </c>
      <c r="G199" s="585">
        <f t="shared" si="35"/>
        <v>22835.285068053683</v>
      </c>
      <c r="H199" s="585">
        <f t="shared" si="35"/>
        <v>31985.501541201</v>
      </c>
      <c r="I199" s="585">
        <f t="shared" si="35"/>
        <v>29400.688409368853</v>
      </c>
      <c r="J199" s="585">
        <f t="shared" si="35"/>
        <v>26533.052933094099</v>
      </c>
      <c r="K199" s="585">
        <f t="shared" si="35"/>
        <v>30976.406612288123</v>
      </c>
      <c r="L199" s="585">
        <f t="shared" si="35"/>
        <v>29409.841677558798</v>
      </c>
      <c r="M199" s="585">
        <f t="shared" si="35"/>
        <v>27230.107916765504</v>
      </c>
      <c r="N199" s="585">
        <f t="shared" si="35"/>
        <v>26364.73997703637</v>
      </c>
      <c r="O199" s="585">
        <f t="shared" si="35"/>
        <v>25412.86972026627</v>
      </c>
      <c r="P199" s="585">
        <f t="shared" si="35"/>
        <v>22722.154135290282</v>
      </c>
      <c r="Q199" s="585">
        <f t="shared" si="35"/>
        <v>34781.17851768306</v>
      </c>
      <c r="R199" s="586">
        <f t="shared" si="35"/>
        <v>35537.389116555612</v>
      </c>
    </row>
    <row r="200" spans="1:19" s="305" customFormat="1" ht="15" customHeight="1">
      <c r="A200" s="565" t="s">
        <v>1430</v>
      </c>
      <c r="B200" s="587">
        <f>B194</f>
        <v>21552.588175802546</v>
      </c>
      <c r="C200" s="582">
        <f t="shared" ref="C200:R200" si="36">C194</f>
        <v>34745.440505729675</v>
      </c>
      <c r="D200" s="582">
        <f t="shared" si="36"/>
        <v>32914.363834031268</v>
      </c>
      <c r="E200" s="582">
        <f t="shared" si="36"/>
        <v>38050.773270129765</v>
      </c>
      <c r="F200" s="582">
        <f t="shared" si="36"/>
        <v>33655.825000599376</v>
      </c>
      <c r="G200" s="582">
        <f t="shared" si="36"/>
        <v>23389.894918818965</v>
      </c>
      <c r="H200" s="582">
        <f t="shared" si="36"/>
        <v>40611.120616579443</v>
      </c>
      <c r="I200" s="582">
        <f t="shared" si="36"/>
        <v>38461.510244715675</v>
      </c>
      <c r="J200" s="582">
        <f t="shared" si="36"/>
        <v>29634.920312842529</v>
      </c>
      <c r="K200" s="582">
        <f t="shared" si="36"/>
        <v>44164.371670766639</v>
      </c>
      <c r="L200" s="582">
        <f t="shared" si="36"/>
        <v>37864.336092226513</v>
      </c>
      <c r="M200" s="582">
        <f t="shared" si="36"/>
        <v>47437.607797137054</v>
      </c>
      <c r="N200" s="582">
        <f t="shared" si="36"/>
        <v>52975.016433111174</v>
      </c>
      <c r="O200" s="582">
        <f t="shared" si="36"/>
        <v>50998.899439588276</v>
      </c>
      <c r="P200" s="582">
        <f t="shared" si="36"/>
        <v>69467.003596133291</v>
      </c>
      <c r="Q200" s="582">
        <f t="shared" si="36"/>
        <v>29267.026823709552</v>
      </c>
      <c r="R200" s="583">
        <f t="shared" si="36"/>
        <v>30738.960511865043</v>
      </c>
    </row>
    <row r="201" spans="1:19" s="305" customFormat="1" ht="15" customHeight="1"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1:19" s="305" customFormat="1" ht="15" customHeight="1">
      <c r="A202" s="563" t="s">
        <v>1424</v>
      </c>
      <c r="B202" s="569"/>
      <c r="C202" s="569"/>
      <c r="D202" s="569"/>
      <c r="E202" s="569"/>
      <c r="F202" s="569"/>
      <c r="G202" s="569"/>
      <c r="H202" s="569"/>
      <c r="I202" s="569"/>
      <c r="J202" s="569"/>
      <c r="K202" s="569"/>
      <c r="L202" s="569"/>
      <c r="M202" s="569"/>
      <c r="N202" s="569"/>
      <c r="O202" s="569"/>
      <c r="P202" s="569"/>
      <c r="Q202" s="569"/>
      <c r="R202" s="570"/>
    </row>
    <row r="203" spans="1:19" s="305" customFormat="1" ht="15" customHeight="1">
      <c r="A203" s="564" t="s">
        <v>1414</v>
      </c>
      <c r="B203" s="571">
        <f>B193/(1.1*IF(B197&lt;0.8,21,IF(AND(B197&gt;=0.8,B197&lt;0.85),19,17)))</f>
        <v>1667.4082020459769</v>
      </c>
      <c r="C203" s="571">
        <f t="shared" ref="C203:R203" si="37">C193/(1.1*IF(C197&lt;0.8,21,IF(AND(C197&gt;=0.8,C197&lt;0.85),19,17)))</f>
        <v>1672.0722555086227</v>
      </c>
      <c r="D203" s="571">
        <f t="shared" si="37"/>
        <v>1972.6710579183175</v>
      </c>
      <c r="E203" s="571">
        <f t="shared" si="37"/>
        <v>1650.7155524387906</v>
      </c>
      <c r="F203" s="571">
        <f t="shared" si="37"/>
        <v>1668.4702611565792</v>
      </c>
      <c r="G203" s="571">
        <f t="shared" si="37"/>
        <v>1171.940377970785</v>
      </c>
      <c r="H203" s="571">
        <f t="shared" si="37"/>
        <v>1503.3790776159717</v>
      </c>
      <c r="I203" s="571">
        <f t="shared" si="37"/>
        <v>1523.0314657416498</v>
      </c>
      <c r="J203" s="571">
        <f t="shared" si="37"/>
        <v>1369.6819750317698</v>
      </c>
      <c r="K203" s="571">
        <f t="shared" si="37"/>
        <v>1503.467605937979</v>
      </c>
      <c r="L203" s="571">
        <f t="shared" si="37"/>
        <v>1523.5209453239997</v>
      </c>
      <c r="M203" s="571">
        <f t="shared" si="37"/>
        <v>1339.2646224694267</v>
      </c>
      <c r="N203" s="571">
        <f t="shared" si="37"/>
        <v>1360.6812821944582</v>
      </c>
      <c r="O203" s="571">
        <f t="shared" si="37"/>
        <v>1264.7861810326617</v>
      </c>
      <c r="P203" s="571">
        <f t="shared" si="37"/>
        <v>1165.8905954700683</v>
      </c>
      <c r="Q203" s="571">
        <f t="shared" si="37"/>
        <v>1643.5905183361017</v>
      </c>
      <c r="R203" s="194">
        <f t="shared" si="37"/>
        <v>1620.5819527175365</v>
      </c>
      <c r="S203" s="305" t="s">
        <v>1416</v>
      </c>
    </row>
    <row r="204" spans="1:19" s="305" customFormat="1" ht="15" customHeight="1">
      <c r="A204" s="564" t="s">
        <v>1415</v>
      </c>
      <c r="B204" s="571">
        <f>16.8*B194/1000</f>
        <v>362.0834813534828</v>
      </c>
      <c r="C204" s="571">
        <f t="shared" ref="C204:R204" si="38">16.8*C194/1000</f>
        <v>583.72340049625848</v>
      </c>
      <c r="D204" s="571">
        <f t="shared" si="38"/>
        <v>552.96131241172532</v>
      </c>
      <c r="E204" s="571">
        <f t="shared" si="38"/>
        <v>639.25299093818012</v>
      </c>
      <c r="F204" s="571">
        <f t="shared" si="38"/>
        <v>565.4178600100696</v>
      </c>
      <c r="G204" s="571">
        <f t="shared" si="38"/>
        <v>392.9502346361586</v>
      </c>
      <c r="H204" s="571">
        <f t="shared" si="38"/>
        <v>682.26682635853467</v>
      </c>
      <c r="I204" s="571">
        <f t="shared" si="38"/>
        <v>646.15337211122346</v>
      </c>
      <c r="J204" s="571">
        <f t="shared" si="38"/>
        <v>497.86666125575454</v>
      </c>
      <c r="K204" s="571">
        <f t="shared" si="38"/>
        <v>741.96144406887959</v>
      </c>
      <c r="L204" s="571">
        <f t="shared" si="38"/>
        <v>636.1208463494055</v>
      </c>
      <c r="M204" s="571">
        <f t="shared" si="38"/>
        <v>796.95181099190245</v>
      </c>
      <c r="N204" s="571">
        <f t="shared" si="38"/>
        <v>889.98027607626773</v>
      </c>
      <c r="O204" s="571">
        <f t="shared" si="38"/>
        <v>856.78151058508308</v>
      </c>
      <c r="P204" s="571">
        <f t="shared" si="38"/>
        <v>1167.0456604150395</v>
      </c>
      <c r="Q204" s="571">
        <f t="shared" si="38"/>
        <v>491.68605063832052</v>
      </c>
      <c r="R204" s="194">
        <f t="shared" si="38"/>
        <v>516.41453659933279</v>
      </c>
      <c r="S204" s="305" t="s">
        <v>1417</v>
      </c>
    </row>
    <row r="205" spans="1:19" s="305" customFormat="1" ht="15" customHeight="1">
      <c r="A205" s="564" t="s">
        <v>1418</v>
      </c>
      <c r="B205" s="571">
        <f>IF(OR(B204/B203&lt;0.5, B204/B203&gt;1.5),0.5*B203/B204,1)</f>
        <v>2.3025190155225213</v>
      </c>
      <c r="C205" s="571">
        <f t="shared" ref="C205:R205" si="39">IF(OR(C204/C203&lt;0.5, C204/C203&gt;1.5),0.5*C203/C204,1)</f>
        <v>1.432247066065103</v>
      </c>
      <c r="D205" s="571">
        <f t="shared" si="39"/>
        <v>1.7837333405067417</v>
      </c>
      <c r="E205" s="571">
        <f t="shared" si="39"/>
        <v>1.2911285327082853</v>
      </c>
      <c r="F205" s="571">
        <f t="shared" si="39"/>
        <v>1.4754311626509864</v>
      </c>
      <c r="G205" s="571">
        <f t="shared" si="39"/>
        <v>1.4912071232835766</v>
      </c>
      <c r="H205" s="571">
        <f t="shared" si="39"/>
        <v>1.1017530235494246</v>
      </c>
      <c r="I205" s="571">
        <f t="shared" si="39"/>
        <v>1.1785371178713648</v>
      </c>
      <c r="J205" s="571">
        <f t="shared" si="39"/>
        <v>1.3755510075499542</v>
      </c>
      <c r="K205" s="571">
        <f t="shared" si="39"/>
        <v>1.0131709794063135</v>
      </c>
      <c r="L205" s="571">
        <f t="shared" si="39"/>
        <v>1.1975090535605299</v>
      </c>
      <c r="M205" s="571">
        <f t="shared" si="39"/>
        <v>1</v>
      </c>
      <c r="N205" s="571">
        <f t="shared" si="39"/>
        <v>1</v>
      </c>
      <c r="O205" s="571">
        <f t="shared" si="39"/>
        <v>1</v>
      </c>
      <c r="P205" s="571">
        <f t="shared" si="39"/>
        <v>1</v>
      </c>
      <c r="Q205" s="571">
        <f t="shared" si="39"/>
        <v>1.6713820904643795</v>
      </c>
      <c r="R205" s="194">
        <f t="shared" si="39"/>
        <v>1.5690708121708887</v>
      </c>
    </row>
    <row r="206" spans="1:19" s="305" customFormat="1" ht="15" customHeight="1">
      <c r="A206" s="564" t="s">
        <v>1419</v>
      </c>
      <c r="B206" s="571">
        <f>B200*B205</f>
        <v>49625.244108511208</v>
      </c>
      <c r="C206" s="571">
        <f t="shared" ref="C206:R206" si="40">C200*C205</f>
        <v>49764.055223470918</v>
      </c>
      <c r="D206" s="571">
        <f t="shared" si="40"/>
        <v>58710.448152330879</v>
      </c>
      <c r="E206" s="571">
        <f t="shared" si="40"/>
        <v>49128.439060678284</v>
      </c>
      <c r="F206" s="571">
        <f t="shared" si="40"/>
        <v>49656.853010612474</v>
      </c>
      <c r="G206" s="571">
        <f t="shared" si="40"/>
        <v>34879.177915797176</v>
      </c>
      <c r="H206" s="571">
        <f t="shared" si="40"/>
        <v>44743.424929046778</v>
      </c>
      <c r="I206" s="571">
        <f t="shared" si="40"/>
        <v>45328.317432787182</v>
      </c>
      <c r="J206" s="571">
        <f t="shared" si="40"/>
        <v>40764.344494993144</v>
      </c>
      <c r="K206" s="571">
        <f t="shared" si="40"/>
        <v>44746.059700535079</v>
      </c>
      <c r="L206" s="571">
        <f t="shared" si="40"/>
        <v>45342.885277499983</v>
      </c>
      <c r="M206" s="571">
        <f t="shared" si="40"/>
        <v>47437.607797137054</v>
      </c>
      <c r="N206" s="571">
        <f t="shared" si="40"/>
        <v>52975.016433111174</v>
      </c>
      <c r="O206" s="571">
        <f t="shared" si="40"/>
        <v>50998.899439588276</v>
      </c>
      <c r="P206" s="571">
        <f t="shared" si="40"/>
        <v>69467.003596133291</v>
      </c>
      <c r="Q206" s="571">
        <f t="shared" si="40"/>
        <v>48916.384474288738</v>
      </c>
      <c r="R206" s="194">
        <f t="shared" si="40"/>
        <v>48231.605735640958</v>
      </c>
    </row>
    <row r="207" spans="1:19" s="305" customFormat="1" ht="15" customHeight="1">
      <c r="A207" s="564" t="s">
        <v>1420</v>
      </c>
      <c r="B207" s="571">
        <f>16.8*B206/1000</f>
        <v>833.70410102298831</v>
      </c>
      <c r="C207" s="571">
        <f t="shared" ref="C207:R207" si="41">16.8*C206/1000</f>
        <v>836.03612775431145</v>
      </c>
      <c r="D207" s="571">
        <f t="shared" si="41"/>
        <v>986.33552895915886</v>
      </c>
      <c r="E207" s="571">
        <f t="shared" si="41"/>
        <v>825.35777621939519</v>
      </c>
      <c r="F207" s="571">
        <f t="shared" si="41"/>
        <v>834.23513057828961</v>
      </c>
      <c r="G207" s="571">
        <f t="shared" si="41"/>
        <v>585.97018898539261</v>
      </c>
      <c r="H207" s="571">
        <f t="shared" si="41"/>
        <v>751.68953880798597</v>
      </c>
      <c r="I207" s="571">
        <f t="shared" si="41"/>
        <v>761.51573287082465</v>
      </c>
      <c r="J207" s="571">
        <f t="shared" si="41"/>
        <v>684.84098751588476</v>
      </c>
      <c r="K207" s="571">
        <f t="shared" si="41"/>
        <v>751.73380296898938</v>
      </c>
      <c r="L207" s="571">
        <f t="shared" si="41"/>
        <v>761.76047266199976</v>
      </c>
      <c r="M207" s="571">
        <f t="shared" si="41"/>
        <v>796.95181099190245</v>
      </c>
      <c r="N207" s="571">
        <f t="shared" si="41"/>
        <v>889.98027607626773</v>
      </c>
      <c r="O207" s="571">
        <f t="shared" si="41"/>
        <v>856.78151058508308</v>
      </c>
      <c r="P207" s="571">
        <f t="shared" si="41"/>
        <v>1167.0456604150395</v>
      </c>
      <c r="Q207" s="571">
        <f t="shared" si="41"/>
        <v>821.79525916805085</v>
      </c>
      <c r="R207" s="194">
        <f t="shared" si="41"/>
        <v>810.29097635876815</v>
      </c>
    </row>
    <row r="208" spans="1:19" s="305" customFormat="1" ht="15" customHeight="1">
      <c r="A208" s="565"/>
      <c r="B208" s="200">
        <f>B203/(B193/12000)</f>
        <v>641.71122994652399</v>
      </c>
      <c r="C208" s="200">
        <f t="shared" ref="C208:R208" si="42">C203/(C193/12000)</f>
        <v>641.71122994652387</v>
      </c>
      <c r="D208" s="200">
        <f t="shared" si="42"/>
        <v>641.71122994652399</v>
      </c>
      <c r="E208" s="200">
        <f t="shared" si="42"/>
        <v>641.71122994652387</v>
      </c>
      <c r="F208" s="200">
        <f t="shared" si="42"/>
        <v>641.71122994652399</v>
      </c>
      <c r="G208" s="200">
        <f t="shared" si="42"/>
        <v>641.71122994652387</v>
      </c>
      <c r="H208" s="200">
        <f t="shared" si="42"/>
        <v>641.71122994652399</v>
      </c>
      <c r="I208" s="200">
        <f t="shared" si="42"/>
        <v>641.7112299465241</v>
      </c>
      <c r="J208" s="200">
        <f t="shared" si="42"/>
        <v>641.71122994652399</v>
      </c>
      <c r="K208" s="200">
        <f t="shared" si="42"/>
        <v>641.71122994652399</v>
      </c>
      <c r="L208" s="200">
        <f t="shared" si="42"/>
        <v>641.71122994652399</v>
      </c>
      <c r="M208" s="200">
        <f t="shared" si="42"/>
        <v>641.71122994652399</v>
      </c>
      <c r="N208" s="200">
        <f t="shared" si="42"/>
        <v>641.71122994652399</v>
      </c>
      <c r="O208" s="200">
        <f t="shared" si="42"/>
        <v>641.71122994652399</v>
      </c>
      <c r="P208" s="200">
        <f t="shared" si="42"/>
        <v>641.71122994652387</v>
      </c>
      <c r="Q208" s="200">
        <f t="shared" si="42"/>
        <v>641.71122994652399</v>
      </c>
      <c r="R208" s="572">
        <f t="shared" si="42"/>
        <v>641.71122994652399</v>
      </c>
    </row>
    <row r="209" spans="1:18" s="305" customFormat="1" ht="15" customHeight="1"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1:18" ht="15" customHeight="1">
      <c r="A210" s="5" t="s">
        <v>1389</v>
      </c>
    </row>
    <row r="211" spans="1:18" s="305" customFormat="1" ht="15" customHeight="1">
      <c r="A211" s="305" t="s">
        <v>1402</v>
      </c>
      <c r="B211" s="305">
        <v>0</v>
      </c>
    </row>
    <row r="212" spans="1:18" ht="15" customHeight="1">
      <c r="A212" s="5" t="s">
        <v>1390</v>
      </c>
      <c r="B212" s="5" t="s">
        <v>1401</v>
      </c>
    </row>
    <row r="213" spans="1:18" ht="15" customHeight="1">
      <c r="A213" s="5" t="s">
        <v>1391</v>
      </c>
      <c r="B213" s="5">
        <v>0.3</v>
      </c>
    </row>
    <row r="214" spans="1:18" ht="15" customHeight="1">
      <c r="A214" s="5" t="s">
        <v>1392</v>
      </c>
      <c r="B214" s="5">
        <v>0.2</v>
      </c>
    </row>
    <row r="215" spans="1:18" ht="15" customHeight="1">
      <c r="A215" s="5" t="s">
        <v>1393</v>
      </c>
      <c r="B215" s="5">
        <v>0.15</v>
      </c>
    </row>
    <row r="216" spans="1:18" ht="15" customHeight="1">
      <c r="A216" s="5" t="s">
        <v>1394</v>
      </c>
      <c r="B216" s="5">
        <v>0.1</v>
      </c>
    </row>
    <row r="217" spans="1:18" ht="15" customHeight="1">
      <c r="A217" s="5" t="s">
        <v>1395</v>
      </c>
    </row>
    <row r="218" spans="1:18" ht="15" customHeight="1">
      <c r="A218" s="305" t="s">
        <v>1391</v>
      </c>
      <c r="B218" s="5">
        <v>0.15</v>
      </c>
    </row>
    <row r="219" spans="1:18" ht="15" customHeight="1">
      <c r="A219" s="305" t="s">
        <v>1392</v>
      </c>
      <c r="B219" s="5">
        <v>0.1</v>
      </c>
    </row>
    <row r="220" spans="1:18" ht="15" customHeight="1">
      <c r="A220" s="305" t="s">
        <v>1393</v>
      </c>
      <c r="B220" s="5">
        <v>0.05</v>
      </c>
    </row>
    <row r="221" spans="1:18" ht="15" customHeight="1">
      <c r="A221" s="305" t="s">
        <v>1394</v>
      </c>
      <c r="B221" s="5">
        <v>0</v>
      </c>
    </row>
    <row r="222" spans="1:18" ht="15" customHeight="1">
      <c r="A222" s="5" t="s">
        <v>1396</v>
      </c>
    </row>
    <row r="223" spans="1:18" ht="15" customHeight="1">
      <c r="A223" s="5" t="s">
        <v>1397</v>
      </c>
      <c r="B223" s="5">
        <v>0.1</v>
      </c>
    </row>
    <row r="224" spans="1:18" ht="15" customHeight="1">
      <c r="A224" s="5" t="s">
        <v>1398</v>
      </c>
      <c r="B224" s="5">
        <v>0.05</v>
      </c>
    </row>
    <row r="225" spans="1:2" ht="15" customHeight="1">
      <c r="A225" s="5" t="s">
        <v>1399</v>
      </c>
      <c r="B225" s="5">
        <v>0</v>
      </c>
    </row>
    <row r="226" spans="1:2" ht="15" customHeight="1">
      <c r="A226" s="5" t="s">
        <v>1400</v>
      </c>
      <c r="B226" s="5">
        <v>0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5" workbookViewId="0">
      <selection activeCell="H39" sqref="H39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  <row r="27" spans="1:26">
      <c r="A27" s="210" t="s">
        <v>1358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562" t="s">
        <v>1360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562" t="s">
        <v>1361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1362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1363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1359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1364</v>
      </c>
      <c r="D33" t="s">
        <v>1365</v>
      </c>
      <c r="E33" t="s">
        <v>1364</v>
      </c>
      <c r="F33" t="s">
        <v>1365</v>
      </c>
      <c r="G33" t="s">
        <v>1364</v>
      </c>
      <c r="H33" t="s">
        <v>1364</v>
      </c>
      <c r="I33" t="s">
        <v>1365</v>
      </c>
      <c r="J33" t="s">
        <v>1365</v>
      </c>
      <c r="K33" t="s">
        <v>1364</v>
      </c>
      <c r="L33" t="s">
        <v>1365</v>
      </c>
      <c r="M33" t="s">
        <v>1364</v>
      </c>
      <c r="N33" t="s">
        <v>1365</v>
      </c>
      <c r="O33" t="s">
        <v>1364</v>
      </c>
      <c r="P33" t="s">
        <v>1364</v>
      </c>
      <c r="Q33" t="s">
        <v>1364</v>
      </c>
      <c r="R33" t="s">
        <v>230</v>
      </c>
    </row>
    <row r="34" spans="2:18">
      <c r="B34">
        <v>2</v>
      </c>
      <c r="C34">
        <v>3</v>
      </c>
      <c r="D34" s="290">
        <v>4</v>
      </c>
      <c r="E34" s="290">
        <v>5</v>
      </c>
      <c r="F34" s="290">
        <v>6</v>
      </c>
      <c r="G34" s="290">
        <v>7</v>
      </c>
      <c r="H34" s="290">
        <v>8</v>
      </c>
      <c r="I34" s="290">
        <v>9</v>
      </c>
      <c r="J34" s="290">
        <v>10</v>
      </c>
      <c r="K34" s="290">
        <v>11</v>
      </c>
      <c r="L34" s="290">
        <v>12</v>
      </c>
      <c r="M34" s="290">
        <v>13</v>
      </c>
      <c r="N34" s="290">
        <v>14</v>
      </c>
      <c r="O34" s="290">
        <v>15</v>
      </c>
      <c r="P34" s="290">
        <v>16</v>
      </c>
      <c r="Q34" s="290">
        <v>17</v>
      </c>
      <c r="R34" s="290">
        <v>18</v>
      </c>
    </row>
    <row r="36" spans="2:18">
      <c r="B36" t="s">
        <v>1355</v>
      </c>
    </row>
    <row r="37" spans="2:18">
      <c r="B37" t="s">
        <v>1356</v>
      </c>
    </row>
    <row r="38" spans="2:18">
      <c r="B38" t="s">
        <v>1357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3"/>
      <c r="E49" s="504">
        <v>1.239E-2</v>
      </c>
      <c r="F49" s="503"/>
      <c r="G49" s="503"/>
      <c r="H49" s="504">
        <v>1.059E-2</v>
      </c>
      <c r="I49" s="504"/>
      <c r="J49" s="503"/>
      <c r="K49" s="503"/>
      <c r="L49" s="503"/>
      <c r="M49" s="503"/>
      <c r="N49" s="503"/>
      <c r="O49" s="503"/>
      <c r="P49" s="503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3"/>
      <c r="E66" s="504">
        <v>1.6420000000000001E-2</v>
      </c>
      <c r="F66" s="503"/>
      <c r="G66" s="503"/>
      <c r="H66" s="504">
        <v>1.5730000000000001E-2</v>
      </c>
      <c r="I66" s="503"/>
      <c r="J66" s="503"/>
      <c r="K66" s="503"/>
      <c r="L66" s="503"/>
      <c r="M66" s="503"/>
      <c r="N66" s="503"/>
      <c r="O66" s="503"/>
      <c r="P66" s="503"/>
      <c r="Q66" s="504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4"/>
      <c r="E67" s="504">
        <v>1.6830000000000001E-2</v>
      </c>
      <c r="F67" s="504"/>
      <c r="G67" s="504"/>
      <c r="H67" s="504">
        <v>1.473E-2</v>
      </c>
      <c r="I67" s="504"/>
      <c r="J67" s="504"/>
      <c r="K67" s="504"/>
      <c r="L67" s="504"/>
      <c r="M67" s="504"/>
      <c r="N67" s="504"/>
      <c r="O67" s="504"/>
      <c r="P67" s="504"/>
      <c r="Q67" s="504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4"/>
      <c r="E68" s="504">
        <v>9.6229999999999996E-3</v>
      </c>
      <c r="F68" s="504"/>
      <c r="G68" s="504"/>
      <c r="H68" s="504">
        <v>7.8040000000000002E-3</v>
      </c>
      <c r="I68" s="504"/>
      <c r="J68" s="504"/>
      <c r="K68" s="504"/>
      <c r="L68" s="504"/>
      <c r="M68" s="504"/>
      <c r="N68" s="504"/>
      <c r="O68" s="504"/>
      <c r="P68" s="504"/>
      <c r="Q68" s="504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5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6">
        <v>1.85</v>
      </c>
      <c r="C9" s="290"/>
    </row>
    <row r="10" spans="1:3">
      <c r="A10" s="290" t="s">
        <v>1185</v>
      </c>
      <c r="B10" s="506">
        <v>55</v>
      </c>
      <c r="C10" s="290"/>
    </row>
    <row r="11" spans="1:3">
      <c r="A11" s="290" t="s">
        <v>1186</v>
      </c>
      <c r="B11" s="506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6" t="s">
        <v>1304</v>
      </c>
      <c r="B1" s="526"/>
      <c r="C1" s="526"/>
      <c r="D1" s="526"/>
      <c r="E1" s="526"/>
      <c r="F1" s="526"/>
      <c r="G1" s="526"/>
      <c r="H1" s="526"/>
    </row>
    <row r="2" spans="1:8" ht="15">
      <c r="A2" s="527" t="s">
        <v>1296</v>
      </c>
      <c r="B2" s="561" t="s">
        <v>1305</v>
      </c>
      <c r="C2" s="561"/>
      <c r="D2" s="561"/>
      <c r="E2" s="528"/>
      <c r="F2" s="528"/>
      <c r="G2" s="528"/>
      <c r="H2" s="526"/>
    </row>
    <row r="3" spans="1:8">
      <c r="A3" s="529">
        <v>1</v>
      </c>
      <c r="B3" s="530">
        <v>0.48</v>
      </c>
      <c r="C3" s="526"/>
      <c r="D3" s="526"/>
      <c r="E3" s="526"/>
      <c r="F3" s="526"/>
      <c r="G3" s="526"/>
      <c r="H3" s="526"/>
    </row>
    <row r="4" spans="1:8">
      <c r="A4" s="529">
        <v>2</v>
      </c>
      <c r="B4" s="530">
        <v>0.59</v>
      </c>
      <c r="C4" s="526"/>
      <c r="D4" s="526"/>
      <c r="E4" s="526"/>
      <c r="F4" s="526"/>
      <c r="G4" s="526"/>
      <c r="H4" s="526"/>
    </row>
    <row r="5" spans="1:8">
      <c r="A5" s="529">
        <v>3</v>
      </c>
      <c r="B5" s="530">
        <v>0.67</v>
      </c>
      <c r="C5" s="526"/>
      <c r="D5" s="526"/>
      <c r="E5" s="526"/>
      <c r="F5" s="526"/>
      <c r="G5" s="526"/>
      <c r="H5" s="526"/>
    </row>
    <row r="6" spans="1:8">
      <c r="A6" s="526"/>
      <c r="B6" s="526"/>
      <c r="C6" s="526"/>
      <c r="D6" s="526"/>
      <c r="E6" s="526"/>
      <c r="F6" s="526"/>
      <c r="G6" s="526"/>
      <c r="H6" s="526"/>
    </row>
    <row r="7" spans="1:8">
      <c r="A7" s="526"/>
      <c r="B7" s="526"/>
      <c r="C7" s="526"/>
      <c r="D7" s="526"/>
      <c r="E7" s="526"/>
      <c r="F7" s="526"/>
      <c r="G7" s="526"/>
      <c r="H7" s="526"/>
    </row>
    <row r="8" spans="1:8" ht="14" customHeight="1">
      <c r="A8" s="531"/>
      <c r="B8" s="531"/>
      <c r="D8" s="537"/>
      <c r="E8" s="528"/>
      <c r="F8" s="528"/>
      <c r="G8" s="528"/>
      <c r="H8" s="526"/>
    </row>
    <row r="9" spans="1:8" ht="22">
      <c r="A9" s="532" t="s">
        <v>1297</v>
      </c>
      <c r="B9" t="s">
        <v>1306</v>
      </c>
      <c r="C9" s="533" t="s">
        <v>1298</v>
      </c>
      <c r="D9" s="538"/>
      <c r="E9" s="528"/>
      <c r="F9" s="528"/>
      <c r="G9" s="528"/>
      <c r="H9" s="526"/>
    </row>
    <row r="10" spans="1:8">
      <c r="A10" s="527" t="s">
        <v>1316</v>
      </c>
      <c r="B10" t="s">
        <v>1277</v>
      </c>
      <c r="C10" s="530">
        <v>0.5</v>
      </c>
      <c r="D10" s="539"/>
      <c r="E10" s="528"/>
      <c r="F10" s="528"/>
      <c r="G10" s="528"/>
      <c r="H10" s="526"/>
    </row>
    <row r="11" spans="1:8">
      <c r="A11" s="529">
        <v>1</v>
      </c>
      <c r="B11" t="s">
        <v>1182</v>
      </c>
      <c r="C11" s="530">
        <v>0.7</v>
      </c>
      <c r="D11" s="539"/>
      <c r="E11" s="528"/>
      <c r="F11" s="528"/>
      <c r="G11" s="528"/>
      <c r="H11" s="526"/>
    </row>
    <row r="12" spans="1:8">
      <c r="A12" s="529">
        <v>2</v>
      </c>
      <c r="B12" t="s">
        <v>1182</v>
      </c>
      <c r="C12" s="530">
        <v>0.64</v>
      </c>
      <c r="D12" s="539"/>
      <c r="E12" s="526"/>
      <c r="F12" s="526"/>
      <c r="G12" s="526"/>
      <c r="H12" s="526"/>
    </row>
    <row r="13" spans="1:8">
      <c r="A13" s="529">
        <v>3</v>
      </c>
      <c r="B13" t="s">
        <v>1182</v>
      </c>
      <c r="C13" s="530">
        <v>0.61</v>
      </c>
      <c r="D13" s="539"/>
      <c r="E13" s="526"/>
      <c r="F13" s="526"/>
      <c r="G13" s="526"/>
      <c r="H13" s="526"/>
    </row>
    <row r="14" spans="1:8" s="290" customFormat="1">
      <c r="A14" s="527"/>
      <c r="B14" s="530"/>
      <c r="C14" s="526"/>
      <c r="D14" s="526"/>
      <c r="E14" s="526"/>
      <c r="F14" s="526"/>
      <c r="G14" s="526"/>
      <c r="H14" s="526"/>
    </row>
    <row r="15" spans="1:8" ht="14" customHeight="1">
      <c r="A15" s="526"/>
      <c r="B15" s="526"/>
      <c r="C15" s="526"/>
      <c r="D15" s="526"/>
      <c r="E15" s="526"/>
      <c r="F15" s="526"/>
      <c r="G15" s="526"/>
      <c r="H15" s="526"/>
    </row>
    <row r="16" spans="1:8">
      <c r="A16" s="534" t="s">
        <v>1308</v>
      </c>
      <c r="B16" s="526"/>
      <c r="C16" s="526"/>
      <c r="D16" s="526"/>
      <c r="E16" s="526"/>
      <c r="F16" s="526"/>
      <c r="G16" s="526"/>
      <c r="H16" s="526"/>
    </row>
    <row r="17" spans="1:8" ht="22">
      <c r="A17" s="527" t="s">
        <v>1296</v>
      </c>
      <c r="B17" s="525" t="s">
        <v>1300</v>
      </c>
      <c r="C17" s="530" t="s">
        <v>1302</v>
      </c>
      <c r="D17" s="530" t="s">
        <v>1303</v>
      </c>
      <c r="E17" s="526"/>
      <c r="F17" s="526"/>
      <c r="G17" s="526"/>
      <c r="H17" s="526"/>
    </row>
    <row r="18" spans="1:8">
      <c r="A18" s="535">
        <v>1</v>
      </c>
      <c r="B18" s="525" t="s">
        <v>1299</v>
      </c>
      <c r="C18" s="530">
        <v>0.156</v>
      </c>
      <c r="D18" s="530">
        <v>0.128</v>
      </c>
      <c r="E18" s="526"/>
      <c r="F18" s="526"/>
      <c r="G18" s="526"/>
      <c r="H18" s="526"/>
    </row>
    <row r="19" spans="1:8">
      <c r="A19" s="535">
        <v>2</v>
      </c>
      <c r="B19" s="525" t="s">
        <v>1299</v>
      </c>
      <c r="C19" s="530">
        <v>0.17</v>
      </c>
      <c r="D19" s="530">
        <v>0.14199999999999999</v>
      </c>
      <c r="E19" s="526"/>
      <c r="F19" s="526"/>
      <c r="G19" s="526"/>
      <c r="H19" s="526"/>
    </row>
    <row r="20" spans="1:8">
      <c r="A20" s="535">
        <v>3</v>
      </c>
      <c r="B20" s="525" t="s">
        <v>1299</v>
      </c>
      <c r="C20" s="530">
        <v>0.17</v>
      </c>
      <c r="D20" s="530">
        <v>0.151</v>
      </c>
      <c r="E20" s="526"/>
      <c r="F20" s="526"/>
      <c r="G20" s="526"/>
      <c r="H20" s="526"/>
    </row>
    <row r="21" spans="1:8">
      <c r="A21" s="535">
        <v>1</v>
      </c>
      <c r="B21" s="525" t="s">
        <v>1301</v>
      </c>
      <c r="C21" s="530">
        <v>0.14199999999999999</v>
      </c>
      <c r="D21" s="530">
        <v>0.128</v>
      </c>
      <c r="E21" s="526"/>
      <c r="F21" s="526"/>
      <c r="G21" s="526"/>
      <c r="H21" s="526"/>
    </row>
    <row r="22" spans="1:8">
      <c r="A22" s="535">
        <v>2</v>
      </c>
      <c r="B22" s="525" t="s">
        <v>1301</v>
      </c>
      <c r="C22" s="530">
        <v>0.156</v>
      </c>
      <c r="D22" s="530">
        <v>0.14199999999999999</v>
      </c>
      <c r="E22" s="526"/>
      <c r="F22" s="526"/>
      <c r="G22" s="526"/>
      <c r="H22" s="526"/>
    </row>
    <row r="23" spans="1:8">
      <c r="A23" s="535">
        <v>3</v>
      </c>
      <c r="B23" s="525" t="s">
        <v>1301</v>
      </c>
      <c r="C23" s="530">
        <v>0.16700000000000001</v>
      </c>
      <c r="D23" s="530">
        <v>0.154</v>
      </c>
      <c r="E23" s="526"/>
      <c r="F23" s="526"/>
      <c r="G23" s="526"/>
      <c r="H23" s="526"/>
    </row>
    <row r="24" spans="1:8" s="290" customFormat="1">
      <c r="A24" s="535"/>
      <c r="B24" s="525"/>
      <c r="C24" s="530"/>
      <c r="D24" s="530"/>
      <c r="E24" s="526"/>
      <c r="F24" s="526"/>
      <c r="G24" s="526"/>
      <c r="H24" s="526"/>
    </row>
    <row r="25" spans="1:8" s="290" customFormat="1">
      <c r="A25" s="535"/>
      <c r="B25" s="525"/>
      <c r="C25" s="530"/>
      <c r="D25" s="530"/>
      <c r="E25" s="526"/>
      <c r="F25" s="526"/>
      <c r="G25" s="526"/>
      <c r="H25" s="526"/>
    </row>
    <row r="26" spans="1:8" ht="22">
      <c r="A26" s="532" t="s">
        <v>1309</v>
      </c>
      <c r="B26" s="526"/>
      <c r="C26" s="526"/>
      <c r="D26" s="526"/>
      <c r="E26" s="526"/>
      <c r="F26" s="526"/>
      <c r="G26" s="526"/>
      <c r="H26" s="526"/>
    </row>
    <row r="27" spans="1:8">
      <c r="A27" s="529" t="s">
        <v>1296</v>
      </c>
      <c r="B27" s="525" t="s">
        <v>1306</v>
      </c>
      <c r="C27" s="536" t="s">
        <v>1307</v>
      </c>
      <c r="D27" s="526"/>
      <c r="E27" s="526"/>
      <c r="F27" s="526"/>
      <c r="G27" s="526"/>
      <c r="H27" s="526"/>
    </row>
    <row r="28" spans="1:8">
      <c r="A28" s="529">
        <v>1</v>
      </c>
      <c r="B28" s="525" t="s">
        <v>1277</v>
      </c>
      <c r="C28" s="530">
        <v>5.3999999999999999E-2</v>
      </c>
      <c r="D28" s="526"/>
      <c r="E28" s="526"/>
      <c r="F28" s="526"/>
      <c r="G28" s="526"/>
      <c r="H28" s="526"/>
    </row>
    <row r="29" spans="1:8">
      <c r="A29" s="529">
        <v>2</v>
      </c>
      <c r="B29" s="525" t="s">
        <v>1277</v>
      </c>
      <c r="C29" s="530">
        <v>7.8E-2</v>
      </c>
      <c r="D29" s="526"/>
      <c r="E29" s="526"/>
      <c r="F29" s="526"/>
      <c r="G29" s="526"/>
      <c r="H29" s="526"/>
    </row>
    <row r="30" spans="1:8">
      <c r="A30" s="529">
        <v>3</v>
      </c>
      <c r="B30" s="525" t="s">
        <v>1277</v>
      </c>
      <c r="C30" s="530">
        <v>9.8000000000000004E-2</v>
      </c>
      <c r="D30" s="528"/>
      <c r="E30" s="528"/>
      <c r="F30" s="528"/>
      <c r="G30" s="528"/>
      <c r="H30" s="526"/>
    </row>
    <row r="31" spans="1:8">
      <c r="A31" s="529">
        <v>1</v>
      </c>
      <c r="B31" s="525" t="s">
        <v>1182</v>
      </c>
      <c r="C31" s="530">
        <v>6.9000000000000006E-2</v>
      </c>
      <c r="D31" s="528"/>
      <c r="E31" s="528"/>
      <c r="F31" s="528"/>
      <c r="G31" s="528"/>
      <c r="H31" s="526"/>
    </row>
    <row r="32" spans="1:8">
      <c r="A32" s="529">
        <v>2</v>
      </c>
      <c r="B32" s="525" t="s">
        <v>1182</v>
      </c>
      <c r="C32" s="530">
        <v>8.8999999999999996E-2</v>
      </c>
      <c r="D32" s="526"/>
      <c r="E32" s="526"/>
      <c r="F32" s="526"/>
      <c r="G32" s="528"/>
      <c r="H32" s="526"/>
    </row>
    <row r="33" spans="1:8">
      <c r="A33" s="529">
        <v>3</v>
      </c>
      <c r="B33" s="525" t="s">
        <v>1182</v>
      </c>
      <c r="C33" s="530">
        <v>0.107</v>
      </c>
      <c r="D33" s="526"/>
      <c r="E33" s="526"/>
      <c r="F33" s="526"/>
      <c r="G33" s="528"/>
      <c r="H33" s="526"/>
    </row>
    <row r="34" spans="1:8">
      <c r="A34" s="526"/>
      <c r="B34" s="526"/>
      <c r="C34" s="526"/>
      <c r="D34" s="526"/>
      <c r="E34" s="526"/>
      <c r="F34" s="526"/>
      <c r="G34" s="528"/>
      <c r="H34" s="526"/>
    </row>
    <row r="35" spans="1:8">
      <c r="A35" s="526"/>
      <c r="B35" s="526"/>
      <c r="C35" s="526"/>
      <c r="D35" s="526"/>
      <c r="E35" s="526"/>
      <c r="F35" s="526"/>
      <c r="G35" s="528"/>
      <c r="H35" s="526"/>
    </row>
    <row r="36" spans="1:8">
      <c r="A36" s="528"/>
      <c r="B36" s="528"/>
      <c r="C36" s="528"/>
      <c r="D36" s="528"/>
      <c r="E36" s="528"/>
      <c r="F36" s="528"/>
      <c r="G36" s="528"/>
      <c r="H36" s="526"/>
    </row>
    <row r="37" spans="1:8">
      <c r="A37" s="526"/>
      <c r="B37" s="526"/>
      <c r="C37" s="526"/>
      <c r="D37" s="526"/>
      <c r="E37" s="526"/>
      <c r="F37" s="526"/>
      <c r="G37" s="526"/>
      <c r="H37" s="526"/>
    </row>
    <row r="38" spans="1:8">
      <c r="A38" s="526"/>
      <c r="B38" s="532"/>
      <c r="C38" s="532"/>
      <c r="D38" s="532"/>
      <c r="E38" s="532"/>
      <c r="F38" s="532"/>
      <c r="G38" s="526"/>
      <c r="H38" s="52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2017-01-19T00:10:22Z</dcterms:modified>
</cp:coreProperties>
</file>