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3520" yWindow="20" windowWidth="25600" windowHeight="1610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1" i="1" l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D15" i="2"/>
  <c r="D6" i="2"/>
  <c r="D7" i="2"/>
  <c r="D8" i="2"/>
  <c r="D20" i="2"/>
  <c r="H31" i="3"/>
  <c r="H34" i="3"/>
  <c r="B9" i="6"/>
  <c r="I31" i="3"/>
  <c r="I34" i="3"/>
  <c r="J31" i="3"/>
  <c r="J34" i="3"/>
  <c r="K31" i="3"/>
  <c r="K34" i="3"/>
  <c r="L31" i="3"/>
  <c r="L34" i="3"/>
  <c r="M31" i="3"/>
  <c r="M34" i="3"/>
  <c r="N31" i="3"/>
  <c r="N34" i="3"/>
  <c r="O31" i="3"/>
  <c r="O34" i="3"/>
  <c r="P31" i="3"/>
  <c r="P34" i="3"/>
  <c r="Q31" i="3"/>
  <c r="Q34" i="3"/>
  <c r="R31" i="3"/>
  <c r="R34" i="3"/>
  <c r="S31" i="3"/>
  <c r="S34" i="3"/>
  <c r="T31" i="3"/>
  <c r="T34" i="3"/>
  <c r="U31" i="3"/>
  <c r="U34" i="3"/>
  <c r="V31" i="3"/>
  <c r="V34" i="3"/>
  <c r="W31" i="3"/>
  <c r="W34" i="3"/>
  <c r="X31" i="3"/>
  <c r="X34" i="3"/>
  <c r="B22" i="7"/>
  <c r="B23" i="7"/>
  <c r="L2" i="6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2" i="15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9" i="6"/>
  <c r="C10" i="6"/>
  <c r="C13" i="6"/>
  <c r="C12" i="6"/>
  <c r="D49" i="1"/>
  <c r="D9" i="6"/>
  <c r="D10" i="6"/>
  <c r="D13" i="6"/>
  <c r="D12" i="6"/>
  <c r="E49" i="1"/>
  <c r="E9" i="6"/>
  <c r="E10" i="6"/>
  <c r="E13" i="6"/>
  <c r="E12" i="6"/>
  <c r="F49" i="1"/>
  <c r="F9" i="6"/>
  <c r="F10" i="6"/>
  <c r="F13" i="6"/>
  <c r="F12" i="6"/>
  <c r="G49" i="1"/>
  <c r="G9" i="6"/>
  <c r="G10" i="6"/>
  <c r="G13" i="6"/>
  <c r="G12" i="6"/>
  <c r="H49" i="1"/>
  <c r="H9" i="6"/>
  <c r="H10" i="6"/>
  <c r="H13" i="6"/>
  <c r="H12" i="6"/>
  <c r="I49" i="1"/>
  <c r="I9" i="6"/>
  <c r="I10" i="6"/>
  <c r="I13" i="6"/>
  <c r="I12" i="6"/>
  <c r="J49" i="1"/>
  <c r="J9" i="6"/>
  <c r="J10" i="6"/>
  <c r="J13" i="6"/>
  <c r="J12" i="6"/>
  <c r="K49" i="1"/>
  <c r="K9" i="6"/>
  <c r="K10" i="6"/>
  <c r="K13" i="6"/>
  <c r="K12" i="6"/>
  <c r="L49" i="1"/>
  <c r="L9" i="6"/>
  <c r="L10" i="6"/>
  <c r="L13" i="6"/>
  <c r="L12" i="6"/>
  <c r="M49" i="1"/>
  <c r="M9" i="6"/>
  <c r="M10" i="6"/>
  <c r="M13" i="6"/>
  <c r="M12" i="6"/>
  <c r="N49" i="1"/>
  <c r="N9" i="6"/>
  <c r="N10" i="6"/>
  <c r="N13" i="6"/>
  <c r="N12" i="6"/>
  <c r="O49" i="1"/>
  <c r="O9" i="6"/>
  <c r="O10" i="6"/>
  <c r="O13" i="6"/>
  <c r="O12" i="6"/>
  <c r="P49" i="1"/>
  <c r="P9" i="6"/>
  <c r="P10" i="6"/>
  <c r="P13" i="6"/>
  <c r="P12" i="6"/>
  <c r="Q49" i="1"/>
  <c r="Q9" i="6"/>
  <c r="Q10" i="6"/>
  <c r="Q13" i="6"/>
  <c r="Q12" i="6"/>
  <c r="R49" i="1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<sst xmlns="http://schemas.openxmlformats.org/spreadsheetml/2006/main" count="2796" uniqueCount="1335">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</sst>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58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9"/>
  <sheetViews>
    <sheetView workbookViewId="0">
      <selection activeCell="E15" sqref="E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3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5">
        <v>42718</v>
      </c>
    </row>
    <row r="5" spans="1:2" ht="15" thickBot="1"/>
    <row r="6" spans="1:2">
      <c r="A6" s="455" t="s">
        <v>3</v>
      </c>
      <c r="B6" s="466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7" t="s">
        <v>1209</v>
      </c>
      <c r="B30" s="467" t="s">
        <v>0</v>
      </c>
      <c r="C30" s="467" t="s">
        <v>1211</v>
      </c>
      <c r="D30" s="467" t="s">
        <v>1216</v>
      </c>
    </row>
    <row r="31" spans="1:4">
      <c r="A31" t="s">
        <v>1210</v>
      </c>
      <c r="B31" t="s">
        <v>1259</v>
      </c>
      <c r="C31" s="464">
        <v>42465</v>
      </c>
      <c r="D31" t="s">
        <v>1217</v>
      </c>
    </row>
    <row r="32" spans="1:4">
      <c r="A32" t="s">
        <v>1278</v>
      </c>
      <c r="B32" s="436" t="s">
        <v>1287</v>
      </c>
      <c r="C32" s="522">
        <v>42585</v>
      </c>
      <c r="D32" t="s">
        <v>1281</v>
      </c>
    </row>
    <row r="33" spans="1:4">
      <c r="A33" s="290" t="s">
        <v>1293</v>
      </c>
      <c r="B33" s="436" t="s">
        <v>1294</v>
      </c>
      <c r="C33" s="522">
        <v>42605</v>
      </c>
      <c r="D33" t="s">
        <v>1217</v>
      </c>
    </row>
    <row r="34" spans="1:4">
      <c r="B34" t="s">
        <v>1295</v>
      </c>
      <c r="C34" s="522">
        <v>42710</v>
      </c>
      <c r="D34" t="s">
        <v>1281</v>
      </c>
    </row>
    <row r="35" spans="1:4">
      <c r="B35" t="s">
        <v>1317</v>
      </c>
      <c r="C35" s="522">
        <v>42710</v>
      </c>
      <c r="D35" t="s">
        <v>1281</v>
      </c>
    </row>
    <row r="36" spans="1:4">
      <c r="B36" t="s">
        <v>1322</v>
      </c>
      <c r="C36" s="522">
        <v>42711</v>
      </c>
      <c r="D36" t="s">
        <v>1281</v>
      </c>
    </row>
    <row r="37" spans="1:4">
      <c r="A37" t="s">
        <v>1325</v>
      </c>
      <c r="B37" t="s">
        <v>1324</v>
      </c>
      <c r="C37" s="522">
        <v>42717</v>
      </c>
      <c r="D37" t="s">
        <v>1281</v>
      </c>
    </row>
    <row r="38" spans="1:4">
      <c r="B38" t="s">
        <v>1333</v>
      </c>
      <c r="C38" s="522">
        <v>42723</v>
      </c>
      <c r="D38" t="s">
        <v>1281</v>
      </c>
    </row>
    <row r="39" spans="1:4">
      <c r="B39" t="s">
        <v>1334</v>
      </c>
      <c r="C39" s="522">
        <v>42723</v>
      </c>
      <c r="D39" t="s">
        <v>1281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topLeftCell="F1" workbookViewId="0">
      <selection activeCell="H3" sqref="H3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LEFT(HomeSize, 1) &amp; "_" &amp; LEFT(OccDensity,1) &amp; "_" &amp; FanSize &amp; "_" &amp; LEFT(DehumidType,1) &amp; "_" &amp; HumControl</f>
        <v>M_M_1_N_4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 t="shared" ref="L7:L23" si="2">IF(J7&lt;&gt;"",BaseName &amp; "_" &amp; IF(ISNUMBER(I7),I7,LEFT(I7,1)),"")</f>
        <v>M_M_1_N_4_1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 t="shared" si="2"/>
        <v>M_M_1_N_4_2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 t="shared" si="2"/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 t="s">
        <v>1050</v>
      </c>
      <c r="K10" s="20">
        <f t="shared" si="1"/>
        <v>4</v>
      </c>
      <c r="L10" s="458" t="str">
        <f t="shared" si="2"/>
        <v>M_M_1_N_4_4</v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 t="shared" si="2"/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 t="shared" si="2"/>
        <v>M_M_1_N_4_7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 t="shared" si="2"/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 t="shared" si="2"/>
        <v/>
      </c>
      <c r="M17" s="140"/>
      <c r="N17" s="5"/>
    </row>
    <row r="18" spans="1:17">
      <c r="A18" s="365">
        <v>0</v>
      </c>
      <c r="B18" s="378" t="s">
        <v>1050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 t="shared" si="2"/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 t="shared" si="2"/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 t="shared" si="2"/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1050</v>
      </c>
      <c r="K22" s="20" t="str">
        <f t="shared" si="1"/>
        <v>Orlando</v>
      </c>
      <c r="L22" s="458" t="str">
        <f t="shared" si="2"/>
        <v>M_M_1_N_4_O</v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1050</v>
      </c>
      <c r="K23" s="459" t="str">
        <f t="shared" si="1"/>
        <v>Charleston</v>
      </c>
      <c r="L23" s="460" t="str">
        <f t="shared" si="2"/>
        <v>M_M_1_N_4_C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1"/>
      <c r="K25" s="462">
        <f>COUNTA(B3:B5)*COUNTA(B8:B10)*COUNTA(B13:B14)*COUNTA(B18:B20) * COUNTA(B28:B33)*COUNTA(B36:B37)*COUNTA(F3:F23)*COUNTA(J7:J23)</f>
        <v>60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1050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6"/>
  <sheetViews>
    <sheetView tabSelected="1" workbookViewId="0">
      <pane ySplit="1" topLeftCell="A125" activePane="bottomLeft" state="frozen"/>
      <selection pane="bottomLeft" activeCell="D140" sqref="D140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'Internal gains'!B24</f>
        <v>sched1.txt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">
        <v>983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2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3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3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0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-0.10597889782215737</v>
      </c>
      <c r="D50" t="s">
        <v>51</v>
      </c>
      <c r="G50" t="s">
        <v>50</v>
      </c>
    </row>
    <row r="51" spans="2:7">
      <c r="B51" s="407" t="s">
        <v>1094</v>
      </c>
      <c r="C51" s="516">
        <f>Fans!B14</f>
        <v>13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1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>
      <c r="A152" s="290" t="s">
        <v>1175</v>
      </c>
      <c r="B152" t="s">
        <v>1161</v>
      </c>
      <c r="C152" s="454">
        <f>Dehumidifier!B8</f>
        <v>0</v>
      </c>
      <c r="D152" t="s">
        <v>1167</v>
      </c>
      <c r="E152" t="s">
        <v>1162</v>
      </c>
      <c r="G152" t="s">
        <v>1203</v>
      </c>
    </row>
    <row r="153" spans="1:7">
      <c r="B153" t="s">
        <v>1163</v>
      </c>
      <c r="C153" s="452">
        <f>Dehumidifier!B9</f>
        <v>1.85</v>
      </c>
      <c r="D153" t="s">
        <v>1168</v>
      </c>
      <c r="G153" t="s">
        <v>1203</v>
      </c>
    </row>
    <row r="154" spans="1:7">
      <c r="B154" t="s">
        <v>1164</v>
      </c>
      <c r="C154" s="451">
        <f>Dehumidifier!B10</f>
        <v>55</v>
      </c>
      <c r="D154" t="s">
        <v>1169</v>
      </c>
      <c r="G154" s="290" t="s">
        <v>1203</v>
      </c>
    </row>
    <row r="155" spans="1:7">
      <c r="B155" t="s">
        <v>1165</v>
      </c>
      <c r="C155" s="453">
        <f>Dehumidifier!B11</f>
        <v>2.5</v>
      </c>
      <c r="D155" t="s">
        <v>1170</v>
      </c>
      <c r="E155" t="s">
        <v>1166</v>
      </c>
      <c r="G155" s="290" t="s">
        <v>1203</v>
      </c>
    </row>
    <row r="156" spans="1:7">
      <c r="A156" s="305" t="s">
        <v>1206</v>
      </c>
      <c r="B156" t="s">
        <v>1223</v>
      </c>
      <c r="C156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8"/>
  <sheetViews>
    <sheetView zoomScale="85" zoomScaleNormal="85" zoomScalePageLayoutView="85" workbookViewId="0">
      <pane xSplit="2" ySplit="1" topLeftCell="C130" activePane="bottomRight" state="frozen"/>
      <selection pane="topRight" activeCell="C1" sqref="C1"/>
      <selection pane="bottomLeft" activeCell="A2" sqref="A2"/>
      <selection pane="bottomRight" activeCell="D147" sqref="D147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0</v>
      </c>
      <c r="D49" s="401">
        <f>Fans!C12</f>
        <v>0</v>
      </c>
      <c r="E49" s="401">
        <f>Fans!D12</f>
        <v>0</v>
      </c>
      <c r="F49" s="401">
        <f>Fans!E12</f>
        <v>0</v>
      </c>
      <c r="G49" s="401">
        <f>Fans!F12</f>
        <v>0</v>
      </c>
      <c r="H49" s="401">
        <f>Fans!G12</f>
        <v>0</v>
      </c>
      <c r="I49" s="401">
        <f>Fans!H12</f>
        <v>0</v>
      </c>
      <c r="J49" s="401">
        <f>Fans!I12</f>
        <v>0</v>
      </c>
      <c r="K49" s="401">
        <f>Fans!J12</f>
        <v>0</v>
      </c>
      <c r="L49" s="401">
        <f>Fans!K12</f>
        <v>0</v>
      </c>
      <c r="M49" s="401">
        <f>Fans!L12</f>
        <v>0</v>
      </c>
      <c r="N49" s="401">
        <f>Fans!M12</f>
        <v>0</v>
      </c>
      <c r="O49" s="401">
        <f>Fans!N12</f>
        <v>0</v>
      </c>
      <c r="P49" s="401">
        <f>Fans!O12</f>
        <v>0</v>
      </c>
      <c r="Q49" s="401">
        <f>Fans!P12</f>
        <v>0</v>
      </c>
      <c r="R49" s="401">
        <f>Fans!Q12</f>
        <v>0</v>
      </c>
      <c r="S49" s="401">
        <f>Fans!R12</f>
        <v>0</v>
      </c>
      <c r="T49" s="343"/>
    </row>
    <row r="50" spans="2:20" ht="15" customHeight="1">
      <c r="B50" s="305" t="s">
        <v>1093</v>
      </c>
      <c r="C50" s="214">
        <f>Fans!B13</f>
        <v>-0.10597889782215737</v>
      </c>
      <c r="D50" s="214">
        <f>Fans!C13</f>
        <v>-0.10534423679342948</v>
      </c>
      <c r="E50" s="214">
        <f>Fans!D13</f>
        <v>-0.10470957576470163</v>
      </c>
      <c r="F50" s="214">
        <f>Fans!E13</f>
        <v>-0.10767132723209835</v>
      </c>
      <c r="G50" s="214">
        <f>Fans!F13</f>
        <v>-0.10661355885088525</v>
      </c>
      <c r="H50" s="214">
        <f>Fans!G13</f>
        <v>-0.10026694856360654</v>
      </c>
      <c r="I50" s="214">
        <f>Fans!H13</f>
        <v>-0.10555579046967213</v>
      </c>
      <c r="J50" s="214">
        <f>Fans!I13</f>
        <v>-0.1034402537072459</v>
      </c>
      <c r="K50" s="214">
        <f>Fans!J13</f>
        <v>-0.10291136951663934</v>
      </c>
      <c r="L50" s="214">
        <f>Fans!K13</f>
        <v>-0.10661355885088525</v>
      </c>
      <c r="M50" s="214">
        <f>Fans!L13</f>
        <v>-0.10830598826082621</v>
      </c>
      <c r="N50" s="214">
        <f>Fans!M13</f>
        <v>-0.10619045149839999</v>
      </c>
      <c r="O50" s="214">
        <f>Fans!N13</f>
        <v>-0.1053442367934295</v>
      </c>
      <c r="P50" s="214">
        <f>Fans!O13</f>
        <v>-0.10238248532603278</v>
      </c>
      <c r="Q50" s="214">
        <f>Fans!P13</f>
        <v>-0.1097868639945246</v>
      </c>
      <c r="R50" s="214">
        <f>Fans!Q13</f>
        <v>-0.10788288090834096</v>
      </c>
      <c r="S50" s="214">
        <f>Fans!R13</f>
        <v>-0.10925797980391803</v>
      </c>
      <c r="T50" s="343"/>
    </row>
    <row r="51" spans="2:20" ht="15" customHeight="1">
      <c r="B51" s="305" t="s">
        <v>1094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1</v>
      </c>
      <c r="D141" s="224">
        <f>C141</f>
        <v>1</v>
      </c>
      <c r="E141" s="224">
        <f t="shared" si="51"/>
        <v>1</v>
      </c>
      <c r="F141" s="224">
        <f t="shared" si="51"/>
        <v>1</v>
      </c>
      <c r="G141" s="224">
        <f t="shared" si="51"/>
        <v>1</v>
      </c>
      <c r="H141" s="224">
        <f t="shared" si="51"/>
        <v>1</v>
      </c>
      <c r="I141" s="224">
        <f t="shared" si="51"/>
        <v>1</v>
      </c>
      <c r="J141" s="224">
        <f t="shared" si="51"/>
        <v>1</v>
      </c>
      <c r="K141" s="224">
        <f t="shared" si="51"/>
        <v>1</v>
      </c>
      <c r="L141" s="224">
        <f t="shared" si="51"/>
        <v>1</v>
      </c>
      <c r="M141" s="224">
        <f t="shared" si="51"/>
        <v>1</v>
      </c>
      <c r="N141" s="224">
        <f t="shared" si="51"/>
        <v>1</v>
      </c>
      <c r="O141" s="224">
        <f t="shared" si="51"/>
        <v>1</v>
      </c>
      <c r="P141" s="224">
        <f t="shared" si="51"/>
        <v>1</v>
      </c>
      <c r="Q141" s="224">
        <f t="shared" si="51"/>
        <v>1</v>
      </c>
      <c r="R141" s="224">
        <f t="shared" si="51"/>
        <v>1</v>
      </c>
      <c r="S141" s="224">
        <f t="shared" si="51"/>
        <v>1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ht="15" customHeight="1">
      <c r="A152" s="305" t="s">
        <v>1175</v>
      </c>
      <c r="B152" s="305" t="s">
        <v>1161</v>
      </c>
      <c r="C152" s="144">
        <f>Inputs!C152</f>
        <v>0</v>
      </c>
      <c r="D152" s="144">
        <f>C152</f>
        <v>0</v>
      </c>
      <c r="E152" s="144">
        <f t="shared" ref="E152:S152" si="55">D152</f>
        <v>0</v>
      </c>
      <c r="F152" s="144">
        <f t="shared" si="55"/>
        <v>0</v>
      </c>
      <c r="G152" s="144">
        <f t="shared" si="55"/>
        <v>0</v>
      </c>
      <c r="H152" s="144">
        <f t="shared" si="55"/>
        <v>0</v>
      </c>
      <c r="I152" s="144">
        <f t="shared" si="55"/>
        <v>0</v>
      </c>
      <c r="J152" s="144">
        <f t="shared" si="55"/>
        <v>0</v>
      </c>
      <c r="K152" s="144">
        <f t="shared" si="55"/>
        <v>0</v>
      </c>
      <c r="L152" s="144">
        <f t="shared" si="55"/>
        <v>0</v>
      </c>
      <c r="M152" s="144">
        <f t="shared" si="55"/>
        <v>0</v>
      </c>
      <c r="N152" s="144">
        <f t="shared" si="55"/>
        <v>0</v>
      </c>
      <c r="O152" s="144">
        <f t="shared" si="55"/>
        <v>0</v>
      </c>
      <c r="P152" s="144">
        <f t="shared" si="55"/>
        <v>0</v>
      </c>
      <c r="Q152" s="144">
        <f t="shared" si="55"/>
        <v>0</v>
      </c>
      <c r="R152" s="144">
        <f t="shared" si="55"/>
        <v>0</v>
      </c>
      <c r="S152" s="144">
        <f t="shared" si="55"/>
        <v>0</v>
      </c>
    </row>
    <row r="153" spans="1:20" ht="15" customHeight="1">
      <c r="B153" s="305" t="s">
        <v>1163</v>
      </c>
      <c r="C153" s="169">
        <f>Inputs!C153</f>
        <v>1.85</v>
      </c>
      <c r="D153" s="169">
        <f t="shared" ref="D153:S156" si="56">C153</f>
        <v>1.85</v>
      </c>
      <c r="E153" s="169">
        <f t="shared" si="56"/>
        <v>1.85</v>
      </c>
      <c r="F153" s="169">
        <f t="shared" si="56"/>
        <v>1.85</v>
      </c>
      <c r="G153" s="169">
        <f t="shared" si="56"/>
        <v>1.85</v>
      </c>
      <c r="H153" s="169">
        <f t="shared" si="56"/>
        <v>1.85</v>
      </c>
      <c r="I153" s="169">
        <f t="shared" si="56"/>
        <v>1.85</v>
      </c>
      <c r="J153" s="169">
        <f t="shared" si="56"/>
        <v>1.85</v>
      </c>
      <c r="K153" s="169">
        <f t="shared" si="56"/>
        <v>1.85</v>
      </c>
      <c r="L153" s="169">
        <f t="shared" si="56"/>
        <v>1.85</v>
      </c>
      <c r="M153" s="169">
        <f t="shared" si="56"/>
        <v>1.85</v>
      </c>
      <c r="N153" s="169">
        <f t="shared" si="56"/>
        <v>1.85</v>
      </c>
      <c r="O153" s="169">
        <f t="shared" si="56"/>
        <v>1.85</v>
      </c>
      <c r="P153" s="169">
        <f t="shared" si="56"/>
        <v>1.85</v>
      </c>
      <c r="Q153" s="169">
        <f t="shared" si="56"/>
        <v>1.85</v>
      </c>
      <c r="R153" s="169">
        <f t="shared" si="56"/>
        <v>1.85</v>
      </c>
      <c r="S153" s="169">
        <f t="shared" si="56"/>
        <v>1.85</v>
      </c>
    </row>
    <row r="154" spans="1:20" ht="15" customHeight="1">
      <c r="B154" s="305" t="s">
        <v>1164</v>
      </c>
      <c r="C154" s="144">
        <f>Inputs!C154</f>
        <v>55</v>
      </c>
      <c r="D154" s="144">
        <f t="shared" si="56"/>
        <v>55</v>
      </c>
      <c r="E154" s="144">
        <f t="shared" si="56"/>
        <v>55</v>
      </c>
      <c r="F154" s="144">
        <f t="shared" si="56"/>
        <v>55</v>
      </c>
      <c r="G154" s="144">
        <f t="shared" si="56"/>
        <v>55</v>
      </c>
      <c r="H154" s="144">
        <f t="shared" si="56"/>
        <v>55</v>
      </c>
      <c r="I154" s="144">
        <f t="shared" si="56"/>
        <v>55</v>
      </c>
      <c r="J154" s="144">
        <f t="shared" si="56"/>
        <v>55</v>
      </c>
      <c r="K154" s="144">
        <f t="shared" si="56"/>
        <v>55</v>
      </c>
      <c r="L154" s="144">
        <f t="shared" si="56"/>
        <v>55</v>
      </c>
      <c r="M154" s="144">
        <f t="shared" si="56"/>
        <v>55</v>
      </c>
      <c r="N154" s="144">
        <f t="shared" si="56"/>
        <v>55</v>
      </c>
      <c r="O154" s="144">
        <f t="shared" si="56"/>
        <v>55</v>
      </c>
      <c r="P154" s="144">
        <f t="shared" si="56"/>
        <v>55</v>
      </c>
      <c r="Q154" s="144">
        <f t="shared" si="56"/>
        <v>55</v>
      </c>
      <c r="R154" s="144">
        <f t="shared" si="56"/>
        <v>55</v>
      </c>
      <c r="S154" s="144">
        <f t="shared" si="56"/>
        <v>55</v>
      </c>
    </row>
    <row r="155" spans="1:20" ht="15" customHeight="1">
      <c r="B155" s="305" t="s">
        <v>1165</v>
      </c>
      <c r="C155" s="276">
        <f>Inputs!C155</f>
        <v>2.5</v>
      </c>
      <c r="D155" s="276">
        <f t="shared" si="56"/>
        <v>2.5</v>
      </c>
      <c r="E155" s="276">
        <f t="shared" si="56"/>
        <v>2.5</v>
      </c>
      <c r="F155" s="276">
        <f t="shared" si="56"/>
        <v>2.5</v>
      </c>
      <c r="G155" s="276">
        <f t="shared" si="56"/>
        <v>2.5</v>
      </c>
      <c r="H155" s="276">
        <f t="shared" si="56"/>
        <v>2.5</v>
      </c>
      <c r="I155" s="276">
        <f t="shared" si="56"/>
        <v>2.5</v>
      </c>
      <c r="J155" s="276">
        <f t="shared" si="56"/>
        <v>2.5</v>
      </c>
      <c r="K155" s="276">
        <f t="shared" si="56"/>
        <v>2.5</v>
      </c>
      <c r="L155" s="276">
        <f t="shared" si="56"/>
        <v>2.5</v>
      </c>
      <c r="M155" s="276">
        <f t="shared" si="56"/>
        <v>2.5</v>
      </c>
      <c r="N155" s="276">
        <f t="shared" si="56"/>
        <v>2.5</v>
      </c>
      <c r="O155" s="276">
        <f t="shared" si="56"/>
        <v>2.5</v>
      </c>
      <c r="P155" s="276">
        <f t="shared" si="56"/>
        <v>2.5</v>
      </c>
      <c r="Q155" s="276">
        <f t="shared" si="56"/>
        <v>2.5</v>
      </c>
      <c r="R155" s="276">
        <f t="shared" si="56"/>
        <v>2.5</v>
      </c>
      <c r="S155" s="276">
        <f t="shared" si="56"/>
        <v>2.5</v>
      </c>
    </row>
    <row r="156" spans="1:20" ht="15" customHeight="1">
      <c r="A156" s="305" t="s">
        <v>1206</v>
      </c>
      <c r="C156" s="276" t="str">
        <f>Inputs!C156</f>
        <v>E_O_F</v>
      </c>
      <c r="D156" s="276" t="str">
        <f t="shared" si="56"/>
        <v>E_O_F</v>
      </c>
      <c r="E156" s="276" t="str">
        <f t="shared" si="56"/>
        <v>E_O_F</v>
      </c>
      <c r="F156" s="276" t="str">
        <f t="shared" si="56"/>
        <v>E_O_F</v>
      </c>
      <c r="G156" s="276" t="str">
        <f t="shared" si="56"/>
        <v>E_O_F</v>
      </c>
      <c r="H156" s="276" t="str">
        <f t="shared" si="56"/>
        <v>E_O_F</v>
      </c>
      <c r="I156" s="276" t="str">
        <f t="shared" si="56"/>
        <v>E_O_F</v>
      </c>
      <c r="J156" s="276" t="str">
        <f t="shared" si="56"/>
        <v>E_O_F</v>
      </c>
      <c r="K156" s="276" t="str">
        <f t="shared" si="56"/>
        <v>E_O_F</v>
      </c>
      <c r="L156" s="276" t="str">
        <f t="shared" si="56"/>
        <v>E_O_F</v>
      </c>
      <c r="M156" s="276" t="str">
        <f t="shared" si="56"/>
        <v>E_O_F</v>
      </c>
      <c r="N156" s="276" t="str">
        <f t="shared" si="56"/>
        <v>E_O_F</v>
      </c>
      <c r="O156" s="276" t="str">
        <f t="shared" si="56"/>
        <v>E_O_F</v>
      </c>
      <c r="P156" s="276" t="str">
        <f t="shared" si="56"/>
        <v>E_O_F</v>
      </c>
      <c r="Q156" s="276" t="str">
        <f t="shared" si="56"/>
        <v>E_O_F</v>
      </c>
      <c r="R156" s="276" t="str">
        <f t="shared" si="56"/>
        <v>E_O_F</v>
      </c>
      <c r="S156" s="276" t="str">
        <f t="shared" si="56"/>
        <v>E_O_F</v>
      </c>
    </row>
    <row r="157" spans="1:20" ht="15" customHeight="1">
      <c r="D157" s="275"/>
      <c r="E157" s="275"/>
      <c r="F157" s="275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8" t="s">
        <v>166</v>
      </c>
      <c r="M1" s="468"/>
      <c r="N1" s="468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0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0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2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9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0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0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1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5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9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70">
        <f>H31*1.05</f>
        <v>3.125E-2</v>
      </c>
      <c r="I32" s="470">
        <f t="shared" ref="I32:X32" si="7">I31*1.05</f>
        <v>3.125E-2</v>
      </c>
      <c r="J32" s="470">
        <f t="shared" si="7"/>
        <v>3.125E-2</v>
      </c>
      <c r="K32" s="470">
        <f t="shared" si="7"/>
        <v>2.6041666666666668E-2</v>
      </c>
      <c r="L32" s="470">
        <f t="shared" si="7"/>
        <v>2.6041666666666668E-2</v>
      </c>
      <c r="M32" s="470">
        <f t="shared" si="7"/>
        <v>2.6041666666666668E-2</v>
      </c>
      <c r="N32" s="470">
        <f t="shared" si="7"/>
        <v>2.6041666666666668E-2</v>
      </c>
      <c r="O32" s="470">
        <f t="shared" si="7"/>
        <v>2.6041666666666668E-2</v>
      </c>
      <c r="P32" s="470">
        <f t="shared" si="7"/>
        <v>2.6041666666666668E-2</v>
      </c>
      <c r="Q32" s="470">
        <f t="shared" si="7"/>
        <v>2.0833333333333336E-2</v>
      </c>
      <c r="R32" s="470">
        <f t="shared" si="7"/>
        <v>2.0833333333333336E-2</v>
      </c>
      <c r="S32" s="470">
        <f t="shared" si="7"/>
        <v>2.0833333333333336E-2</v>
      </c>
      <c r="T32" s="470">
        <f t="shared" si="7"/>
        <v>2.0833333333333336E-2</v>
      </c>
      <c r="U32" s="470">
        <f t="shared" si="7"/>
        <v>2.0833333333333336E-2</v>
      </c>
      <c r="V32" s="470">
        <f t="shared" si="7"/>
        <v>1.5625E-2</v>
      </c>
      <c r="W32" s="470">
        <f t="shared" si="7"/>
        <v>3.125E-2</v>
      </c>
      <c r="X32" s="470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1">
        <v>0</v>
      </c>
      <c r="Q2" s="28"/>
      <c r="R2" s="28"/>
      <c r="S2" s="28"/>
    </row>
    <row r="3" spans="1:19" s="305" customFormat="1" ht="15" customHeight="1">
      <c r="A3" s="290"/>
      <c r="B3" s="514"/>
      <c r="Q3" s="28"/>
      <c r="R3" s="28"/>
      <c r="S3" s="28"/>
    </row>
    <row r="4" spans="1:19" s="305" customFormat="1" ht="15" customHeight="1">
      <c r="A4" s="23" t="s">
        <v>211</v>
      </c>
      <c r="B4" s="514"/>
      <c r="Q4" s="28"/>
      <c r="R4" s="28"/>
      <c r="S4" s="28"/>
    </row>
    <row r="5" spans="1:19" ht="15" customHeight="1">
      <c r="A5" s="104"/>
      <c r="B5" s="104"/>
      <c r="C5" s="515" t="s">
        <v>1260</v>
      </c>
      <c r="D5" s="515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9" t="s">
        <v>225</v>
      </c>
      <c r="B10" s="510"/>
      <c r="C10" s="508">
        <f>SQRT(2*C8^2/(1.2*(1+C9*C6/C7)))</f>
        <v>1.9281086206186945E-2</v>
      </c>
      <c r="D10" s="508">
        <f>SQRT(2*D8^2/(1.2*(1+D9*D6/D7)))</f>
        <v>1.9281086206186945E-2</v>
      </c>
      <c r="E10" s="510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7">
        <f>(1/F20+$B$20)^-1/5.678</f>
        <v>3.3022190912293063</v>
      </c>
      <c r="G21" s="478">
        <f t="shared" ref="G21:X21" si="21">(1/G20+$B$20)^-1/5.678</f>
        <v>3.8025553171731401</v>
      </c>
      <c r="H21" s="478">
        <f t="shared" si="21"/>
        <v>3.8025553171731401</v>
      </c>
      <c r="I21" s="478">
        <f t="shared" si="21"/>
        <v>3.8025553171731401</v>
      </c>
      <c r="J21" s="478">
        <f t="shared" si="21"/>
        <v>3.8025553171731401</v>
      </c>
      <c r="K21" s="478">
        <f t="shared" si="21"/>
        <v>3.8025553171731401</v>
      </c>
      <c r="L21" s="478">
        <f t="shared" si="21"/>
        <v>4.358484457110734</v>
      </c>
      <c r="M21" s="478">
        <f t="shared" si="21"/>
        <v>4.358484457110734</v>
      </c>
      <c r="N21" s="478">
        <f t="shared" si="21"/>
        <v>4.358484457110734</v>
      </c>
      <c r="O21" s="478">
        <f t="shared" si="21"/>
        <v>4.358484457110734</v>
      </c>
      <c r="P21" s="478">
        <f t="shared" si="21"/>
        <v>4.358484457110734</v>
      </c>
      <c r="Q21" s="478">
        <f t="shared" si="21"/>
        <v>4.358484457110734</v>
      </c>
      <c r="R21" s="478">
        <f t="shared" si="21"/>
        <v>4.358484457110734</v>
      </c>
      <c r="S21" s="478">
        <f t="shared" si="21"/>
        <v>4.358484457110734</v>
      </c>
      <c r="T21" s="478">
        <f t="shared" si="21"/>
        <v>4.358484457110734</v>
      </c>
      <c r="U21" s="479">
        <f>G21</f>
        <v>3.8025553171731401</v>
      </c>
      <c r="V21" s="479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7">
        <f>(1/F20+$B$21)^-1/5.678</f>
        <v>4.5943917791016435</v>
      </c>
      <c r="G22" s="478">
        <f t="shared" ref="G22:X22" si="23">(1/G20+$B$21)^-1/5.678</f>
        <v>5.6239473598527123</v>
      </c>
      <c r="H22" s="478">
        <f t="shared" si="23"/>
        <v>5.6239473598527123</v>
      </c>
      <c r="I22" s="478">
        <f t="shared" si="23"/>
        <v>5.6239473598527123</v>
      </c>
      <c r="J22" s="478">
        <f t="shared" si="23"/>
        <v>5.6239473598527123</v>
      </c>
      <c r="K22" s="478">
        <f t="shared" si="23"/>
        <v>5.6239473598527123</v>
      </c>
      <c r="L22" s="478">
        <f t="shared" si="23"/>
        <v>6.931565642633938</v>
      </c>
      <c r="M22" s="478">
        <f t="shared" si="23"/>
        <v>6.931565642633938</v>
      </c>
      <c r="N22" s="478">
        <f t="shared" si="23"/>
        <v>6.931565642633938</v>
      </c>
      <c r="O22" s="478">
        <f t="shared" si="23"/>
        <v>6.931565642633938</v>
      </c>
      <c r="P22" s="478">
        <f t="shared" si="23"/>
        <v>6.931565642633938</v>
      </c>
      <c r="Q22" s="478">
        <f t="shared" si="23"/>
        <v>6.931565642633938</v>
      </c>
      <c r="R22" s="478">
        <f t="shared" si="23"/>
        <v>6.931565642633938</v>
      </c>
      <c r="S22" s="478">
        <f t="shared" si="23"/>
        <v>6.931565642633938</v>
      </c>
      <c r="T22" s="478">
        <f t="shared" si="23"/>
        <v>6.931565642633938</v>
      </c>
      <c r="U22" s="479">
        <f>G22</f>
        <v>5.6239473598527123</v>
      </c>
      <c r="V22" s="479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0">
        <f>F85</f>
        <v>0.25</v>
      </c>
      <c r="G28" s="480">
        <f t="shared" ref="G28:M28" si="25">G85</f>
        <v>0.25</v>
      </c>
      <c r="H28" s="480">
        <f t="shared" si="25"/>
        <v>0.25</v>
      </c>
      <c r="I28" s="480">
        <f t="shared" si="25"/>
        <v>0.27</v>
      </c>
      <c r="J28" s="480">
        <f t="shared" si="25"/>
        <v>0.27</v>
      </c>
      <c r="K28" s="480">
        <f t="shared" si="25"/>
        <v>0.27</v>
      </c>
      <c r="L28" s="480">
        <f t="shared" si="25"/>
        <v>0.27</v>
      </c>
      <c r="M28" s="480">
        <f t="shared" si="25"/>
        <v>0.27</v>
      </c>
      <c r="N28" s="481">
        <v>0.3</v>
      </c>
      <c r="O28" s="481">
        <v>0.3</v>
      </c>
      <c r="P28" s="481">
        <v>0.3</v>
      </c>
      <c r="Q28" s="481">
        <v>0.3</v>
      </c>
      <c r="R28" s="481">
        <v>0.3</v>
      </c>
      <c r="S28" s="481">
        <v>0.3</v>
      </c>
      <c r="T28" s="482">
        <v>0.35</v>
      </c>
      <c r="U28" s="480">
        <f>G28</f>
        <v>0.25</v>
      </c>
      <c r="V28" s="480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1" t="s">
        <v>622</v>
      </c>
      <c r="E56" s="542"/>
      <c r="F56" s="543"/>
      <c r="G56" s="547" t="s">
        <v>615</v>
      </c>
      <c r="H56" s="542"/>
      <c r="I56" s="548"/>
      <c r="J56" s="549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4" t="s">
        <v>614</v>
      </c>
      <c r="E57" s="545"/>
      <c r="F57" s="546"/>
      <c r="G57" s="550" t="s">
        <v>616</v>
      </c>
      <c r="H57" s="545"/>
      <c r="I57" s="551"/>
      <c r="J57" s="546"/>
      <c r="K57" s="552">
        <v>1.17</v>
      </c>
      <c r="L57" s="552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4"/>
      <c r="E58" s="545"/>
      <c r="F58" s="546"/>
      <c r="G58" s="550" t="s">
        <v>617</v>
      </c>
      <c r="H58" s="545"/>
      <c r="I58" s="551"/>
      <c r="J58" s="546"/>
      <c r="K58" s="552">
        <v>0.86</v>
      </c>
      <c r="L58" s="552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4" t="s">
        <v>618</v>
      </c>
      <c r="E59" s="545"/>
      <c r="F59" s="546"/>
      <c r="G59" s="550" t="s">
        <v>616</v>
      </c>
      <c r="H59" s="545"/>
      <c r="I59" s="551"/>
      <c r="J59" s="546"/>
      <c r="K59" s="552">
        <v>1.45</v>
      </c>
      <c r="L59" s="552"/>
      <c r="S59" s="17"/>
      <c r="T59" s="17"/>
      <c r="U59" s="17"/>
      <c r="V59" s="17"/>
      <c r="W59" s="17"/>
    </row>
    <row r="60" spans="2:24" ht="15" customHeight="1">
      <c r="D60" s="544"/>
      <c r="E60" s="545"/>
      <c r="F60" s="546"/>
      <c r="G60" s="550" t="s">
        <v>617</v>
      </c>
      <c r="H60" s="545"/>
      <c r="I60" s="551"/>
      <c r="J60" s="546"/>
      <c r="K60" s="552">
        <v>0.85</v>
      </c>
      <c r="L60" s="552"/>
      <c r="S60" s="17"/>
      <c r="T60" s="17"/>
      <c r="U60" s="17"/>
      <c r="V60" s="17"/>
      <c r="W60" s="17"/>
    </row>
    <row r="61" spans="2:24" ht="15" customHeight="1">
      <c r="D61" s="544" t="s">
        <v>619</v>
      </c>
      <c r="E61" s="545"/>
      <c r="F61" s="546"/>
      <c r="G61" s="550" t="s">
        <v>616</v>
      </c>
      <c r="H61" s="545"/>
      <c r="I61" s="551"/>
      <c r="J61" s="546"/>
      <c r="K61" s="552">
        <v>2.0699999999999998</v>
      </c>
      <c r="L61" s="552"/>
      <c r="S61" s="17"/>
      <c r="T61" s="17"/>
      <c r="U61" s="17"/>
      <c r="V61" s="17"/>
      <c r="W61" s="17"/>
    </row>
    <row r="62" spans="2:24" ht="15" customHeight="1">
      <c r="B62" s="2"/>
      <c r="D62" s="544"/>
      <c r="E62" s="545"/>
      <c r="F62" s="546"/>
      <c r="G62" s="550" t="s">
        <v>617</v>
      </c>
      <c r="H62" s="545"/>
      <c r="I62" s="551"/>
      <c r="J62" s="546"/>
      <c r="K62" s="552">
        <v>0.92</v>
      </c>
      <c r="L62" s="552"/>
      <c r="S62" s="17"/>
      <c r="T62" s="17"/>
      <c r="U62" s="17"/>
      <c r="V62" s="17"/>
      <c r="W62" s="17"/>
    </row>
    <row r="63" spans="2:24" ht="15" customHeight="1">
      <c r="D63" s="544" t="s">
        <v>620</v>
      </c>
      <c r="E63" s="545"/>
      <c r="F63" s="546"/>
      <c r="G63" s="550" t="s">
        <v>616</v>
      </c>
      <c r="H63" s="545"/>
      <c r="I63" s="551"/>
      <c r="J63" s="546"/>
      <c r="K63" s="552">
        <v>3.67</v>
      </c>
      <c r="L63" s="552"/>
      <c r="S63" s="17"/>
      <c r="T63" s="17"/>
      <c r="U63" s="17"/>
      <c r="V63" s="17"/>
      <c r="W63" s="17"/>
    </row>
    <row r="64" spans="2:24" ht="15" customHeight="1">
      <c r="D64" s="544" t="s">
        <v>621</v>
      </c>
      <c r="E64" s="545"/>
      <c r="F64" s="546"/>
      <c r="G64" s="550" t="s">
        <v>617</v>
      </c>
      <c r="H64" s="545"/>
      <c r="I64" s="551"/>
      <c r="J64" s="546"/>
      <c r="K64" s="552">
        <v>1.24</v>
      </c>
      <c r="L64" s="552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35.32629927405246</v>
      </c>
      <c r="C10" s="348">
        <f t="shared" si="0"/>
        <v>35.114745597809829</v>
      </c>
      <c r="D10" s="348">
        <f t="shared" si="0"/>
        <v>34.903191921567213</v>
      </c>
      <c r="E10" s="348">
        <f t="shared" si="0"/>
        <v>35.89044241069945</v>
      </c>
      <c r="F10" s="348">
        <f t="shared" si="0"/>
        <v>35.537852950295083</v>
      </c>
      <c r="G10" s="348">
        <f t="shared" si="0"/>
        <v>33.422316187868852</v>
      </c>
      <c r="H10" s="348">
        <f t="shared" si="0"/>
        <v>35.185263489890708</v>
      </c>
      <c r="I10" s="348">
        <f t="shared" si="0"/>
        <v>34.480084569081967</v>
      </c>
      <c r="J10" s="348">
        <f t="shared" si="0"/>
        <v>34.30378983887978</v>
      </c>
      <c r="K10" s="348">
        <f t="shared" si="0"/>
        <v>35.537852950295083</v>
      </c>
      <c r="L10" s="348">
        <f t="shared" si="0"/>
        <v>36.101996086942073</v>
      </c>
      <c r="M10" s="348">
        <f t="shared" si="0"/>
        <v>35.396817166133332</v>
      </c>
      <c r="N10" s="348">
        <f t="shared" si="0"/>
        <v>35.114745597809836</v>
      </c>
      <c r="O10" s="348">
        <f t="shared" si="0"/>
        <v>34.127495108677593</v>
      </c>
      <c r="P10" s="348">
        <f t="shared" si="0"/>
        <v>36.595621331508198</v>
      </c>
      <c r="Q10" s="348">
        <f t="shared" si="0"/>
        <v>35.960960302780322</v>
      </c>
      <c r="R10" s="348">
        <f t="shared" si="0"/>
        <v>36.419326601306011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15.405799113414277</v>
      </c>
      <c r="C11" s="242">
        <f>C10*0.4361</f>
        <v>15.313540555204867</v>
      </c>
      <c r="D11" s="242">
        <f t="shared" ref="D11:P11" si="1">D10*0.4361</f>
        <v>15.221281996995462</v>
      </c>
      <c r="E11" s="242">
        <f t="shared" si="1"/>
        <v>15.65182193530603</v>
      </c>
      <c r="F11" s="242">
        <f t="shared" si="1"/>
        <v>15.498057671623686</v>
      </c>
      <c r="G11" s="242">
        <f t="shared" si="1"/>
        <v>14.575472089529606</v>
      </c>
      <c r="H11" s="242">
        <f t="shared" si="1"/>
        <v>15.344293407941338</v>
      </c>
      <c r="I11" s="242">
        <f t="shared" si="1"/>
        <v>15.036764880576646</v>
      </c>
      <c r="J11" s="242">
        <f t="shared" si="1"/>
        <v>14.959882748735472</v>
      </c>
      <c r="K11" s="242">
        <f t="shared" si="1"/>
        <v>15.498057671623686</v>
      </c>
      <c r="L11" s="242">
        <f t="shared" si="1"/>
        <v>15.744080493515437</v>
      </c>
      <c r="M11" s="242">
        <f t="shared" si="1"/>
        <v>15.436551966150745</v>
      </c>
      <c r="N11" s="242">
        <f t="shared" si="1"/>
        <v>15.313540555204868</v>
      </c>
      <c r="O11" s="242">
        <f t="shared" si="1"/>
        <v>14.883000616894298</v>
      </c>
      <c r="P11" s="242">
        <f t="shared" si="1"/>
        <v>15.959350462670725</v>
      </c>
      <c r="Q11" s="242">
        <f>Q10*0.4361</f>
        <v>15.682574788042498</v>
      </c>
      <c r="R11" s="242">
        <f>R10*0.4361</f>
        <v>15.882468330829552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IF(VentSystem="CFIS",3*B10/-1000,3*B10/-1000)</f>
        <v>-0.10597889782215737</v>
      </c>
      <c r="C13" s="399">
        <f t="shared" si="3"/>
        <v>-0.10534423679342948</v>
      </c>
      <c r="D13" s="399">
        <f t="shared" si="3"/>
        <v>-0.10470957576470163</v>
      </c>
      <c r="E13" s="399">
        <f t="shared" si="3"/>
        <v>-0.10767132723209835</v>
      </c>
      <c r="F13" s="399">
        <f t="shared" si="3"/>
        <v>-0.10661355885088525</v>
      </c>
      <c r="G13" s="399">
        <f t="shared" si="3"/>
        <v>-0.10026694856360654</v>
      </c>
      <c r="H13" s="399">
        <f t="shared" si="3"/>
        <v>-0.10555579046967213</v>
      </c>
      <c r="I13" s="399">
        <f t="shared" si="3"/>
        <v>-0.1034402537072459</v>
      </c>
      <c r="J13" s="399">
        <f t="shared" si="3"/>
        <v>-0.10291136951663934</v>
      </c>
      <c r="K13" s="399">
        <f t="shared" si="3"/>
        <v>-0.10661355885088525</v>
      </c>
      <c r="L13" s="399">
        <f t="shared" si="3"/>
        <v>-0.10830598826082621</v>
      </c>
      <c r="M13" s="399">
        <f t="shared" si="3"/>
        <v>-0.10619045149839999</v>
      </c>
      <c r="N13" s="399">
        <f t="shared" si="3"/>
        <v>-0.1053442367934295</v>
      </c>
      <c r="O13" s="399">
        <f t="shared" si="3"/>
        <v>-0.10238248532603278</v>
      </c>
      <c r="P13" s="399">
        <f t="shared" si="3"/>
        <v>-0.1097868639945246</v>
      </c>
      <c r="Q13" s="399">
        <f t="shared" si="3"/>
        <v>-0.10788288090834096</v>
      </c>
      <c r="R13" s="399">
        <f t="shared" si="3"/>
        <v>-0.10925797980391803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5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3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5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3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6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3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5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4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5">$L$2</f>
        <v>44</v>
      </c>
      <c r="E84" s="346">
        <f t="shared" si="15"/>
        <v>44</v>
      </c>
      <c r="F84" s="346">
        <f t="shared" si="15"/>
        <v>44</v>
      </c>
      <c r="G84" s="346">
        <f t="shared" si="15"/>
        <v>44</v>
      </c>
      <c r="H84" s="346">
        <f t="shared" si="15"/>
        <v>44</v>
      </c>
      <c r="I84" s="346">
        <f t="shared" si="15"/>
        <v>44</v>
      </c>
      <c r="J84" s="346">
        <f t="shared" si="15"/>
        <v>44</v>
      </c>
      <c r="K84" s="346">
        <f t="shared" si="15"/>
        <v>44</v>
      </c>
      <c r="L84" s="346">
        <f t="shared" si="15"/>
        <v>44</v>
      </c>
      <c r="M84" s="346">
        <f t="shared" si="15"/>
        <v>44</v>
      </c>
      <c r="N84" s="346">
        <f t="shared" si="15"/>
        <v>44</v>
      </c>
      <c r="O84" s="346">
        <f t="shared" si="15"/>
        <v>44</v>
      </c>
      <c r="P84" s="346">
        <f t="shared" si="15"/>
        <v>44</v>
      </c>
      <c r="Q84" s="346">
        <f t="shared" si="15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6">1.1*D78</f>
        <v>16.133333333333333</v>
      </c>
      <c r="E89" s="219">
        <f t="shared" si="16"/>
        <v>16.133333333333333</v>
      </c>
      <c r="F89" s="219">
        <f t="shared" si="16"/>
        <v>16.133333333333333</v>
      </c>
      <c r="G89" s="219">
        <f t="shared" si="16"/>
        <v>16.133333333333333</v>
      </c>
      <c r="H89" s="219">
        <f t="shared" si="16"/>
        <v>16.133333333333333</v>
      </c>
      <c r="I89" s="219">
        <f t="shared" si="16"/>
        <v>16.133333333333333</v>
      </c>
      <c r="J89" s="219">
        <f t="shared" si="16"/>
        <v>16.133333333333333</v>
      </c>
      <c r="K89" s="219">
        <f t="shared" si="16"/>
        <v>16.133333333333333</v>
      </c>
      <c r="L89" s="219">
        <f t="shared" si="16"/>
        <v>16.133333333333333</v>
      </c>
      <c r="M89" s="219">
        <f t="shared" si="16"/>
        <v>16.133333333333333</v>
      </c>
      <c r="N89" s="219">
        <f t="shared" si="16"/>
        <v>16.133333333333333</v>
      </c>
      <c r="O89" s="219">
        <f t="shared" si="16"/>
        <v>16.133333333333333</v>
      </c>
      <c r="P89" s="219">
        <f t="shared" si="16"/>
        <v>16.133333333333333</v>
      </c>
      <c r="Q89" s="219">
        <f t="shared" si="16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26.137501470067981</v>
      </c>
      <c r="D90" s="219">
        <f t="shared" si="17"/>
        <v>25.594513701045251</v>
      </c>
      <c r="E90" s="219">
        <f t="shared" si="17"/>
        <v>25.051525932022518</v>
      </c>
      <c r="F90" s="219">
        <f t="shared" si="17"/>
        <v>23.422562624954317</v>
      </c>
      <c r="G90" s="219">
        <f t="shared" si="17"/>
        <v>22.336587086908857</v>
      </c>
      <c r="H90" s="219">
        <f t="shared" si="17"/>
        <v>16.133333333333333</v>
      </c>
      <c r="I90" s="219">
        <f t="shared" si="17"/>
        <v>21.25061154886339</v>
      </c>
      <c r="J90" s="219">
        <f t="shared" si="17"/>
        <v>19.078660472772459</v>
      </c>
      <c r="K90" s="219">
        <f t="shared" si="17"/>
        <v>18.535672703749729</v>
      </c>
      <c r="L90" s="219">
        <f t="shared" si="17"/>
        <v>16.133333333333333</v>
      </c>
      <c r="M90" s="219">
        <f t="shared" si="17"/>
        <v>17.992684934726991</v>
      </c>
      <c r="N90" s="219">
        <f t="shared" si="17"/>
        <v>16.133333333333333</v>
      </c>
      <c r="O90" s="219">
        <f t="shared" si="17"/>
        <v>16.133333333333333</v>
      </c>
      <c r="P90" s="219">
        <f t="shared" si="17"/>
        <v>16.133333333333333</v>
      </c>
      <c r="Q90" s="219">
        <f t="shared" si="17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32.498215335762843</v>
      </c>
      <c r="D91" s="219">
        <f t="shared" si="18"/>
        <v>32.110366929318033</v>
      </c>
      <c r="E91" s="219">
        <f t="shared" si="18"/>
        <v>31.722518522873226</v>
      </c>
      <c r="F91" s="219">
        <f t="shared" si="18"/>
        <v>30.558973303538799</v>
      </c>
      <c r="G91" s="219">
        <f t="shared" si="18"/>
        <v>29.783276490649182</v>
      </c>
      <c r="H91" s="219">
        <f t="shared" si="18"/>
        <v>25.129095613311478</v>
      </c>
      <c r="I91" s="219">
        <f t="shared" si="18"/>
        <v>29.007579677759566</v>
      </c>
      <c r="J91" s="219">
        <f t="shared" si="18"/>
        <v>27.456186051980328</v>
      </c>
      <c r="K91" s="219">
        <f t="shared" si="18"/>
        <v>27.068337645535522</v>
      </c>
      <c r="L91" s="219">
        <f t="shared" si="18"/>
        <v>25.129095613311478</v>
      </c>
      <c r="M91" s="219">
        <f t="shared" si="18"/>
        <v>26.680489239090715</v>
      </c>
      <c r="N91" s="219">
        <f t="shared" si="18"/>
        <v>24.741247206866671</v>
      </c>
      <c r="O91" s="219">
        <f t="shared" si="18"/>
        <v>23.96555039397705</v>
      </c>
      <c r="P91" s="219">
        <f t="shared" si="18"/>
        <v>21.250611548863393</v>
      </c>
      <c r="Q91" s="219">
        <f t="shared" si="18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38.858929201457705</v>
      </c>
      <c r="D92" s="219">
        <f t="shared" si="19"/>
        <v>38.626220157590815</v>
      </c>
      <c r="E92" s="219">
        <f t="shared" si="19"/>
        <v>38.393511113723939</v>
      </c>
      <c r="F92" s="219">
        <f t="shared" si="19"/>
        <v>37.695383982123275</v>
      </c>
      <c r="G92" s="219">
        <f t="shared" si="19"/>
        <v>37.229965894389508</v>
      </c>
      <c r="H92" s="219">
        <f t="shared" si="19"/>
        <v>34.437457367986887</v>
      </c>
      <c r="I92" s="219">
        <f t="shared" si="19"/>
        <v>36.764547806655742</v>
      </c>
      <c r="J92" s="219">
        <f t="shared" si="19"/>
        <v>35.833711631188187</v>
      </c>
      <c r="K92" s="219">
        <f t="shared" si="19"/>
        <v>35.601002587321311</v>
      </c>
      <c r="L92" s="219">
        <f t="shared" si="19"/>
        <v>34.437457367986887</v>
      </c>
      <c r="M92" s="219">
        <f t="shared" si="19"/>
        <v>35.368293543454421</v>
      </c>
      <c r="N92" s="219">
        <f t="shared" si="19"/>
        <v>34.204748324119997</v>
      </c>
      <c r="O92" s="219">
        <f t="shared" si="19"/>
        <v>33.73933023638623</v>
      </c>
      <c r="P92" s="219">
        <f t="shared" si="19"/>
        <v>32.110366929318033</v>
      </c>
      <c r="Q92" s="219">
        <f t="shared" si="19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43.629464600728859</v>
      </c>
      <c r="D93" s="219">
        <f t="shared" si="20"/>
        <v>43.513110078795407</v>
      </c>
      <c r="E93" s="219">
        <f t="shared" si="20"/>
        <v>43.396755556861969</v>
      </c>
      <c r="F93" s="219">
        <f t="shared" si="20"/>
        <v>43.04769199106164</v>
      </c>
      <c r="G93" s="219">
        <f t="shared" si="20"/>
        <v>42.81498294719475</v>
      </c>
      <c r="H93" s="219">
        <f t="shared" si="20"/>
        <v>41.418728683993443</v>
      </c>
      <c r="I93" s="219">
        <f t="shared" si="20"/>
        <v>42.582273903327867</v>
      </c>
      <c r="J93" s="219">
        <f t="shared" si="20"/>
        <v>42.1168558155941</v>
      </c>
      <c r="K93" s="219">
        <f t="shared" si="20"/>
        <v>42.000501293660655</v>
      </c>
      <c r="L93" s="219">
        <f t="shared" si="20"/>
        <v>41.418728683993443</v>
      </c>
      <c r="M93" s="219">
        <f t="shared" si="20"/>
        <v>41.88414677172721</v>
      </c>
      <c r="N93" s="219">
        <f t="shared" si="20"/>
        <v>41.302374162060005</v>
      </c>
      <c r="O93" s="219">
        <f t="shared" si="20"/>
        <v>41.069665118193114</v>
      </c>
      <c r="P93" s="219">
        <f t="shared" si="20"/>
        <v>40.255183464659019</v>
      </c>
      <c r="Q93" s="219">
        <f t="shared" si="20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46.491785840291548</v>
      </c>
      <c r="D94" s="219">
        <f t="shared" si="21"/>
        <v>46.445244031518165</v>
      </c>
      <c r="E94" s="219">
        <f t="shared" si="21"/>
        <v>46.398702222744788</v>
      </c>
      <c r="F94" s="219">
        <f t="shared" si="21"/>
        <v>46.259076796424665</v>
      </c>
      <c r="G94" s="219">
        <f t="shared" si="21"/>
        <v>46.165993178877905</v>
      </c>
      <c r="H94" s="219">
        <f t="shared" si="21"/>
        <v>45.607491473597378</v>
      </c>
      <c r="I94" s="219">
        <f t="shared" si="21"/>
        <v>46.072909561331151</v>
      </c>
      <c r="J94" s="219">
        <f t="shared" si="21"/>
        <v>45.886742326237645</v>
      </c>
      <c r="K94" s="219">
        <f t="shared" si="21"/>
        <v>45.840200517464261</v>
      </c>
      <c r="L94" s="219">
        <f t="shared" si="21"/>
        <v>45.607491473597378</v>
      </c>
      <c r="M94" s="219">
        <f t="shared" si="21"/>
        <v>45.793658708690892</v>
      </c>
      <c r="N94" s="219">
        <f t="shared" si="21"/>
        <v>45.560949664824008</v>
      </c>
      <c r="O94" s="219">
        <f t="shared" si="21"/>
        <v>45.467866047277248</v>
      </c>
      <c r="P94" s="219">
        <f t="shared" si="21"/>
        <v>45.142073385863611</v>
      </c>
      <c r="Q94" s="219">
        <f t="shared" si="21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2">D78*0.4361</f>
        <v>6.3961333333333332</v>
      </c>
      <c r="E99" s="347">
        <f t="shared" si="22"/>
        <v>6.3961333333333332</v>
      </c>
      <c r="F99" s="347">
        <f t="shared" si="22"/>
        <v>6.3961333333333332</v>
      </c>
      <c r="G99" s="347">
        <f t="shared" si="22"/>
        <v>6.3961333333333332</v>
      </c>
      <c r="H99" s="347">
        <f t="shared" si="22"/>
        <v>6.3961333333333332</v>
      </c>
      <c r="I99" s="347">
        <f t="shared" si="22"/>
        <v>6.3961333333333332</v>
      </c>
      <c r="J99" s="347">
        <f t="shared" si="22"/>
        <v>6.3961333333333332</v>
      </c>
      <c r="K99" s="347">
        <f t="shared" si="22"/>
        <v>6.3961333333333332</v>
      </c>
      <c r="L99" s="347">
        <f t="shared" si="22"/>
        <v>6.3961333333333332</v>
      </c>
      <c r="M99" s="347">
        <f t="shared" si="22"/>
        <v>6.3961333333333332</v>
      </c>
      <c r="N99" s="347">
        <f t="shared" si="22"/>
        <v>6.3961333333333332</v>
      </c>
      <c r="O99" s="347">
        <f t="shared" si="22"/>
        <v>6.3961333333333332</v>
      </c>
      <c r="P99" s="347">
        <f t="shared" si="22"/>
        <v>6.3961333333333332</v>
      </c>
      <c r="Q99" s="347">
        <f t="shared" si="22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10.362331264633314</v>
      </c>
      <c r="D100" s="347">
        <f t="shared" si="23"/>
        <v>10.147061295478029</v>
      </c>
      <c r="E100" s="347">
        <f t="shared" si="23"/>
        <v>9.9317913263227435</v>
      </c>
      <c r="F100" s="347">
        <f t="shared" si="23"/>
        <v>9.2859814188568883</v>
      </c>
      <c r="G100" s="347">
        <f t="shared" si="23"/>
        <v>8.85544148054632</v>
      </c>
      <c r="H100" s="347">
        <f t="shared" si="23"/>
        <v>6.3961333333333332</v>
      </c>
      <c r="I100" s="347">
        <f t="shared" si="23"/>
        <v>8.4249015422357481</v>
      </c>
      <c r="J100" s="347">
        <f t="shared" si="23"/>
        <v>7.5638216656146069</v>
      </c>
      <c r="K100" s="347">
        <f t="shared" si="23"/>
        <v>7.3485516964593227</v>
      </c>
      <c r="L100" s="347">
        <f t="shared" si="23"/>
        <v>6.3961333333333332</v>
      </c>
      <c r="M100" s="347">
        <f t="shared" si="23"/>
        <v>7.1332817273040359</v>
      </c>
      <c r="N100" s="347">
        <f t="shared" si="23"/>
        <v>6.3961333333333332</v>
      </c>
      <c r="O100" s="347">
        <f t="shared" si="23"/>
        <v>6.3961333333333332</v>
      </c>
      <c r="P100" s="347">
        <f t="shared" si="23"/>
        <v>6.3961333333333332</v>
      </c>
      <c r="Q100" s="347">
        <f t="shared" si="23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12.884065189023795</v>
      </c>
      <c r="D101" s="347">
        <f t="shared" si="24"/>
        <v>12.730300925341449</v>
      </c>
      <c r="E101" s="347">
        <f t="shared" si="24"/>
        <v>12.576536661659102</v>
      </c>
      <c r="F101" s="347">
        <f t="shared" si="24"/>
        <v>12.115243870612062</v>
      </c>
      <c r="G101" s="347">
        <f t="shared" si="24"/>
        <v>11.80771534324737</v>
      </c>
      <c r="H101" s="347">
        <f t="shared" si="24"/>
        <v>9.9625441790592131</v>
      </c>
      <c r="I101" s="347">
        <f t="shared" si="24"/>
        <v>11.500186815882676</v>
      </c>
      <c r="J101" s="347">
        <f t="shared" si="24"/>
        <v>10.885129761153291</v>
      </c>
      <c r="K101" s="347">
        <f t="shared" si="24"/>
        <v>10.731365497470945</v>
      </c>
      <c r="L101" s="347">
        <f t="shared" si="24"/>
        <v>9.9625441790592131</v>
      </c>
      <c r="M101" s="347">
        <f t="shared" si="24"/>
        <v>10.577601233788599</v>
      </c>
      <c r="N101" s="347">
        <f t="shared" si="24"/>
        <v>9.8087799153768671</v>
      </c>
      <c r="O101" s="347">
        <f t="shared" si="24"/>
        <v>9.5012513880121734</v>
      </c>
      <c r="P101" s="347">
        <f t="shared" si="24"/>
        <v>8.4249015422357498</v>
      </c>
      <c r="Q101" s="347">
        <f t="shared" si="24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15.405799113414277</v>
      </c>
      <c r="D102" s="347">
        <f t="shared" si="25"/>
        <v>15.313540555204867</v>
      </c>
      <c r="E102" s="347">
        <f t="shared" si="25"/>
        <v>15.221281996995462</v>
      </c>
      <c r="F102" s="347">
        <f t="shared" si="25"/>
        <v>14.944506322367234</v>
      </c>
      <c r="G102" s="347">
        <f t="shared" si="25"/>
        <v>14.759989205948422</v>
      </c>
      <c r="H102" s="347">
        <f t="shared" si="25"/>
        <v>13.652886507435527</v>
      </c>
      <c r="I102" s="347">
        <f t="shared" si="25"/>
        <v>14.575472089529606</v>
      </c>
      <c r="J102" s="347">
        <f t="shared" si="25"/>
        <v>14.20643785669197</v>
      </c>
      <c r="K102" s="347">
        <f t="shared" si="25"/>
        <v>14.114179298482567</v>
      </c>
      <c r="L102" s="347">
        <f t="shared" si="25"/>
        <v>13.652886507435527</v>
      </c>
      <c r="M102" s="347">
        <f t="shared" si="25"/>
        <v>14.021920740273154</v>
      </c>
      <c r="N102" s="347">
        <f t="shared" si="25"/>
        <v>13.560627949226118</v>
      </c>
      <c r="O102" s="347">
        <f t="shared" si="25"/>
        <v>13.376110832807303</v>
      </c>
      <c r="P102" s="347">
        <f t="shared" si="25"/>
        <v>12.730300925341448</v>
      </c>
      <c r="Q102" s="347">
        <f t="shared" si="25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17.297099556707138</v>
      </c>
      <c r="D103" s="347">
        <f t="shared" si="26"/>
        <v>17.250970277602434</v>
      </c>
      <c r="E103" s="347">
        <f t="shared" si="26"/>
        <v>17.20484099849773</v>
      </c>
      <c r="F103" s="347">
        <f t="shared" si="26"/>
        <v>17.066453161183617</v>
      </c>
      <c r="G103" s="347">
        <f t="shared" si="26"/>
        <v>16.974194602974208</v>
      </c>
      <c r="H103" s="347">
        <f t="shared" si="26"/>
        <v>16.42064325371776</v>
      </c>
      <c r="I103" s="347">
        <f t="shared" si="26"/>
        <v>16.881936044764799</v>
      </c>
      <c r="J103" s="347">
        <f t="shared" si="26"/>
        <v>16.697418928345986</v>
      </c>
      <c r="K103" s="347">
        <f t="shared" si="26"/>
        <v>16.651289649241281</v>
      </c>
      <c r="L103" s="347">
        <f t="shared" si="26"/>
        <v>16.42064325371776</v>
      </c>
      <c r="M103" s="347">
        <f t="shared" si="26"/>
        <v>16.605160370136577</v>
      </c>
      <c r="N103" s="347">
        <f t="shared" si="26"/>
        <v>16.374513974613059</v>
      </c>
      <c r="O103" s="347">
        <f t="shared" si="26"/>
        <v>16.28225541640365</v>
      </c>
      <c r="P103" s="347">
        <f t="shared" si="26"/>
        <v>15.959350462670725</v>
      </c>
      <c r="Q103" s="347">
        <f t="shared" si="26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18.431879822682856</v>
      </c>
      <c r="D104" s="347">
        <f t="shared" si="27"/>
        <v>18.413428111040972</v>
      </c>
      <c r="E104" s="347">
        <f t="shared" si="27"/>
        <v>18.394976399399091</v>
      </c>
      <c r="F104" s="347">
        <f t="shared" si="27"/>
        <v>18.339621264473447</v>
      </c>
      <c r="G104" s="347">
        <f t="shared" si="27"/>
        <v>18.302717841189683</v>
      </c>
      <c r="H104" s="347">
        <f t="shared" si="27"/>
        <v>18.081297301487105</v>
      </c>
      <c r="I104" s="347">
        <f t="shared" si="27"/>
        <v>18.265814417905919</v>
      </c>
      <c r="J104" s="347">
        <f t="shared" si="27"/>
        <v>18.192007571338394</v>
      </c>
      <c r="K104" s="347">
        <f t="shared" si="27"/>
        <v>18.173555859696513</v>
      </c>
      <c r="L104" s="347">
        <f t="shared" si="27"/>
        <v>18.081297301487105</v>
      </c>
      <c r="M104" s="347">
        <f t="shared" si="27"/>
        <v>18.155104148054633</v>
      </c>
      <c r="N104" s="347">
        <f t="shared" si="27"/>
        <v>18.062845589845224</v>
      </c>
      <c r="O104" s="347">
        <f t="shared" si="27"/>
        <v>18.02594216656146</v>
      </c>
      <c r="P104" s="347">
        <f t="shared" si="27"/>
        <v>17.896780185068287</v>
      </c>
      <c r="Q104" s="347">
        <f t="shared" si="27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19.188399999999998</v>
      </c>
      <c r="D105" s="347">
        <f t="shared" si="28"/>
        <v>19.188399999999998</v>
      </c>
      <c r="E105" s="347">
        <f t="shared" si="28"/>
        <v>19.188399999999998</v>
      </c>
      <c r="F105" s="347">
        <f t="shared" si="28"/>
        <v>19.188399999999998</v>
      </c>
      <c r="G105" s="347">
        <f t="shared" si="28"/>
        <v>19.188399999999998</v>
      </c>
      <c r="H105" s="347">
        <f t="shared" si="28"/>
        <v>19.188399999999998</v>
      </c>
      <c r="I105" s="347">
        <f t="shared" si="28"/>
        <v>19.188399999999998</v>
      </c>
      <c r="J105" s="347">
        <f t="shared" si="28"/>
        <v>19.188399999999998</v>
      </c>
      <c r="K105" s="347">
        <f t="shared" si="28"/>
        <v>19.188399999999998</v>
      </c>
      <c r="L105" s="347">
        <f t="shared" si="28"/>
        <v>19.188399999999998</v>
      </c>
      <c r="M105" s="347">
        <f t="shared" si="28"/>
        <v>19.188399999999998</v>
      </c>
      <c r="N105" s="347">
        <f t="shared" si="28"/>
        <v>19.188399999999998</v>
      </c>
      <c r="O105" s="347">
        <f t="shared" si="28"/>
        <v>19.188399999999998</v>
      </c>
      <c r="P105" s="347">
        <f t="shared" si="28"/>
        <v>19.188399999999998</v>
      </c>
      <c r="Q105" s="347">
        <f t="shared" si="28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9">D99*1.1</f>
        <v>7.0357466666666673</v>
      </c>
      <c r="E111" s="219">
        <f t="shared" si="29"/>
        <v>7.0357466666666673</v>
      </c>
      <c r="F111" s="219">
        <f t="shared" si="29"/>
        <v>7.0357466666666673</v>
      </c>
      <c r="G111" s="219">
        <f t="shared" si="29"/>
        <v>7.0357466666666673</v>
      </c>
      <c r="H111" s="219">
        <f t="shared" si="29"/>
        <v>7.0357466666666673</v>
      </c>
      <c r="I111" s="219">
        <f t="shared" si="29"/>
        <v>7.0357466666666673</v>
      </c>
      <c r="J111" s="219">
        <f t="shared" si="29"/>
        <v>7.0357466666666673</v>
      </c>
      <c r="K111" s="219">
        <f t="shared" si="29"/>
        <v>7.0357466666666673</v>
      </c>
      <c r="L111" s="219">
        <f t="shared" si="29"/>
        <v>7.0357466666666673</v>
      </c>
      <c r="M111" s="219">
        <f t="shared" si="29"/>
        <v>7.0357466666666673</v>
      </c>
      <c r="N111" s="219">
        <f t="shared" si="29"/>
        <v>7.0357466666666673</v>
      </c>
      <c r="O111" s="219">
        <f t="shared" si="29"/>
        <v>7.0357466666666673</v>
      </c>
      <c r="P111" s="219">
        <f t="shared" si="29"/>
        <v>7.0357466666666673</v>
      </c>
      <c r="Q111" s="219">
        <f t="shared" si="29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11.398564391096645</v>
      </c>
      <c r="D112" s="219">
        <f t="shared" si="30"/>
        <v>11.161767425025833</v>
      </c>
      <c r="E112" s="219">
        <f t="shared" si="30"/>
        <v>10.924970458955018</v>
      </c>
      <c r="F112" s="219">
        <f t="shared" si="30"/>
        <v>10.214579560742578</v>
      </c>
      <c r="G112" s="219">
        <f t="shared" si="30"/>
        <v>9.7409856286009529</v>
      </c>
      <c r="H112" s="219">
        <f t="shared" si="30"/>
        <v>7.0357466666666673</v>
      </c>
      <c r="I112" s="219">
        <f t="shared" si="30"/>
        <v>9.2673916964593239</v>
      </c>
      <c r="J112" s="219">
        <f t="shared" si="30"/>
        <v>8.3202038321760678</v>
      </c>
      <c r="K112" s="219">
        <f t="shared" si="30"/>
        <v>8.0834068661052552</v>
      </c>
      <c r="L112" s="219">
        <f t="shared" si="30"/>
        <v>7.0357466666666673</v>
      </c>
      <c r="M112" s="219">
        <f t="shared" si="30"/>
        <v>7.8466099000344398</v>
      </c>
      <c r="N112" s="219">
        <f t="shared" si="30"/>
        <v>7.0357466666666673</v>
      </c>
      <c r="O112" s="219">
        <f t="shared" si="30"/>
        <v>7.0357466666666673</v>
      </c>
      <c r="P112" s="219">
        <f t="shared" si="30"/>
        <v>7.0357466666666673</v>
      </c>
      <c r="Q112" s="219">
        <f t="shared" si="30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14.172471707926176</v>
      </c>
      <c r="D113" s="219">
        <f t="shared" si="31"/>
        <v>14.003331017875595</v>
      </c>
      <c r="E113" s="219">
        <f t="shared" si="31"/>
        <v>13.834190327825013</v>
      </c>
      <c r="F113" s="219">
        <f t="shared" si="31"/>
        <v>13.326768257673269</v>
      </c>
      <c r="G113" s="219">
        <f t="shared" si="31"/>
        <v>12.988486877572107</v>
      </c>
      <c r="H113" s="219">
        <f t="shared" si="31"/>
        <v>10.958798596965135</v>
      </c>
      <c r="I113" s="219">
        <f t="shared" si="31"/>
        <v>12.650205497470944</v>
      </c>
      <c r="J113" s="219">
        <f t="shared" si="31"/>
        <v>11.973642737268621</v>
      </c>
      <c r="K113" s="219">
        <f t="shared" si="31"/>
        <v>11.80450204721804</v>
      </c>
      <c r="L113" s="219">
        <f t="shared" si="31"/>
        <v>10.958798596965135</v>
      </c>
      <c r="M113" s="219">
        <f t="shared" si="31"/>
        <v>11.63536135716746</v>
      </c>
      <c r="N113" s="219">
        <f t="shared" si="31"/>
        <v>10.789657906914554</v>
      </c>
      <c r="O113" s="219">
        <f t="shared" si="31"/>
        <v>10.451376526813391</v>
      </c>
      <c r="P113" s="219">
        <f t="shared" si="31"/>
        <v>9.2673916964593257</v>
      </c>
      <c r="Q113" s="219">
        <f t="shared" si="31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16.946379024755707</v>
      </c>
      <c r="D114" s="219">
        <f t="shared" si="32"/>
        <v>16.844894610725355</v>
      </c>
      <c r="E114" s="219">
        <f t="shared" si="32"/>
        <v>16.74341019669501</v>
      </c>
      <c r="F114" s="219">
        <f t="shared" si="32"/>
        <v>16.43895695460396</v>
      </c>
      <c r="G114" s="219">
        <f t="shared" si="32"/>
        <v>16.235988126543266</v>
      </c>
      <c r="H114" s="219">
        <f t="shared" si="32"/>
        <v>15.018175158179082</v>
      </c>
      <c r="I114" s="219">
        <f t="shared" si="32"/>
        <v>16.033019298482568</v>
      </c>
      <c r="J114" s="219">
        <f t="shared" si="32"/>
        <v>15.627081642361169</v>
      </c>
      <c r="K114" s="219">
        <f t="shared" si="32"/>
        <v>15.525597228330824</v>
      </c>
      <c r="L114" s="219">
        <f t="shared" si="32"/>
        <v>15.018175158179082</v>
      </c>
      <c r="M114" s="219">
        <f t="shared" si="32"/>
        <v>15.424112814300472</v>
      </c>
      <c r="N114" s="219">
        <f t="shared" si="32"/>
        <v>14.916690744148731</v>
      </c>
      <c r="O114" s="219">
        <f t="shared" si="32"/>
        <v>14.713721916088033</v>
      </c>
      <c r="P114" s="219">
        <f t="shared" si="32"/>
        <v>14.003331017875594</v>
      </c>
      <c r="Q114" s="219">
        <f t="shared" si="32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19.026809512377852</v>
      </c>
      <c r="D115" s="219">
        <f t="shared" si="33"/>
        <v>18.97606730536268</v>
      </c>
      <c r="E115" s="219">
        <f t="shared" si="33"/>
        <v>18.925325098347503</v>
      </c>
      <c r="F115" s="219">
        <f t="shared" si="33"/>
        <v>18.773098477301978</v>
      </c>
      <c r="G115" s="219">
        <f t="shared" si="33"/>
        <v>18.67161406327163</v>
      </c>
      <c r="H115" s="219">
        <f t="shared" si="33"/>
        <v>18.062707579089537</v>
      </c>
      <c r="I115" s="219">
        <f t="shared" si="33"/>
        <v>18.570129649241281</v>
      </c>
      <c r="J115" s="219">
        <f t="shared" si="33"/>
        <v>18.367160821180587</v>
      </c>
      <c r="K115" s="219">
        <f t="shared" si="33"/>
        <v>18.316418614165411</v>
      </c>
      <c r="L115" s="219">
        <f t="shared" si="33"/>
        <v>18.062707579089537</v>
      </c>
      <c r="M115" s="219">
        <f t="shared" si="33"/>
        <v>18.265676407150238</v>
      </c>
      <c r="N115" s="219">
        <f t="shared" si="33"/>
        <v>18.011965372074368</v>
      </c>
      <c r="O115" s="219">
        <f t="shared" si="33"/>
        <v>17.910480958044015</v>
      </c>
      <c r="P115" s="219">
        <f t="shared" si="33"/>
        <v>17.5552855089378</v>
      </c>
      <c r="Q115" s="219">
        <f t="shared" si="33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20.275067804951142</v>
      </c>
      <c r="D116" s="219">
        <f t="shared" si="34"/>
        <v>20.25477092214507</v>
      </c>
      <c r="E116" s="219">
        <f t="shared" si="34"/>
        <v>20.234474039339002</v>
      </c>
      <c r="F116" s="219">
        <f t="shared" si="34"/>
        <v>20.173583390920793</v>
      </c>
      <c r="G116" s="219">
        <f t="shared" si="34"/>
        <v>20.132989625308653</v>
      </c>
      <c r="H116" s="219">
        <f t="shared" si="34"/>
        <v>19.889427031635815</v>
      </c>
      <c r="I116" s="219">
        <f t="shared" si="34"/>
        <v>20.092395859696513</v>
      </c>
      <c r="J116" s="219">
        <f t="shared" si="34"/>
        <v>20.011208328472236</v>
      </c>
      <c r="K116" s="219">
        <f t="shared" si="34"/>
        <v>19.990911445666168</v>
      </c>
      <c r="L116" s="219">
        <f t="shared" si="34"/>
        <v>19.889427031635815</v>
      </c>
      <c r="M116" s="219">
        <f t="shared" si="34"/>
        <v>19.970614562860099</v>
      </c>
      <c r="N116" s="219">
        <f t="shared" si="34"/>
        <v>19.869130148829747</v>
      </c>
      <c r="O116" s="219">
        <f t="shared" si="34"/>
        <v>19.828536383217607</v>
      </c>
      <c r="P116" s="219">
        <f t="shared" si="34"/>
        <v>19.686458203575118</v>
      </c>
      <c r="Q116" s="219">
        <f t="shared" si="34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3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4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4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3" t="s">
        <v>605</v>
      </c>
      <c r="P9" s="555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4"/>
      <c r="P10" s="556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3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9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70">
        <v>0.65</v>
      </c>
      <c r="F14" s="290"/>
    </row>
    <row r="15" spans="1:7" ht="15" customHeight="1">
      <c r="A15" s="485" t="s">
        <v>352</v>
      </c>
      <c r="B15" s="486"/>
      <c r="C15" s="486"/>
      <c r="D15" s="487">
        <f>D11*D13/(SQRT(1.2/2)*4^(D14-0.5))</f>
        <v>0.37750080048057194</v>
      </c>
      <c r="E15" s="486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8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8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8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8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8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0" t="s">
        <v>375</v>
      </c>
      <c r="B12" s="491">
        <f>D12/(0.3048/12)</f>
        <v>9.8425196850393686</v>
      </c>
      <c r="C12" s="492" t="s">
        <v>217</v>
      </c>
      <c r="D12" s="496">
        <v>0.25</v>
      </c>
      <c r="E12" s="492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0" t="s">
        <v>377</v>
      </c>
      <c r="B13" s="491">
        <f>D13/(0.3048/12)</f>
        <v>17.716535433070867</v>
      </c>
      <c r="C13" s="492" t="s">
        <v>217</v>
      </c>
      <c r="D13" s="496">
        <v>0.45</v>
      </c>
      <c r="E13" s="492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3" t="s">
        <v>378</v>
      </c>
      <c r="B14" s="494">
        <f>D14/(0.3048/12)</f>
        <v>30.921187535332606</v>
      </c>
      <c r="C14" s="495" t="s">
        <v>217</v>
      </c>
      <c r="D14" s="494">
        <f>PI()*D12</f>
        <v>0.78539816339744828</v>
      </c>
      <c r="E14" s="495" t="s">
        <v>134</v>
      </c>
      <c r="F14"/>
      <c r="G14" s="58" t="s">
        <v>366</v>
      </c>
      <c r="H14" s="86" t="s">
        <v>134</v>
      </c>
      <c r="I14" s="487">
        <f>VLOOKUP(I13,$G$6:$J$9,4,FALSE)</f>
        <v>0.05</v>
      </c>
      <c r="J14" s="487">
        <f t="shared" ref="J14:X14" si="1">VLOOKUP(J13,$G$6:$J$9,4,FALSE)</f>
        <v>0.05</v>
      </c>
      <c r="K14" s="487">
        <f t="shared" si="1"/>
        <v>0.05</v>
      </c>
      <c r="L14" s="487">
        <f t="shared" si="1"/>
        <v>0.05</v>
      </c>
      <c r="M14" s="487">
        <f t="shared" si="1"/>
        <v>0.05</v>
      </c>
      <c r="N14" s="487">
        <f t="shared" si="1"/>
        <v>0.05</v>
      </c>
      <c r="O14" s="487">
        <f t="shared" si="1"/>
        <v>0.05</v>
      </c>
      <c r="P14" s="487">
        <f t="shared" si="1"/>
        <v>0.05</v>
      </c>
      <c r="Q14" s="487">
        <f t="shared" si="1"/>
        <v>0.05</v>
      </c>
      <c r="R14" s="487">
        <f t="shared" si="1"/>
        <v>0.05</v>
      </c>
      <c r="S14" s="487">
        <f t="shared" si="1"/>
        <v>0.05</v>
      </c>
      <c r="T14" s="487">
        <f t="shared" si="1"/>
        <v>0.05</v>
      </c>
      <c r="U14" s="487">
        <f t="shared" si="1"/>
        <v>0.05</v>
      </c>
      <c r="V14" s="487">
        <f t="shared" si="1"/>
        <v>0.05</v>
      </c>
      <c r="W14" s="487">
        <f t="shared" si="1"/>
        <v>0.05</v>
      </c>
      <c r="X14" s="487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3" t="s">
        <v>379</v>
      </c>
      <c r="B15" s="494">
        <f>D15/(0.3048/12)</f>
        <v>55.658137563598693</v>
      </c>
      <c r="C15" s="495" t="s">
        <v>217</v>
      </c>
      <c r="D15" s="494">
        <f>PI()*D13</f>
        <v>1.4137166941154069</v>
      </c>
      <c r="E15" s="495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0" t="s">
        <v>381</v>
      </c>
      <c r="B16" s="491">
        <f>D16/0.3048</f>
        <v>225.58131662761028</v>
      </c>
      <c r="C16" s="492" t="s">
        <v>133</v>
      </c>
      <c r="D16" s="497">
        <f>D9/D14</f>
        <v>68.757185308095615</v>
      </c>
      <c r="E16" s="492" t="s">
        <v>134</v>
      </c>
      <c r="G16" s="58" t="s">
        <v>382</v>
      </c>
      <c r="H16" s="86" t="s">
        <v>587</v>
      </c>
      <c r="I16" s="487">
        <f t="shared" ref="I16:X16" si="3">(I13+I15)/5.678</f>
        <v>1.5322296583303978</v>
      </c>
      <c r="J16" s="487">
        <f t="shared" si="3"/>
        <v>1.5322296583303978</v>
      </c>
      <c r="K16" s="487">
        <f t="shared" si="3"/>
        <v>1.5322296583303978</v>
      </c>
      <c r="L16" s="487">
        <f t="shared" si="3"/>
        <v>1.5322296583303978</v>
      </c>
      <c r="M16" s="487">
        <f t="shared" si="3"/>
        <v>1.5322296583303978</v>
      </c>
      <c r="N16" s="487">
        <f t="shared" si="3"/>
        <v>1.5322296583303978</v>
      </c>
      <c r="O16" s="487">
        <f t="shared" si="3"/>
        <v>1.5322296583303978</v>
      </c>
      <c r="P16" s="487">
        <f t="shared" si="3"/>
        <v>1.5322296583303978</v>
      </c>
      <c r="Q16" s="487">
        <f t="shared" si="3"/>
        <v>1.5322296583303978</v>
      </c>
      <c r="R16" s="487">
        <f t="shared" si="3"/>
        <v>1.5322296583303978</v>
      </c>
      <c r="S16" s="487">
        <f t="shared" si="3"/>
        <v>1.5322296583303978</v>
      </c>
      <c r="T16" s="487">
        <f t="shared" si="3"/>
        <v>1.5322296583303978</v>
      </c>
      <c r="U16" s="487">
        <f t="shared" si="3"/>
        <v>1.5322296583303978</v>
      </c>
      <c r="V16" s="487">
        <f t="shared" si="3"/>
        <v>1.5322296583303978</v>
      </c>
      <c r="W16" s="487">
        <f t="shared" si="3"/>
        <v>1.5322296583303978</v>
      </c>
      <c r="X16" s="487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0" t="s">
        <v>383</v>
      </c>
      <c r="B17" s="491">
        <f>D17/0.3048</f>
        <v>23.207954385556611</v>
      </c>
      <c r="C17" s="492" t="s">
        <v>133</v>
      </c>
      <c r="D17" s="497">
        <f>D10/D15</f>
        <v>7.0737844967176553</v>
      </c>
      <c r="E17" s="492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4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2">
        <v>0.8</v>
      </c>
      <c r="D14" s="502">
        <v>0.8</v>
      </c>
      <c r="E14" s="502">
        <v>0.8</v>
      </c>
      <c r="F14" s="502">
        <v>0.9</v>
      </c>
      <c r="G14" s="502">
        <v>0.9</v>
      </c>
      <c r="H14" s="502">
        <v>0.9</v>
      </c>
      <c r="I14" s="502">
        <v>0.9</v>
      </c>
      <c r="J14" s="502">
        <v>0.9</v>
      </c>
      <c r="K14" s="502">
        <v>0.94</v>
      </c>
      <c r="L14" s="502">
        <v>0.94</v>
      </c>
      <c r="M14" s="502">
        <v>0.94</v>
      </c>
      <c r="N14" s="502">
        <v>0.94</v>
      </c>
      <c r="O14" s="502">
        <v>0.94</v>
      </c>
      <c r="P14" s="502">
        <v>0.94</v>
      </c>
      <c r="Q14" s="502">
        <v>0.94</v>
      </c>
      <c r="R14" s="503">
        <f>D14</f>
        <v>0.8</v>
      </c>
      <c r="S14" s="503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3">
        <f>VLOOKUP(CONCATENATE(C16,HomeSize),HVAC!$D$57:$K$75,5,FALSE)*C19</f>
        <v>681.56922374360477</v>
      </c>
      <c r="D21" s="523">
        <f>VLOOKUP(CONCATENATE(D16,HomeSize),HVAC!$D$57:$K$75,5,FALSE)*D19</f>
        <v>615.26016143884817</v>
      </c>
      <c r="E21" s="523" t="e">
        <f>VLOOKUP(CONCATENATE(E16,HomeSize),HVAC!$D$57:$K$75,5,FALSE)*E19</f>
        <v>#N/A</v>
      </c>
      <c r="F21" s="523">
        <f>VLOOKUP(CONCATENATE(F16,HomeSize),HVAC!$D$57:$K$75,5,FALSE)*F19</f>
        <v>713.3476856835307</v>
      </c>
      <c r="G21" s="523" t="e">
        <f>VLOOKUP(CONCATENATE(G16,HomeSize),HVAC!$D$57:$K$75,5,FALSE)*G19</f>
        <v>#N/A</v>
      </c>
      <c r="H21" s="523" t="e">
        <f>VLOOKUP(CONCATENATE(H16,HomeSize),HVAC!$D$57:$K$75,5,FALSE)*H19</f>
        <v>#N/A</v>
      </c>
      <c r="I21" s="523">
        <f>VLOOKUP(CONCATENATE(I16,HomeSize),HVAC!$D$57:$K$75,5,FALSE)*I19</f>
        <v>646.24327233584506</v>
      </c>
      <c r="J21" s="523" t="e">
        <f>VLOOKUP(CONCATENATE(J16,HomeSize),HVAC!$D$57:$K$75,5,FALSE)*J19</f>
        <v>#N/A</v>
      </c>
      <c r="K21" s="523" t="e">
        <f>VLOOKUP(CONCATENATE(K16,HomeSize),HVAC!$D$57:$K$75,5,FALSE)*K19</f>
        <v>#N/A</v>
      </c>
      <c r="L21" s="523" t="e">
        <f>VLOOKUP(CONCATENATE(L16,HomeSize),HVAC!$D$57:$K$75,5,FALSE)*L19</f>
        <v>#N/A</v>
      </c>
      <c r="M21" s="523" t="e">
        <f>VLOOKUP(CONCATENATE(M16,HomeSize),HVAC!$D$57:$K$75,5,FALSE)*M19</f>
        <v>#N/A</v>
      </c>
      <c r="N21" s="523" t="e">
        <f>VLOOKUP(CONCATENATE(N16,HomeSize),HVAC!$D$57:$K$75,5,FALSE)*N19</f>
        <v>#N/A</v>
      </c>
      <c r="O21" s="523" t="e">
        <f>VLOOKUP(CONCATENATE(O16,HomeSize),HVAC!$D$57:$K$75,5,FALSE)*O19</f>
        <v>#N/A</v>
      </c>
      <c r="P21" s="523" t="e">
        <f>VLOOKUP(CONCATENATE(P16,HomeSize),HVAC!$D$57:$K$75,5,FALSE)*P19</f>
        <v>#N/A</v>
      </c>
      <c r="Q21" s="523" t="e">
        <f>VLOOKUP(CONCATENATE(Q16,HomeSize),HVAC!$D$57:$K$75,5,FALSE)*Q19</f>
        <v>#N/A</v>
      </c>
      <c r="R21" s="523">
        <f>VLOOKUP(CONCATENATE(R16,HomeSize),HVAC!$D$57:$K$75,5,FALSE)*R19</f>
        <v>599.48502161634565</v>
      </c>
      <c r="S21" s="523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3">
        <f>16.8*C20</f>
        <v>130.06962897167418</v>
      </c>
      <c r="D22" s="523">
        <f t="shared" ref="D22:S22" si="2">16.8*D20</f>
        <v>302.88316634925894</v>
      </c>
      <c r="E22" s="523" t="e">
        <f t="shared" si="2"/>
        <v>#N/A</v>
      </c>
      <c r="F22" s="523">
        <f t="shared" si="2"/>
        <v>373.98812167380527</v>
      </c>
      <c r="G22" s="523" t="e">
        <f t="shared" si="2"/>
        <v>#N/A</v>
      </c>
      <c r="H22" s="523" t="e">
        <f t="shared" si="2"/>
        <v>#N/A</v>
      </c>
      <c r="I22" s="523">
        <f t="shared" si="2"/>
        <v>438.06183052684673</v>
      </c>
      <c r="J22" s="523" t="e">
        <f t="shared" si="2"/>
        <v>#N/A</v>
      </c>
      <c r="K22" s="523" t="e">
        <f t="shared" si="2"/>
        <v>#N/A</v>
      </c>
      <c r="L22" s="523" t="e">
        <f t="shared" si="2"/>
        <v>#N/A</v>
      </c>
      <c r="M22" s="523" t="e">
        <f t="shared" si="2"/>
        <v>#N/A</v>
      </c>
      <c r="N22" s="523" t="e">
        <f t="shared" si="2"/>
        <v>#N/A</v>
      </c>
      <c r="O22" s="523" t="e">
        <f t="shared" si="2"/>
        <v>#N/A</v>
      </c>
      <c r="P22" s="523" t="e">
        <f t="shared" si="2"/>
        <v>#N/A</v>
      </c>
      <c r="Q22" s="523" t="e">
        <f t="shared" si="2"/>
        <v>#N/A</v>
      </c>
      <c r="R22" s="523">
        <f t="shared" si="2"/>
        <v>221.40838709191775</v>
      </c>
      <c r="S22" s="523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3">
        <f>IF(C22&gt;C21*0.8,C20,(C21*0.8/C22)*C20)</f>
        <v>32.455677321124035</v>
      </c>
      <c r="D23" s="523">
        <f t="shared" ref="D23:S23" si="3">IF(D22&gt;D21*0.8,D20,(D21*0.8/D22)*D20)</f>
        <v>29.298102925659435</v>
      </c>
      <c r="E23" s="523" t="e">
        <f t="shared" si="3"/>
        <v>#N/A</v>
      </c>
      <c r="F23" s="523">
        <f t="shared" si="3"/>
        <v>33.968937413501457</v>
      </c>
      <c r="G23" s="523" t="e">
        <f t="shared" si="3"/>
        <v>#N/A</v>
      </c>
      <c r="H23" s="523" t="e">
        <f t="shared" si="3"/>
        <v>#N/A</v>
      </c>
      <c r="I23" s="523">
        <f t="shared" si="3"/>
        <v>30.773489158849767</v>
      </c>
      <c r="J23" s="523" t="e">
        <f t="shared" si="3"/>
        <v>#N/A</v>
      </c>
      <c r="K23" s="523" t="e">
        <f t="shared" si="3"/>
        <v>#N/A</v>
      </c>
      <c r="L23" s="523" t="e">
        <f t="shared" si="3"/>
        <v>#N/A</v>
      </c>
      <c r="M23" s="523" t="e">
        <f t="shared" si="3"/>
        <v>#N/A</v>
      </c>
      <c r="N23" s="523" t="e">
        <f t="shared" si="3"/>
        <v>#N/A</v>
      </c>
      <c r="O23" s="523" t="e">
        <f t="shared" si="3"/>
        <v>#N/A</v>
      </c>
      <c r="P23" s="523" t="e">
        <f t="shared" si="3"/>
        <v>#N/A</v>
      </c>
      <c r="Q23" s="523" t="e">
        <f t="shared" si="3"/>
        <v>#N/A</v>
      </c>
      <c r="R23" s="523">
        <f t="shared" si="3"/>
        <v>28.546905791254552</v>
      </c>
      <c r="S23" s="523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8">
        <f>ROUNDUP(C19*2,0)/2</f>
        <v>2</v>
      </c>
      <c r="D24" s="498">
        <f t="shared" ref="D24:S24" si="4">ROUNDUP(D19*2,0)/2</f>
        <v>2</v>
      </c>
      <c r="E24" s="498" t="e">
        <f t="shared" si="4"/>
        <v>#N/A</v>
      </c>
      <c r="F24" s="498">
        <f t="shared" si="4"/>
        <v>2</v>
      </c>
      <c r="G24" s="498" t="e">
        <f>ROUNDUP(G19*2,0)/2</f>
        <v>#N/A</v>
      </c>
      <c r="H24" s="498" t="e">
        <f t="shared" si="4"/>
        <v>#N/A</v>
      </c>
      <c r="I24" s="498">
        <f t="shared" si="4"/>
        <v>2</v>
      </c>
      <c r="J24" s="498" t="e">
        <f t="shared" si="4"/>
        <v>#N/A</v>
      </c>
      <c r="K24" s="498" t="e">
        <f t="shared" si="4"/>
        <v>#N/A</v>
      </c>
      <c r="L24" s="498" t="e">
        <f t="shared" si="4"/>
        <v>#N/A</v>
      </c>
      <c r="M24" s="498" t="e">
        <f t="shared" si="4"/>
        <v>#N/A</v>
      </c>
      <c r="N24" s="498" t="e">
        <f t="shared" si="4"/>
        <v>#N/A</v>
      </c>
      <c r="O24" s="498" t="e">
        <f t="shared" si="4"/>
        <v>#N/A</v>
      </c>
      <c r="P24" s="498" t="e">
        <f t="shared" si="4"/>
        <v>#N/A</v>
      </c>
      <c r="Q24" s="498" t="e">
        <f t="shared" si="4"/>
        <v>#N/A</v>
      </c>
      <c r="R24" s="498">
        <f t="shared" si="4"/>
        <v>2</v>
      </c>
      <c r="S24" s="498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8">
        <f>C24*12</f>
        <v>24</v>
      </c>
      <c r="D25" s="498">
        <f t="shared" ref="D25:S25" si="5">D24*12</f>
        <v>24</v>
      </c>
      <c r="E25" s="498" t="e">
        <f t="shared" si="5"/>
        <v>#N/A</v>
      </c>
      <c r="F25" s="498">
        <f t="shared" si="5"/>
        <v>24</v>
      </c>
      <c r="G25" s="498" t="e">
        <f t="shared" si="5"/>
        <v>#N/A</v>
      </c>
      <c r="H25" s="498" t="e">
        <f t="shared" si="5"/>
        <v>#N/A</v>
      </c>
      <c r="I25" s="498">
        <f t="shared" si="5"/>
        <v>24</v>
      </c>
      <c r="J25" s="498" t="e">
        <f t="shared" si="5"/>
        <v>#N/A</v>
      </c>
      <c r="K25" s="498" t="e">
        <f t="shared" si="5"/>
        <v>#N/A</v>
      </c>
      <c r="L25" s="498" t="e">
        <f t="shared" si="5"/>
        <v>#N/A</v>
      </c>
      <c r="M25" s="498" t="e">
        <f t="shared" si="5"/>
        <v>#N/A</v>
      </c>
      <c r="N25" s="498" t="e">
        <f t="shared" si="5"/>
        <v>#N/A</v>
      </c>
      <c r="O25" s="498" t="e">
        <f t="shared" si="5"/>
        <v>#N/A</v>
      </c>
      <c r="P25" s="498" t="e">
        <f t="shared" si="5"/>
        <v>#N/A</v>
      </c>
      <c r="Q25" s="498" t="e">
        <f t="shared" si="5"/>
        <v>#N/A</v>
      </c>
      <c r="R25" s="498">
        <f t="shared" si="5"/>
        <v>24</v>
      </c>
      <c r="S25" s="498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9">
        <f>ROUNDUP(C23/10,0)*10</f>
        <v>40</v>
      </c>
      <c r="D26" s="499">
        <f>ROUNDUP(D23/10,0)*10</f>
        <v>30</v>
      </c>
      <c r="E26" s="499" t="e">
        <f>ROUNDUP(E23/10,0)*10</f>
        <v>#N/A</v>
      </c>
      <c r="F26" s="499">
        <f>ROUNDUP(F23/10,0)*10</f>
        <v>40</v>
      </c>
      <c r="G26" s="499" t="e">
        <f t="shared" ref="G26:S26" si="6">ROUNDUP(G23/10,0)*10</f>
        <v>#N/A</v>
      </c>
      <c r="H26" s="499" t="e">
        <f t="shared" si="6"/>
        <v>#N/A</v>
      </c>
      <c r="I26" s="499">
        <f t="shared" si="6"/>
        <v>40</v>
      </c>
      <c r="J26" s="499" t="e">
        <f t="shared" si="6"/>
        <v>#N/A</v>
      </c>
      <c r="K26" s="499" t="e">
        <f t="shared" si="6"/>
        <v>#N/A</v>
      </c>
      <c r="L26" s="499" t="e">
        <f t="shared" si="6"/>
        <v>#N/A</v>
      </c>
      <c r="M26" s="499" t="e">
        <f t="shared" si="6"/>
        <v>#N/A</v>
      </c>
      <c r="N26" s="499" t="e">
        <f t="shared" si="6"/>
        <v>#N/A</v>
      </c>
      <c r="O26" s="499" t="e">
        <f t="shared" si="6"/>
        <v>#N/A</v>
      </c>
      <c r="P26" s="499" t="e">
        <f t="shared" si="6"/>
        <v>#N/A</v>
      </c>
      <c r="Q26" s="499" t="e">
        <f t="shared" si="6"/>
        <v>#N/A</v>
      </c>
      <c r="R26" s="499">
        <f t="shared" si="6"/>
        <v>30</v>
      </c>
      <c r="S26" s="499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7">
        <f>VLOOKUP(CONCATENATE(C16,HomeSize),HVAC!$D$57:$K$75,5,FALSE)*C24*0.3048^3/60</f>
        <v>0.33527146364928007</v>
      </c>
      <c r="D27" s="487">
        <f>VLOOKUP(CONCATENATE(D16,HomeSize),HVAC!$D$57:$K$75,5,FALSE)*D24*0.3048^3/60</f>
        <v>0.33527146364928007</v>
      </c>
      <c r="E27" s="487" t="e">
        <f>VLOOKUP(CONCATENATE(E16,HomeSize),HVAC!$D$57:$K$75,5,FALSE)*E24*0.3048^3/60</f>
        <v>#N/A</v>
      </c>
      <c r="F27" s="487">
        <f>VLOOKUP(CONCATENATE(F16,HomeSize),HVAC!$D$57:$K$75,5,FALSE)*F24*0.3048^3/60</f>
        <v>0.3644378156390401</v>
      </c>
      <c r="G27" s="487" t="e">
        <f>VLOOKUP(CONCATENATE(G16,HomeSize),HVAC!$D$57:$K$75,5,FALSE)*G24*0.3048^3/60</f>
        <v>#N/A</v>
      </c>
      <c r="H27" s="487" t="e">
        <f>VLOOKUP(CONCATENATE(H16,HomeSize),HVAC!$D$57:$K$75,5,FALSE)*H24*0.3048^3/60</f>
        <v>#N/A</v>
      </c>
      <c r="I27" s="487">
        <f>VLOOKUP(CONCATENATE(I16,HomeSize),HVAC!$D$57:$K$75,5,FALSE)*I24*0.3048^3/60</f>
        <v>0.3644378156390401</v>
      </c>
      <c r="J27" s="487" t="e">
        <f>VLOOKUP(CONCATENATE(J16,HomeSize),HVAC!$D$57:$K$75,5,FALSE)*J24*0.3048^3/60</f>
        <v>#N/A</v>
      </c>
      <c r="K27" s="487" t="e">
        <f>VLOOKUP(CONCATENATE(K16,HomeSize),HVAC!$D$57:$K$75,5,FALSE)*K24*0.3048^3/60</f>
        <v>#N/A</v>
      </c>
      <c r="L27" s="487" t="e">
        <f>VLOOKUP(CONCATENATE(L16,HomeSize),HVAC!$D$57:$K$75,5,FALSE)*L24*0.3048^3/60</f>
        <v>#N/A</v>
      </c>
      <c r="M27" s="487" t="e">
        <f>VLOOKUP(CONCATENATE(M16,HomeSize),HVAC!$D$57:$K$75,5,FALSE)*M24*0.3048^3/60</f>
        <v>#N/A</v>
      </c>
      <c r="N27" s="487" t="e">
        <f>VLOOKUP(CONCATENATE(N16,HomeSize),HVAC!$D$57:$K$75,5,FALSE)*N24*0.3048^3/60</f>
        <v>#N/A</v>
      </c>
      <c r="O27" s="487" t="e">
        <f>VLOOKUP(CONCATENATE(O16,HomeSize),HVAC!$D$57:$K$75,5,FALSE)*O24*0.3048^3/60</f>
        <v>#N/A</v>
      </c>
      <c r="P27" s="487" t="e">
        <f>VLOOKUP(CONCATENATE(P16,HomeSize),HVAC!$D$57:$K$75,5,FALSE)*P24*0.3048^3/60</f>
        <v>#N/A</v>
      </c>
      <c r="Q27" s="487" t="e">
        <f>VLOOKUP(CONCATENATE(Q16,HomeSize),HVAC!$D$57:$K$75,5,FALSE)*Q24*0.3048^3/60</f>
        <v>#N/A</v>
      </c>
      <c r="R27" s="487">
        <f>VLOOKUP(CONCATENATE(R16,HomeSize),HVAC!$D$57:$K$75,5,FALSE)*R24*0.3048^3/60</f>
        <v>0.33527146364928007</v>
      </c>
      <c r="S27" s="487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7">
        <f>16.8*C26*(1/2119)</f>
        <v>0.31713072203869752</v>
      </c>
      <c r="D28" s="487">
        <f t="shared" ref="D28:S28" si="7">16.8*D26*(1/2119)</f>
        <v>0.23784804152902314</v>
      </c>
      <c r="E28" s="487" t="e">
        <f t="shared" si="7"/>
        <v>#N/A</v>
      </c>
      <c r="F28" s="487">
        <f t="shared" si="7"/>
        <v>0.31713072203869752</v>
      </c>
      <c r="G28" s="487" t="e">
        <f t="shared" si="7"/>
        <v>#N/A</v>
      </c>
      <c r="H28" s="487" t="e">
        <f t="shared" si="7"/>
        <v>#N/A</v>
      </c>
      <c r="I28" s="487">
        <f t="shared" si="7"/>
        <v>0.31713072203869752</v>
      </c>
      <c r="J28" s="487" t="e">
        <f t="shared" si="7"/>
        <v>#N/A</v>
      </c>
      <c r="K28" s="487" t="e">
        <f t="shared" si="7"/>
        <v>#N/A</v>
      </c>
      <c r="L28" s="487" t="e">
        <f t="shared" si="7"/>
        <v>#N/A</v>
      </c>
      <c r="M28" s="487" t="e">
        <f t="shared" si="7"/>
        <v>#N/A</v>
      </c>
      <c r="N28" s="487" t="e">
        <f t="shared" si="7"/>
        <v>#N/A</v>
      </c>
      <c r="O28" s="487" t="e">
        <f t="shared" si="7"/>
        <v>#N/A</v>
      </c>
      <c r="P28" s="487" t="e">
        <f t="shared" si="7"/>
        <v>#N/A</v>
      </c>
      <c r="Q28" s="487" t="e">
        <f t="shared" si="7"/>
        <v>#N/A</v>
      </c>
      <c r="R28" s="487">
        <f t="shared" si="7"/>
        <v>0.23784804152902314</v>
      </c>
      <c r="S28" s="487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0">
        <f>C27*2119*0.167</f>
        <v>118.6435186559617</v>
      </c>
      <c r="D29" s="500">
        <f t="shared" ref="D29:S29" si="8">D27*2119*0.167</f>
        <v>118.6435186559617</v>
      </c>
      <c r="E29" s="500" t="e">
        <f t="shared" si="8"/>
        <v>#N/A</v>
      </c>
      <c r="F29" s="500">
        <f t="shared" si="8"/>
        <v>128.96470313363403</v>
      </c>
      <c r="G29" s="500" t="e">
        <f t="shared" si="8"/>
        <v>#N/A</v>
      </c>
      <c r="H29" s="500" t="e">
        <f t="shared" si="8"/>
        <v>#N/A</v>
      </c>
      <c r="I29" s="500">
        <f t="shared" si="8"/>
        <v>128.96470313363403</v>
      </c>
      <c r="J29" s="500" t="e">
        <f t="shared" si="8"/>
        <v>#N/A</v>
      </c>
      <c r="K29" s="500" t="e">
        <f t="shared" si="8"/>
        <v>#N/A</v>
      </c>
      <c r="L29" s="500" t="e">
        <f t="shared" si="8"/>
        <v>#N/A</v>
      </c>
      <c r="M29" s="500" t="e">
        <f t="shared" si="8"/>
        <v>#N/A</v>
      </c>
      <c r="N29" s="500" t="e">
        <f t="shared" si="8"/>
        <v>#N/A</v>
      </c>
      <c r="O29" s="500" t="e">
        <f t="shared" si="8"/>
        <v>#N/A</v>
      </c>
      <c r="P29" s="500" t="e">
        <f t="shared" si="8"/>
        <v>#N/A</v>
      </c>
      <c r="Q29" s="500" t="e">
        <f t="shared" si="8"/>
        <v>#N/A</v>
      </c>
      <c r="R29" s="500">
        <f t="shared" si="8"/>
        <v>118.6435186559617</v>
      </c>
      <c r="S29" s="500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0">
        <f>C28*2119*0.167</f>
        <v>112.224</v>
      </c>
      <c r="D30" s="500">
        <f t="shared" ref="D30:S30" si="9">D28*2119*0.167</f>
        <v>84.168000000000021</v>
      </c>
      <c r="E30" s="500" t="e">
        <f t="shared" si="9"/>
        <v>#N/A</v>
      </c>
      <c r="F30" s="500">
        <f t="shared" si="9"/>
        <v>112.224</v>
      </c>
      <c r="G30" s="500" t="e">
        <f t="shared" si="9"/>
        <v>#N/A</v>
      </c>
      <c r="H30" s="500" t="e">
        <f t="shared" si="9"/>
        <v>#N/A</v>
      </c>
      <c r="I30" s="500">
        <f t="shared" si="9"/>
        <v>112.224</v>
      </c>
      <c r="J30" s="500" t="e">
        <f t="shared" si="9"/>
        <v>#N/A</v>
      </c>
      <c r="K30" s="500" t="e">
        <f t="shared" si="9"/>
        <v>#N/A</v>
      </c>
      <c r="L30" s="500" t="e">
        <f t="shared" si="9"/>
        <v>#N/A</v>
      </c>
      <c r="M30" s="500" t="e">
        <f t="shared" si="9"/>
        <v>#N/A</v>
      </c>
      <c r="N30" s="500" t="e">
        <f t="shared" si="9"/>
        <v>#N/A</v>
      </c>
      <c r="O30" s="500" t="e">
        <f t="shared" si="9"/>
        <v>#N/A</v>
      </c>
      <c r="P30" s="500" t="e">
        <f t="shared" si="9"/>
        <v>#N/A</v>
      </c>
      <c r="Q30" s="500" t="e">
        <f t="shared" si="9"/>
        <v>#N/A</v>
      </c>
      <c r="R30" s="500">
        <f t="shared" si="9"/>
        <v>84.168000000000021</v>
      </c>
      <c r="S30" s="500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1">
        <f>C27*Ducts!$D$18/(25^Ducts!$D$20)</f>
        <v>0</v>
      </c>
      <c r="D31" s="501">
        <f>D27*Ducts!$D$18/(25^Ducts!$D$20)</f>
        <v>0</v>
      </c>
      <c r="E31" s="501" t="e">
        <f>E27*Ducts!$D$18/(25^Ducts!$D$20)</f>
        <v>#N/A</v>
      </c>
      <c r="F31" s="501">
        <f>F27*Ducts!$D$18/(25^Ducts!$D$20)</f>
        <v>0</v>
      </c>
      <c r="G31" s="501" t="e">
        <f>G27*Ducts!$D$18/(25^Ducts!$D$20)</f>
        <v>#N/A</v>
      </c>
      <c r="H31" s="501" t="e">
        <f>H27*Ducts!$D$18/(25^Ducts!$D$20)</f>
        <v>#N/A</v>
      </c>
      <c r="I31" s="501">
        <f>I27*Ducts!$D$18/(25^Ducts!$D$20)</f>
        <v>0</v>
      </c>
      <c r="J31" s="501" t="e">
        <f>J27*Ducts!$D$18/(25^Ducts!$D$20)</f>
        <v>#N/A</v>
      </c>
      <c r="K31" s="501" t="e">
        <f>K27*Ducts!$D$18/(25^Ducts!$D$20)</f>
        <v>#N/A</v>
      </c>
      <c r="L31" s="501" t="e">
        <f>L27*Ducts!$D$18/(25^Ducts!$D$20)</f>
        <v>#N/A</v>
      </c>
      <c r="M31" s="501" t="e">
        <f>M27*Ducts!$D$18/(25^Ducts!$D$20)</f>
        <v>#N/A</v>
      </c>
      <c r="N31" s="501" t="e">
        <f>N27*Ducts!$D$18/(25^Ducts!$D$20)</f>
        <v>#N/A</v>
      </c>
      <c r="O31" s="501" t="e">
        <f>O27*Ducts!$D$18/(25^Ducts!$D$20)</f>
        <v>#N/A</v>
      </c>
      <c r="P31" s="501" t="e">
        <f>P27*Ducts!$D$18/(25^Ducts!$D$20)</f>
        <v>#N/A</v>
      </c>
      <c r="Q31" s="501" t="e">
        <f>Q27*Ducts!$D$18/(25^Ducts!$D$20)</f>
        <v>#N/A</v>
      </c>
      <c r="R31" s="501">
        <f>R27*Ducts!$D$18/(25^Ducts!$D$20)</f>
        <v>0</v>
      </c>
      <c r="S31" s="501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1">
        <f>C27*Ducts!$D$19/(25^Ducts!$D$21)</f>
        <v>0</v>
      </c>
      <c r="D32" s="501">
        <f>D27*Ducts!$D$19/(25^Ducts!$D$21)</f>
        <v>0</v>
      </c>
      <c r="E32" s="501" t="e">
        <f>E27*Ducts!$D$19/(25^Ducts!$D$21)</f>
        <v>#N/A</v>
      </c>
      <c r="F32" s="501">
        <f>F27*Ducts!$D$19/(25^Ducts!$D$21)</f>
        <v>0</v>
      </c>
      <c r="G32" s="501" t="e">
        <f>G27*Ducts!$D$19/(25^Ducts!$D$21)</f>
        <v>#N/A</v>
      </c>
      <c r="H32" s="501" t="e">
        <f>H27*Ducts!$D$19/(25^Ducts!$D$21)</f>
        <v>#N/A</v>
      </c>
      <c r="I32" s="501">
        <f>I27*Ducts!$D$19/(25^Ducts!$D$21)</f>
        <v>0</v>
      </c>
      <c r="J32" s="501" t="e">
        <f>J27*Ducts!$D$19/(25^Ducts!$D$21)</f>
        <v>#N/A</v>
      </c>
      <c r="K32" s="501" t="e">
        <f>K27*Ducts!$D$19/(25^Ducts!$D$21)</f>
        <v>#N/A</v>
      </c>
      <c r="L32" s="501" t="e">
        <f>L27*Ducts!$D$19/(25^Ducts!$D$21)</f>
        <v>#N/A</v>
      </c>
      <c r="M32" s="501" t="e">
        <f>M27*Ducts!$D$19/(25^Ducts!$D$21)</f>
        <v>#N/A</v>
      </c>
      <c r="N32" s="501" t="e">
        <f>N27*Ducts!$D$19/(25^Ducts!$D$21)</f>
        <v>#N/A</v>
      </c>
      <c r="O32" s="501" t="e">
        <f>O27*Ducts!$D$19/(25^Ducts!$D$21)</f>
        <v>#N/A</v>
      </c>
      <c r="P32" s="501" t="e">
        <f>P27*Ducts!$D$19/(25^Ducts!$D$21)</f>
        <v>#N/A</v>
      </c>
      <c r="Q32" s="501" t="e">
        <f>Q27*Ducts!$D$19/(25^Ducts!$D$21)</f>
        <v>#N/A</v>
      </c>
      <c r="R32" s="501">
        <f>R27*Ducts!$D$19/(25^Ducts!$D$21)</f>
        <v>0</v>
      </c>
      <c r="S32" s="501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7" t="s">
        <v>802</v>
      </c>
      <c r="D85" s="518" t="s">
        <v>794</v>
      </c>
      <c r="E85" s="517" t="s">
        <v>405</v>
      </c>
      <c r="F85" s="517" t="s">
        <v>800</v>
      </c>
      <c r="G85" s="517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9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9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0" t="s">
        <v>809</v>
      </c>
      <c r="D92" s="521" t="s">
        <v>803</v>
      </c>
      <c r="E92" s="520" t="s">
        <v>804</v>
      </c>
      <c r="F92" s="520" t="s">
        <v>805</v>
      </c>
      <c r="G92" s="520" t="s">
        <v>806</v>
      </c>
      <c r="H92" s="520" t="s">
        <v>800</v>
      </c>
      <c r="I92" s="520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4"/>
      <c r="E49" s="505">
        <v>1.239E-2</v>
      </c>
      <c r="F49" s="504"/>
      <c r="G49" s="504"/>
      <c r="H49" s="505">
        <v>1.059E-2</v>
      </c>
      <c r="I49" s="505"/>
      <c r="J49" s="504"/>
      <c r="K49" s="504"/>
      <c r="L49" s="504"/>
      <c r="M49" s="504"/>
      <c r="N49" s="504"/>
      <c r="O49" s="504"/>
      <c r="P49" s="504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4"/>
      <c r="E66" s="505">
        <v>1.6420000000000001E-2</v>
      </c>
      <c r="F66" s="504"/>
      <c r="G66" s="504"/>
      <c r="H66" s="505">
        <v>1.5730000000000001E-2</v>
      </c>
      <c r="I66" s="504"/>
      <c r="J66" s="504"/>
      <c r="K66" s="504"/>
      <c r="L66" s="504"/>
      <c r="M66" s="504"/>
      <c r="N66" s="504"/>
      <c r="O66" s="504"/>
      <c r="P66" s="504"/>
      <c r="Q66" s="505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5"/>
      <c r="E67" s="505">
        <v>1.6830000000000001E-2</v>
      </c>
      <c r="F67" s="505"/>
      <c r="G67" s="505"/>
      <c r="H67" s="505">
        <v>1.473E-2</v>
      </c>
      <c r="I67" s="505"/>
      <c r="J67" s="505"/>
      <c r="K67" s="505"/>
      <c r="L67" s="505"/>
      <c r="M67" s="505"/>
      <c r="N67" s="505"/>
      <c r="O67" s="505"/>
      <c r="P67" s="505"/>
      <c r="Q67" s="505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5"/>
      <c r="E68" s="505">
        <v>9.6229999999999996E-3</v>
      </c>
      <c r="F68" s="505"/>
      <c r="G68" s="505"/>
      <c r="H68" s="505">
        <v>7.8040000000000002E-3</v>
      </c>
      <c r="I68" s="505"/>
      <c r="J68" s="505"/>
      <c r="K68" s="505"/>
      <c r="L68" s="505"/>
      <c r="M68" s="505"/>
      <c r="N68" s="505"/>
      <c r="O68" s="505"/>
      <c r="P68" s="505"/>
      <c r="Q68" s="505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6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7">
        <v>1.85</v>
      </c>
      <c r="C9" s="290"/>
    </row>
    <row r="10" spans="1:3">
      <c r="A10" s="290" t="s">
        <v>1185</v>
      </c>
      <c r="B10" s="507">
        <v>55</v>
      </c>
      <c r="C10" s="290"/>
    </row>
    <row r="11" spans="1:3">
      <c r="A11" s="290" t="s">
        <v>1186</v>
      </c>
      <c r="B11" s="507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7" t="s">
        <v>1304</v>
      </c>
      <c r="B1" s="527"/>
      <c r="C1" s="527"/>
      <c r="D1" s="527"/>
      <c r="E1" s="527"/>
      <c r="F1" s="527"/>
      <c r="G1" s="527"/>
      <c r="H1" s="527"/>
    </row>
    <row r="2" spans="1:8" ht="15">
      <c r="A2" s="528" t="s">
        <v>1296</v>
      </c>
      <c r="B2" s="557" t="s">
        <v>1305</v>
      </c>
      <c r="C2" s="557"/>
      <c r="D2" s="557"/>
      <c r="E2" s="529"/>
      <c r="F2" s="529"/>
      <c r="G2" s="529"/>
      <c r="H2" s="527"/>
    </row>
    <row r="3" spans="1:8">
      <c r="A3" s="530">
        <v>1</v>
      </c>
      <c r="B3" s="531">
        <v>0.48</v>
      </c>
      <c r="C3" s="527"/>
      <c r="D3" s="527"/>
      <c r="E3" s="527"/>
      <c r="F3" s="527"/>
      <c r="G3" s="527"/>
      <c r="H3" s="527"/>
    </row>
    <row r="4" spans="1:8">
      <c r="A4" s="530">
        <v>2</v>
      </c>
      <c r="B4" s="531">
        <v>0.59</v>
      </c>
      <c r="C4" s="527"/>
      <c r="D4" s="527"/>
      <c r="E4" s="527"/>
      <c r="F4" s="527"/>
      <c r="G4" s="527"/>
      <c r="H4" s="527"/>
    </row>
    <row r="5" spans="1:8">
      <c r="A5" s="530">
        <v>3</v>
      </c>
      <c r="B5" s="531">
        <v>0.67</v>
      </c>
      <c r="C5" s="527"/>
      <c r="D5" s="527"/>
      <c r="E5" s="527"/>
      <c r="F5" s="527"/>
      <c r="G5" s="527"/>
      <c r="H5" s="527"/>
    </row>
    <row r="6" spans="1:8">
      <c r="A6" s="527"/>
      <c r="B6" s="527"/>
      <c r="C6" s="527"/>
      <c r="D6" s="527"/>
      <c r="E6" s="527"/>
      <c r="F6" s="527"/>
      <c r="G6" s="527"/>
      <c r="H6" s="527"/>
    </row>
    <row r="7" spans="1:8">
      <c r="A7" s="527"/>
      <c r="B7" s="527"/>
      <c r="C7" s="527"/>
      <c r="D7" s="527"/>
      <c r="E7" s="527"/>
      <c r="F7" s="527"/>
      <c r="G7" s="527"/>
      <c r="H7" s="527"/>
    </row>
    <row r="8" spans="1:8" ht="14" customHeight="1">
      <c r="A8" s="532"/>
      <c r="B8" s="532"/>
      <c r="D8" s="538"/>
      <c r="E8" s="529"/>
      <c r="F8" s="529"/>
      <c r="G8" s="529"/>
      <c r="H8" s="527"/>
    </row>
    <row r="9" spans="1:8" ht="22">
      <c r="A9" s="533" t="s">
        <v>1297</v>
      </c>
      <c r="B9" t="s">
        <v>1306</v>
      </c>
      <c r="C9" s="534" t="s">
        <v>1298</v>
      </c>
      <c r="D9" s="539"/>
      <c r="E9" s="529"/>
      <c r="F9" s="529"/>
      <c r="G9" s="529"/>
      <c r="H9" s="527"/>
    </row>
    <row r="10" spans="1:8">
      <c r="A10" s="528" t="s">
        <v>1316</v>
      </c>
      <c r="B10" t="s">
        <v>1277</v>
      </c>
      <c r="C10" s="531">
        <v>0.5</v>
      </c>
      <c r="D10" s="540"/>
      <c r="E10" s="529"/>
      <c r="F10" s="529"/>
      <c r="G10" s="529"/>
      <c r="H10" s="527"/>
    </row>
    <row r="11" spans="1:8">
      <c r="A11" s="530">
        <v>1</v>
      </c>
      <c r="B11" t="s">
        <v>1182</v>
      </c>
      <c r="C11" s="531">
        <v>0.7</v>
      </c>
      <c r="D11" s="540"/>
      <c r="E11" s="529"/>
      <c r="F11" s="529"/>
      <c r="G11" s="529"/>
      <c r="H11" s="527"/>
    </row>
    <row r="12" spans="1:8">
      <c r="A12" s="530">
        <v>2</v>
      </c>
      <c r="B12" t="s">
        <v>1182</v>
      </c>
      <c r="C12" s="531">
        <v>0.64</v>
      </c>
      <c r="D12" s="540"/>
      <c r="E12" s="527"/>
      <c r="F12" s="527"/>
      <c r="G12" s="527"/>
      <c r="H12" s="527"/>
    </row>
    <row r="13" spans="1:8">
      <c r="A13" s="530">
        <v>3</v>
      </c>
      <c r="B13" t="s">
        <v>1182</v>
      </c>
      <c r="C13" s="531">
        <v>0.61</v>
      </c>
      <c r="D13" s="540"/>
      <c r="E13" s="527"/>
      <c r="F13" s="527"/>
      <c r="G13" s="527"/>
      <c r="H13" s="527"/>
    </row>
    <row r="14" spans="1:8" s="290" customFormat="1">
      <c r="A14" s="528"/>
      <c r="B14" s="531"/>
      <c r="C14" s="527"/>
      <c r="D14" s="527"/>
      <c r="E14" s="527"/>
      <c r="F14" s="527"/>
      <c r="G14" s="527"/>
      <c r="H14" s="527"/>
    </row>
    <row r="15" spans="1:8" ht="14" customHeight="1">
      <c r="A15" s="527"/>
      <c r="B15" s="527"/>
      <c r="C15" s="527"/>
      <c r="D15" s="527"/>
      <c r="E15" s="527"/>
      <c r="F15" s="527"/>
      <c r="G15" s="527"/>
      <c r="H15" s="527"/>
    </row>
    <row r="16" spans="1:8">
      <c r="A16" s="535" t="s">
        <v>1308</v>
      </c>
      <c r="B16" s="527"/>
      <c r="C16" s="527"/>
      <c r="D16" s="527"/>
      <c r="E16" s="527"/>
      <c r="F16" s="527"/>
      <c r="G16" s="527"/>
      <c r="H16" s="527"/>
    </row>
    <row r="17" spans="1:8" ht="22">
      <c r="A17" s="528" t="s">
        <v>1296</v>
      </c>
      <c r="B17" s="526" t="s">
        <v>1300</v>
      </c>
      <c r="C17" s="531" t="s">
        <v>1302</v>
      </c>
      <c r="D17" s="531" t="s">
        <v>1303</v>
      </c>
      <c r="E17" s="527"/>
      <c r="F17" s="527"/>
      <c r="G17" s="527"/>
      <c r="H17" s="527"/>
    </row>
    <row r="18" spans="1:8">
      <c r="A18" s="536">
        <v>1</v>
      </c>
      <c r="B18" s="526" t="s">
        <v>1299</v>
      </c>
      <c r="C18" s="531">
        <v>0.156</v>
      </c>
      <c r="D18" s="531">
        <v>0.128</v>
      </c>
      <c r="E18" s="527"/>
      <c r="F18" s="527"/>
      <c r="G18" s="527"/>
      <c r="H18" s="527"/>
    </row>
    <row r="19" spans="1:8">
      <c r="A19" s="536">
        <v>2</v>
      </c>
      <c r="B19" s="526" t="s">
        <v>1299</v>
      </c>
      <c r="C19" s="531">
        <v>0.17</v>
      </c>
      <c r="D19" s="531">
        <v>0.14199999999999999</v>
      </c>
      <c r="E19" s="527"/>
      <c r="F19" s="527"/>
      <c r="G19" s="527"/>
      <c r="H19" s="527"/>
    </row>
    <row r="20" spans="1:8">
      <c r="A20" s="536">
        <v>3</v>
      </c>
      <c r="B20" s="526" t="s">
        <v>1299</v>
      </c>
      <c r="C20" s="531">
        <v>0.17</v>
      </c>
      <c r="D20" s="531">
        <v>0.151</v>
      </c>
      <c r="E20" s="527"/>
      <c r="F20" s="527"/>
      <c r="G20" s="527"/>
      <c r="H20" s="527"/>
    </row>
    <row r="21" spans="1:8">
      <c r="A21" s="536">
        <v>1</v>
      </c>
      <c r="B21" s="526" t="s">
        <v>1301</v>
      </c>
      <c r="C21" s="531">
        <v>0.14199999999999999</v>
      </c>
      <c r="D21" s="531">
        <v>0.128</v>
      </c>
      <c r="E21" s="527"/>
      <c r="F21" s="527"/>
      <c r="G21" s="527"/>
      <c r="H21" s="527"/>
    </row>
    <row r="22" spans="1:8">
      <c r="A22" s="536">
        <v>2</v>
      </c>
      <c r="B22" s="526" t="s">
        <v>1301</v>
      </c>
      <c r="C22" s="531">
        <v>0.156</v>
      </c>
      <c r="D22" s="531">
        <v>0.14199999999999999</v>
      </c>
      <c r="E22" s="527"/>
      <c r="F22" s="527"/>
      <c r="G22" s="527"/>
      <c r="H22" s="527"/>
    </row>
    <row r="23" spans="1:8">
      <c r="A23" s="536">
        <v>3</v>
      </c>
      <c r="B23" s="526" t="s">
        <v>1301</v>
      </c>
      <c r="C23" s="531">
        <v>0.16700000000000001</v>
      </c>
      <c r="D23" s="531">
        <v>0.154</v>
      </c>
      <c r="E23" s="527"/>
      <c r="F23" s="527"/>
      <c r="G23" s="527"/>
      <c r="H23" s="527"/>
    </row>
    <row r="24" spans="1:8" s="290" customFormat="1">
      <c r="A24" s="536"/>
      <c r="B24" s="526"/>
      <c r="C24" s="531"/>
      <c r="D24" s="531"/>
      <c r="E24" s="527"/>
      <c r="F24" s="527"/>
      <c r="G24" s="527"/>
      <c r="H24" s="527"/>
    </row>
    <row r="25" spans="1:8" s="290" customFormat="1">
      <c r="A25" s="536"/>
      <c r="B25" s="526"/>
      <c r="C25" s="531"/>
      <c r="D25" s="531"/>
      <c r="E25" s="527"/>
      <c r="F25" s="527"/>
      <c r="G25" s="527"/>
      <c r="H25" s="527"/>
    </row>
    <row r="26" spans="1:8" ht="22">
      <c r="A26" s="533" t="s">
        <v>1309</v>
      </c>
      <c r="B26" s="527"/>
      <c r="C26" s="527"/>
      <c r="D26" s="527"/>
      <c r="E26" s="527"/>
      <c r="F26" s="527"/>
      <c r="G26" s="527"/>
      <c r="H26" s="527"/>
    </row>
    <row r="27" spans="1:8">
      <c r="A27" s="530" t="s">
        <v>1296</v>
      </c>
      <c r="B27" s="526" t="s">
        <v>1306</v>
      </c>
      <c r="C27" s="537" t="s">
        <v>1307</v>
      </c>
      <c r="D27" s="527"/>
      <c r="E27" s="527"/>
      <c r="F27" s="527"/>
      <c r="G27" s="527"/>
      <c r="H27" s="527"/>
    </row>
    <row r="28" spans="1:8">
      <c r="A28" s="530">
        <v>1</v>
      </c>
      <c r="B28" s="526" t="s">
        <v>1277</v>
      </c>
      <c r="C28" s="531">
        <v>5.3999999999999999E-2</v>
      </c>
      <c r="D28" s="527"/>
      <c r="E28" s="527"/>
      <c r="F28" s="527"/>
      <c r="G28" s="527"/>
      <c r="H28" s="527"/>
    </row>
    <row r="29" spans="1:8">
      <c r="A29" s="530">
        <v>2</v>
      </c>
      <c r="B29" s="526" t="s">
        <v>1277</v>
      </c>
      <c r="C29" s="531">
        <v>7.8E-2</v>
      </c>
      <c r="D29" s="527"/>
      <c r="E29" s="527"/>
      <c r="F29" s="527"/>
      <c r="G29" s="527"/>
      <c r="H29" s="527"/>
    </row>
    <row r="30" spans="1:8">
      <c r="A30" s="530">
        <v>3</v>
      </c>
      <c r="B30" s="526" t="s">
        <v>1277</v>
      </c>
      <c r="C30" s="531">
        <v>9.8000000000000004E-2</v>
      </c>
      <c r="D30" s="529"/>
      <c r="E30" s="529"/>
      <c r="F30" s="529"/>
      <c r="G30" s="529"/>
      <c r="H30" s="527"/>
    </row>
    <row r="31" spans="1:8">
      <c r="A31" s="530">
        <v>1</v>
      </c>
      <c r="B31" s="526" t="s">
        <v>1182</v>
      </c>
      <c r="C31" s="531">
        <v>6.9000000000000006E-2</v>
      </c>
      <c r="D31" s="529"/>
      <c r="E31" s="529"/>
      <c r="F31" s="529"/>
      <c r="G31" s="529"/>
      <c r="H31" s="527"/>
    </row>
    <row r="32" spans="1:8">
      <c r="A32" s="530">
        <v>2</v>
      </c>
      <c r="B32" s="526" t="s">
        <v>1182</v>
      </c>
      <c r="C32" s="531">
        <v>8.8999999999999996E-2</v>
      </c>
      <c r="D32" s="527"/>
      <c r="E32" s="527"/>
      <c r="F32" s="527"/>
      <c r="G32" s="529"/>
      <c r="H32" s="527"/>
    </row>
    <row r="33" spans="1:8">
      <c r="A33" s="530">
        <v>3</v>
      </c>
      <c r="B33" s="526" t="s">
        <v>1182</v>
      </c>
      <c r="C33" s="531">
        <v>0.107</v>
      </c>
      <c r="D33" s="527"/>
      <c r="E33" s="527"/>
      <c r="F33" s="527"/>
      <c r="G33" s="529"/>
      <c r="H33" s="527"/>
    </row>
    <row r="34" spans="1:8">
      <c r="A34" s="527"/>
      <c r="B34" s="527"/>
      <c r="C34" s="527"/>
      <c r="D34" s="527"/>
      <c r="E34" s="527"/>
      <c r="F34" s="527"/>
      <c r="G34" s="529"/>
      <c r="H34" s="527"/>
    </row>
    <row r="35" spans="1:8">
      <c r="A35" s="527"/>
      <c r="B35" s="527"/>
      <c r="C35" s="527"/>
      <c r="D35" s="527"/>
      <c r="E35" s="527"/>
      <c r="F35" s="527"/>
      <c r="G35" s="529"/>
      <c r="H35" s="527"/>
    </row>
    <row r="36" spans="1:8">
      <c r="A36" s="529"/>
      <c r="B36" s="529"/>
      <c r="C36" s="529"/>
      <c r="D36" s="529"/>
      <c r="E36" s="529"/>
      <c r="F36" s="529"/>
      <c r="G36" s="529"/>
      <c r="H36" s="527"/>
    </row>
    <row r="37" spans="1:8">
      <c r="A37" s="527"/>
      <c r="B37" s="527"/>
      <c r="C37" s="527"/>
      <c r="D37" s="527"/>
      <c r="E37" s="527"/>
      <c r="F37" s="527"/>
      <c r="G37" s="527"/>
      <c r="H37" s="527"/>
    </row>
    <row r="38" spans="1:8">
      <c r="A38" s="527"/>
      <c r="B38" s="533"/>
      <c r="C38" s="533"/>
      <c r="D38" s="533"/>
      <c r="E38" s="533"/>
      <c r="F38" s="533"/>
      <c r="G38" s="527"/>
      <c r="H38" s="527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2016-12-19T20:00:44Z</dcterms:modified>
</cp:coreProperties>
</file>