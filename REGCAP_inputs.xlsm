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2700" yWindow="20" windowWidth="25040" windowHeight="15580" tabRatio="775" activeTab="3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Dehumidifier" sheetId="17" r:id="rId15"/>
    <sheet name="InfiltrationModelCoefficients" sheetId="19" r:id="rId16"/>
  </sheets>
  <definedNames>
    <definedName name="A_2nd_floor">Geometry!$D$10</definedName>
    <definedName name="A_atticSI">Geometry!#REF!</definedName>
    <definedName name="A_ceilingSI">IF(Stories=1,Geometry!$D$9,Geometry!$D$10)</definedName>
    <definedName name="A_doors_SI">Geometry!$D$18</definedName>
    <definedName name="A_houseFT">Geometry!$B$8</definedName>
    <definedName name="A_houseSI">Geometry!$D$8</definedName>
    <definedName name="A_wall_gross">Geometry!$D$27</definedName>
    <definedName name="A_wall_net">Geometry!$D$28</definedName>
    <definedName name="A_windowSI">Geometry!$D$17</definedName>
    <definedName name="Aeq">Fans!$L$6</definedName>
    <definedName name="Age">Parametrics!$C$22</definedName>
    <definedName name="Airtightness">Parametrics!$C$27</definedName>
    <definedName name="ASHRAEver">Parametrics!$C$56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Geometry!$D$36</definedName>
    <definedName name="H_flueSI">Geometry!$D$38</definedName>
    <definedName name="H_ground">Geometry!$D$13</definedName>
    <definedName name="H_peak">Geometry!$D$35</definedName>
    <definedName name="H_soffitSI">Geometry!$D$16</definedName>
    <definedName name="H_storeySI">Geometry!$D$14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ASHRAEver">Parametrics!$C$57:$C$61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Leakage!$D$62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Geometry!$D$39</definedName>
    <definedName name="planareaSI">IF(Stories=1,Geometry!$D$9,Geometry!$D$10)</definedName>
    <definedName name="Qtot">Fans!$L$2</definedName>
    <definedName name="RaisedFloorSI">Geometry!$D$12</definedName>
    <definedName name="rho_air">Leakage!$D$59</definedName>
    <definedName name="RIVEC_fans">Fans!$M$51:$Q$70</definedName>
    <definedName name="RoofPitch">Geometry!$D$32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" i="2" l="1"/>
  <c r="B22" i="7"/>
  <c r="B23" i="7"/>
  <c r="L2" i="6"/>
  <c r="L6" i="6"/>
  <c r="D29" i="2"/>
  <c r="C140" i="15"/>
  <c r="C2" i="3"/>
  <c r="C3" i="3"/>
  <c r="D16" i="2"/>
  <c r="D13" i="2"/>
  <c r="C6" i="3"/>
  <c r="C9" i="6"/>
  <c r="C10" i="6"/>
  <c r="D2" i="3"/>
  <c r="D3" i="3"/>
  <c r="D6" i="3"/>
  <c r="D9" i="6"/>
  <c r="D10" i="6"/>
  <c r="E2" i="3"/>
  <c r="E3" i="3"/>
  <c r="E6" i="3"/>
  <c r="E9" i="6"/>
  <c r="E10" i="6"/>
  <c r="F2" i="3"/>
  <c r="F3" i="3"/>
  <c r="F6" i="3"/>
  <c r="F9" i="6"/>
  <c r="F10" i="6"/>
  <c r="G2" i="3"/>
  <c r="G3" i="3"/>
  <c r="G6" i="3"/>
  <c r="G9" i="6"/>
  <c r="G10" i="6"/>
  <c r="H2" i="3"/>
  <c r="H3" i="3"/>
  <c r="H6" i="3"/>
  <c r="H9" i="6"/>
  <c r="H10" i="6"/>
  <c r="I2" i="3"/>
  <c r="I3" i="3"/>
  <c r="I6" i="3"/>
  <c r="I9" i="6"/>
  <c r="I10" i="6"/>
  <c r="J2" i="3"/>
  <c r="J3" i="3"/>
  <c r="J6" i="3"/>
  <c r="J9" i="6"/>
  <c r="J10" i="6"/>
  <c r="K2" i="3"/>
  <c r="K3" i="3"/>
  <c r="K6" i="3"/>
  <c r="K9" i="6"/>
  <c r="K10" i="6"/>
  <c r="L2" i="3"/>
  <c r="L3" i="3"/>
  <c r="L6" i="3"/>
  <c r="L9" i="6"/>
  <c r="L10" i="6"/>
  <c r="M2" i="3"/>
  <c r="M3" i="3"/>
  <c r="M6" i="3"/>
  <c r="M9" i="6"/>
  <c r="M10" i="6"/>
  <c r="N2" i="3"/>
  <c r="N3" i="3"/>
  <c r="N6" i="3"/>
  <c r="N9" i="6"/>
  <c r="N10" i="6"/>
  <c r="O2" i="3"/>
  <c r="O3" i="3"/>
  <c r="O6" i="3"/>
  <c r="O9" i="6"/>
  <c r="O10" i="6"/>
  <c r="P2" i="3"/>
  <c r="P3" i="3"/>
  <c r="P6" i="3"/>
  <c r="P9" i="6"/>
  <c r="P10" i="6"/>
  <c r="Q2" i="3"/>
  <c r="Q3" i="3"/>
  <c r="Q6" i="3"/>
  <c r="Q9" i="6"/>
  <c r="Q10" i="6"/>
  <c r="B2" i="3"/>
  <c r="B3" i="3"/>
  <c r="B6" i="3"/>
  <c r="B9" i="6"/>
  <c r="B10" i="6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C78" i="1"/>
  <c r="C77" i="1"/>
  <c r="C76" i="1"/>
  <c r="C76" i="15"/>
  <c r="C78" i="15"/>
  <c r="C77" i="15"/>
  <c r="D28" i="2"/>
  <c r="C6" i="5"/>
  <c r="D18" i="2"/>
  <c r="C9" i="5"/>
  <c r="AD12" i="5"/>
  <c r="D39" i="1"/>
  <c r="AE12" i="5"/>
  <c r="E39" i="1"/>
  <c r="AF12" i="5"/>
  <c r="F39" i="1"/>
  <c r="AG12" i="5"/>
  <c r="G39" i="1"/>
  <c r="AH12" i="5"/>
  <c r="H39" i="1"/>
  <c r="AI12" i="5"/>
  <c r="I39" i="1"/>
  <c r="AJ12" i="5"/>
  <c r="J39" i="1"/>
  <c r="AK12" i="5"/>
  <c r="K39" i="1"/>
  <c r="AL12" i="5"/>
  <c r="L39" i="1"/>
  <c r="AM12" i="5"/>
  <c r="M39" i="1"/>
  <c r="AN12" i="5"/>
  <c r="N39" i="1"/>
  <c r="AO12" i="5"/>
  <c r="O39" i="1"/>
  <c r="AP12" i="5"/>
  <c r="P39" i="1"/>
  <c r="AQ12" i="5"/>
  <c r="Q39" i="1"/>
  <c r="AR12" i="5"/>
  <c r="R39" i="1"/>
  <c r="D12" i="2"/>
  <c r="C8" i="5"/>
  <c r="D11" i="2"/>
  <c r="B13" i="5"/>
  <c r="AD14" i="5"/>
  <c r="D40" i="1"/>
  <c r="AE14" i="5"/>
  <c r="E40" i="1"/>
  <c r="AF14" i="5"/>
  <c r="F40" i="1"/>
  <c r="AG14" i="5"/>
  <c r="G40" i="1"/>
  <c r="AH14" i="5"/>
  <c r="H40" i="1"/>
  <c r="AI14" i="5"/>
  <c r="I40" i="1"/>
  <c r="AJ14" i="5"/>
  <c r="J40" i="1"/>
  <c r="AK14" i="5"/>
  <c r="K40" i="1"/>
  <c r="AL14" i="5"/>
  <c r="L40" i="1"/>
  <c r="AM14" i="5"/>
  <c r="M40" i="1"/>
  <c r="AN14" i="5"/>
  <c r="N40" i="1"/>
  <c r="AO14" i="5"/>
  <c r="O40" i="1"/>
  <c r="AP14" i="5"/>
  <c r="P40" i="1"/>
  <c r="AQ14" i="5"/>
  <c r="Q40" i="1"/>
  <c r="AR14" i="5"/>
  <c r="R40" i="1"/>
  <c r="D17" i="2"/>
  <c r="C7" i="5"/>
  <c r="AD13" i="5"/>
  <c r="D41" i="1"/>
  <c r="AE13" i="5"/>
  <c r="E41" i="1"/>
  <c r="AF13" i="5"/>
  <c r="F41" i="1"/>
  <c r="AG13" i="5"/>
  <c r="G41" i="1"/>
  <c r="AH13" i="5"/>
  <c r="H41" i="1"/>
  <c r="AI13" i="5"/>
  <c r="I41" i="1"/>
  <c r="AJ13" i="5"/>
  <c r="J41" i="1"/>
  <c r="AK13" i="5"/>
  <c r="K41" i="1"/>
  <c r="AL13" i="5"/>
  <c r="L41" i="1"/>
  <c r="AM13" i="5"/>
  <c r="M41" i="1"/>
  <c r="AN13" i="5"/>
  <c r="N41" i="1"/>
  <c r="AO13" i="5"/>
  <c r="O41" i="1"/>
  <c r="AP13" i="5"/>
  <c r="P41" i="1"/>
  <c r="AQ13" i="5"/>
  <c r="Q41" i="1"/>
  <c r="AR13" i="5"/>
  <c r="R41" i="1"/>
  <c r="AC13" i="5"/>
  <c r="C41" i="1"/>
  <c r="AC14" i="5"/>
  <c r="C40" i="1"/>
  <c r="AC12" i="5"/>
  <c r="C39" i="1"/>
  <c r="C41" i="15"/>
  <c r="C40" i="15"/>
  <c r="C39" i="15"/>
  <c r="AE6" i="5"/>
  <c r="B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D6" i="5"/>
  <c r="AC6" i="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C2" i="1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B52" i="12"/>
  <c r="K4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7" i="16"/>
  <c r="L4" i="6"/>
  <c r="C61" i="16"/>
  <c r="B5" i="6"/>
  <c r="B38" i="10"/>
  <c r="B44" i="10"/>
  <c r="B45" i="10"/>
  <c r="B46" i="10"/>
  <c r="B24" i="10"/>
  <c r="B48" i="10"/>
  <c r="B29" i="10"/>
  <c r="B62" i="10"/>
  <c r="B76" i="10"/>
  <c r="B80" i="10"/>
  <c r="C12" i="16"/>
  <c r="D9" i="2"/>
  <c r="D10" i="2"/>
  <c r="B20" i="5"/>
  <c r="B32" i="10"/>
  <c r="B72" i="10"/>
  <c r="B78" i="10"/>
  <c r="B82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23" i="10"/>
  <c r="B43" i="10"/>
  <c r="AC7" i="5"/>
  <c r="B30" i="10"/>
  <c r="B11" i="2"/>
  <c r="B31" i="10"/>
  <c r="B33" i="10"/>
  <c r="B34" i="10"/>
  <c r="B118" i="10"/>
  <c r="B124" i="10"/>
  <c r="B129" i="10"/>
  <c r="B131" i="10"/>
  <c r="B133" i="10"/>
  <c r="B134" i="10"/>
  <c r="C24" i="10"/>
  <c r="C69" i="10"/>
  <c r="C77" i="10"/>
  <c r="D24" i="10"/>
  <c r="D68" i="10"/>
  <c r="D77" i="10"/>
  <c r="E24" i="10"/>
  <c r="E69" i="10"/>
  <c r="E77" i="10"/>
  <c r="F24" i="10"/>
  <c r="F68" i="10"/>
  <c r="F77" i="10"/>
  <c r="G24" i="10"/>
  <c r="G67" i="10"/>
  <c r="G77" i="10"/>
  <c r="H24" i="10"/>
  <c r="H67" i="10"/>
  <c r="H77" i="10"/>
  <c r="I24" i="10"/>
  <c r="I69" i="10"/>
  <c r="I77" i="10"/>
  <c r="J24" i="10"/>
  <c r="J68" i="10"/>
  <c r="J77" i="10"/>
  <c r="K24" i="10"/>
  <c r="K69" i="10"/>
  <c r="K77" i="10"/>
  <c r="L24" i="10"/>
  <c r="L69" i="10"/>
  <c r="L77" i="10"/>
  <c r="M24" i="10"/>
  <c r="M69" i="10"/>
  <c r="M77" i="10"/>
  <c r="N24" i="10"/>
  <c r="N69" i="10"/>
  <c r="N77" i="10"/>
  <c r="O24" i="10"/>
  <c r="O69" i="10"/>
  <c r="O77" i="10"/>
  <c r="P24" i="10"/>
  <c r="P69" i="10"/>
  <c r="P77" i="10"/>
  <c r="Q24" i="10"/>
  <c r="Q68" i="10"/>
  <c r="Q77" i="10"/>
  <c r="C74" i="10"/>
  <c r="C78" i="10"/>
  <c r="D73" i="10"/>
  <c r="D78" i="10"/>
  <c r="E74" i="10"/>
  <c r="E78" i="10"/>
  <c r="F73" i="10"/>
  <c r="F78" i="10"/>
  <c r="G72" i="10"/>
  <c r="G78" i="10"/>
  <c r="H72" i="10"/>
  <c r="H78" i="10"/>
  <c r="I74" i="10"/>
  <c r="I78" i="10"/>
  <c r="J73" i="10"/>
  <c r="J78" i="10"/>
  <c r="K74" i="10"/>
  <c r="K78" i="10"/>
  <c r="L74" i="10"/>
  <c r="L78" i="10"/>
  <c r="M74" i="10"/>
  <c r="M78" i="10"/>
  <c r="N74" i="10"/>
  <c r="N78" i="10"/>
  <c r="O74" i="10"/>
  <c r="O78" i="10"/>
  <c r="P74" i="10"/>
  <c r="P78" i="10"/>
  <c r="Q73" i="10"/>
  <c r="Q78" i="10"/>
  <c r="B67" i="10"/>
  <c r="B77" i="10"/>
  <c r="C64" i="10"/>
  <c r="C76" i="10"/>
  <c r="D63" i="10"/>
  <c r="D76" i="10"/>
  <c r="E64" i="10"/>
  <c r="E76" i="10"/>
  <c r="F63" i="10"/>
  <c r="F76" i="10"/>
  <c r="G62" i="10"/>
  <c r="G76" i="10"/>
  <c r="H62" i="10"/>
  <c r="H76" i="10"/>
  <c r="I64" i="10"/>
  <c r="I76" i="10"/>
  <c r="J63" i="10"/>
  <c r="J76" i="10"/>
  <c r="K64" i="10"/>
  <c r="K76" i="10"/>
  <c r="L64" i="10"/>
  <c r="L76" i="10"/>
  <c r="M64" i="10"/>
  <c r="M76" i="10"/>
  <c r="N64" i="10"/>
  <c r="N76" i="10"/>
  <c r="O64" i="10"/>
  <c r="O76" i="10"/>
  <c r="P64" i="10"/>
  <c r="P76" i="10"/>
  <c r="Q63" i="10"/>
  <c r="Q76" i="10"/>
  <c r="K63" i="10"/>
  <c r="Q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AI7" i="5"/>
  <c r="H30" i="10"/>
  <c r="AJ7" i="5"/>
  <c r="I30" i="10"/>
  <c r="AK7" i="5"/>
  <c r="J30" i="10"/>
  <c r="AL7" i="5"/>
  <c r="K30" i="10"/>
  <c r="AM7" i="5"/>
  <c r="L30" i="10"/>
  <c r="AN7" i="5"/>
  <c r="M30" i="10"/>
  <c r="AO7" i="5"/>
  <c r="N30" i="10"/>
  <c r="AP7" i="5"/>
  <c r="O30" i="10"/>
  <c r="AQ7" i="5"/>
  <c r="P30" i="10"/>
  <c r="AR7" i="5"/>
  <c r="Q30" i="10"/>
  <c r="AD7" i="5"/>
  <c r="C30" i="10"/>
  <c r="AE7" i="5"/>
  <c r="D30" i="10"/>
  <c r="AF7" i="5"/>
  <c r="E30" i="10"/>
  <c r="AG7" i="5"/>
  <c r="F30" i="10"/>
  <c r="AH7" i="5"/>
  <c r="G30" i="10"/>
  <c r="G29" i="10"/>
  <c r="H29" i="10"/>
  <c r="I29" i="10"/>
  <c r="J29" i="10"/>
  <c r="K29" i="10"/>
  <c r="L29" i="10"/>
  <c r="M29" i="10"/>
  <c r="N29" i="10"/>
  <c r="O29" i="10"/>
  <c r="P29" i="10"/>
  <c r="Q29" i="10"/>
  <c r="C29" i="10"/>
  <c r="D29" i="10"/>
  <c r="E29" i="10"/>
  <c r="F29" i="10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B25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C138" i="1"/>
  <c r="C138" i="15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C109" i="1"/>
  <c r="C109" i="15"/>
  <c r="D11" i="8"/>
  <c r="D15" i="8"/>
  <c r="B35" i="8"/>
  <c r="D10" i="8"/>
  <c r="D12" i="8"/>
  <c r="F55" i="7"/>
  <c r="G55" i="7"/>
  <c r="H55" i="7"/>
  <c r="F56" i="7"/>
  <c r="G56" i="7"/>
  <c r="H56" i="7"/>
  <c r="F58" i="7"/>
  <c r="G58" i="7"/>
  <c r="H58" i="7"/>
  <c r="F59" i="7"/>
  <c r="G59" i="7"/>
  <c r="H59" i="7"/>
  <c r="F61" i="7"/>
  <c r="G61" i="7"/>
  <c r="H61" i="7"/>
  <c r="F62" i="7"/>
  <c r="G62" i="7"/>
  <c r="H62" i="7"/>
  <c r="F63" i="7"/>
  <c r="G63" i="7"/>
  <c r="H63" i="7"/>
  <c r="F64" i="7"/>
  <c r="G64" i="7"/>
  <c r="H64" i="7"/>
  <c r="F65" i="7"/>
  <c r="G65" i="7"/>
  <c r="H65" i="7"/>
  <c r="F66" i="7"/>
  <c r="G66" i="7"/>
  <c r="H66" i="7"/>
  <c r="B8" i="2"/>
  <c r="F67" i="7"/>
  <c r="G67" i="7"/>
  <c r="H67" i="7"/>
  <c r="F68" i="7"/>
  <c r="G68" i="7"/>
  <c r="H68" i="7"/>
  <c r="F69" i="7"/>
  <c r="G69" i="7"/>
  <c r="H69" i="7"/>
  <c r="H71" i="7"/>
  <c r="F57" i="7"/>
  <c r="G57" i="7"/>
  <c r="H57" i="7"/>
  <c r="F60" i="7"/>
  <c r="G60" i="7"/>
  <c r="H60" i="7"/>
  <c r="B20" i="7"/>
  <c r="B5" i="7"/>
  <c r="C60" i="16"/>
  <c r="C13" i="6"/>
  <c r="C12" i="6"/>
  <c r="D13" i="6"/>
  <c r="D12" i="6"/>
  <c r="E13" i="6"/>
  <c r="E12" i="6"/>
  <c r="F13" i="6"/>
  <c r="F12" i="6"/>
  <c r="G13" i="6"/>
  <c r="G12" i="6"/>
  <c r="H13" i="6"/>
  <c r="H12" i="6"/>
  <c r="I13" i="6"/>
  <c r="I12" i="6"/>
  <c r="J13" i="6"/>
  <c r="J12" i="6"/>
  <c r="K13" i="6"/>
  <c r="K12" i="6"/>
  <c r="L13" i="6"/>
  <c r="L12" i="6"/>
  <c r="M13" i="6"/>
  <c r="M12" i="6"/>
  <c r="N13" i="6"/>
  <c r="N12" i="6"/>
  <c r="O13" i="6"/>
  <c r="O12" i="6"/>
  <c r="P13" i="6"/>
  <c r="P12" i="6"/>
  <c r="Q13" i="6"/>
  <c r="Q12" i="6"/>
  <c r="B13" i="6"/>
  <c r="B12" i="6"/>
  <c r="H86" i="6"/>
  <c r="J86" i="6"/>
  <c r="H63" i="6"/>
  <c r="J63" i="6"/>
  <c r="H64" i="6"/>
  <c r="J64" i="6"/>
  <c r="H65" i="6"/>
  <c r="J65" i="6"/>
  <c r="H75" i="6"/>
  <c r="J75" i="6"/>
  <c r="H76" i="6"/>
  <c r="J76" i="6"/>
  <c r="H84" i="6"/>
  <c r="J84" i="6"/>
  <c r="J88" i="6"/>
  <c r="L5" i="6"/>
  <c r="O5" i="6"/>
  <c r="N5" i="6"/>
  <c r="M5" i="6"/>
  <c r="K5" i="6"/>
  <c r="J5" i="6"/>
  <c r="I5" i="6"/>
  <c r="O4" i="6"/>
  <c r="N4" i="6"/>
  <c r="M4" i="6"/>
  <c r="K4" i="6"/>
  <c r="J4" i="6"/>
  <c r="I4" i="6"/>
  <c r="C59" i="16"/>
  <c r="C58" i="16"/>
  <c r="C57" i="16"/>
  <c r="C52" i="16"/>
  <c r="L3" i="6"/>
  <c r="B21" i="5"/>
  <c r="AC19" i="5"/>
  <c r="AC18" i="5"/>
  <c r="F11" i="5"/>
  <c r="F7" i="5"/>
  <c r="F12" i="5"/>
  <c r="F14" i="5"/>
  <c r="F16" i="5"/>
  <c r="F10" i="5"/>
  <c r="B28" i="2"/>
  <c r="N28" i="2"/>
  <c r="P28" i="2"/>
  <c r="J28" i="2"/>
  <c r="L28" i="2"/>
  <c r="P11" i="2"/>
  <c r="D27" i="2"/>
  <c r="P18" i="2"/>
  <c r="N17" i="2"/>
  <c r="P17" i="2"/>
  <c r="F15" i="5"/>
  <c r="N12" i="2"/>
  <c r="P12" i="2"/>
  <c r="P39" i="2"/>
  <c r="P32" i="2"/>
  <c r="P33" i="2"/>
  <c r="P40" i="2"/>
  <c r="D40" i="2"/>
  <c r="D39" i="2"/>
  <c r="N16" i="2"/>
  <c r="P16" i="2"/>
  <c r="P35" i="2"/>
  <c r="P38" i="2"/>
  <c r="D38" i="2"/>
  <c r="D37" i="2"/>
  <c r="P36" i="2"/>
  <c r="D36" i="2"/>
  <c r="D35" i="2"/>
  <c r="P34" i="2"/>
  <c r="D34" i="2"/>
  <c r="D33" i="2"/>
  <c r="D32" i="2"/>
  <c r="D6" i="2"/>
  <c r="D7" i="2"/>
  <c r="P13" i="2"/>
  <c r="P14" i="2"/>
  <c r="D14" i="2"/>
  <c r="P15" i="2"/>
  <c r="D15" i="2"/>
  <c r="D19" i="2"/>
  <c r="D20" i="2"/>
  <c r="D21" i="2"/>
  <c r="D22" i="2"/>
  <c r="D23" i="2"/>
  <c r="D24" i="2"/>
  <c r="D25" i="2"/>
  <c r="D26" i="2"/>
  <c r="P29" i="2"/>
  <c r="D5" i="2"/>
  <c r="B6" i="2"/>
  <c r="B12" i="2"/>
  <c r="J9" i="2"/>
  <c r="J12" i="2"/>
  <c r="L12" i="2"/>
  <c r="N27" i="2"/>
  <c r="P27" i="2"/>
  <c r="L9" i="2"/>
  <c r="C102" i="15"/>
  <c r="C81" i="15"/>
  <c r="C38" i="15"/>
  <c r="C33" i="15"/>
  <c r="C13" i="15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B4" i="3"/>
  <c r="C65" i="3"/>
  <c r="D65" i="3"/>
  <c r="E65" i="3"/>
  <c r="L7" i="2"/>
  <c r="L39" i="2"/>
  <c r="L32" i="2"/>
  <c r="L6" i="2"/>
  <c r="L33" i="2"/>
  <c r="L40" i="2"/>
  <c r="J16" i="2"/>
  <c r="L16" i="2"/>
  <c r="L35" i="2"/>
  <c r="L38" i="2"/>
  <c r="L36" i="2"/>
  <c r="L34" i="2"/>
  <c r="L8" i="2"/>
  <c r="J10" i="2"/>
  <c r="L10" i="2"/>
  <c r="L11" i="2"/>
  <c r="L13" i="2"/>
  <c r="L14" i="2"/>
  <c r="L15" i="2"/>
  <c r="J17" i="2"/>
  <c r="L17" i="2"/>
  <c r="L18" i="2"/>
  <c r="L20" i="2"/>
  <c r="L21" i="2"/>
  <c r="L22" i="2"/>
  <c r="L23" i="2"/>
  <c r="L24" i="2"/>
  <c r="L25" i="2"/>
  <c r="L26" i="2"/>
  <c r="J27" i="2"/>
  <c r="L27" i="2"/>
  <c r="L29" i="2"/>
  <c r="B7" i="2"/>
  <c r="B9" i="2"/>
  <c r="B10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9" i="2"/>
  <c r="B5" i="2"/>
  <c r="P7" i="2"/>
  <c r="P6" i="2"/>
  <c r="D53" i="2"/>
  <c r="D52" i="2"/>
  <c r="D45" i="2"/>
  <c r="P10" i="2"/>
  <c r="P26" i="2"/>
  <c r="P25" i="2"/>
  <c r="P24" i="2"/>
  <c r="P23" i="2"/>
  <c r="P22" i="2"/>
  <c r="P21" i="2"/>
  <c r="P20" i="2"/>
  <c r="P9" i="2"/>
  <c r="P8" i="2"/>
  <c r="D45" i="16"/>
  <c r="D51" i="16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D50" i="1"/>
  <c r="D68" i="1"/>
  <c r="C50" i="1"/>
  <c r="C68" i="1"/>
  <c r="C50" i="15"/>
  <c r="C68" i="15"/>
  <c r="F8" i="5"/>
  <c r="B81" i="10"/>
  <c r="B132" i="10"/>
  <c r="B137" i="10"/>
  <c r="B138" i="10"/>
  <c r="C12" i="15"/>
  <c r="C38" i="10"/>
  <c r="C44" i="10"/>
  <c r="C45" i="10"/>
  <c r="C46" i="10"/>
  <c r="C48" i="10"/>
  <c r="C63" i="10"/>
  <c r="C80" i="10"/>
  <c r="C68" i="10"/>
  <c r="C81" i="10"/>
  <c r="C95" i="10"/>
  <c r="C103" i="10"/>
  <c r="C97" i="10"/>
  <c r="C105" i="10"/>
  <c r="C99" i="10"/>
  <c r="C107" i="10"/>
  <c r="C111" i="10"/>
  <c r="C112" i="10"/>
  <c r="C73" i="10"/>
  <c r="C82" i="10"/>
  <c r="C117" i="10"/>
  <c r="C49" i="10"/>
  <c r="C120" i="10"/>
  <c r="C123" i="10"/>
  <c r="C128" i="10"/>
  <c r="C130" i="10"/>
  <c r="G7" i="5"/>
  <c r="G8" i="5"/>
  <c r="C3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48" i="10"/>
  <c r="D64" i="10"/>
  <c r="D80" i="10"/>
  <c r="D69" i="10"/>
  <c r="D81" i="10"/>
  <c r="D95" i="10"/>
  <c r="D103" i="10"/>
  <c r="D97" i="10"/>
  <c r="D105" i="10"/>
  <c r="D99" i="10"/>
  <c r="D107" i="10"/>
  <c r="D111" i="10"/>
  <c r="D112" i="10"/>
  <c r="D74" i="10"/>
  <c r="D82" i="10"/>
  <c r="D117" i="10"/>
  <c r="D49" i="10"/>
  <c r="D120" i="10"/>
  <c r="D123" i="10"/>
  <c r="D128" i="10"/>
  <c r="D130" i="10"/>
  <c r="H7" i="5"/>
  <c r="H8" i="5"/>
  <c r="D3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48" i="10"/>
  <c r="E63" i="10"/>
  <c r="E80" i="10"/>
  <c r="E68" i="10"/>
  <c r="E81" i="10"/>
  <c r="E95" i="10"/>
  <c r="E103" i="10"/>
  <c r="E97" i="10"/>
  <c r="E105" i="10"/>
  <c r="E99" i="10"/>
  <c r="E107" i="10"/>
  <c r="E111" i="10"/>
  <c r="E112" i="10"/>
  <c r="E73" i="10"/>
  <c r="E82" i="10"/>
  <c r="E117" i="10"/>
  <c r="E49" i="10"/>
  <c r="E120" i="10"/>
  <c r="E123" i="10"/>
  <c r="E128" i="10"/>
  <c r="E130" i="10"/>
  <c r="I7" i="5"/>
  <c r="I8" i="5"/>
  <c r="E3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48" i="10"/>
  <c r="F64" i="10"/>
  <c r="F80" i="10"/>
  <c r="F69" i="10"/>
  <c r="F81" i="10"/>
  <c r="F95" i="10"/>
  <c r="F103" i="10"/>
  <c r="F97" i="10"/>
  <c r="F105" i="10"/>
  <c r="F99" i="10"/>
  <c r="F107" i="10"/>
  <c r="F111" i="10"/>
  <c r="F112" i="10"/>
  <c r="F74" i="10"/>
  <c r="F82" i="10"/>
  <c r="F117" i="10"/>
  <c r="F49" i="10"/>
  <c r="F120" i="10"/>
  <c r="F123" i="10"/>
  <c r="F128" i="10"/>
  <c r="F130" i="10"/>
  <c r="J7" i="5"/>
  <c r="J8" i="5"/>
  <c r="F3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48" i="10"/>
  <c r="G63" i="10"/>
  <c r="G80" i="10"/>
  <c r="G68" i="10"/>
  <c r="G81" i="10"/>
  <c r="G95" i="10"/>
  <c r="G103" i="10"/>
  <c r="G97" i="10"/>
  <c r="G105" i="10"/>
  <c r="G99" i="10"/>
  <c r="G107" i="10"/>
  <c r="G111" i="10"/>
  <c r="G112" i="10"/>
  <c r="G73" i="10"/>
  <c r="G82" i="10"/>
  <c r="G117" i="10"/>
  <c r="G49" i="10"/>
  <c r="G120" i="10"/>
  <c r="G123" i="10"/>
  <c r="G128" i="10"/>
  <c r="G130" i="10"/>
  <c r="K7" i="5"/>
  <c r="K8" i="5"/>
  <c r="G3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48" i="10"/>
  <c r="H63" i="10"/>
  <c r="H80" i="10"/>
  <c r="H68" i="10"/>
  <c r="H81" i="10"/>
  <c r="H95" i="10"/>
  <c r="H103" i="10"/>
  <c r="H97" i="10"/>
  <c r="H105" i="10"/>
  <c r="H99" i="10"/>
  <c r="H107" i="10"/>
  <c r="H111" i="10"/>
  <c r="H112" i="10"/>
  <c r="H73" i="10"/>
  <c r="H82" i="10"/>
  <c r="H117" i="10"/>
  <c r="H49" i="10"/>
  <c r="H120" i="10"/>
  <c r="H123" i="10"/>
  <c r="H128" i="10"/>
  <c r="H130" i="10"/>
  <c r="L7" i="5"/>
  <c r="L8" i="5"/>
  <c r="H3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48" i="10"/>
  <c r="I80" i="10"/>
  <c r="I81" i="10"/>
  <c r="I95" i="10"/>
  <c r="I103" i="10"/>
  <c r="I97" i="10"/>
  <c r="I105" i="10"/>
  <c r="I99" i="10"/>
  <c r="I107" i="10"/>
  <c r="I111" i="10"/>
  <c r="I112" i="10"/>
  <c r="I82" i="10"/>
  <c r="I117" i="10"/>
  <c r="I49" i="10"/>
  <c r="I120" i="10"/>
  <c r="I123" i="10"/>
  <c r="I128" i="10"/>
  <c r="I130" i="10"/>
  <c r="M7" i="5"/>
  <c r="M8" i="5"/>
  <c r="I3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48" i="10"/>
  <c r="J64" i="10"/>
  <c r="J80" i="10"/>
  <c r="J69" i="10"/>
  <c r="J81" i="10"/>
  <c r="J95" i="10"/>
  <c r="J103" i="10"/>
  <c r="J97" i="10"/>
  <c r="J105" i="10"/>
  <c r="J99" i="10"/>
  <c r="J107" i="10"/>
  <c r="J111" i="10"/>
  <c r="J112" i="10"/>
  <c r="J74" i="10"/>
  <c r="J82" i="10"/>
  <c r="J117" i="10"/>
  <c r="J49" i="10"/>
  <c r="J120" i="10"/>
  <c r="J123" i="10"/>
  <c r="J128" i="10"/>
  <c r="J130" i="10"/>
  <c r="N7" i="5"/>
  <c r="N8" i="5"/>
  <c r="J3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48" i="10"/>
  <c r="K80" i="10"/>
  <c r="K68" i="10"/>
  <c r="K81" i="10"/>
  <c r="K95" i="10"/>
  <c r="K103" i="10"/>
  <c r="K97" i="10"/>
  <c r="K105" i="10"/>
  <c r="K99" i="10"/>
  <c r="K107" i="10"/>
  <c r="K111" i="10"/>
  <c r="K112" i="10"/>
  <c r="K73" i="10"/>
  <c r="K82" i="10"/>
  <c r="K117" i="10"/>
  <c r="K49" i="10"/>
  <c r="K120" i="10"/>
  <c r="K123" i="10"/>
  <c r="K128" i="10"/>
  <c r="K130" i="10"/>
  <c r="O7" i="5"/>
  <c r="O8" i="5"/>
  <c r="K3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48" i="10"/>
  <c r="L80" i="10"/>
  <c r="L81" i="10"/>
  <c r="L95" i="10"/>
  <c r="L103" i="10"/>
  <c r="L97" i="10"/>
  <c r="L105" i="10"/>
  <c r="L99" i="10"/>
  <c r="L107" i="10"/>
  <c r="L111" i="10"/>
  <c r="L112" i="10"/>
  <c r="L82" i="10"/>
  <c r="L117" i="10"/>
  <c r="L49" i="10"/>
  <c r="L120" i="10"/>
  <c r="L123" i="10"/>
  <c r="L128" i="10"/>
  <c r="L130" i="10"/>
  <c r="P7" i="5"/>
  <c r="P8" i="5"/>
  <c r="L3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48" i="10"/>
  <c r="M63" i="10"/>
  <c r="M80" i="10"/>
  <c r="M68" i="10"/>
  <c r="M81" i="10"/>
  <c r="M95" i="10"/>
  <c r="M103" i="10"/>
  <c r="M97" i="10"/>
  <c r="M105" i="10"/>
  <c r="M99" i="10"/>
  <c r="M107" i="10"/>
  <c r="M111" i="10"/>
  <c r="M112" i="10"/>
  <c r="M73" i="10"/>
  <c r="M82" i="10"/>
  <c r="M117" i="10"/>
  <c r="M49" i="10"/>
  <c r="M120" i="10"/>
  <c r="M123" i="10"/>
  <c r="M128" i="10"/>
  <c r="M130" i="10"/>
  <c r="Q7" i="5"/>
  <c r="Q8" i="5"/>
  <c r="M3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48" i="10"/>
  <c r="N80" i="10"/>
  <c r="N81" i="10"/>
  <c r="N95" i="10"/>
  <c r="N103" i="10"/>
  <c r="N97" i="10"/>
  <c r="N105" i="10"/>
  <c r="N99" i="10"/>
  <c r="N107" i="10"/>
  <c r="N111" i="10"/>
  <c r="N112" i="10"/>
  <c r="N82" i="10"/>
  <c r="N117" i="10"/>
  <c r="N49" i="10"/>
  <c r="N120" i="10"/>
  <c r="N123" i="10"/>
  <c r="N128" i="10"/>
  <c r="N130" i="10"/>
  <c r="R7" i="5"/>
  <c r="R8" i="5"/>
  <c r="N3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6" i="1"/>
  <c r="O38" i="10"/>
  <c r="O44" i="10"/>
  <c r="O45" i="10"/>
  <c r="O46" i="10"/>
  <c r="O48" i="10"/>
  <c r="O63" i="10"/>
  <c r="O80" i="10"/>
  <c r="O68" i="10"/>
  <c r="O81" i="10"/>
  <c r="O95" i="10"/>
  <c r="O103" i="10"/>
  <c r="O97" i="10"/>
  <c r="O105" i="10"/>
  <c r="O99" i="10"/>
  <c r="O107" i="10"/>
  <c r="O111" i="10"/>
  <c r="O112" i="10"/>
  <c r="O73" i="10"/>
  <c r="O82" i="10"/>
  <c r="O117" i="10"/>
  <c r="O49" i="10"/>
  <c r="O120" i="10"/>
  <c r="O123" i="10"/>
  <c r="O128" i="10"/>
  <c r="O130" i="10"/>
  <c r="S7" i="5"/>
  <c r="S8" i="5"/>
  <c r="O3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38" i="10"/>
  <c r="P44" i="10"/>
  <c r="P45" i="10"/>
  <c r="P46" i="10"/>
  <c r="P48" i="10"/>
  <c r="P63" i="10"/>
  <c r="P80" i="10"/>
  <c r="P68" i="10"/>
  <c r="P81" i="10"/>
  <c r="P95" i="10"/>
  <c r="P103" i="10"/>
  <c r="P97" i="10"/>
  <c r="P105" i="10"/>
  <c r="P99" i="10"/>
  <c r="P107" i="10"/>
  <c r="P111" i="10"/>
  <c r="P112" i="10"/>
  <c r="P73" i="10"/>
  <c r="P82" i="10"/>
  <c r="P117" i="10"/>
  <c r="P49" i="10"/>
  <c r="P120" i="10"/>
  <c r="P123" i="10"/>
  <c r="P128" i="10"/>
  <c r="P130" i="10"/>
  <c r="T7" i="5"/>
  <c r="T8" i="5"/>
  <c r="P3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48" i="10"/>
  <c r="Q80" i="10"/>
  <c r="Q81" i="10"/>
  <c r="Q95" i="10"/>
  <c r="Q103" i="10"/>
  <c r="Q97" i="10"/>
  <c r="Q105" i="10"/>
  <c r="Q99" i="10"/>
  <c r="Q107" i="10"/>
  <c r="Q111" i="10"/>
  <c r="Q112" i="10"/>
  <c r="Q82" i="10"/>
  <c r="Q117" i="10"/>
  <c r="Q49" i="10"/>
  <c r="Q120" i="10"/>
  <c r="Q123" i="10"/>
  <c r="Q128" i="10"/>
  <c r="Q130" i="10"/>
  <c r="U7" i="5"/>
  <c r="U8" i="5"/>
  <c r="Q3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V7" i="5"/>
  <c r="V8" i="5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B135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0" i="10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C123" i="1"/>
  <c r="C122" i="1"/>
  <c r="C133" i="15"/>
  <c r="C132" i="15"/>
  <c r="C131" i="15"/>
  <c r="C128" i="15"/>
  <c r="C129" i="15"/>
  <c r="C123" i="15"/>
  <c r="C122" i="15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B42" i="10"/>
  <c r="B98" i="10"/>
  <c r="F20" i="5"/>
  <c r="F21" i="5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B96" i="10"/>
  <c r="N62" i="10"/>
  <c r="O62" i="10"/>
  <c r="P62" i="10"/>
  <c r="Q62" i="10"/>
  <c r="N63" i="10"/>
  <c r="Q64" i="10"/>
  <c r="N67" i="10"/>
  <c r="O67" i="10"/>
  <c r="P67" i="10"/>
  <c r="Q67" i="10"/>
  <c r="N68" i="10"/>
  <c r="Q69" i="10"/>
  <c r="N72" i="10"/>
  <c r="O72" i="10"/>
  <c r="P72" i="10"/>
  <c r="Q72" i="10"/>
  <c r="N73" i="10"/>
  <c r="Q74" i="10"/>
  <c r="C72" i="10"/>
  <c r="D72" i="10"/>
  <c r="E72" i="10"/>
  <c r="F72" i="10"/>
  <c r="I72" i="10"/>
  <c r="J72" i="10"/>
  <c r="K72" i="10"/>
  <c r="L72" i="10"/>
  <c r="M72" i="10"/>
  <c r="I73" i="10"/>
  <c r="L73" i="10"/>
  <c r="G74" i="10"/>
  <c r="H74" i="10"/>
  <c r="B74" i="10"/>
  <c r="B73" i="10"/>
  <c r="C67" i="10"/>
  <c r="D67" i="10"/>
  <c r="E67" i="10"/>
  <c r="F67" i="10"/>
  <c r="I67" i="10"/>
  <c r="J67" i="10"/>
  <c r="K67" i="10"/>
  <c r="L67" i="10"/>
  <c r="M67" i="10"/>
  <c r="I68" i="10"/>
  <c r="L68" i="10"/>
  <c r="G69" i="10"/>
  <c r="H69" i="10"/>
  <c r="B69" i="10"/>
  <c r="B68" i="10"/>
  <c r="C62" i="10"/>
  <c r="D62" i="10"/>
  <c r="E62" i="10"/>
  <c r="F62" i="10"/>
  <c r="I62" i="10"/>
  <c r="J62" i="10"/>
  <c r="K62" i="10"/>
  <c r="L62" i="10"/>
  <c r="M62" i="10"/>
  <c r="I63" i="10"/>
  <c r="L63" i="10"/>
  <c r="G64" i="10"/>
  <c r="H64" i="10"/>
  <c r="B64" i="10"/>
  <c r="B63" i="10"/>
  <c r="F60" i="10"/>
  <c r="B47" i="10"/>
  <c r="C46" i="16"/>
  <c r="K25" i="16"/>
  <c r="C54" i="16"/>
  <c r="C49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L23" i="16"/>
  <c r="I7" i="16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C3" i="1"/>
  <c r="C48" i="1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B14" i="6"/>
  <c r="C53" i="16"/>
  <c r="C47" i="16"/>
  <c r="C48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AC63" i="3"/>
  <c r="AD63" i="3"/>
  <c r="AC60" i="3"/>
  <c r="AD60" i="3"/>
  <c r="AC61" i="3"/>
  <c r="AD61" i="3"/>
  <c r="AC64" i="3"/>
  <c r="AD64" i="3"/>
  <c r="D57" i="3"/>
  <c r="D61" i="3"/>
  <c r="B7" i="17"/>
  <c r="B8" i="17"/>
  <c r="C43" i="16"/>
  <c r="C42" i="16"/>
  <c r="C41" i="16"/>
  <c r="D35" i="8"/>
  <c r="B36" i="8"/>
  <c r="H61" i="3"/>
  <c r="H63" i="3"/>
  <c r="H62" i="3"/>
  <c r="B37" i="8"/>
  <c r="B42" i="8"/>
  <c r="B38" i="8"/>
  <c r="B39" i="8"/>
  <c r="B41" i="8"/>
  <c r="B40" i="8"/>
  <c r="C125" i="15"/>
  <c r="C124" i="15"/>
  <c r="C22" i="15"/>
  <c r="C19" i="15"/>
  <c r="C16" i="15"/>
  <c r="C16" i="1"/>
  <c r="I11" i="4"/>
  <c r="D9" i="4"/>
  <c r="D10" i="4"/>
  <c r="C20" i="15"/>
  <c r="C9" i="4"/>
  <c r="C10" i="4"/>
  <c r="C17" i="15"/>
  <c r="D8" i="4"/>
  <c r="C83" i="15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B5" i="3"/>
  <c r="C8" i="15"/>
  <c r="C7" i="15"/>
  <c r="C92" i="15"/>
  <c r="C91" i="15"/>
  <c r="C90" i="15"/>
  <c r="C89" i="15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Q26" i="12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C115" i="15"/>
  <c r="C114" i="15"/>
  <c r="C113" i="15"/>
  <c r="C112" i="15"/>
  <c r="F22" i="5"/>
  <c r="F28" i="5"/>
  <c r="C52" i="15"/>
  <c r="C51" i="15"/>
  <c r="C49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C99" i="15"/>
  <c r="C21" i="15"/>
  <c r="D5" i="7"/>
  <c r="D6" i="7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100" i="15"/>
  <c r="C95" i="15"/>
  <c r="C96" i="15"/>
  <c r="C88" i="15"/>
  <c r="C87" i="15"/>
  <c r="C86" i="15"/>
  <c r="C85" i="15"/>
  <c r="C84" i="15"/>
  <c r="C82" i="15"/>
  <c r="C80" i="15"/>
  <c r="D12" i="7"/>
  <c r="C79" i="15"/>
  <c r="C75" i="15"/>
  <c r="C74" i="15"/>
  <c r="C73" i="15"/>
  <c r="B6" i="6"/>
  <c r="C65" i="15"/>
  <c r="C64" i="15"/>
  <c r="E51" i="6"/>
  <c r="C51" i="6"/>
  <c r="C62" i="15"/>
  <c r="I51" i="6"/>
  <c r="C61" i="15"/>
  <c r="C59" i="15"/>
  <c r="C58" i="15"/>
  <c r="E52" i="6"/>
  <c r="C52" i="6"/>
  <c r="C56" i="15"/>
  <c r="I52" i="6"/>
  <c r="C55" i="15"/>
  <c r="E54" i="6"/>
  <c r="C54" i="6"/>
  <c r="C53" i="15"/>
  <c r="AC59" i="3"/>
  <c r="AD59" i="3"/>
  <c r="AF59" i="3"/>
  <c r="B101" i="6"/>
  <c r="C101" i="6"/>
  <c r="C112" i="6"/>
  <c r="C133" i="6"/>
  <c r="F13" i="5"/>
  <c r="C37" i="15"/>
  <c r="C36" i="15"/>
  <c r="C35" i="15"/>
  <c r="H68" i="3"/>
  <c r="H69" i="3"/>
  <c r="H70" i="3"/>
  <c r="M54" i="3"/>
  <c r="C25" i="15"/>
  <c r="C26" i="15"/>
  <c r="C30" i="15"/>
  <c r="C29" i="15"/>
  <c r="H71" i="3"/>
  <c r="M53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C51" i="1"/>
  <c r="C49" i="1"/>
  <c r="AF64" i="3"/>
  <c r="B106" i="6"/>
  <c r="Q106" i="6"/>
  <c r="Q117" i="6"/>
  <c r="P106" i="6"/>
  <c r="P117" i="6"/>
  <c r="O106" i="6"/>
  <c r="O117" i="6"/>
  <c r="N106" i="6"/>
  <c r="N117" i="6"/>
  <c r="M106" i="6"/>
  <c r="M117" i="6"/>
  <c r="L106" i="6"/>
  <c r="L117" i="6"/>
  <c r="K106" i="6"/>
  <c r="K117" i="6"/>
  <c r="J106" i="6"/>
  <c r="J117" i="6"/>
  <c r="I106" i="6"/>
  <c r="I117" i="6"/>
  <c r="H106" i="6"/>
  <c r="H117" i="6"/>
  <c r="G106" i="6"/>
  <c r="G117" i="6"/>
  <c r="F106" i="6"/>
  <c r="F117" i="6"/>
  <c r="E106" i="6"/>
  <c r="E117" i="6"/>
  <c r="D106" i="6"/>
  <c r="D117" i="6"/>
  <c r="C106" i="6"/>
  <c r="C117" i="6"/>
  <c r="AF63" i="3"/>
  <c r="B105" i="6"/>
  <c r="Q105" i="6"/>
  <c r="Q116" i="6"/>
  <c r="P105" i="6"/>
  <c r="P116" i="6"/>
  <c r="O105" i="6"/>
  <c r="O116" i="6"/>
  <c r="N105" i="6"/>
  <c r="N116" i="6"/>
  <c r="M105" i="6"/>
  <c r="M116" i="6"/>
  <c r="L105" i="6"/>
  <c r="L116" i="6"/>
  <c r="K105" i="6"/>
  <c r="K116" i="6"/>
  <c r="J105" i="6"/>
  <c r="J116" i="6"/>
  <c r="I105" i="6"/>
  <c r="I116" i="6"/>
  <c r="H105" i="6"/>
  <c r="H116" i="6"/>
  <c r="G105" i="6"/>
  <c r="G116" i="6"/>
  <c r="F105" i="6"/>
  <c r="F116" i="6"/>
  <c r="E105" i="6"/>
  <c r="E116" i="6"/>
  <c r="D105" i="6"/>
  <c r="D116" i="6"/>
  <c r="C105" i="6"/>
  <c r="C116" i="6"/>
  <c r="AC62" i="3"/>
  <c r="AD62" i="3"/>
  <c r="AF62" i="3"/>
  <c r="B104" i="6"/>
  <c r="Q104" i="6"/>
  <c r="Q115" i="6"/>
  <c r="P104" i="6"/>
  <c r="P115" i="6"/>
  <c r="O104" i="6"/>
  <c r="O115" i="6"/>
  <c r="N104" i="6"/>
  <c r="N115" i="6"/>
  <c r="M104" i="6"/>
  <c r="M115" i="6"/>
  <c r="L104" i="6"/>
  <c r="L115" i="6"/>
  <c r="K104" i="6"/>
  <c r="K115" i="6"/>
  <c r="J104" i="6"/>
  <c r="J115" i="6"/>
  <c r="I104" i="6"/>
  <c r="I115" i="6"/>
  <c r="H104" i="6"/>
  <c r="H115" i="6"/>
  <c r="G104" i="6"/>
  <c r="G115" i="6"/>
  <c r="F104" i="6"/>
  <c r="F115" i="6"/>
  <c r="E104" i="6"/>
  <c r="E115" i="6"/>
  <c r="D104" i="6"/>
  <c r="D115" i="6"/>
  <c r="C104" i="6"/>
  <c r="C115" i="6"/>
  <c r="AF61" i="3"/>
  <c r="B103" i="6"/>
  <c r="Q103" i="6"/>
  <c r="Q114" i="6"/>
  <c r="P103" i="6"/>
  <c r="P114" i="6"/>
  <c r="O103" i="6"/>
  <c r="O114" i="6"/>
  <c r="N103" i="6"/>
  <c r="N114" i="6"/>
  <c r="M103" i="6"/>
  <c r="M114" i="6"/>
  <c r="L103" i="6"/>
  <c r="L114" i="6"/>
  <c r="K103" i="6"/>
  <c r="K114" i="6"/>
  <c r="J103" i="6"/>
  <c r="J114" i="6"/>
  <c r="I103" i="6"/>
  <c r="I114" i="6"/>
  <c r="H103" i="6"/>
  <c r="H114" i="6"/>
  <c r="G103" i="6"/>
  <c r="G114" i="6"/>
  <c r="F103" i="6"/>
  <c r="F114" i="6"/>
  <c r="E103" i="6"/>
  <c r="E114" i="6"/>
  <c r="D103" i="6"/>
  <c r="D114" i="6"/>
  <c r="C103" i="6"/>
  <c r="C114" i="6"/>
  <c r="AF60" i="3"/>
  <c r="B102" i="6"/>
  <c r="Q102" i="6"/>
  <c r="Q113" i="6"/>
  <c r="P102" i="6"/>
  <c r="P113" i="6"/>
  <c r="O102" i="6"/>
  <c r="O113" i="6"/>
  <c r="N102" i="6"/>
  <c r="N113" i="6"/>
  <c r="M102" i="6"/>
  <c r="M113" i="6"/>
  <c r="L102" i="6"/>
  <c r="L113" i="6"/>
  <c r="K102" i="6"/>
  <c r="K113" i="6"/>
  <c r="J102" i="6"/>
  <c r="J113" i="6"/>
  <c r="I102" i="6"/>
  <c r="I113" i="6"/>
  <c r="H102" i="6"/>
  <c r="H113" i="6"/>
  <c r="G102" i="6"/>
  <c r="G113" i="6"/>
  <c r="F102" i="6"/>
  <c r="F113" i="6"/>
  <c r="E102" i="6"/>
  <c r="E113" i="6"/>
  <c r="D102" i="6"/>
  <c r="D113" i="6"/>
  <c r="C102" i="6"/>
  <c r="C113" i="6"/>
  <c r="Q101" i="6"/>
  <c r="Q112" i="6"/>
  <c r="P101" i="6"/>
  <c r="P112" i="6"/>
  <c r="O101" i="6"/>
  <c r="O112" i="6"/>
  <c r="N101" i="6"/>
  <c r="N112" i="6"/>
  <c r="M101" i="6"/>
  <c r="M112" i="6"/>
  <c r="L101" i="6"/>
  <c r="L112" i="6"/>
  <c r="K101" i="6"/>
  <c r="K112" i="6"/>
  <c r="J101" i="6"/>
  <c r="J112" i="6"/>
  <c r="I101" i="6"/>
  <c r="I112" i="6"/>
  <c r="H101" i="6"/>
  <c r="H112" i="6"/>
  <c r="G101" i="6"/>
  <c r="G112" i="6"/>
  <c r="F101" i="6"/>
  <c r="F112" i="6"/>
  <c r="E101" i="6"/>
  <c r="E112" i="6"/>
  <c r="D101" i="6"/>
  <c r="D112" i="6"/>
  <c r="S27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6" i="5"/>
  <c r="U11" i="5"/>
  <c r="V6" i="5"/>
  <c r="V11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B19" i="7"/>
  <c r="F17" i="5"/>
  <c r="U14" i="5"/>
  <c r="U16" i="5"/>
  <c r="V14" i="5"/>
  <c r="V16" i="5"/>
  <c r="V15" i="5"/>
  <c r="U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C6" i="1"/>
  <c r="C5" i="1"/>
  <c r="B12" i="9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L21" i="7"/>
  <c r="K21" i="7"/>
  <c r="H37" i="7"/>
  <c r="H36" i="7"/>
  <c r="H35" i="7"/>
  <c r="H34" i="7"/>
  <c r="H33" i="7"/>
  <c r="H32" i="7"/>
  <c r="H31" i="7"/>
  <c r="H30" i="7"/>
  <c r="H29" i="7"/>
  <c r="C58" i="1"/>
  <c r="S14" i="10"/>
  <c r="S9" i="10"/>
  <c r="I28" i="5"/>
  <c r="V28" i="5"/>
  <c r="G28" i="5"/>
  <c r="U28" i="5"/>
  <c r="G20" i="5"/>
  <c r="G21" i="5"/>
  <c r="U21" i="5"/>
  <c r="I20" i="5"/>
  <c r="I21" i="5"/>
  <c r="V21" i="5"/>
  <c r="G22" i="5"/>
  <c r="U22" i="5"/>
  <c r="I22" i="5"/>
  <c r="V22" i="5"/>
  <c r="J8" i="9"/>
  <c r="Y14" i="9"/>
  <c r="Y16" i="9"/>
  <c r="U20" i="5"/>
  <c r="V20" i="5"/>
  <c r="H51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28" i="5"/>
  <c r="J28" i="5"/>
  <c r="K28" i="5"/>
  <c r="L28" i="5"/>
  <c r="M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C64" i="1"/>
  <c r="G141" i="6"/>
  <c r="C75" i="6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C55" i="1"/>
  <c r="H52" i="6"/>
  <c r="C53" i="1"/>
  <c r="C76" i="6"/>
  <c r="C94" i="6"/>
  <c r="C93" i="6"/>
  <c r="C92" i="6"/>
  <c r="H91" i="6"/>
  <c r="C91" i="6"/>
  <c r="H90" i="6"/>
  <c r="C90" i="6"/>
  <c r="H89" i="6"/>
  <c r="C89" i="6"/>
  <c r="H73" i="6"/>
  <c r="C73" i="6"/>
  <c r="H74" i="6"/>
  <c r="C74" i="6"/>
  <c r="H72" i="6"/>
  <c r="C72" i="6"/>
  <c r="H71" i="6"/>
  <c r="C71" i="6"/>
  <c r="H66" i="6"/>
  <c r="C66" i="6"/>
  <c r="H67" i="6"/>
  <c r="C67" i="6"/>
  <c r="H68" i="6"/>
  <c r="C68" i="6"/>
  <c r="C64" i="6"/>
  <c r="C63" i="6"/>
  <c r="H59" i="6"/>
  <c r="C59" i="6"/>
  <c r="H58" i="6"/>
  <c r="C58" i="6"/>
  <c r="H80" i="6"/>
  <c r="C80" i="6"/>
  <c r="H81" i="6"/>
  <c r="C81" i="6"/>
  <c r="H82" i="6"/>
  <c r="C82" i="6"/>
  <c r="H83" i="6"/>
  <c r="C83" i="6"/>
  <c r="H85" i="6"/>
  <c r="C85" i="6"/>
  <c r="C86" i="6"/>
  <c r="H79" i="6"/>
  <c r="C79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94" i="6"/>
  <c r="B93" i="6"/>
  <c r="B92" i="6"/>
  <c r="M60" i="3"/>
  <c r="X57" i="5"/>
  <c r="T33" i="5"/>
  <c r="F33" i="5"/>
  <c r="F34" i="5"/>
  <c r="T30" i="5"/>
  <c r="F30" i="5"/>
  <c r="F31" i="5"/>
  <c r="T34" i="5"/>
  <c r="T31" i="5"/>
  <c r="Q70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P19" i="5"/>
  <c r="L53" i="2"/>
  <c r="L52" i="2"/>
  <c r="D14" i="9"/>
  <c r="B14" i="9"/>
  <c r="I53" i="6"/>
  <c r="B13" i="9"/>
  <c r="Q60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61" i="6"/>
  <c r="Q57" i="6"/>
  <c r="Q56" i="6"/>
  <c r="Q55" i="6"/>
  <c r="Q54" i="6"/>
  <c r="Q53" i="6"/>
  <c r="Q52" i="6"/>
  <c r="Q51" i="6"/>
  <c r="AR19" i="5"/>
  <c r="AL19" i="5"/>
  <c r="AF19" i="5"/>
  <c r="O22" i="5"/>
  <c r="J22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T21" i="5"/>
  <c r="S21" i="5"/>
  <c r="R21" i="5"/>
  <c r="Q21" i="5"/>
  <c r="P21" i="5"/>
  <c r="O21" i="5"/>
  <c r="N21" i="5"/>
  <c r="M21" i="5"/>
  <c r="L21" i="5"/>
  <c r="K21" i="5"/>
  <c r="J21" i="5"/>
  <c r="H21" i="5"/>
  <c r="R9" i="4"/>
  <c r="R10" i="4"/>
  <c r="R11" i="4"/>
  <c r="B73" i="3"/>
  <c r="B74" i="3"/>
  <c r="C72" i="3"/>
  <c r="D72" i="3"/>
  <c r="E72" i="3"/>
  <c r="C68" i="3"/>
  <c r="D68" i="3"/>
  <c r="E68" i="3"/>
  <c r="C67" i="3"/>
  <c r="D67" i="3"/>
  <c r="E67" i="3"/>
  <c r="C66" i="3"/>
  <c r="D66" i="3"/>
  <c r="E6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C14" i="1"/>
  <c r="C73" i="3"/>
  <c r="D73" i="3"/>
  <c r="E73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D24" i="8"/>
  <c r="E53" i="6"/>
  <c r="H53" i="6"/>
  <c r="C65" i="1"/>
  <c r="G113" i="1"/>
  <c r="K114" i="1"/>
  <c r="C114" i="1"/>
  <c r="M22" i="5"/>
  <c r="E114" i="1"/>
  <c r="K22" i="5"/>
  <c r="Q22" i="5"/>
  <c r="AI19" i="5"/>
  <c r="AM19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N22" i="5"/>
  <c r="S22" i="5"/>
  <c r="AE19" i="5"/>
  <c r="AK19" i="5"/>
  <c r="AQ19" i="5"/>
  <c r="C65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R22" i="5"/>
  <c r="AD19" i="5"/>
  <c r="AJ19" i="5"/>
  <c r="AN19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4" i="1"/>
  <c r="E115" i="1"/>
  <c r="L113" i="1"/>
  <c r="H54" i="6"/>
  <c r="D133" i="5"/>
  <c r="D134" i="5"/>
  <c r="B137" i="5"/>
  <c r="B140" i="5"/>
  <c r="C28" i="8"/>
  <c r="B75" i="3"/>
  <c r="C75" i="3"/>
  <c r="D75" i="3"/>
  <c r="E75" i="3"/>
  <c r="C74" i="3"/>
  <c r="D74" i="3"/>
  <c r="E74" i="3"/>
  <c r="O56" i="6"/>
  <c r="P56" i="6"/>
  <c r="O54" i="6"/>
  <c r="P54" i="6"/>
  <c r="O57" i="6"/>
  <c r="P57" i="6"/>
  <c r="F113" i="1"/>
  <c r="F112" i="1"/>
  <c r="C84" i="6"/>
  <c r="I14" i="9"/>
  <c r="Q14" i="9"/>
  <c r="AB14" i="9"/>
  <c r="AC16" i="9"/>
  <c r="L115" i="1"/>
  <c r="AG19" i="5"/>
  <c r="AO19" i="5"/>
  <c r="W14" i="9"/>
  <c r="O14" i="9"/>
  <c r="H64" i="3"/>
  <c r="N114" i="1"/>
  <c r="H22" i="5"/>
  <c r="L22" i="5"/>
  <c r="P22" i="5"/>
  <c r="T22" i="5"/>
  <c r="AH19" i="5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R134" i="1"/>
  <c r="R110" i="1"/>
  <c r="R94" i="1"/>
  <c r="R98" i="1"/>
  <c r="R101" i="1"/>
  <c r="R117" i="1"/>
  <c r="R111" i="1"/>
  <c r="R124" i="1"/>
  <c r="R93" i="1"/>
  <c r="R103" i="1"/>
  <c r="R97" i="1"/>
  <c r="R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R52" i="1"/>
  <c r="R34" i="1"/>
  <c r="R16" i="1"/>
  <c r="R31" i="1"/>
  <c r="R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R88" i="1"/>
  <c r="R32" i="1"/>
  <c r="R60" i="1"/>
  <c r="R33" i="1"/>
  <c r="R22" i="1"/>
  <c r="R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R66" i="1"/>
  <c r="R57" i="1"/>
  <c r="R20" i="1"/>
  <c r="R120" i="1"/>
  <c r="R48" i="1"/>
  <c r="R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61" i="6"/>
  <c r="P61" i="6"/>
  <c r="O70" i="6"/>
  <c r="P70" i="6"/>
  <c r="O60" i="6"/>
  <c r="P60" i="6"/>
  <c r="C53" i="6"/>
  <c r="C56" i="1"/>
  <c r="O55" i="6"/>
  <c r="P55" i="6"/>
  <c r="O53" i="6"/>
  <c r="P53" i="6"/>
  <c r="O52" i="6"/>
  <c r="P52" i="6"/>
  <c r="O51" i="6"/>
  <c r="P51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L45" i="2"/>
  <c r="C27" i="8"/>
  <c r="C29" i="8"/>
  <c r="C30" i="8"/>
  <c r="C32" i="8"/>
  <c r="C81" i="1"/>
  <c r="C25" i="1"/>
  <c r="C29" i="1"/>
  <c r="G43" i="5"/>
  <c r="P35" i="5"/>
  <c r="L35" i="5"/>
  <c r="S43" i="5"/>
  <c r="F35" i="5"/>
  <c r="T35" i="5"/>
  <c r="I43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55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R53" i="1"/>
  <c r="R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R65" i="1"/>
  <c r="R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C37" i="1"/>
  <c r="C90" i="1"/>
  <c r="C92" i="1"/>
  <c r="C91" i="1"/>
  <c r="C82" i="1"/>
  <c r="D33" i="4"/>
  <c r="D32" i="4"/>
  <c r="D31" i="4"/>
  <c r="C20" i="7"/>
  <c r="C19" i="7"/>
  <c r="C36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C73" i="1"/>
  <c r="C74" i="1"/>
  <c r="C75" i="1"/>
  <c r="I118" i="6"/>
  <c r="I139" i="6"/>
  <c r="G118" i="6"/>
  <c r="G139" i="6"/>
  <c r="K2" i="6"/>
  <c r="J118" i="6"/>
  <c r="J139" i="6"/>
  <c r="N118" i="6"/>
  <c r="N139" i="6"/>
  <c r="H118" i="6"/>
  <c r="H139" i="6"/>
  <c r="E118" i="6"/>
  <c r="E139" i="6"/>
  <c r="M2" i="6"/>
  <c r="O118" i="6"/>
  <c r="O139" i="6"/>
  <c r="M118" i="6"/>
  <c r="M139" i="6"/>
  <c r="Q118" i="6"/>
  <c r="Q139" i="6"/>
  <c r="N2" i="6"/>
  <c r="D118" i="6"/>
  <c r="D139" i="6"/>
  <c r="L118" i="6"/>
  <c r="L139" i="6"/>
  <c r="I2" i="6"/>
  <c r="C118" i="6"/>
  <c r="C139" i="6"/>
  <c r="K118" i="6"/>
  <c r="K139" i="6"/>
  <c r="O2" i="6"/>
  <c r="P118" i="6"/>
  <c r="P139" i="6"/>
  <c r="J2" i="6"/>
  <c r="F118" i="6"/>
  <c r="F139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C13" i="1"/>
  <c r="C89" i="1"/>
  <c r="N46" i="5"/>
  <c r="O46" i="5"/>
  <c r="R46" i="5"/>
  <c r="J46" i="5"/>
  <c r="G46" i="5"/>
  <c r="I46" i="5"/>
  <c r="M46" i="5"/>
  <c r="F46" i="5"/>
  <c r="T46" i="5"/>
  <c r="L46" i="5"/>
  <c r="P46" i="5"/>
  <c r="K46" i="5"/>
  <c r="S46" i="5"/>
  <c r="Q46" i="5"/>
  <c r="H46" i="5"/>
  <c r="U54" i="3"/>
  <c r="U55" i="3"/>
  <c r="U56" i="3"/>
  <c r="AB54" i="3"/>
  <c r="AB55" i="3"/>
  <c r="C35" i="1"/>
  <c r="L54" i="6"/>
  <c r="K54" i="6"/>
  <c r="AC54" i="3"/>
  <c r="AC55" i="3"/>
  <c r="L53" i="6"/>
  <c r="AD54" i="3"/>
  <c r="AD55" i="3"/>
  <c r="AG54" i="3"/>
  <c r="AG55" i="3"/>
  <c r="L51" i="6"/>
  <c r="AF54" i="3"/>
  <c r="AF55" i="3"/>
  <c r="Y54" i="3"/>
  <c r="Y55" i="3"/>
  <c r="Y56" i="3"/>
  <c r="K51" i="6"/>
  <c r="K53" i="6"/>
  <c r="Q54" i="3"/>
  <c r="Q55" i="3"/>
  <c r="Q56" i="3"/>
  <c r="AE54" i="3"/>
  <c r="AE55" i="3"/>
  <c r="AE59" i="3"/>
  <c r="K52" i="6"/>
  <c r="L52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R7" i="1"/>
  <c r="AG56" i="3"/>
  <c r="AG57" i="3"/>
  <c r="AE62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C118" i="1"/>
  <c r="B16" i="9"/>
  <c r="K7" i="1"/>
  <c r="AE57" i="3"/>
  <c r="AE56" i="3"/>
  <c r="I7" i="1"/>
  <c r="G7" i="1"/>
  <c r="AC56" i="3"/>
  <c r="AC57" i="3"/>
  <c r="P7" i="1"/>
  <c r="AB57" i="3"/>
  <c r="AB56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K45" i="5"/>
  <c r="J45" i="5"/>
  <c r="T45" i="5"/>
  <c r="Q45" i="5"/>
  <c r="I45" i="5"/>
  <c r="O45" i="5"/>
  <c r="N45" i="5"/>
  <c r="F45" i="5"/>
  <c r="L45" i="5"/>
  <c r="S45" i="5"/>
  <c r="G45" i="5"/>
  <c r="P45" i="5"/>
  <c r="M45" i="5"/>
  <c r="H45" i="5"/>
  <c r="R45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AE61" i="3"/>
  <c r="M7" i="1"/>
  <c r="O7" i="1"/>
  <c r="Q7" i="1"/>
  <c r="AE64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D7" i="1"/>
  <c r="F7" i="1"/>
  <c r="H7" i="1"/>
  <c r="AE60" i="3"/>
  <c r="AF56" i="3"/>
  <c r="AF57" i="3"/>
  <c r="N7" i="1"/>
  <c r="AD56" i="3"/>
  <c r="AD57" i="3"/>
  <c r="C7" i="1"/>
  <c r="AE63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B113" i="6"/>
  <c r="B134" i="6"/>
  <c r="B124" i="6"/>
  <c r="B146" i="6"/>
  <c r="B149" i="6"/>
  <c r="B127" i="6"/>
  <c r="B116" i="6"/>
  <c r="B137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B148" i="6"/>
  <c r="B136" i="6"/>
  <c r="B115" i="6"/>
  <c r="B126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B117" i="6"/>
  <c r="B138" i="6"/>
  <c r="B150" i="6"/>
  <c r="B128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B147" i="6"/>
  <c r="B125" i="6"/>
  <c r="B135" i="6"/>
  <c r="B114" i="6"/>
  <c r="R44" i="5"/>
  <c r="H44" i="5"/>
  <c r="I44" i="5"/>
  <c r="L44" i="5"/>
  <c r="O44" i="5"/>
  <c r="P44" i="5"/>
  <c r="J44" i="5"/>
  <c r="M44" i="5"/>
  <c r="K44" i="5"/>
  <c r="N44" i="5"/>
  <c r="Q44" i="5"/>
  <c r="F44" i="5"/>
  <c r="S44" i="5"/>
  <c r="T44" i="5"/>
  <c r="G44" i="5"/>
  <c r="B133" i="6"/>
  <c r="B123" i="6"/>
  <c r="B112" i="6"/>
  <c r="B145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F124" i="6"/>
  <c r="F134" i="6"/>
  <c r="F146" i="6"/>
  <c r="J135" i="6"/>
  <c r="J147" i="6"/>
  <c r="J125" i="6"/>
  <c r="C124" i="6"/>
  <c r="C134" i="6"/>
  <c r="C146" i="6"/>
  <c r="J124" i="6"/>
  <c r="J134" i="6"/>
  <c r="J146" i="6"/>
  <c r="M134" i="6"/>
  <c r="M146" i="6"/>
  <c r="M124" i="6"/>
  <c r="O135" i="6"/>
  <c r="O147" i="6"/>
  <c r="O125" i="6"/>
  <c r="G125" i="6"/>
  <c r="G135" i="6"/>
  <c r="G147" i="6"/>
  <c r="P137" i="6"/>
  <c r="P149" i="6"/>
  <c r="P127" i="6"/>
  <c r="P134" i="6"/>
  <c r="P146" i="6"/>
  <c r="P124" i="6"/>
  <c r="D124" i="6"/>
  <c r="D134" i="6"/>
  <c r="D146" i="6"/>
  <c r="L124" i="6"/>
  <c r="L134" i="6"/>
  <c r="L146" i="6"/>
  <c r="H124" i="6"/>
  <c r="H134" i="6"/>
  <c r="H146" i="6"/>
  <c r="N135" i="6"/>
  <c r="N147" i="6"/>
  <c r="N125" i="6"/>
  <c r="E135" i="6"/>
  <c r="E147" i="6"/>
  <c r="E125" i="6"/>
  <c r="L125" i="6"/>
  <c r="L135" i="6"/>
  <c r="L147" i="6"/>
  <c r="C135" i="6"/>
  <c r="C147" i="6"/>
  <c r="C125" i="6"/>
  <c r="F137" i="6"/>
  <c r="F149" i="6"/>
  <c r="F127" i="6"/>
  <c r="J127" i="6"/>
  <c r="J137" i="6"/>
  <c r="J149" i="6"/>
  <c r="C137" i="6"/>
  <c r="C149" i="6"/>
  <c r="C127" i="6"/>
  <c r="D138" i="6"/>
  <c r="D150" i="6"/>
  <c r="D128" i="6"/>
  <c r="J128" i="6"/>
  <c r="J138" i="6"/>
  <c r="J150" i="6"/>
  <c r="P138" i="6"/>
  <c r="P150" i="6"/>
  <c r="P128" i="6"/>
  <c r="F128" i="6"/>
  <c r="F138" i="6"/>
  <c r="F150" i="6"/>
  <c r="D136" i="6"/>
  <c r="D148" i="6"/>
  <c r="D126" i="6"/>
  <c r="M136" i="6"/>
  <c r="M148" i="6"/>
  <c r="M126" i="6"/>
  <c r="H136" i="6"/>
  <c r="H148" i="6"/>
  <c r="H126" i="6"/>
  <c r="Q136" i="6"/>
  <c r="Q148" i="6"/>
  <c r="Q126" i="6"/>
  <c r="I124" i="6"/>
  <c r="I134" i="6"/>
  <c r="I146" i="6"/>
  <c r="Q135" i="6"/>
  <c r="Q147" i="6"/>
  <c r="Q125" i="6"/>
  <c r="N137" i="6"/>
  <c r="N149" i="6"/>
  <c r="N127" i="6"/>
  <c r="G137" i="6"/>
  <c r="G149" i="6"/>
  <c r="G127" i="6"/>
  <c r="C128" i="6"/>
  <c r="C138" i="6"/>
  <c r="C150" i="6"/>
  <c r="L138" i="6"/>
  <c r="L150" i="6"/>
  <c r="L128" i="6"/>
  <c r="O138" i="6"/>
  <c r="O150" i="6"/>
  <c r="O128" i="6"/>
  <c r="K138" i="6"/>
  <c r="K150" i="6"/>
  <c r="K128" i="6"/>
  <c r="C136" i="6"/>
  <c r="C148" i="6"/>
  <c r="C126" i="6"/>
  <c r="N136" i="6"/>
  <c r="N148" i="6"/>
  <c r="N126" i="6"/>
  <c r="K126" i="6"/>
  <c r="K136" i="6"/>
  <c r="K148" i="6"/>
  <c r="K124" i="6"/>
  <c r="K134" i="6"/>
  <c r="K146" i="6"/>
  <c r="P125" i="6"/>
  <c r="P135" i="6"/>
  <c r="P147" i="6"/>
  <c r="D135" i="6"/>
  <c r="D147" i="6"/>
  <c r="D125" i="6"/>
  <c r="Q127" i="6"/>
  <c r="Q137" i="6"/>
  <c r="Q149" i="6"/>
  <c r="L127" i="6"/>
  <c r="L137" i="6"/>
  <c r="L149" i="6"/>
  <c r="G124" i="6"/>
  <c r="G134" i="6"/>
  <c r="G146" i="6"/>
  <c r="E124" i="6"/>
  <c r="E134" i="6"/>
  <c r="E146" i="6"/>
  <c r="N124" i="6"/>
  <c r="N134" i="6"/>
  <c r="N146" i="6"/>
  <c r="I125" i="6"/>
  <c r="I135" i="6"/>
  <c r="I147" i="6"/>
  <c r="K135" i="6"/>
  <c r="K147" i="6"/>
  <c r="K125" i="6"/>
  <c r="H125" i="6"/>
  <c r="H135" i="6"/>
  <c r="H147" i="6"/>
  <c r="F135" i="6"/>
  <c r="F147" i="6"/>
  <c r="F125" i="6"/>
  <c r="M127" i="6"/>
  <c r="M137" i="6"/>
  <c r="M149" i="6"/>
  <c r="H137" i="6"/>
  <c r="H149" i="6"/>
  <c r="H127" i="6"/>
  <c r="K127" i="6"/>
  <c r="K137" i="6"/>
  <c r="K149" i="6"/>
  <c r="E137" i="6"/>
  <c r="E149" i="6"/>
  <c r="E127" i="6"/>
  <c r="H128" i="6"/>
  <c r="H138" i="6"/>
  <c r="H150" i="6"/>
  <c r="I128" i="6"/>
  <c r="I138" i="6"/>
  <c r="I150" i="6"/>
  <c r="M128" i="6"/>
  <c r="M138" i="6"/>
  <c r="M150" i="6"/>
  <c r="N128" i="6"/>
  <c r="N138" i="6"/>
  <c r="N150" i="6"/>
  <c r="J136" i="6"/>
  <c r="J148" i="6"/>
  <c r="J126" i="6"/>
  <c r="E136" i="6"/>
  <c r="E148" i="6"/>
  <c r="E126" i="6"/>
  <c r="O136" i="6"/>
  <c r="O148" i="6"/>
  <c r="O126" i="6"/>
  <c r="L126" i="6"/>
  <c r="L136" i="6"/>
  <c r="L148" i="6"/>
  <c r="O134" i="6"/>
  <c r="O146" i="6"/>
  <c r="O124" i="6"/>
  <c r="Q124" i="6"/>
  <c r="Q134" i="6"/>
  <c r="Q146" i="6"/>
  <c r="M125" i="6"/>
  <c r="M135" i="6"/>
  <c r="M147" i="6"/>
  <c r="I137" i="6"/>
  <c r="I149" i="6"/>
  <c r="I127" i="6"/>
  <c r="D127" i="6"/>
  <c r="D137" i="6"/>
  <c r="D149" i="6"/>
  <c r="O137" i="6"/>
  <c r="O149" i="6"/>
  <c r="O127" i="6"/>
  <c r="E128" i="6"/>
  <c r="E138" i="6"/>
  <c r="E150" i="6"/>
  <c r="G138" i="6"/>
  <c r="G150" i="6"/>
  <c r="G128" i="6"/>
  <c r="Q128" i="6"/>
  <c r="Q138" i="6"/>
  <c r="Q150" i="6"/>
  <c r="P126" i="6"/>
  <c r="P136" i="6"/>
  <c r="P148" i="6"/>
  <c r="F126" i="6"/>
  <c r="F136" i="6"/>
  <c r="F148" i="6"/>
  <c r="I126" i="6"/>
  <c r="I136" i="6"/>
  <c r="I148" i="6"/>
  <c r="G136" i="6"/>
  <c r="G148" i="6"/>
  <c r="G126" i="6"/>
  <c r="F123" i="6"/>
  <c r="F133" i="6"/>
  <c r="F145" i="6"/>
  <c r="P123" i="6"/>
  <c r="P133" i="6"/>
  <c r="P145" i="6"/>
  <c r="O123" i="6"/>
  <c r="O133" i="6"/>
  <c r="O145" i="6"/>
  <c r="E123" i="6"/>
  <c r="E133" i="6"/>
  <c r="E145" i="6"/>
  <c r="L133" i="6"/>
  <c r="L145" i="6"/>
  <c r="L123" i="6"/>
  <c r="N123" i="6"/>
  <c r="N133" i="6"/>
  <c r="N145" i="6"/>
  <c r="I123" i="6"/>
  <c r="I133" i="6"/>
  <c r="I145" i="6"/>
  <c r="C123" i="6"/>
  <c r="M123" i="6"/>
  <c r="M133" i="6"/>
  <c r="M145" i="6"/>
  <c r="H123" i="6"/>
  <c r="H133" i="6"/>
  <c r="H145" i="6"/>
  <c r="K133" i="6"/>
  <c r="K145" i="6"/>
  <c r="K123" i="6"/>
  <c r="G123" i="6"/>
  <c r="G133" i="6"/>
  <c r="G145" i="6"/>
  <c r="D123" i="6"/>
  <c r="D133" i="6"/>
  <c r="D145" i="6"/>
  <c r="Q123" i="6"/>
  <c r="Q133" i="6"/>
  <c r="Q145" i="6"/>
  <c r="J123" i="6"/>
  <c r="J133" i="6"/>
  <c r="J145" i="6"/>
  <c r="C145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<sst xmlns="http://schemas.openxmlformats.org/spreadsheetml/2006/main" count="2862" uniqueCount="1391">
  <si>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</si>
  <si>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</si>
  <si>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</si>
  <si>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</si>
  <si>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</si>
  <si>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</si>
  <si>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</si>
  <si>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</si>
  <si>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</si>
  <si>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</si>
  <si>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</si>
  <si>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</si>
  <si>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</si>
  <si>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</si>
  <si>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</si>
  <si>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</si>
  <si>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</si>
  <si>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</si>
  <si>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</si>
  <si>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</si>
  <si>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</si>
  <si>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</si>
  <si>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</si>
  <si>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</si>
  <si>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</si>
  <si>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</si>
  <si>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</si>
  <si>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</si>
  <si>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</si>
  <si>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</si>
  <si>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</si>
  <si>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</si>
  <si>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</si>
  <si>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</si>
  <si>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</si>
  <si>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</si>
  <si>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</si>
  <si>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</si>
  <si>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</si>
  <si>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</si>
  <si>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</si>
  <si>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</si>
  <si>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</si>
  <si>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</si>
  <si>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</si>
  <si>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</si>
  <si>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</si>
  <si>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</si>
  <si>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</si>
  <si>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</si>
  <si>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</si>
  <si>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</si>
  <si>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</si>
  <si>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</si>
  <si>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</si>
  <si>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</si>
  <si>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</si>
  <si>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</si>
  <si>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</si>
  <si>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</si>
  <si>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</si>
  <si>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</si>
  <si>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</si>
  <si>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</si>
  <si>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</si>
  <si>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</si>
  <si>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</si>
  <si>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</si>
  <si>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</si>
  <si>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</si>
  <si>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</si>
  <si>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</si>
  <si>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</si>
  <si>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</si>
  <si>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</si>
  <si>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</si>
  <si>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</si>
  <si>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</si>
  <si>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</si>
  <si>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</si>
  <si>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</si>
  <si>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</si>
  <si>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</si>
  <si>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</si>
  <si>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</si>
  <si>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</si>
  <si>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</si>
  <si>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</si>
  <si>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</si>
  <si>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</si>
  <si>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</si>
  <si>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</si>
  <si>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</si>
  <si>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</si>
  <si>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</si>
  <si>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</si>
  <si>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</si>
  <si>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</si>
  <si>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</si>
  <si>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</si>
  <si>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</si>
  <si>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</si>
  <si>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</si>
  <si>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</si>
  <si>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</si>
  <si>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</si>
  <si>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</si>
  <si>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</si>
  <si>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</si>
  <si>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</si>
  <si>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</si>
  <si>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</si>
  <si>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</si>
  <si>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</si>
  <si>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</si>
  <si>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</si>
  <si>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</si>
  <si>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</si>
  <si>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</si>
  <si>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</si>
  <si>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</si>
  <si>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</si>
  <si>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</si>
  <si>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</si>
  <si>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</si>
  <si>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</si>
  <si>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</si>
  <si>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</si>
  <si>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</si>
  <si>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</si>
  <si>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</si>
  <si>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</si>
  <si>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</si>
  <si>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</si>
  <si>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</si>
  <si>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</si>
  <si>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</si>
  <si>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</si>
  <si>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</si>
  <si>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</si>
  <si>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</si>
  <si>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</si>
  <si>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</si>
  <si>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</si>
  <si>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</si>
  <si>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</si>
  <si>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</si>
  <si>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</si>
  <si>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</si>
  <si>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</si>
  <si>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</si>
  <si>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</si>
  <si>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</si>
  <si>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</si>
  <si>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</si>
  <si>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</si>
  <si>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</si>
  <si>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</si>
  <si>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</si>
  <si>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</si>
  <si>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</si>
  <si>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</si>
  <si>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</si>
  <si>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</si>
  <si>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</si>
  <si>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</si>
  <si>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</si>
  <si>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</si>
  <si>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</si>
  <si>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</si>
  <si>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</si>
  <si>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</si>
  <si>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</si>
  <si>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</si>
  <si>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</si>
  <si>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</si>
  <si>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</si>
  <si>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</si>
  <si>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</si>
  <si>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</si>
  <si>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</si>
  <si>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</si>
  <si>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</si>
  <si>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</si>
  <si>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</si>
  <si>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</si>
  <si>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</si>
  <si>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</si>
  <si>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</si>
  <si>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</si>
  <si>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</si>
  <si>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</si>
  <si>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</si>
  <si>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</si>
  <si>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</si>
  <si>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</si>
  <si>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</si>
  <si>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</si>
  <si>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</si>
  <si>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</si>
  <si>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</si>
  <si>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</si>
  <si>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</si>
  <si>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</si>
  <si>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</si>
  <si>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</si>
  <si>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</si>
  <si>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</si>
  <si>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</si>
  <si>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</si>
  <si>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</si>
  <si>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</si>
  <si>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</si>
  <si>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</si>
  <si>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</si>
  <si>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</si>
  <si>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</si>
  <si>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</si>
  <si>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</si>
  <si>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</si>
  <si>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</si>
  <si>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</si>
  <si>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</si>
  <si>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</si>
  <si>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</si>
  <si>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</si>
  <si>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</si>
  <si>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</si>
  <si>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</si>
  <si>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</si>
  <si>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</si>
  <si>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</si>
  <si>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</si>
  <si>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</si>
  <si>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</si>
  <si>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</si>
  <si>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</si>
  <si>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</si>
  <si>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</si>
  <si>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</si>
  <si>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</si>
  <si>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</si>
  <si>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</si>
  <si>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</si>
  <si>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</si>
  <si>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</si>
  <si>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</si>
  <si>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</si>
  <si>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</si>
  <si>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</si>
  <si>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</si>
  <si>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</si>
  <si>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</si>
  <si>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</si>
  <si>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</si>
  <si>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</si>
  <si>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</si>
  <si>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</si>
  <si>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</si>
  <si>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</si>
  <si>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</si>
  <si>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</si>
  <si>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</si>
  <si>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</si>
  <si>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</si>
  <si>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</si>
  <si>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</si>
  <si>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</si>
  <si>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</si>
  <si>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</si>
  <si>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</si>
  <si>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</si>
  <si>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</si>
  <si>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</si>
  <si>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</si>
  <si>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</si>
  <si>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</si>
  <si>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</si>
  <si>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</si>
  <si>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</si>
  <si>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</si>
  <si>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</si>
  <si>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</si>
  <si>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</si>
  <si>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</si>
  <si>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</si>
  <si>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</si>
  <si>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</si>
  <si>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</si>
  <si>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</si>
  <si>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</si>
  <si>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</si>
  <si>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</si>
  <si>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</si>
  <si>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</si>
  <si>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</si>
  <si>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</si>
  <si>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</si>
  <si>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</si>
  <si>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</si>
  <si>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</si>
  <si>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</si>
  <si>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</si>
  <si>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</si>
  <si>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</si>
  <si>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</si>
  <si>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</si>
  <si>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</si>
  <si>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</si>
  <si>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</si>
  <si>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</si>
  <si>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</si>
  <si>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</si>
  <si>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</si>
  <si>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</si>
  <si>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</si>
  <si>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</si>
  <si>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</si>
  <si>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</si>
  <si>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</si>
  <si>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</si>
  <si>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</si>
  <si>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</si>
  <si>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</si>
  <si>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</si>
  <si>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</si>
  <si>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</si>
  <si>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</si>
  <si>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</si>
  <si>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</si>
  <si>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</si>
  <si>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</si>
  <si>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</si>
  <si>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</si>
  <si>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</si>
  <si>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</si>
  <si>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</si>
  <si>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</si>
  <si>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</si>
  <si>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</si>
  <si>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</si>
  <si>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</si>
  <si>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</si>
  <si>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</si>
  <si>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</si>
  <si>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</si>
  <si>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</si>
  <si>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</si>
  <si>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</si>
  <si>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</si>
  <si>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</si>
  <si>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</si>
  <si>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</si>
  <si>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</si>
  <si>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</si>
  <si>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</si>
  <si>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</si>
  <si>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</si>
  <si>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</si>
  <si>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</si>
  <si>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</si>
  <si>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</si>
  <si>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</si>
  <si>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</si>
  <si>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</si>
  <si>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</si>
  <si>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</si>
  <si>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</si>
  <si>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</si>
  <si>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</si>
  <si>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</si>
  <si>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</si>
  <si>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</si>
  <si>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</si>
  <si>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</si>
  <si>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</si>
  <si>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</si>
  <si>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</si>
  <si>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</si>
  <si>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</si>
  <si>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</si>
  <si>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</si>
  <si>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</si>
  <si>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</si>
  <si>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</si>
  <si>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</si>
  <si>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</si>
  <si>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</si>
  <si>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</si>
  <si>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</si>
  <si>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</si>
  <si>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</si>
  <si>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</si>
  <si>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</si>
  <si>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</si>
  <si>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</si>
  <si>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</si>
  <si>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</si>
  <si>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</si>
  <si>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</si>
  <si>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</si>
  <si>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</si>
  <si>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</si>
  <si>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</si>
  <si>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</si>
  <si>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</si>
  <si>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</si>
  <si>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</si>
  <si>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</si>
  <si>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</si>
  <si>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</si>
  <si>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</si>
  <si>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</si>
  <si>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</si>
  <si>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</si>
  <si>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</si>
  <si>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</si>
  <si>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</si>
  <si>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</si>
  <si>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</si>
  <si>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</si>
  <si>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</si>
  <si>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</si>
  <si>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</si>
  <si>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</si>
  <si>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</si>
  <si>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</si>
  <si>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</si>
  <si>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</si>
  <si>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</si>
  <si>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</si>
  <si>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</si>
  <si>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</si>
  <si>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</si>
  <si>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</si>
  <si>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</si>
  <si>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</si>
  <si>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</si>
  <si>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</si>
  <si>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</si>
  <si>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</si>
  <si>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</si>
  <si>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</si>
  <si>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</si>
  <si>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</si>
  <si>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</si>
  <si>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</si>
  <si>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</si>
  <si>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</si>
  <si>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</si>
  <si>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</si>
  <si>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</si>
  <si>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</si>
  <si>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</si>
  <si>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</si>
  <si>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</si>
  <si>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</si>
  <si>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</si>
  <si>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</si>
  <si>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</si>
  <si>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</si>
  <si>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</si>
  <si>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</si>
  <si>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</si>
  <si>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</si>
  <si>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</si>
  <si>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</si>
  <si>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</si>
  <si>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</si>
  <si>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</si>
  <si>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</si>
  <si>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</si>
  <si>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</si>
  <si>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</si>
  <si>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</si>
  <si>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</si>
  <si>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</si>
  <si>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</si>
  <si>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</si>
  <si>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</si>
  <si>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</si>
  <si>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</si>
  <si>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</si>
  <si>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</si>
  <si>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</si>
  <si>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</si>
  <si>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</si>
  <si>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</si>
  <si>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</si>
  <si>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</si>
  <si>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</si>
  <si>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</si>
  <si>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</si>
  <si>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</si>
  <si>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</si>
  <si>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</si>
  <si>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</si>
  <si>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</si>
  <si>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</si>
  <si>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</si>
  <si>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</si>
  <si>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</si>
  <si>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</si>
  <si>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</si>
  <si>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</si>
  <si>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</si>
  <si>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</si>
  <si>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</si>
  <si>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</si>
  <si>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</si>
  <si>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</si>
  <si>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</si>
  <si>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</si>
  <si>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</si>
  <si>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</si>
  <si>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</si>
  <si>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</si>
  <si>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</si>
  <si>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</si>
  <si>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</si>
  <si>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</si>
  <si>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</si>
  <si>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</si>
  <si>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</si>
  <si>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</si>
  <si>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</si>
  <si>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</si>
  <si>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</si>
  <si>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</si>
  <si>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</si>
  <si>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</si>
  <si>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</si>
  <si>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</si>
  <si>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</si>
  <si>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</si>
  <si>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</si>
  <si>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</si>
  <si>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</si>
  <si>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</si>
  <si>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</si>
  <si>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</si>
  <si>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</si>
  <si>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</si>
  <si>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</si>
  <si>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</si>
  <si>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</si>
  <si>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</si>
  <si>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</si>
  <si>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</si>
  <si>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</si>
  <si>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</si>
  <si>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</si>
  <si>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</si>
  <si>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</si>
  <si>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</si>
  <si>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</si>
  <si>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</si>
  <si>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</si>
  <si>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</si>
  <si>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</si>
  <si>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</si>
  <si>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</si>
  <si>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</si>
  <si>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</si>
  <si>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</si>
  <si>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</si>
  <si>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</si>
  <si>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</si>
  <si>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</si>
  <si>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</si>
  <si>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</si>
  <si>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</si>
  <si>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</si>
  <si>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</si>
  <si>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</si>
  <si>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</si>
  <si>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</si>
  <si>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</si>
  <si>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</si>
  <si>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</si>
  <si>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</si>
  <si>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</si>
  <si>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</si>
  <si>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</si>
  <si>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</si>
  <si>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</si>
  <si>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</si>
  <si>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</si>
  <si>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</si>
  <si>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</si>
  <si>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</si>
  <si>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</si>
  <si>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</si>
  <si>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</si>
  <si>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</si>
  <si>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</si>
  <si>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</si>
  <si>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</si>
  <si>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</si>
  <si>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</si>
  <si>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</si>
  <si>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</si>
  <si>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</si>
  <si>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</si>
  <si>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</si>
  <si>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</si>
  <si>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</si>
  <si>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</si>
  <si>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</si>
  <si>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</si>
  <si>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</si>
  <si>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</si>
  <si>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</si>
  <si>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</si>
  <si>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</si>
  <si>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</si>
  <si>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</si>
  <si>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</si>
  <si>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</si>
  <si>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</si>
  <si>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</si>
  <si>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</si>
  <si>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</si>
  <si>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</si>
  <si>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</si>
  <si>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</si>
  <si>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</si>
  <si>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</si>
  <si>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</si>
  <si>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</si>
  <si>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</si>
  <si>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</si>
  <si>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</si>
  <si>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</si>
  <si>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</si>
  <si>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</si>
  <si>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</si>
  <si>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</si>
  <si>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</si>
  <si>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</si>
  <si>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</si>
  <si>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</si>
  <si>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</si>
  <si>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</si>
  <si>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</si>
  <si>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</si>
  <si>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</si>
  <si>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</si>
  <si>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</si>
  <si>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</si>
  <si>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</si>
  <si>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</si>
  <si>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</si>
  <si>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</si>
  <si>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</si>
  <si>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</si>
  <si>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</si>
  <si>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</si>
  <si>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</si>
  <si>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</si>
  <si>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</si>
  <si>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</si>
  <si>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</si>
  <si>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</si>
  <si>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</si>
  <si>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</si>
  <si>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</si>
  <si>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</si>
  <si>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</si>
  <si>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</si>
  <si>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</si>
  <si>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</si>
  <si>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</si>
  <si>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</si>
  <si>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</si>
  <si>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</si>
  <si>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</si>
  <si>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</si>
  <si>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</si>
  <si>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</si>
  <si>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</si>
  <si>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</si>
  <si>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</si>
  <si>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</si>
  <si>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</si>
  <si>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</si>
  <si>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</si>
  <si>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</si>
  <si>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</si>
  <si>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</si>
  <si>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</si>
  <si>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</si>
  <si>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</si>
  <si>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</si>
  <si>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</si>
  <si>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</si>
  <si>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</si>
  <si>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</si>
  <si>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</si>
  <si>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</si>
  <si>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</si>
  <si>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</si>
  <si>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</si>
  <si>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</si>
  <si>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</si>
  <si>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</si>
  <si>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</si>
  <si>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</si>
  <si>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</si>
  <si>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</si>
  <si>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</si>
  <si>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</si>
  <si>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</si>
  <si>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</si>
  <si>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</si>
  <si>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</si>
  <si>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</si>
  <si>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</si>
  <si>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</si>
  <si>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</si>
  <si>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</si>
  <si>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</si>
  <si>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</si>
  <si>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</si>
  <si>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</si>
  <si>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</si>
  <si>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</si>
  <si>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</si>
  <si>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</si>
  <si>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</si>
  <si>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</si>
  <si>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</si>
  <si>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</si>
  <si>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</si>
  <si>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</si>
  <si>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</si>
  <si>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</si>
  <si>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</si>
  <si>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</si>
  <si>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</si>
  <si>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</si>
  <si>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</si>
  <si>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</si>
  <si>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</si>
  <si>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</si>
  <si>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</si>
  <si>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</si>
  <si>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</si>
  <si>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</si>
  <si>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</si>
  <si>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</si>
  <si>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</si>
  <si>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</si>
  <si>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</si>
  <si>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</si>
  <si>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</si>
  <si>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</si>
  <si>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</si>
  <si>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</si>
  <si>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</si>
  <si>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</si>
  <si>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</si>
  <si>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</si>
  <si>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</si>
  <si>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</si>
  <si>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</si>
  <si>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</si>
  <si>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</si>
  <si>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</si>
  <si>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</si>
  <si>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</si>
  <si>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</si>
  <si>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</si>
  <si>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</si>
  <si>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</si>
  <si>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</si>
  <si>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</si>
  <si>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</si>
  <si>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</si>
  <si>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</si>
  <si>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</si>
  <si>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</si>
  <si>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</si>
  <si>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</si>
  <si>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</si>
  <si>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</si>
  <si>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</si>
  <si>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</si>
  <si>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</si>
  <si>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</si>
  <si>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</si>
  <si>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</si>
  <si>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</si>
  <si>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</si>
  <si>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</si>
  <si>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</si>
  <si>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</si>
  <si>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</si>
  <si>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</si>
  <si>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</si>
  <si>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</si>
  <si>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</si>
  <si>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</si>
  <si>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</si>
  <si>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</si>
  <si>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</si>
  <si>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</si>
  <si>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</si>
  <si>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</si>
  <si>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</si>
  <si>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</si>
  <si>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</si>
  <si>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</si>
  <si>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</si>
  <si>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</si>
  <si>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</si>
  <si>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</si>
  <si>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</si>
  <si>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</si>
  <si>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</si>
  <si>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</si>
  <si>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</si>
  <si>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</si>
  <si>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</si>
  <si>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</si>
  <si>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</si>
  <si>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</si>
  <si>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</si>
  <si>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</si>
  <si>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</si>
  <si>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Indicator variable that instructs fan codes 13 and 17 to use rivec controls</t>
  </si>
  <si>
    <t>Fan Code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</si>
  <si>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</si>
  <si>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</si>
  <si>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</si>
  <si>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</si>
  <si>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</si>
  <si>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</si>
  <si>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</si>
  <si>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</si>
  <si>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</si>
  <si>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</si>
  <si>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</si>
  <si>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</si>
  <si>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</si>
  <si>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</si>
  <si>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</si>
  <si>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</si>
  <si>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</si>
  <si>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</si>
  <si>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</si>
  <si>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</si>
  <si>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</si>
  <si>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</si>
  <si>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</si>
  <si>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</si>
  <si>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</si>
  <si>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</si>
  <si>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</si>
  <si>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</si>
  <si>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</si>
  <si>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</si>
  <si>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</si>
  <si>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</si>
  <si>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</si>
  <si>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</si>
  <si>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</si>
  <si>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</si>
  <si>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</si>
  <si>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</si>
  <si>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</si>
  <si>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</si>
  <si>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</si>
  <si>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</si>
  <si>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</si>
  <si>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</si>
  <si>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</si>
  <si>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</si>
  <si>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</si>
  <si>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</si>
  <si>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</si>
  <si>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</si>
  <si>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</si>
  <si>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</si>
  <si>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</si>
  <si>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</si>
  <si>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</si>
  <si>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</si>
  <si>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</si>
  <si>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</si>
  <si>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</si>
  <si>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</si>
  <si>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</si>
  <si>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</si>
  <si>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</si>
  <si>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</si>
  <si>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</si>
  <si>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</si>
  <si>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</si>
  <si>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</si>
  <si>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</si>
  <si>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</si>
  <si>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</si>
  <si>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</si>
  <si>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</si>
  <si>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</si>
  <si>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</si>
  <si>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</si>
  <si>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</si>
  <si>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</si>
  <si>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</si>
  <si>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</si>
  <si>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</si>
  <si>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</si>
  <si>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</si>
  <si>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</si>
  <si>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</si>
  <si>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</si>
  <si>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</si>
  <si>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</si>
  <si>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</si>
  <si>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</si>
  <si>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</si>
  <si>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</si>
  <si>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</si>
  <si>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</si>
  <si>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</si>
  <si>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</si>
  <si>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</si>
  <si>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</si>
  <si>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</si>
  <si>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</si>
  <si>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</si>
  <si>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</si>
  <si>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</si>
  <si>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</si>
  <si>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</si>
  <si>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</si>
  <si>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</si>
  <si>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</si>
  <si>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</si>
  <si>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</si>
  <si>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</si>
  <si>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</si>
  <si>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</si>
  <si>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</si>
  <si>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</si>
  <si>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</si>
  <si>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</si>
  <si>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</si>
  <si>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</si>
  <si>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</si>
  <si>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</si>
  <si>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</si>
  <si>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</si>
  <si>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</si>
  <si>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</si>
  <si>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</si>
  <si>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</si>
  <si>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</si>
  <si>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</si>
  <si>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</si>
  <si>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</si>
  <si>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</si>
  <si>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</si>
  <si>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</si>
  <si>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</si>
  <si>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</si>
  <si>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</si>
  <si>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</si>
  <si>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</si>
  <si>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</si>
  <si>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</si>
  <si>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</si>
  <si>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</si>
  <si>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</si>
  <si>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</si>
  <si>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</si>
  <si>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</si>
  <si>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</si>
  <si>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</si>
  <si>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</si>
  <si>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</si>
  <si>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</si>
  <si>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</si>
  <si>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</si>
  <si>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</si>
  <si>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</si>
  <si>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</si>
  <si>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</si>
  <si>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</si>
  <si>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</si>
  <si>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</si>
  <si>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</si>
  <si>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</si>
  <si>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</si>
  <si>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</si>
  <si>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</si>
  <si>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</si>
  <si>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</si>
  <si>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</si>
  <si>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</si>
  <si>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</si>
  <si>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</si>
  <si>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</si>
  <si>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</si>
  <si>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</si>
  <si>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</si>
  <si>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</si>
  <si>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</si>
  <si>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</si>
  <si>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</si>
  <si>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</si>
  <si>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</si>
  <si>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</si>
  <si>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</si>
  <si>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</si>
  <si>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</si>
  <si>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</si>
  <si>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</si>
  <si>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</si>
  <si>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</si>
  <si>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</si>
  <si>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</si>
  <si>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</si>
  <si>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</si>
  <si>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</si>
  <si>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</si>
  <si>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</si>
  <si>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</si>
  <si>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</si>
  <si>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</si>
  <si>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</si>
  <si>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</si>
  <si>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</si>
  <si>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</si>
  <si>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</si>
  <si>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</si>
  <si>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</si>
  <si>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</si>
  <si>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</si>
  <si>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</si>
  <si>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</si>
  <si>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</si>
  <si>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</si>
  <si>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</si>
  <si>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</si>
  <si>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</si>
  <si>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</si>
  <si>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</si>
  <si>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</si>
  <si>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</si>
  <si>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</si>
  <si>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</si>
  <si>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</si>
  <si>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</si>
  <si>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</si>
  <si>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</si>
  <si>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</si>
  <si>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</si>
  <si>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</si>
  <si>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</si>
  <si>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</si>
  <si>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</si>
  <si>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</si>
  <si>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</si>
  <si>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</si>
  <si>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</si>
  <si>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</si>
  <si>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</si>
  <si>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</si>
  <si>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</si>
  <si>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</si>
  <si>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</si>
  <si>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</si>
  <si>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</si>
  <si>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</si>
  <si>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</si>
  <si>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</si>
  <si>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</si>
  <si>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</si>
  <si>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</si>
  <si>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</si>
  <si>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</si>
  <si>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</si>
  <si>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</si>
  <si>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</si>
  <si>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</si>
  <si>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</si>
  <si>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</si>
  <si>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</si>
  <si>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</si>
  <si>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</si>
  <si>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</si>
  <si>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</si>
  <si>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</si>
  <si>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</si>
  <si>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</si>
  <si>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</si>
  <si>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</si>
  <si>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</si>
  <si>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</si>
  <si>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</si>
  <si>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</si>
  <si>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</si>
  <si>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</si>
  <si>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</si>
  <si>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</si>
  <si>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</si>
  <si>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</si>
  <si>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</si>
  <si>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</si>
  <si>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</si>
  <si>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</si>
  <si>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</si>
  <si>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</si>
  <si>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</si>
  <si>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</si>
  <si>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</si>
  <si>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</si>
  <si>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</si>
  <si>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</si>
  <si>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</si>
  <si>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</si>
  <si>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</si>
  <si>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</si>
  <si>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</si>
  <si>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</si>
  <si>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</si>
  <si>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</si>
  <si>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</si>
  <si>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</si>
  <si>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</si>
  <si>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</si>
  <si>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</si>
  <si>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</si>
  <si>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</si>
  <si>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</si>
  <si>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</si>
  <si>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</si>
  <si>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</si>
  <si>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</si>
  <si>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</si>
  <si>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</si>
  <si>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</si>
  <si>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</si>
  <si>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</si>
  <si>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</si>
  <si>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</si>
  <si>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</si>
  <si>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</si>
  <si>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</si>
  <si>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</si>
  <si>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</si>
  <si>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</si>
  <si>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</si>
  <si>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</si>
  <si>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</si>
  <si>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</si>
  <si>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</si>
  <si>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</si>
  <si>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</si>
  <si>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</si>
  <si>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</si>
  <si>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</si>
  <si>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</si>
  <si>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</si>
  <si>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</si>
  <si>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</si>
  <si>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</si>
  <si>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</si>
  <si>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</si>
  <si>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</si>
  <si>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</si>
  <si>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</si>
  <si>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</si>
  <si>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</si>
  <si>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</si>
  <si>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</si>
  <si>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</si>
  <si>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</si>
  <si>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</si>
  <si>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</si>
  <si>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</si>
  <si>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</si>
  <si>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</si>
  <si>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</si>
  <si>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</si>
  <si>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</si>
  <si>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</si>
  <si>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</si>
  <si>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</si>
  <si>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</si>
  <si>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</si>
  <si>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</si>
  <si>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</si>
  <si>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</si>
  <si>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</si>
  <si>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</si>
  <si>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</si>
  <si>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</si>
  <si>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</si>
  <si>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</si>
  <si>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</si>
  <si>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</si>
  <si>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</si>
  <si>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</si>
  <si>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</si>
  <si>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</si>
  <si>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</si>
  <si>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</si>
  <si>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</si>
  <si>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</si>
  <si>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</si>
  <si>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</si>
  <si>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</si>
  <si>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</si>
  <si>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</si>
  <si>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</si>
  <si>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</si>
  <si>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</si>
  <si>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</si>
  <si>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</si>
  <si>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</si>
  <si>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</si>
  <si>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</si>
  <si>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</si>
  <si>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</si>
  <si>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</si>
  <si>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</si>
  <si>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</si>
  <si>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</si>
  <si>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</si>
  <si>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</si>
  <si>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</si>
  <si>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</si>
  <si>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</si>
  <si>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</si>
  <si>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</si>
  <si>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</si>
  <si>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</si>
  <si>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</si>
  <si>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</si>
  <si>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</si>
  <si>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</si>
  <si>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</si>
  <si>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</si>
  <si>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</si>
  <si>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</si>
  <si>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</si>
  <si>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</si>
  <si>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</si>
  <si>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</si>
  <si>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</si>
  <si>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</si>
  <si>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</si>
  <si>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</si>
  <si>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</si>
  <si>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</si>
  <si>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</si>
  <si>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</si>
  <si>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</si>
  <si>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</si>
  <si>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</si>
  <si>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</si>
  <si>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</si>
  <si>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</si>
  <si>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</si>
  <si>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</si>
  <si>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</si>
  <si>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</si>
  <si>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</si>
  <si>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</si>
  <si>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</si>
  <si>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</si>
  <si>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</si>
  <si>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</si>
  <si>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</si>
  <si>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</si>
  <si>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</si>
  <si>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</si>
  <si>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</si>
  <si>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</si>
  <si>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</si>
  <si>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</si>
  <si>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</si>
  <si>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</si>
  <si>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</si>
  <si>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</si>
  <si>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</si>
  <si>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</si>
  <si>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Begin working on the HENGH CA T24 2016 version of inputs</t>
  </si>
  <si>
    <t>1-story prototype</t>
  </si>
  <si>
    <t>2-story prototype</t>
  </si>
  <si>
    <t>Tied to prototype/size</t>
  </si>
  <si>
    <t>Need to set this up to be: no fan, 2010, 2013 and 2016 standards</t>
  </si>
  <si>
    <t>Other options</t>
  </si>
  <si>
    <t>Spanning from Passive House to current default in CBECC-Res</t>
  </si>
  <si>
    <t>hengh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</si>
  <si>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</si>
  <si>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</si>
  <si>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</si>
  <si>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</si>
  <si>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</si>
  <si>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</si>
  <si>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</si>
  <si>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</si>
  <si>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</si>
  <si>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</si>
  <si>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</si>
  <si>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</si>
  <si>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</si>
  <si>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</si>
  <si>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</si>
  <si>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</si>
  <si>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Representative City</t>
  </si>
  <si>
    <t>Front Wall</t>
  </si>
  <si>
    <t>Front Garage Wall</t>
  </si>
  <si>
    <t>Left Wall</t>
  </si>
  <si>
    <t>Left Garage Wall</t>
  </si>
  <si>
    <t>Back Wall</t>
  </si>
  <si>
    <t>Right Wall</t>
  </si>
  <si>
    <t>ft3</t>
  </si>
  <si>
    <t>Right Garage Wall</t>
  </si>
  <si>
    <t>Slab foundations assumed</t>
  </si>
  <si>
    <t>Current Geometry Values</t>
  </si>
  <si>
    <t>CEC Prototype Lookup Tables</t>
  </si>
  <si>
    <t>OLD REFERENCE MATERIAL</t>
  </si>
  <si>
    <t>Passed in divided up by equally between four walls</t>
  </si>
  <si>
    <t>Passed indirectly as wall UA</t>
  </si>
  <si>
    <t>Raised Floor</t>
  </si>
  <si>
    <t>A_wall_gross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</si>
  <si>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</si>
  <si>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</si>
  <si>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</si>
  <si>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R-5.4</t>
  </si>
  <si>
    <t>Wall R-value</t>
  </si>
  <si>
    <t>Fenestration R-value</t>
  </si>
  <si>
    <t>Door R-value</t>
  </si>
  <si>
    <t>Raised floor R-value</t>
  </si>
  <si>
    <t>Slab perimeter R-value</t>
  </si>
  <si>
    <t>Units</t>
  </si>
  <si>
    <t>Fenestration SHGC</t>
  </si>
  <si>
    <t>Using Los Angeles Intl Airport</t>
  </si>
  <si>
    <t>2013Inf</t>
  </si>
  <si>
    <t>2013noInf</t>
  </si>
  <si>
    <t>622Version</t>
  </si>
  <si>
    <t>Total Ventilation Rate</t>
  </si>
  <si>
    <t>OLD REFERENCE MATERIALS</t>
  </si>
  <si>
    <t>ASHRAE 62.2 VERSION</t>
  </si>
  <si>
    <t>2013/2016</t>
  </si>
  <si>
    <t>% 62.2</t>
  </si>
  <si>
    <t>2016InfPhi</t>
  </si>
  <si>
    <t>BR</t>
  </si>
  <si>
    <t>Elec</t>
  </si>
  <si>
    <t>Gas</t>
  </si>
  <si>
    <t>CFA</t>
  </si>
  <si>
    <t>Primary Fridge/Freezer</t>
  </si>
  <si>
    <t>Secondary Fridge/Freezer</t>
  </si>
  <si>
    <t>Oven</t>
  </si>
  <si>
    <t>Cooktop</t>
  </si>
  <si>
    <t>TV</t>
  </si>
  <si>
    <t>Set-top boxes</t>
  </si>
  <si>
    <t>CPU and monitors</t>
  </si>
  <si>
    <t>Interior Lighting</t>
  </si>
  <si>
    <t>Exterior Lighting</t>
  </si>
  <si>
    <t>Garage Lighting</t>
  </si>
  <si>
    <t>kWh/therms</t>
  </si>
  <si>
    <t>Btus</t>
  </si>
  <si>
    <t>Sloped Roof Surface R-value, Option A Continuous Insulation, Air Gap</t>
  </si>
  <si>
    <t>Sloped Roof Surface R-value, Option A Continuous Insulation, NO Air Gap</t>
  </si>
  <si>
    <t>Sloped Roof Surface R-value, Option B Cavity Insulation, Air Gap</t>
  </si>
  <si>
    <t>Sloped Roof Surface R-value, Option B Cavity Insulation, NO Air Gap</t>
  </si>
  <si>
    <t>Sloped Roof Surface R-value, Option C, None</t>
  </si>
  <si>
    <t>Radiant Barrier, Option A</t>
  </si>
  <si>
    <t>Radiant Barrier, Option B</t>
  </si>
  <si>
    <t>Radiant Barrier, Option C</t>
  </si>
  <si>
    <t>Option B is the new reference home for ACM compliance</t>
  </si>
  <si>
    <t>99% DB temp</t>
  </si>
  <si>
    <t>1% DB temp</t>
  </si>
  <si>
    <t>https://articles.extension.org/sites/default/files/7.%20Outdoor_Design_Conditions_508.pdf</t>
  </si>
  <si>
    <t>wsf</t>
  </si>
  <si>
    <t>Fp [Btu/hr-F-ft]</t>
  </si>
  <si>
    <t>Source:</t>
  </si>
  <si>
    <t>http://courses.washington.edu/arch3431/assignments/T_3.pdf</t>
  </si>
  <si>
    <t>CALIFORNIA CLIMATES</t>
  </si>
  <si>
    <t>Design Data Source:</t>
  </si>
  <si>
    <t>PACKAGE A, Option B Res.com, p. 515</t>
  </si>
  <si>
    <t>CALIFORNIA</t>
  </si>
  <si>
    <t>None</t>
  </si>
  <si>
    <t>tstat_T24.txt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</si>
</sst>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m/d/yyyy;@"/>
    <numFmt numFmtId="170" formatCode="0.0000000"/>
  </numFmts>
  <fonts count="7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449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40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0" fontId="5" fillId="0" borderId="0" xfId="4" applyAlignment="1"/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0" fontId="28" fillId="0" borderId="0" xfId="49" applyAlignment="1" applyProtection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8" borderId="0" xfId="4" applyFont="1" applyFill="1"/>
    <xf numFmtId="1" fontId="5" fillId="38" borderId="0" xfId="4" applyNumberFormat="1" applyFont="1" applyFill="1"/>
    <xf numFmtId="164" fontId="5" fillId="38" borderId="0" xfId="4" applyNumberFormat="1" applyFont="1" applyFill="1"/>
    <xf numFmtId="0" fontId="5" fillId="38" borderId="0" xfId="4" quotePrefix="1" applyFont="1" applyFill="1"/>
    <xf numFmtId="166" fontId="5" fillId="38" borderId="0" xfId="4" applyNumberFormat="1" applyFont="1" applyFill="1"/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166" fontId="5" fillId="0" borderId="14" xfId="4" applyNumberFormat="1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8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8" borderId="13" xfId="4" applyFont="1" applyFill="1" applyBorder="1"/>
    <xf numFmtId="0" fontId="27" fillId="38" borderId="15" xfId="4" quotePrefix="1" applyFont="1" applyFill="1" applyBorder="1"/>
    <xf numFmtId="0" fontId="0" fillId="38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0" fontId="5" fillId="0" borderId="0" xfId="4" applyFill="1" applyBorder="1"/>
    <xf numFmtId="0" fontId="5" fillId="0" borderId="0" xfId="4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4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24" xfId="4" applyFill="1" applyBorder="1"/>
    <xf numFmtId="0" fontId="5" fillId="0" borderId="0" xfId="4" applyFill="1" applyAlignment="1">
      <alignment horizontal="right"/>
    </xf>
    <xf numFmtId="166" fontId="5" fillId="0" borderId="0" xfId="4" applyNumberFormat="1" applyFill="1"/>
    <xf numFmtId="0" fontId="27" fillId="0" borderId="15" xfId="4" quotePrefix="1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0" fontId="0" fillId="0" borderId="0" xfId="0"/>
    <xf numFmtId="0" fontId="5" fillId="0" borderId="0" xfId="4" applyFill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0" fontId="5" fillId="0" borderId="0" xfId="4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0" borderId="0" xfId="0" applyFill="1"/>
    <xf numFmtId="0" fontId="5" fillId="40" borderId="0" xfId="4" applyFill="1"/>
    <xf numFmtId="166" fontId="5" fillId="40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1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1" borderId="0" xfId="4" applyFont="1" applyFill="1"/>
    <xf numFmtId="166" fontId="5" fillId="41" borderId="0" xfId="4" applyNumberFormat="1" applyFont="1" applyFill="1"/>
    <xf numFmtId="0" fontId="5" fillId="41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1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24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2" borderId="31" xfId="0" applyFill="1" applyBorder="1"/>
    <xf numFmtId="0" fontId="53" fillId="42" borderId="32" xfId="4" applyFont="1" applyFill="1" applyBorder="1"/>
    <xf numFmtId="0" fontId="5" fillId="0" borderId="38" xfId="4" applyFont="1" applyBorder="1"/>
    <xf numFmtId="0" fontId="54" fillId="0" borderId="0" xfId="0" applyFont="1"/>
    <xf numFmtId="0" fontId="52" fillId="42" borderId="30" xfId="4" applyFont="1" applyFill="1" applyBorder="1"/>
    <xf numFmtId="0" fontId="7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2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0" borderId="0" xfId="5" applyNumberFormat="1" applyFont="1" applyFill="1" applyBorder="1" applyAlignment="1" applyProtection="1">
      <alignment horizontal="right"/>
    </xf>
    <xf numFmtId="1" fontId="5" fillId="40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5" fillId="41" borderId="0" xfId="4" applyNumberFormat="1" applyFill="1"/>
    <xf numFmtId="0" fontId="6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6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4" borderId="0" xfId="0" applyFill="1"/>
    <xf numFmtId="0" fontId="0" fillId="39" borderId="0" xfId="0" applyFill="1"/>
    <xf numFmtId="164" fontId="8" fillId="45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0" fontId="8" fillId="46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2" fontId="8" fillId="46" borderId="13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" fontId="8" fillId="45" borderId="0" xfId="5" applyNumberFormat="1" applyFill="1" applyBorder="1" applyAlignment="1" applyProtection="1">
      <alignment horizontal="right"/>
    </xf>
    <xf numFmtId="1" fontId="8" fillId="45" borderId="13" xfId="5" applyNumberFormat="1" applyFill="1" applyBorder="1" applyAlignment="1" applyProtection="1">
      <alignment horizontal="right"/>
    </xf>
    <xf numFmtId="2" fontId="8" fillId="45" borderId="18" xfId="5" applyNumberFormat="1" applyFill="1" applyBorder="1" applyAlignment="1" applyProtection="1">
      <alignment horizontal="right"/>
    </xf>
    <xf numFmtId="164" fontId="8" fillId="46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67" fontId="8" fillId="46" borderId="0" xfId="5" applyNumberFormat="1" applyFill="1" applyBorder="1" applyAlignment="1" applyProtection="1">
      <alignment horizontal="right"/>
    </xf>
    <xf numFmtId="166" fontId="8" fillId="46" borderId="13" xfId="5" applyNumberFormat="1" applyFill="1" applyBorder="1" applyAlignment="1" applyProtection="1">
      <alignment horizontal="right"/>
    </xf>
    <xf numFmtId="2" fontId="8" fillId="45" borderId="0" xfId="5" applyNumberFormat="1" applyFill="1" applyBorder="1" applyAlignment="1" applyProtection="1">
      <alignment horizontal="right"/>
    </xf>
    <xf numFmtId="166" fontId="8" fillId="45" borderId="0" xfId="5" applyNumberFormat="1" applyFill="1" applyBorder="1" applyAlignment="1" applyProtection="1">
      <alignment horizontal="right"/>
    </xf>
    <xf numFmtId="165" fontId="8" fillId="45" borderId="0" xfId="5" applyNumberFormat="1" applyFill="1" applyBorder="1" applyAlignment="1" applyProtection="1">
      <alignment horizontal="right"/>
    </xf>
    <xf numFmtId="0" fontId="8" fillId="45" borderId="0" xfId="5" applyNumberFormat="1" applyFill="1" applyBorder="1" applyAlignment="1" applyProtection="1">
      <alignment horizontal="right"/>
    </xf>
    <xf numFmtId="2" fontId="5" fillId="39" borderId="22" xfId="4" applyNumberFormat="1" applyFill="1" applyBorder="1" applyAlignment="1">
      <alignment horizontal="right"/>
    </xf>
    <xf numFmtId="2" fontId="5" fillId="39" borderId="0" xfId="4" applyNumberFormat="1" applyFill="1" applyAlignment="1">
      <alignment horizontal="right"/>
    </xf>
    <xf numFmtId="0" fontId="5" fillId="44" borderId="0" xfId="4" applyFill="1" applyBorder="1" applyAlignment="1">
      <alignment horizontal="right"/>
    </xf>
    <xf numFmtId="0" fontId="5" fillId="44" borderId="0" xfId="4" applyFill="1" applyAlignment="1">
      <alignment horizontal="right"/>
    </xf>
    <xf numFmtId="0" fontId="5" fillId="44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4" borderId="0" xfId="4" applyNumberFormat="1" applyFont="1" applyFill="1" applyBorder="1" applyAlignment="1">
      <alignment horizontal="right"/>
    </xf>
    <xf numFmtId="2" fontId="53" fillId="44" borderId="0" xfId="4" applyNumberFormat="1" applyFont="1" applyFill="1" applyBorder="1" applyAlignment="1">
      <alignment horizontal="right"/>
    </xf>
    <xf numFmtId="166" fontId="53" fillId="44" borderId="0" xfId="4" applyNumberFormat="1" applyFont="1" applyFill="1" applyBorder="1" applyAlignment="1">
      <alignment horizontal="right"/>
    </xf>
    <xf numFmtId="1" fontId="53" fillId="44" borderId="18" xfId="4" applyNumberFormat="1" applyFont="1" applyFill="1" applyBorder="1" applyAlignment="1">
      <alignment horizontal="right"/>
    </xf>
    <xf numFmtId="0" fontId="32" fillId="43" borderId="30" xfId="0" applyFont="1" applyFill="1" applyBorder="1"/>
    <xf numFmtId="0" fontId="0" fillId="43" borderId="31" xfId="0" applyFill="1" applyBorder="1"/>
    <xf numFmtId="0" fontId="32" fillId="43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69" fontId="0" fillId="0" borderId="0" xfId="0" applyNumberFormat="1" applyAlignment="1">
      <alignment horizontal="left"/>
    </xf>
    <xf numFmtId="0" fontId="32" fillId="43" borderId="32" xfId="0" applyFont="1" applyFill="1" applyBorder="1"/>
    <xf numFmtId="0" fontId="32" fillId="43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0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0" borderId="0" xfId="4" applyFont="1" applyFill="1" applyAlignment="1">
      <alignment horizontal="center"/>
    </xf>
    <xf numFmtId="166" fontId="5" fillId="40" borderId="0" xfId="4" applyNumberFormat="1" applyFont="1" applyFill="1" applyAlignment="1">
      <alignment horizontal="center"/>
    </xf>
    <xf numFmtId="165" fontId="5" fillId="40" borderId="0" xfId="4" applyNumberFormat="1" applyFont="1" applyFill="1" applyAlignment="1">
      <alignment horizontal="center"/>
    </xf>
    <xf numFmtId="165" fontId="5" fillId="40" borderId="0" xfId="4" applyNumberFormat="1" applyFill="1" applyAlignment="1">
      <alignment horizontal="center"/>
    </xf>
    <xf numFmtId="168" fontId="5" fillId="40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0" borderId="0" xfId="1" applyNumberFormat="1" applyFont="1" applyFill="1"/>
    <xf numFmtId="0" fontId="26" fillId="47" borderId="0" xfId="5" applyNumberFormat="1" applyFont="1" applyFill="1" applyBorder="1" applyAlignment="1" applyProtection="1"/>
    <xf numFmtId="2" fontId="5" fillId="40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0" borderId="0" xfId="1" applyFont="1" applyFill="1"/>
    <xf numFmtId="166" fontId="26" fillId="40" borderId="0" xfId="1" applyNumberFormat="1" applyFont="1" applyFill="1"/>
    <xf numFmtId="0" fontId="26" fillId="40" borderId="0" xfId="4" applyFont="1" applyFill="1"/>
    <xf numFmtId="1" fontId="26" fillId="40" borderId="16" xfId="4" applyNumberFormat="1" applyFont="1" applyFill="1" applyBorder="1" applyAlignment="1">
      <alignment horizontal="right"/>
    </xf>
    <xf numFmtId="0" fontId="26" fillId="40" borderId="16" xfId="4" applyFont="1" applyFill="1" applyBorder="1" applyAlignment="1">
      <alignment horizontal="right"/>
    </xf>
    <xf numFmtId="165" fontId="26" fillId="40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3" fillId="40" borderId="0" xfId="4" applyFont="1" applyFill="1" applyBorder="1" applyAlignment="1">
      <alignment horizontal="right"/>
    </xf>
    <xf numFmtId="0" fontId="8" fillId="46" borderId="18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5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5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8" borderId="0" xfId="4" applyFill="1" applyBorder="1"/>
    <xf numFmtId="0" fontId="5" fillId="48" borderId="14" xfId="4" applyFill="1" applyBorder="1"/>
    <xf numFmtId="0" fontId="5" fillId="48" borderId="13" xfId="4" applyFill="1" applyBorder="1"/>
    <xf numFmtId="0" fontId="5" fillId="48" borderId="15" xfId="4" applyFill="1" applyBorder="1"/>
    <xf numFmtId="1" fontId="24" fillId="48" borderId="0" xfId="4" applyNumberFormat="1" applyFont="1" applyFill="1" applyBorder="1"/>
    <xf numFmtId="1" fontId="24" fillId="48" borderId="14" xfId="4" applyNumberFormat="1" applyFont="1" applyFill="1" applyBorder="1"/>
    <xf numFmtId="2" fontId="27" fillId="48" borderId="13" xfId="4" applyNumberFormat="1" applyFont="1" applyFill="1" applyBorder="1"/>
    <xf numFmtId="2" fontId="27" fillId="48" borderId="15" xfId="4" applyNumberFormat="1" applyFont="1" applyFill="1" applyBorder="1"/>
    <xf numFmtId="2" fontId="27" fillId="48" borderId="17" xfId="4" applyNumberFormat="1" applyFont="1" applyFill="1" applyBorder="1"/>
    <xf numFmtId="2" fontId="27" fillId="48" borderId="18" xfId="4" applyNumberFormat="1" applyFont="1" applyFill="1" applyBorder="1"/>
    <xf numFmtId="2" fontId="27" fillId="48" borderId="19" xfId="4" applyNumberFormat="1" applyFont="1" applyFill="1" applyBorder="1"/>
    <xf numFmtId="2" fontId="27" fillId="48" borderId="21" xfId="4" applyNumberFormat="1" applyFont="1" applyFill="1" applyBorder="1"/>
    <xf numFmtId="0" fontId="69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1" borderId="0" xfId="4" applyNumberFormat="1" applyFont="1" applyFill="1" applyAlignment="1">
      <alignment horizontal="center"/>
    </xf>
    <xf numFmtId="170" fontId="5" fillId="0" borderId="0" xfId="4" applyNumberFormat="1" applyBorder="1" applyAlignment="1">
      <alignment horizontal="right"/>
    </xf>
    <xf numFmtId="0" fontId="27" fillId="0" borderId="0" xfId="4" applyFont="1" applyBorder="1"/>
    <xf numFmtId="0" fontId="72" fillId="0" borderId="0" xfId="4" applyFont="1"/>
    <xf numFmtId="0" fontId="27" fillId="0" borderId="13" xfId="4" applyFont="1" applyFill="1" applyBorder="1"/>
    <xf numFmtId="20" fontId="5" fillId="0" borderId="0" xfId="4" applyNumberFormat="1" applyFont="1" applyFill="1"/>
    <xf numFmtId="1" fontId="5" fillId="0" borderId="0" xfId="4" applyNumberFormat="1" applyFill="1" applyBorder="1"/>
    <xf numFmtId="166" fontId="0" fillId="0" borderId="0" xfId="0" applyNumberFormat="1" applyFill="1"/>
    <xf numFmtId="0" fontId="2" fillId="40" borderId="0" xfId="1" applyFill="1" applyAlignment="1">
      <alignment horizontal="center"/>
    </xf>
    <xf numFmtId="0" fontId="2" fillId="40" borderId="14" xfId="1" applyFill="1" applyBorder="1" applyAlignment="1">
      <alignment horizontal="center"/>
    </xf>
    <xf numFmtId="2" fontId="2" fillId="40" borderId="0" xfId="1" applyNumberFormat="1" applyFill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0" fontId="5" fillId="0" borderId="14" xfId="4" applyFont="1" applyFill="1" applyBorder="1" applyAlignment="1">
      <alignment horizontal="center"/>
    </xf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0" borderId="0" xfId="4" applyFont="1" applyFill="1" applyBorder="1"/>
    <xf numFmtId="0" fontId="5" fillId="42" borderId="0" xfId="4" applyFont="1" applyFill="1" applyAlignment="1">
      <alignment horizontal="center"/>
    </xf>
    <xf numFmtId="0" fontId="5" fillId="49" borderId="0" xfId="4" applyFont="1" applyFill="1" applyAlignment="1">
      <alignment horizontal="center"/>
    </xf>
    <xf numFmtId="0" fontId="73" fillId="0" borderId="0" xfId="0" applyFont="1"/>
    <xf numFmtId="0" fontId="5" fillId="0" borderId="34" xfId="4" applyFont="1" applyFill="1" applyBorder="1"/>
    <xf numFmtId="0" fontId="5" fillId="0" borderId="0" xfId="4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0" borderId="0" xfId="4" applyAlignment="1">
      <alignment horizontal="center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  <xf numFmtId="1" fontId="5" fillId="40" borderId="0" xfId="4" applyNumberFormat="1" applyFill="1" applyAlignment="1"/>
  </cellXfs>
  <cellStyles count="449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connections" Target="connections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6"/>
  <sheetViews>
    <sheetView workbookViewId="0">
      <selection activeCell="D15" sqref="D15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88" t="s">
        <v>1058</v>
      </c>
    </row>
    <row r="3" spans="1:2">
      <c r="A3" s="285" t="s">
        <v>1059</v>
      </c>
      <c r="B3" s="166" t="s">
        <v>1170</v>
      </c>
    </row>
    <row r="4" spans="1:2">
      <c r="A4" s="285" t="s">
        <v>1061</v>
      </c>
      <c r="B4" s="390">
        <v>42718</v>
      </c>
    </row>
    <row r="5" spans="1:2" ht="15" thickBot="1"/>
    <row r="6" spans="1:2">
      <c r="A6" s="381" t="s">
        <v>3</v>
      </c>
      <c r="B6" s="391" t="s">
        <v>0</v>
      </c>
    </row>
    <row r="7" spans="1:2">
      <c r="A7" s="369" t="s">
        <v>1129</v>
      </c>
      <c r="B7" s="371" t="s">
        <v>1130</v>
      </c>
    </row>
    <row r="8" spans="1:2" s="245" customFormat="1">
      <c r="A8" s="369" t="s">
        <v>902</v>
      </c>
      <c r="B8" s="371" t="s">
        <v>1074</v>
      </c>
    </row>
    <row r="9" spans="1:2">
      <c r="A9" s="369" t="s">
        <v>1062</v>
      </c>
      <c r="B9" s="371" t="s">
        <v>1075</v>
      </c>
    </row>
    <row r="10" spans="1:2">
      <c r="A10" s="369" t="s">
        <v>1063</v>
      </c>
      <c r="B10" s="371" t="s">
        <v>1076</v>
      </c>
    </row>
    <row r="11" spans="1:2">
      <c r="A11" s="369" t="s">
        <v>14</v>
      </c>
      <c r="B11" s="371" t="s">
        <v>1077</v>
      </c>
    </row>
    <row r="12" spans="1:2">
      <c r="A12" s="369" t="s">
        <v>7</v>
      </c>
      <c r="B12" s="371" t="s">
        <v>1078</v>
      </c>
    </row>
    <row r="13" spans="1:2">
      <c r="A13" s="369" t="s">
        <v>22</v>
      </c>
      <c r="B13" s="371" t="s">
        <v>1079</v>
      </c>
    </row>
    <row r="14" spans="1:2">
      <c r="A14" s="369" t="s">
        <v>45</v>
      </c>
      <c r="B14" s="371" t="s">
        <v>1080</v>
      </c>
    </row>
    <row r="15" spans="1:2">
      <c r="A15" s="369" t="s">
        <v>50</v>
      </c>
      <c r="B15" s="371" t="s">
        <v>1081</v>
      </c>
    </row>
    <row r="16" spans="1:2">
      <c r="A16" s="369" t="s">
        <v>322</v>
      </c>
      <c r="B16" s="371" t="s">
        <v>1082</v>
      </c>
    </row>
    <row r="17" spans="1:4">
      <c r="A17" s="369" t="s">
        <v>74</v>
      </c>
      <c r="B17" s="371" t="s">
        <v>1083</v>
      </c>
    </row>
    <row r="18" spans="1:4">
      <c r="A18" s="369" t="s">
        <v>102</v>
      </c>
      <c r="B18" s="371" t="s">
        <v>1084</v>
      </c>
    </row>
    <row r="19" spans="1:4">
      <c r="A19" s="369" t="s">
        <v>1085</v>
      </c>
      <c r="B19" s="371" t="s">
        <v>1086</v>
      </c>
    </row>
    <row r="20" spans="1:4">
      <c r="A20" s="369" t="s">
        <v>1030</v>
      </c>
      <c r="B20" s="371" t="s">
        <v>1087</v>
      </c>
    </row>
    <row r="21" spans="1:4">
      <c r="A21" s="369" t="s">
        <v>1115</v>
      </c>
      <c r="B21" s="371" t="s">
        <v>1088</v>
      </c>
    </row>
    <row r="22" spans="1:4" ht="15" thickBot="1">
      <c r="A22" s="372" t="s">
        <v>1055</v>
      </c>
      <c r="B22" s="375" t="s">
        <v>1089</v>
      </c>
    </row>
    <row r="24" spans="1:4" ht="18">
      <c r="A24" s="302" t="s">
        <v>1064</v>
      </c>
    </row>
    <row r="25" spans="1:4">
      <c r="A25">
        <v>1</v>
      </c>
      <c r="B25" t="s">
        <v>1105</v>
      </c>
    </row>
    <row r="26" spans="1:4">
      <c r="A26">
        <v>2</v>
      </c>
      <c r="B26" t="s">
        <v>1106</v>
      </c>
    </row>
    <row r="27" spans="1:4">
      <c r="A27">
        <v>3</v>
      </c>
      <c r="B27" t="s">
        <v>1107</v>
      </c>
    </row>
    <row r="28" spans="1:4">
      <c r="A28">
        <v>4</v>
      </c>
      <c r="B28" t="s">
        <v>1108</v>
      </c>
    </row>
    <row r="29" spans="1:4" ht="18">
      <c r="A29" s="302" t="s">
        <v>1065</v>
      </c>
    </row>
    <row r="30" spans="1:4">
      <c r="A30" s="392" t="s">
        <v>1059</v>
      </c>
      <c r="B30" s="392" t="s">
        <v>0</v>
      </c>
      <c r="C30" s="392" t="s">
        <v>1061</v>
      </c>
      <c r="D30" s="392" t="s">
        <v>1066</v>
      </c>
    </row>
    <row r="31" spans="1:4">
      <c r="A31" t="s">
        <v>1060</v>
      </c>
      <c r="B31" t="s">
        <v>1109</v>
      </c>
      <c r="C31" s="389">
        <v>42465</v>
      </c>
      <c r="D31" t="s">
        <v>1067</v>
      </c>
    </row>
    <row r="32" spans="1:4">
      <c r="A32" t="s">
        <v>1128</v>
      </c>
      <c r="B32" s="362" t="s">
        <v>1137</v>
      </c>
      <c r="C32" s="434">
        <v>42585</v>
      </c>
      <c r="D32" t="s">
        <v>1131</v>
      </c>
    </row>
    <row r="33" spans="1:4">
      <c r="A33" s="245" t="s">
        <v>1138</v>
      </c>
      <c r="B33" s="362" t="s">
        <v>1139</v>
      </c>
      <c r="C33" s="434">
        <v>42605</v>
      </c>
      <c r="D33" t="s">
        <v>1067</v>
      </c>
    </row>
    <row r="34" spans="1:4">
      <c r="B34" t="s">
        <v>1140</v>
      </c>
      <c r="C34" s="434">
        <v>42710</v>
      </c>
      <c r="D34" t="s">
        <v>1131</v>
      </c>
    </row>
    <row r="35" spans="1:4">
      <c r="B35" t="s">
        <v>1162</v>
      </c>
      <c r="C35" s="434">
        <v>42710</v>
      </c>
      <c r="D35" t="s">
        <v>1131</v>
      </c>
    </row>
    <row r="36" spans="1:4">
      <c r="B36" t="s">
        <v>1167</v>
      </c>
      <c r="C36" s="434">
        <v>42711</v>
      </c>
      <c r="D36" t="s">
        <v>1131</v>
      </c>
    </row>
    <row r="37" spans="1:4">
      <c r="A37" t="s">
        <v>1170</v>
      </c>
      <c r="B37" t="s">
        <v>1169</v>
      </c>
      <c r="C37" s="434">
        <v>42717</v>
      </c>
      <c r="D37" t="s">
        <v>1131</v>
      </c>
    </row>
    <row r="38" spans="1:4">
      <c r="B38" t="s">
        <v>1178</v>
      </c>
      <c r="C38" s="434">
        <v>42723</v>
      </c>
      <c r="D38" t="s">
        <v>1131</v>
      </c>
    </row>
    <row r="39" spans="1:4">
      <c r="B39" t="s">
        <v>1179</v>
      </c>
      <c r="C39" s="434">
        <v>42723</v>
      </c>
      <c r="D39" t="s">
        <v>1131</v>
      </c>
    </row>
    <row r="40" spans="1:4">
      <c r="B40" t="s">
        <v>1184</v>
      </c>
      <c r="C40" s="434">
        <v>42723</v>
      </c>
      <c r="D40" t="s">
        <v>1131</v>
      </c>
    </row>
    <row r="41" spans="1:4">
      <c r="B41" t="s">
        <v>1186</v>
      </c>
      <c r="C41" s="434">
        <v>42723</v>
      </c>
      <c r="D41" s="245" t="s">
        <v>1131</v>
      </c>
    </row>
    <row r="42" spans="1:4">
      <c r="B42" t="s">
        <v>1187</v>
      </c>
      <c r="C42" s="434">
        <v>42723</v>
      </c>
      <c r="D42" s="245" t="s">
        <v>1131</v>
      </c>
    </row>
    <row r="43" spans="1:4">
      <c r="B43" t="s">
        <v>1190</v>
      </c>
    </row>
    <row r="44" spans="1:4">
      <c r="B44" t="s">
        <v>1191</v>
      </c>
      <c r="C44" s="434">
        <v>42739</v>
      </c>
      <c r="D44" t="s">
        <v>1131</v>
      </c>
    </row>
    <row r="45" spans="1:4">
      <c r="B45" t="s">
        <v>1253</v>
      </c>
      <c r="C45" s="434">
        <v>42753</v>
      </c>
      <c r="D45" t="s">
        <v>1131</v>
      </c>
    </row>
    <row r="46" spans="1:4">
      <c r="A46">
        <v>1.2</v>
      </c>
      <c r="B46" t="s">
        <v>1291</v>
      </c>
      <c r="C46" s="434">
        <v>42836</v>
      </c>
      <c r="D46" t="s">
        <v>1131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61"/>
  <sheetViews>
    <sheetView workbookViewId="0">
      <selection activeCell="I34" sqref="I34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21.83203125" customWidth="1"/>
    <col min="12" max="12" width="15.33203125" bestFit="1" customWidth="1"/>
  </cols>
  <sheetData>
    <row r="1" spans="1:17" ht="19" thickBot="1">
      <c r="A1" s="302" t="s">
        <v>902</v>
      </c>
      <c r="B1" s="245"/>
      <c r="C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</row>
    <row r="2" spans="1:17" ht="15">
      <c r="A2" s="303" t="s">
        <v>802</v>
      </c>
      <c r="B2" s="299"/>
      <c r="C2" s="300" t="s">
        <v>804</v>
      </c>
      <c r="E2" s="303" t="s">
        <v>1171</v>
      </c>
      <c r="F2" s="299"/>
      <c r="G2" s="300">
        <v>0</v>
      </c>
      <c r="I2" s="285" t="s">
        <v>901</v>
      </c>
      <c r="J2" s="245"/>
      <c r="K2" s="308" t="s">
        <v>1298</v>
      </c>
      <c r="M2" s="245"/>
    </row>
    <row r="3" spans="1:17" ht="15" thickBot="1">
      <c r="A3" s="293" t="s">
        <v>803</v>
      </c>
      <c r="B3" s="306"/>
      <c r="C3" s="294" t="str">
        <f>IF(B3&lt;&gt;"",A3,"")</f>
        <v/>
      </c>
      <c r="E3" s="293">
        <v>0</v>
      </c>
      <c r="F3" s="306" t="s">
        <v>903</v>
      </c>
      <c r="G3" s="294">
        <f t="shared" ref="G3:G23" si="0">IF(F3&lt;&gt;"",E3,"")</f>
        <v>0</v>
      </c>
      <c r="H3" t="s">
        <v>1173</v>
      </c>
      <c r="J3" s="245"/>
      <c r="M3" s="245"/>
    </row>
    <row r="4" spans="1:17" ht="15" thickBot="1">
      <c r="A4" s="293" t="s">
        <v>807</v>
      </c>
      <c r="B4" s="306" t="s">
        <v>903</v>
      </c>
      <c r="C4" s="294" t="str">
        <f>IF(B4&lt;&gt;"",A4,"")</f>
        <v>Med</v>
      </c>
      <c r="D4" t="s">
        <v>1292</v>
      </c>
      <c r="E4" s="293">
        <v>1</v>
      </c>
      <c r="F4" s="306"/>
      <c r="G4" s="294" t="str">
        <f t="shared" si="0"/>
        <v/>
      </c>
      <c r="H4" t="s">
        <v>1174</v>
      </c>
      <c r="I4" s="310" t="s">
        <v>904</v>
      </c>
      <c r="J4" s="304"/>
      <c r="K4" s="305" t="str">
        <f>HomeSize &amp; "_" &amp;Airtightness &amp; "_" &amp; ASHRAEver&amp;"_"</f>
        <v>Large_0.6_None_</v>
      </c>
      <c r="M4" s="245"/>
      <c r="N4" s="245"/>
    </row>
    <row r="5" spans="1:17" ht="15" thickBot="1">
      <c r="A5" s="295" t="s">
        <v>804</v>
      </c>
      <c r="B5" s="307" t="s">
        <v>903</v>
      </c>
      <c r="C5" s="296" t="str">
        <f>IF(B5&lt;&gt;"",A5,"")</f>
        <v>Large</v>
      </c>
      <c r="D5" t="s">
        <v>1293</v>
      </c>
      <c r="E5" s="293">
        <v>2</v>
      </c>
      <c r="F5" s="306"/>
      <c r="G5" s="294" t="str">
        <f t="shared" si="0"/>
        <v/>
      </c>
      <c r="H5" t="s">
        <v>1175</v>
      </c>
      <c r="M5" s="245"/>
      <c r="N5" s="245"/>
    </row>
    <row r="6" spans="1:17" ht="15" thickBot="1">
      <c r="E6" s="297">
        <v>3</v>
      </c>
      <c r="F6" s="306"/>
      <c r="G6" s="294" t="str">
        <f t="shared" si="0"/>
        <v/>
      </c>
      <c r="H6" t="s">
        <v>1176</v>
      </c>
      <c r="I6" s="381" t="s">
        <v>905</v>
      </c>
      <c r="J6" s="382"/>
      <c r="K6" s="382"/>
      <c r="L6" s="383" t="s">
        <v>900</v>
      </c>
      <c r="M6" s="245" t="s">
        <v>1315</v>
      </c>
      <c r="N6" s="5"/>
    </row>
    <row r="7" spans="1:17" ht="15">
      <c r="A7" s="303" t="s">
        <v>806</v>
      </c>
      <c r="B7" s="299"/>
      <c r="C7" s="300" t="s">
        <v>807</v>
      </c>
      <c r="E7" s="297">
        <v>4</v>
      </c>
      <c r="F7" s="306"/>
      <c r="G7" s="294" t="str">
        <f t="shared" si="0"/>
        <v/>
      </c>
      <c r="H7" t="s">
        <v>1177</v>
      </c>
      <c r="I7" s="311">
        <f>InputFiles!C1</f>
        <v>1</v>
      </c>
      <c r="J7" s="306" t="s">
        <v>903</v>
      </c>
      <c r="K7" s="17">
        <f t="shared" ref="K7:K23" si="1">IF(J7&lt;&gt;"",I7,"")</f>
        <v>1</v>
      </c>
      <c r="L7" s="384" t="str">
        <f>IF(J7&lt;&gt;"",BaseName &amp; IF(ISNUMBER(I7),I7,LEFT(I7,1)),"")</f>
        <v>Large_0.6_None_1</v>
      </c>
      <c r="M7" s="124" t="s">
        <v>1299</v>
      </c>
      <c r="N7" s="245">
        <v>725945</v>
      </c>
    </row>
    <row r="8" spans="1:17">
      <c r="A8" s="293" t="s">
        <v>808</v>
      </c>
      <c r="B8" s="306"/>
      <c r="C8" s="294" t="str">
        <f>IF(B8&lt;&gt;"",A8,"")</f>
        <v/>
      </c>
      <c r="E8" s="297">
        <v>5</v>
      </c>
      <c r="F8" s="306"/>
      <c r="G8" s="294" t="str">
        <f t="shared" si="0"/>
        <v/>
      </c>
      <c r="I8" s="311">
        <f>InputFiles!D1</f>
        <v>2</v>
      </c>
      <c r="J8" s="306" t="s">
        <v>903</v>
      </c>
      <c r="K8" s="17">
        <f t="shared" si="1"/>
        <v>2</v>
      </c>
      <c r="L8" s="384" t="str">
        <f>IF(J8&lt;&gt;"",BaseName &amp; IF(ISNUMBER(I8),I8,LEFT(I8,1)),"")</f>
        <v>Large_0.6_None_2</v>
      </c>
      <c r="M8" s="124" t="s">
        <v>1300</v>
      </c>
      <c r="N8" s="245">
        <v>724957</v>
      </c>
    </row>
    <row r="9" spans="1:17">
      <c r="A9" s="293" t="s">
        <v>807</v>
      </c>
      <c r="B9" s="306" t="s">
        <v>903</v>
      </c>
      <c r="C9" s="294" t="str">
        <f>IF(B9&lt;&gt;"",A9,"")</f>
        <v>Med</v>
      </c>
      <c r="E9" s="297">
        <v>6</v>
      </c>
      <c r="F9" s="306"/>
      <c r="G9" s="294" t="str">
        <f t="shared" si="0"/>
        <v/>
      </c>
      <c r="I9" s="311">
        <f>InputFiles!E1</f>
        <v>3</v>
      </c>
      <c r="J9" s="306" t="s">
        <v>903</v>
      </c>
      <c r="K9" s="17">
        <f t="shared" si="1"/>
        <v>3</v>
      </c>
      <c r="L9" s="384" t="str">
        <f>IF(J9&lt;&gt;"",BaseName &amp; IF(ISNUMBER(I9),I9,LEFT(I9,1)),"")</f>
        <v>Large_0.6_None_3</v>
      </c>
      <c r="M9" s="124" t="s">
        <v>1301</v>
      </c>
      <c r="N9" s="245">
        <v>724930</v>
      </c>
    </row>
    <row r="10" spans="1:17" ht="15" thickBot="1">
      <c r="A10" s="295" t="s">
        <v>809</v>
      </c>
      <c r="B10" s="307"/>
      <c r="C10" s="296" t="str">
        <f>IF(B10&lt;&gt;"",A10,"")</f>
        <v/>
      </c>
      <c r="E10" s="297">
        <v>7</v>
      </c>
      <c r="F10" s="306"/>
      <c r="G10" s="294" t="str">
        <f t="shared" si="0"/>
        <v/>
      </c>
      <c r="I10" s="311">
        <f>InputFiles!F1</f>
        <v>4</v>
      </c>
      <c r="J10" s="306" t="s">
        <v>903</v>
      </c>
      <c r="K10" s="17">
        <f t="shared" si="1"/>
        <v>4</v>
      </c>
      <c r="L10" s="384" t="str">
        <f>IF(J10&lt;&gt;"",BaseName &amp; IF(ISNUMBER(I10),I10,LEFT(I10,1)),"")</f>
        <v>Large_0.6_None_4</v>
      </c>
      <c r="M10" s="124" t="s">
        <v>1302</v>
      </c>
      <c r="N10" s="245">
        <v>724945</v>
      </c>
    </row>
    <row r="11" spans="1:17" ht="15" thickBot="1">
      <c r="E11" s="297">
        <v>8</v>
      </c>
      <c r="F11" s="306"/>
      <c r="G11" s="294" t="str">
        <f t="shared" si="0"/>
        <v/>
      </c>
      <c r="I11" s="311">
        <f>InputFiles!G1</f>
        <v>5</v>
      </c>
      <c r="J11" s="306" t="s">
        <v>903</v>
      </c>
      <c r="K11" s="17">
        <f t="shared" si="1"/>
        <v>5</v>
      </c>
      <c r="L11" s="384" t="str">
        <f>IF(J11&lt;&gt;"",BaseName &amp; IF(ISNUMBER(I11),I11,LEFT(I11,1)),"")</f>
        <v>Large_0.6_None_5</v>
      </c>
      <c r="M11" s="124" t="s">
        <v>1303</v>
      </c>
      <c r="N11" s="245">
        <v>723940</v>
      </c>
    </row>
    <row r="12" spans="1:17" ht="15">
      <c r="A12" s="303" t="s">
        <v>793</v>
      </c>
      <c r="B12" s="299"/>
      <c r="C12" s="300">
        <f>IF(HomeSize="Large",2,1)</f>
        <v>2</v>
      </c>
      <c r="D12" t="s">
        <v>1294</v>
      </c>
      <c r="E12" s="297">
        <v>9</v>
      </c>
      <c r="F12" s="306"/>
      <c r="G12" s="294" t="str">
        <f t="shared" si="0"/>
        <v/>
      </c>
      <c r="I12" s="311">
        <f>InputFiles!H1</f>
        <v>6</v>
      </c>
      <c r="J12" s="306" t="s">
        <v>903</v>
      </c>
      <c r="K12" s="17">
        <f t="shared" si="1"/>
        <v>6</v>
      </c>
      <c r="L12" s="384" t="str">
        <f>IF(J12&lt;&gt;"",BaseName &amp; IF(ISNUMBER(I12),I12,LEFT(I12,1)),"")</f>
        <v>Large_0.6_None_6</v>
      </c>
      <c r="M12" s="124" t="s">
        <v>1304</v>
      </c>
      <c r="N12" s="254">
        <v>722950</v>
      </c>
      <c r="O12" t="s">
        <v>1343</v>
      </c>
    </row>
    <row r="13" spans="1:17">
      <c r="A13" s="293">
        <v>1</v>
      </c>
      <c r="B13" s="306"/>
      <c r="C13" s="294" t="str">
        <f>IF(B13&lt;&gt;"",A13,"")</f>
        <v/>
      </c>
      <c r="E13" s="297">
        <v>10</v>
      </c>
      <c r="F13" s="306"/>
      <c r="G13" s="294" t="str">
        <f t="shared" si="0"/>
        <v/>
      </c>
      <c r="I13" s="311">
        <f>InputFiles!I1</f>
        <v>7</v>
      </c>
      <c r="J13" s="306" t="s">
        <v>903</v>
      </c>
      <c r="K13" s="17">
        <f t="shared" si="1"/>
        <v>7</v>
      </c>
      <c r="L13" s="384" t="str">
        <f>IF(J13&lt;&gt;"",BaseName &amp; IF(ISNUMBER(I13),I13,LEFT(I13,1)),"")</f>
        <v>Large_0.6_None_7</v>
      </c>
      <c r="M13" s="124" t="s">
        <v>1305</v>
      </c>
      <c r="N13" s="245">
        <v>722900</v>
      </c>
    </row>
    <row r="14" spans="1:17">
      <c r="A14" s="293">
        <v>2</v>
      </c>
      <c r="B14" s="306"/>
      <c r="C14" s="294" t="str">
        <f>IF(B14&lt;&gt;"",A14,"")</f>
        <v/>
      </c>
      <c r="E14" s="297">
        <v>11</v>
      </c>
      <c r="F14" s="306"/>
      <c r="G14" s="294" t="str">
        <f t="shared" si="0"/>
        <v/>
      </c>
      <c r="I14" s="311">
        <f>InputFiles!J1</f>
        <v>8</v>
      </c>
      <c r="J14" s="306" t="s">
        <v>903</v>
      </c>
      <c r="K14" s="17">
        <f t="shared" si="1"/>
        <v>8</v>
      </c>
      <c r="L14" s="384" t="str">
        <f>IF(J14&lt;&gt;"",BaseName &amp; IF(ISNUMBER(I14),I14,LEFT(I14,1)),"")</f>
        <v>Large_0.6_None_8</v>
      </c>
      <c r="M14" s="124" t="s">
        <v>1306</v>
      </c>
      <c r="N14" s="245">
        <v>722976</v>
      </c>
    </row>
    <row r="15" spans="1:17" ht="15" thickBot="1">
      <c r="A15" s="295"/>
      <c r="B15" s="307"/>
      <c r="C15" s="296"/>
      <c r="E15" s="297">
        <v>12</v>
      </c>
      <c r="F15" s="306"/>
      <c r="G15" s="294" t="str">
        <f t="shared" si="0"/>
        <v/>
      </c>
      <c r="I15" s="311">
        <f>InputFiles!K1</f>
        <v>9</v>
      </c>
      <c r="J15" s="306" t="s">
        <v>903</v>
      </c>
      <c r="K15" s="17">
        <f t="shared" si="1"/>
        <v>9</v>
      </c>
      <c r="L15" s="384" t="str">
        <f>IF(J15&lt;&gt;"",BaseName &amp; IF(ISNUMBER(I15),I15,LEFT(I15,1)),"")</f>
        <v>Large_0.6_None_9</v>
      </c>
      <c r="M15" s="124" t="s">
        <v>1307</v>
      </c>
      <c r="N15" s="245">
        <v>722880</v>
      </c>
    </row>
    <row r="16" spans="1:17" ht="15" thickBot="1">
      <c r="E16" s="297">
        <v>13</v>
      </c>
      <c r="F16" s="306"/>
      <c r="G16" s="294" t="str">
        <f t="shared" si="0"/>
        <v/>
      </c>
      <c r="I16" s="311">
        <f>InputFiles!L1</f>
        <v>10</v>
      </c>
      <c r="J16" s="306" t="s">
        <v>903</v>
      </c>
      <c r="K16" s="17">
        <f t="shared" si="1"/>
        <v>10</v>
      </c>
      <c r="L16" s="384" t="str">
        <f>IF(J16&lt;&gt;"",BaseName &amp; IF(ISNUMBER(I16),I16,LEFT(I16,1)),"")</f>
        <v>Large_0.6_None_10</v>
      </c>
      <c r="M16" s="124" t="s">
        <v>1308</v>
      </c>
      <c r="N16" s="245">
        <v>722869</v>
      </c>
    </row>
    <row r="17" spans="1:17" ht="15">
      <c r="A17" s="303" t="s">
        <v>816</v>
      </c>
      <c r="B17" s="299"/>
      <c r="C17" s="300">
        <v>1</v>
      </c>
      <c r="D17" t="s">
        <v>1295</v>
      </c>
      <c r="E17" s="297">
        <v>14</v>
      </c>
      <c r="F17" s="306"/>
      <c r="G17" s="294" t="str">
        <f t="shared" si="0"/>
        <v/>
      </c>
      <c r="I17" s="311">
        <f>InputFiles!M1</f>
        <v>11</v>
      </c>
      <c r="J17" s="306" t="s">
        <v>903</v>
      </c>
      <c r="K17" s="17">
        <f t="shared" si="1"/>
        <v>11</v>
      </c>
      <c r="L17" s="384" t="str">
        <f>IF(J17&lt;&gt;"",BaseName &amp; IF(ISNUMBER(I17),I17,LEFT(I17,1)),"")</f>
        <v>Large_0.6_None_11</v>
      </c>
      <c r="M17" s="124" t="s">
        <v>1309</v>
      </c>
      <c r="N17" s="245">
        <v>725910</v>
      </c>
    </row>
    <row r="18" spans="1:17">
      <c r="A18" s="293">
        <v>0</v>
      </c>
      <c r="B18" s="306"/>
      <c r="C18" s="294" t="str">
        <f>IF(B18&lt;&gt;"",A18,"")</f>
        <v/>
      </c>
      <c r="D18" t="s">
        <v>1296</v>
      </c>
      <c r="E18" s="297">
        <v>15</v>
      </c>
      <c r="F18" s="306"/>
      <c r="G18" s="294" t="str">
        <f t="shared" si="0"/>
        <v/>
      </c>
      <c r="I18" s="311">
        <f>InputFiles!N1</f>
        <v>12</v>
      </c>
      <c r="J18" s="306" t="s">
        <v>903</v>
      </c>
      <c r="K18" s="17">
        <f t="shared" si="1"/>
        <v>12</v>
      </c>
      <c r="L18" s="384" t="str">
        <f>IF(J18&lt;&gt;"",BaseName &amp; IF(ISNUMBER(I18),I18,LEFT(I18,1)),"")</f>
        <v>Large_0.6_None_12</v>
      </c>
      <c r="M18" s="124" t="s">
        <v>1310</v>
      </c>
      <c r="N18" s="245">
        <v>724830</v>
      </c>
    </row>
    <row r="19" spans="1:17">
      <c r="A19" s="293">
        <v>0.5</v>
      </c>
      <c r="B19" s="306"/>
      <c r="C19" s="294" t="str">
        <f>IF(B19&lt;&gt;"",A19,"")</f>
        <v/>
      </c>
      <c r="E19" s="297">
        <v>16</v>
      </c>
      <c r="F19" s="306"/>
      <c r="G19" s="294" t="str">
        <f t="shared" si="0"/>
        <v/>
      </c>
      <c r="I19" s="311">
        <f>InputFiles!O1</f>
        <v>13</v>
      </c>
      <c r="J19" s="306" t="s">
        <v>903</v>
      </c>
      <c r="K19" s="17">
        <f t="shared" si="1"/>
        <v>13</v>
      </c>
      <c r="L19" s="384" t="str">
        <f>IF(J19&lt;&gt;"",BaseName &amp; IF(ISNUMBER(I19),I19,LEFT(I19,1)),"")</f>
        <v>Large_0.6_None_13</v>
      </c>
      <c r="M19" s="124" t="s">
        <v>1311</v>
      </c>
      <c r="N19" s="245">
        <v>723890</v>
      </c>
    </row>
    <row r="20" spans="1:17" ht="15" thickBot="1">
      <c r="A20" s="295">
        <v>1</v>
      </c>
      <c r="B20" s="307" t="s">
        <v>903</v>
      </c>
      <c r="C20" s="301">
        <f>IF(B20&lt;&gt;"",A20,"")</f>
        <v>1</v>
      </c>
      <c r="E20" s="297">
        <v>17</v>
      </c>
      <c r="F20" s="306"/>
      <c r="G20" s="294" t="str">
        <f t="shared" si="0"/>
        <v/>
      </c>
      <c r="I20" s="311">
        <f>InputFiles!P1</f>
        <v>14</v>
      </c>
      <c r="J20" s="306" t="s">
        <v>903</v>
      </c>
      <c r="K20" s="17">
        <f t="shared" si="1"/>
        <v>14</v>
      </c>
      <c r="L20" s="384" t="str">
        <f>IF(J20&lt;&gt;"",BaseName &amp; IF(ISNUMBER(I20),I20,LEFT(I20,1)),"")</f>
        <v>Large_0.6_None_14</v>
      </c>
      <c r="M20" s="124" t="s">
        <v>1312</v>
      </c>
      <c r="N20" s="245">
        <v>723820</v>
      </c>
    </row>
    <row r="21" spans="1:17" ht="15" thickBot="1">
      <c r="E21" s="297">
        <v>18</v>
      </c>
      <c r="F21" s="306"/>
      <c r="G21" s="294" t="str">
        <f t="shared" si="0"/>
        <v/>
      </c>
      <c r="I21" s="311">
        <f>InputFiles!Q1</f>
        <v>15</v>
      </c>
      <c r="J21" s="306" t="s">
        <v>903</v>
      </c>
      <c r="K21" s="17">
        <f t="shared" si="1"/>
        <v>15</v>
      </c>
      <c r="L21" s="384" t="str">
        <f>IF(J21&lt;&gt;"",BaseName &amp; IF(ISNUMBER(I21),I21,LEFT(I21,1)),"")</f>
        <v>Large_0.6_None_15</v>
      </c>
      <c r="M21" s="124" t="s">
        <v>1313</v>
      </c>
      <c r="N21" s="245">
        <v>747187</v>
      </c>
    </row>
    <row r="22" spans="1:17" ht="15">
      <c r="A22" s="303" t="s">
        <v>897</v>
      </c>
      <c r="B22" s="299"/>
      <c r="C22" s="300" t="s">
        <v>798</v>
      </c>
      <c r="E22" s="297">
        <v>19</v>
      </c>
      <c r="F22" s="306"/>
      <c r="G22" s="294" t="str">
        <f t="shared" si="0"/>
        <v/>
      </c>
      <c r="I22" s="311">
        <v>16</v>
      </c>
      <c r="J22" s="306" t="s">
        <v>903</v>
      </c>
      <c r="K22" s="17">
        <f t="shared" si="1"/>
        <v>16</v>
      </c>
      <c r="L22" s="384" t="str">
        <f>IF(J22&lt;&gt;"",BaseName &amp; IF(ISNUMBER(I22),I22,LEFT(I22,1)),"")</f>
        <v>Large_0.6_None_16</v>
      </c>
      <c r="M22" s="124" t="s">
        <v>1314</v>
      </c>
      <c r="N22" s="245">
        <v>725845</v>
      </c>
    </row>
    <row r="23" spans="1:17" ht="15" thickBot="1">
      <c r="A23" s="293" t="s">
        <v>798</v>
      </c>
      <c r="B23" s="306" t="s">
        <v>903</v>
      </c>
      <c r="C23" s="294" t="str">
        <f>IF(B23&lt;&gt;"",A23,"")</f>
        <v>new</v>
      </c>
      <c r="E23" s="298">
        <v>20</v>
      </c>
      <c r="F23" s="307"/>
      <c r="G23" s="296" t="str">
        <f t="shared" si="0"/>
        <v/>
      </c>
      <c r="I23" s="312"/>
      <c r="J23" s="307"/>
      <c r="K23" s="385" t="str">
        <f t="shared" si="1"/>
        <v/>
      </c>
      <c r="L23" s="384" t="str">
        <f t="shared" ref="L7:L23" si="2">IF(J23&lt;&gt;"",BaseName &amp; IF(ISNUMBER(I23),I23,LEFT(I23,1)) &amp; "_" &amp; HumControl,"")</f>
        <v/>
      </c>
      <c r="M23" s="124"/>
      <c r="N23" s="5"/>
    </row>
    <row r="24" spans="1:17" ht="15" thickBot="1">
      <c r="A24" s="293" t="s">
        <v>799</v>
      </c>
      <c r="B24" s="306"/>
      <c r="C24" s="294" t="str">
        <f>IF(B24&lt;&gt;"",A24,"")</f>
        <v/>
      </c>
      <c r="F24" s="124"/>
      <c r="G24" s="5"/>
      <c r="H24" s="10"/>
      <c r="J24" s="124"/>
      <c r="K24" s="2"/>
      <c r="M24" s="124"/>
      <c r="N24" s="5"/>
      <c r="P24" s="124"/>
      <c r="Q24" s="5"/>
    </row>
    <row r="25" spans="1:17" ht="15" thickBot="1">
      <c r="A25" s="295"/>
      <c r="B25" s="307"/>
      <c r="C25" s="301" t="str">
        <f>IF(B25&lt;&gt;"",A25,"")</f>
        <v/>
      </c>
      <c r="F25" s="245"/>
      <c r="I25" s="310" t="s">
        <v>1031</v>
      </c>
      <c r="J25" s="386"/>
      <c r="K25" s="387">
        <f>COUNTA(B3:B5)*COUNTA(B8:B10)*COUNTA(B13:B14)*COUNTA(B18:B20) * COUNTA(B28:B33)*COUNTA(B36:B38)*COUNTA(F3:F23)*COUNTA(J7:J23)*COUNTA(B46:B49)*COUNTA(B52:B54)</f>
        <v>0</v>
      </c>
      <c r="M25" s="245"/>
      <c r="P25" s="245"/>
    </row>
    <row r="26" spans="1:17" ht="15" thickBot="1">
      <c r="F26" s="245"/>
      <c r="J26" s="245"/>
      <c r="M26" s="245"/>
      <c r="P26" s="245"/>
    </row>
    <row r="27" spans="1:17" ht="15">
      <c r="A27" s="303" t="s">
        <v>906</v>
      </c>
      <c r="B27" s="299"/>
      <c r="C27" s="300">
        <v>0.6</v>
      </c>
      <c r="D27" t="s">
        <v>1297</v>
      </c>
      <c r="F27" s="245"/>
      <c r="M27" s="245"/>
      <c r="P27" s="245"/>
    </row>
    <row r="28" spans="1:17">
      <c r="A28" s="293">
        <v>10</v>
      </c>
      <c r="B28" s="313"/>
      <c r="C28" s="294" t="str">
        <f t="shared" ref="C28:C33" si="3">IF(B28&lt;&gt;"",A28,"")</f>
        <v/>
      </c>
      <c r="F28" s="245"/>
      <c r="J28" s="245"/>
      <c r="M28" s="245"/>
      <c r="P28" s="245"/>
    </row>
    <row r="29" spans="1:17">
      <c r="A29" s="293">
        <v>5</v>
      </c>
      <c r="B29" s="314" t="s">
        <v>903</v>
      </c>
      <c r="C29" s="294">
        <f t="shared" si="3"/>
        <v>5</v>
      </c>
      <c r="F29" s="245"/>
      <c r="J29" s="245"/>
      <c r="M29" s="245"/>
      <c r="P29" s="245"/>
    </row>
    <row r="30" spans="1:17">
      <c r="A30" s="293">
        <v>3</v>
      </c>
      <c r="B30" s="314" t="s">
        <v>903</v>
      </c>
      <c r="C30" s="294">
        <f t="shared" si="3"/>
        <v>3</v>
      </c>
      <c r="F30" s="245"/>
      <c r="J30" s="245"/>
      <c r="M30" s="245"/>
      <c r="P30" s="245"/>
    </row>
    <row r="31" spans="1:17">
      <c r="A31" s="293">
        <v>2</v>
      </c>
      <c r="B31" s="314" t="s">
        <v>903</v>
      </c>
      <c r="C31" s="294">
        <f t="shared" si="3"/>
        <v>2</v>
      </c>
      <c r="F31" s="245"/>
      <c r="J31" s="245"/>
      <c r="M31" s="245"/>
      <c r="P31" s="245"/>
    </row>
    <row r="32" spans="1:17">
      <c r="A32" s="293">
        <v>1</v>
      </c>
      <c r="B32" s="314" t="s">
        <v>903</v>
      </c>
      <c r="C32" s="294">
        <f t="shared" si="3"/>
        <v>1</v>
      </c>
      <c r="F32" s="245"/>
      <c r="J32" s="245"/>
      <c r="M32" s="245"/>
      <c r="P32" s="245"/>
    </row>
    <row r="33" spans="1:16" ht="15" thickBot="1">
      <c r="A33" s="295">
        <v>0.6</v>
      </c>
      <c r="B33" s="315" t="s">
        <v>903</v>
      </c>
      <c r="C33" s="296">
        <f t="shared" si="3"/>
        <v>0.6</v>
      </c>
      <c r="F33" s="245"/>
      <c r="J33" s="245"/>
      <c r="M33" s="245"/>
      <c r="P33" s="245"/>
    </row>
    <row r="34" spans="1:16" ht="15" thickBot="1"/>
    <row r="35" spans="1:16" ht="15">
      <c r="A35" s="303" t="s">
        <v>823</v>
      </c>
      <c r="B35" s="299"/>
      <c r="C35" s="300" t="s">
        <v>1185</v>
      </c>
    </row>
    <row r="36" spans="1:16">
      <c r="A36" s="293" t="s">
        <v>821</v>
      </c>
      <c r="B36" s="306"/>
      <c r="C36" s="294" t="str">
        <f>IF(B36&lt;&gt;"",A36,"")</f>
        <v/>
      </c>
    </row>
    <row r="37" spans="1:16">
      <c r="A37" s="293" t="s">
        <v>822</v>
      </c>
      <c r="B37" s="306"/>
      <c r="C37" s="294" t="str">
        <f>IF(B37&lt;&gt;"",A37,"")</f>
        <v/>
      </c>
    </row>
    <row r="38" spans="1:16" ht="15" thickBot="1">
      <c r="A38" s="295" t="s">
        <v>1185</v>
      </c>
      <c r="B38" s="307" t="s">
        <v>903</v>
      </c>
      <c r="C38" s="296" t="str">
        <f>IF(B38&lt;&gt;"",A38,"")</f>
        <v>Simple Exhaust</v>
      </c>
    </row>
    <row r="39" spans="1:16" ht="15" thickBot="1"/>
    <row r="40" spans="1:16" ht="15">
      <c r="A40" s="303" t="s">
        <v>1055</v>
      </c>
      <c r="B40" s="299"/>
      <c r="C40" s="300" t="s">
        <v>1127</v>
      </c>
    </row>
    <row r="41" spans="1:16">
      <c r="A41" s="293" t="s">
        <v>1034</v>
      </c>
      <c r="B41" s="306"/>
      <c r="C41" s="294" t="str">
        <f>IF(B41&lt;&gt;"",A41,"")</f>
        <v/>
      </c>
    </row>
    <row r="42" spans="1:16">
      <c r="A42" s="293" t="s">
        <v>1127</v>
      </c>
      <c r="B42" s="306" t="s">
        <v>903</v>
      </c>
      <c r="C42" s="294" t="str">
        <f>IF(B42&lt;&gt;"",A42,"")</f>
        <v>No</v>
      </c>
    </row>
    <row r="43" spans="1:16" ht="15" thickBot="1">
      <c r="A43" s="295"/>
      <c r="B43" s="307"/>
      <c r="C43" s="296" t="str">
        <f>IF(B43&lt;&gt;"",A43,"")</f>
        <v/>
      </c>
    </row>
    <row r="44" spans="1:16" ht="15" thickBot="1"/>
    <row r="45" spans="1:16" ht="15">
      <c r="A45" s="303" t="s">
        <v>1180</v>
      </c>
      <c r="B45" s="299"/>
      <c r="C45" s="300" t="s">
        <v>854</v>
      </c>
      <c r="D45" t="str">
        <f>IF(occSchedule="occ_full.txt","Full",IF(occSchedule="occ_1stShift.txt","1st",IF(occSchedule="occ_3rdShift.txt","3rd","1stExt")))</f>
        <v>Full</v>
      </c>
    </row>
    <row r="46" spans="1:16">
      <c r="A46" s="293" t="s">
        <v>854</v>
      </c>
      <c r="B46" s="313" t="s">
        <v>903</v>
      </c>
      <c r="C46" s="294" t="str">
        <f>IF(B46&lt;&gt;"",A46,"")</f>
        <v>occ_full.txt</v>
      </c>
    </row>
    <row r="47" spans="1:16">
      <c r="A47" s="293" t="s">
        <v>1181</v>
      </c>
      <c r="B47" s="314"/>
      <c r="C47" s="294" t="str">
        <f t="shared" ref="C47:C48" si="4">IF(B47&lt;&gt;"",A47,"")</f>
        <v/>
      </c>
    </row>
    <row r="48" spans="1:16">
      <c r="A48" s="452" t="s">
        <v>1182</v>
      </c>
      <c r="B48" s="453"/>
      <c r="C48" s="294" t="str">
        <f t="shared" si="4"/>
        <v/>
      </c>
    </row>
    <row r="49" spans="1:4" s="245" customFormat="1">
      <c r="A49" s="17" t="s">
        <v>1194</v>
      </c>
      <c r="B49" s="453"/>
      <c r="C49" s="294" t="str">
        <f t="shared" ref="C49" si="5">IF(B49&lt;&gt;"",A49,"")</f>
        <v/>
      </c>
    </row>
    <row r="50" spans="1:4" ht="15" thickBot="1">
      <c r="A50" s="17"/>
      <c r="B50" s="454"/>
      <c r="C50" s="17"/>
    </row>
    <row r="51" spans="1:4" ht="15">
      <c r="A51" s="303" t="s">
        <v>1183</v>
      </c>
      <c r="B51" s="299"/>
      <c r="C51" s="300" t="s">
        <v>1192</v>
      </c>
      <c r="D51" t="str">
        <f>IF(fanSchedule="REGCAP_FanSchedule_1stShift.txt", "1st",IF(fanSchedule="REGCAP_FanSchedule_3rdShift.txt","3rd", "1stExt"))</f>
        <v>1st</v>
      </c>
    </row>
    <row r="52" spans="1:4">
      <c r="A52" s="293" t="s">
        <v>1192</v>
      </c>
      <c r="B52" s="313" t="s">
        <v>903</v>
      </c>
      <c r="C52" s="294" t="str">
        <f>IF(B52&lt;&gt;"",A52,"")</f>
        <v>REGCAP_FanSchedule_1stShift.txt</v>
      </c>
    </row>
    <row r="53" spans="1:4">
      <c r="A53" s="452" t="s">
        <v>1193</v>
      </c>
      <c r="B53" s="453"/>
      <c r="C53" s="294" t="str">
        <f>IF(B53&lt;&gt;"",A53,"")</f>
        <v/>
      </c>
    </row>
    <row r="54" spans="1:4">
      <c r="A54" s="17" t="s">
        <v>1195</v>
      </c>
      <c r="B54" s="453"/>
      <c r="C54" s="294" t="str">
        <f>IF(B54&lt;&gt;"",A54,"")</f>
        <v/>
      </c>
    </row>
    <row r="55" spans="1:4" ht="15" thickBot="1"/>
    <row r="56" spans="1:4" ht="15">
      <c r="A56" s="303" t="s">
        <v>1346</v>
      </c>
      <c r="B56" s="299"/>
      <c r="C56" s="300" t="s">
        <v>1389</v>
      </c>
    </row>
    <row r="57" spans="1:4">
      <c r="A57">
        <v>2010</v>
      </c>
      <c r="B57" t="s">
        <v>903</v>
      </c>
      <c r="C57" s="294">
        <f>IF(B57&lt;&gt;"",A57,"")</f>
        <v>2010</v>
      </c>
    </row>
    <row r="58" spans="1:4">
      <c r="A58" s="516" t="s">
        <v>1344</v>
      </c>
      <c r="B58" t="s">
        <v>903</v>
      </c>
      <c r="C58" s="294" t="str">
        <f>IF(B58&lt;&gt;"",A58,"")</f>
        <v>2013Inf</v>
      </c>
    </row>
    <row r="59" spans="1:4">
      <c r="A59" t="s">
        <v>1345</v>
      </c>
      <c r="B59" t="s">
        <v>903</v>
      </c>
      <c r="C59" s="294" t="str">
        <f>IF(B59&lt;&gt;"",A59,"")</f>
        <v>2013noInf</v>
      </c>
    </row>
    <row r="60" spans="1:4">
      <c r="A60" t="s">
        <v>1352</v>
      </c>
      <c r="B60" t="s">
        <v>903</v>
      </c>
      <c r="C60" s="294" t="str">
        <f>IF(B60&lt;&gt;"",A60,"")</f>
        <v>2016InfPhi</v>
      </c>
    </row>
    <row r="61" spans="1:4">
      <c r="A61" t="s">
        <v>1389</v>
      </c>
      <c r="B61" t="s">
        <v>903</v>
      </c>
      <c r="C61" s="520" t="str">
        <f>IF(B61&lt;&gt;"",A61,"")</f>
        <v>None</v>
      </c>
    </row>
  </sheetData>
  <dataValidations count="12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  <dataValidation type="list" allowBlank="1" showInputMessage="1" showErrorMessage="1" sqref="C56">
      <formula1>$C$57:$C$61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109" activePane="bottomLeft" state="frozen"/>
      <selection pane="bottomLeft" activeCell="C141" sqref="C141"/>
    </sheetView>
  </sheetViews>
  <sheetFormatPr baseColWidth="10" defaultRowHeight="14" x14ac:dyDescent="0"/>
  <cols>
    <col min="1" max="1" width="16.33203125" style="245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45" bestFit="1" customWidth="1"/>
    <col min="13" max="13" width="3.6640625" customWidth="1"/>
    <col min="14" max="14" width="13.1640625" bestFit="1" customWidth="1"/>
    <col min="15" max="15" width="2" style="245" bestFit="1" customWidth="1"/>
    <col min="16" max="16" width="5" customWidth="1"/>
    <col min="18" max="18" width="2" style="245" bestFit="1" customWidth="1"/>
    <col min="20" max="20" width="16.1640625" bestFit="1" customWidth="1"/>
    <col min="21" max="21" width="2" style="245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45" bestFit="1" customWidth="1"/>
  </cols>
  <sheetData>
    <row r="1" spans="1:23" s="245" customFormat="1" ht="25" customHeight="1">
      <c r="A1" s="302" t="s">
        <v>910</v>
      </c>
      <c r="B1" s="245" t="s">
        <v>922</v>
      </c>
      <c r="C1" s="245" t="s">
        <v>486</v>
      </c>
      <c r="D1" s="245" t="s">
        <v>0</v>
      </c>
      <c r="E1" s="245" t="s">
        <v>1</v>
      </c>
      <c r="F1" s="245" t="s">
        <v>2</v>
      </c>
      <c r="G1" s="245" t="s">
        <v>3</v>
      </c>
    </row>
    <row r="2" spans="1:23">
      <c r="A2" s="245" t="s">
        <v>856</v>
      </c>
      <c r="B2" t="s">
        <v>911</v>
      </c>
      <c r="C2" s="339" t="str">
        <f>Weather!B26</f>
        <v>722020TYA.CSV</v>
      </c>
      <c r="D2" t="s">
        <v>848</v>
      </c>
      <c r="G2" t="s">
        <v>1030</v>
      </c>
      <c r="I2" s="285" t="s">
        <v>1069</v>
      </c>
    </row>
    <row r="3" spans="1:23">
      <c r="B3" s="245" t="s">
        <v>844</v>
      </c>
      <c r="C3" s="338" t="str">
        <f>fanSchedule</f>
        <v>REGCAP_FanSchedule_1stShift.txt</v>
      </c>
      <c r="D3" t="s">
        <v>849</v>
      </c>
      <c r="G3" t="s">
        <v>322</v>
      </c>
      <c r="I3" s="309" t="s">
        <v>1070</v>
      </c>
    </row>
    <row r="4" spans="1:23">
      <c r="B4" s="245" t="s">
        <v>845</v>
      </c>
      <c r="C4" s="309" t="s">
        <v>1390</v>
      </c>
      <c r="D4" t="s">
        <v>850</v>
      </c>
      <c r="G4" t="s">
        <v>11</v>
      </c>
      <c r="I4" s="338" t="s">
        <v>1093</v>
      </c>
    </row>
    <row r="5" spans="1:23">
      <c r="B5" s="245" t="s">
        <v>846</v>
      </c>
      <c r="C5" s="309" t="str">
        <f>occSchedule</f>
        <v>occ_full.txt</v>
      </c>
      <c r="D5" t="s">
        <v>851</v>
      </c>
      <c r="G5" t="s">
        <v>11</v>
      </c>
      <c r="I5" s="339" t="s">
        <v>1071</v>
      </c>
    </row>
    <row r="6" spans="1:23">
      <c r="A6" s="334"/>
      <c r="B6" s="334" t="s">
        <v>847</v>
      </c>
      <c r="C6" s="309" t="s">
        <v>853</v>
      </c>
      <c r="D6" s="334" t="s">
        <v>852</v>
      </c>
      <c r="E6" s="334"/>
      <c r="F6" s="334"/>
      <c r="G6" s="334" t="s">
        <v>11</v>
      </c>
      <c r="W6" s="5"/>
    </row>
    <row r="7" spans="1:23">
      <c r="A7" s="1" t="s">
        <v>855</v>
      </c>
      <c r="B7" t="s">
        <v>1155</v>
      </c>
      <c r="C7" s="340">
        <f>Leakage!B4</f>
        <v>9.1024395236017248E-3</v>
      </c>
      <c r="D7" t="s">
        <v>929</v>
      </c>
      <c r="E7" t="s">
        <v>5</v>
      </c>
      <c r="F7" t="s">
        <v>6</v>
      </c>
      <c r="G7" t="s">
        <v>7</v>
      </c>
      <c r="W7" s="5"/>
    </row>
    <row r="8" spans="1:23">
      <c r="B8" t="s">
        <v>899</v>
      </c>
      <c r="C8" s="341">
        <f>n</f>
        <v>0.65</v>
      </c>
      <c r="D8" t="s">
        <v>9</v>
      </c>
      <c r="E8" t="s">
        <v>10</v>
      </c>
      <c r="G8" t="s">
        <v>7</v>
      </c>
      <c r="W8" s="5"/>
    </row>
    <row r="9" spans="1:23" s="245" customFormat="1">
      <c r="B9" s="245" t="s">
        <v>1150</v>
      </c>
      <c r="C9" s="341">
        <f>VLOOKUP(Stories, InfiltrationModelCoefficients!A3:B5, 2, FALSE)</f>
        <v>0.59</v>
      </c>
      <c r="D9" s="245" t="s">
        <v>1157</v>
      </c>
      <c r="W9" s="254"/>
    </row>
    <row r="10" spans="1:23" s="245" customFormat="1">
      <c r="B10" s="221" t="s">
        <v>1143</v>
      </c>
      <c r="C10" s="341">
        <f>IF(Nflue=0,InfiltrationModelCoefficients!C10,VLOOKUP(Stories,InfiltrationModelCoefficients!A11:C13,3,FALSE))</f>
        <v>0.5</v>
      </c>
      <c r="D10" s="221" t="s">
        <v>1158</v>
      </c>
      <c r="W10" s="254"/>
    </row>
    <row r="11" spans="1:23" s="245" customFormat="1">
      <c r="B11" s="221" t="s">
        <v>1152</v>
      </c>
      <c r="C11" s="341">
        <f>IF(Nflue=0,VLOOKUP(Stories, InfiltrationModelCoefficients!A28:C30,3,FALSE),VLOOKUP(Stories,InfiltrationModelCoefficients!A31:C33,3,FALSE))</f>
        <v>7.8E-2</v>
      </c>
      <c r="D11" s="221" t="s">
        <v>1159</v>
      </c>
      <c r="W11" s="254"/>
    </row>
    <row r="12" spans="1:23" s="245" customFormat="1">
      <c r="B12" s="221" t="s">
        <v>1156</v>
      </c>
      <c r="C12" s="341">
        <f>IF(AND(Nflue=0, C142=1),  VLOOKUP(Stories, InfiltrationModelCoefficients!A18:D20,4, FALSE), IF(AND(Nflue=0, C142=0),  VLOOKUP(Stories, InfiltrationModelCoefficients!A18:D20,3, FALSE), IF(AND(Nflue=1, C142=1), VLOOKUP(Stories, InfiltrationModelCoefficients!A21:D23, 4, FALSE), VLOOKUP(Stories, InfiltrationModelCoefficients!A21:D23,3,FALSE))))</f>
        <v>0.17</v>
      </c>
      <c r="D12" s="221" t="s">
        <v>1160</v>
      </c>
      <c r="W12" s="254"/>
    </row>
    <row r="13" spans="1:23">
      <c r="B13" t="s">
        <v>898</v>
      </c>
      <c r="C13" s="341">
        <f>H_soffitSI</f>
        <v>6.095999804928006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41">
        <f>Leakage!H58</f>
        <v>0.5</v>
      </c>
      <c r="D14" t="s">
        <v>442</v>
      </c>
      <c r="E14" t="s">
        <v>17</v>
      </c>
      <c r="F14" t="s">
        <v>16</v>
      </c>
      <c r="G14" t="s">
        <v>7</v>
      </c>
      <c r="W14" s="5"/>
    </row>
    <row r="15" spans="1:23">
      <c r="A15" s="334"/>
      <c r="B15" s="334" t="s">
        <v>18</v>
      </c>
      <c r="C15" s="342">
        <f>Leakage!H59</f>
        <v>0</v>
      </c>
      <c r="D15" s="334" t="s">
        <v>443</v>
      </c>
      <c r="E15" s="334"/>
      <c r="F15" s="334" t="s">
        <v>16</v>
      </c>
      <c r="G15" s="334" t="s">
        <v>7</v>
      </c>
      <c r="W15" s="5"/>
    </row>
    <row r="16" spans="1:23">
      <c r="A16" s="245" t="s">
        <v>19</v>
      </c>
      <c r="B16" t="s">
        <v>912</v>
      </c>
      <c r="C16" s="424">
        <f>Nflue</f>
        <v>0</v>
      </c>
      <c r="D16" t="s">
        <v>20</v>
      </c>
      <c r="G16" t="s">
        <v>22</v>
      </c>
      <c r="W16" s="5"/>
    </row>
    <row r="17" spans="1:25">
      <c r="B17" t="s">
        <v>1094</v>
      </c>
      <c r="C17" s="425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924</v>
      </c>
      <c r="C18" s="343">
        <f>H_flueSI</f>
        <v>8.6359997236480091</v>
      </c>
      <c r="D18" t="s">
        <v>23</v>
      </c>
      <c r="G18" t="s">
        <v>24</v>
      </c>
      <c r="W18" s="5"/>
    </row>
    <row r="19" spans="1:25">
      <c r="B19" t="s">
        <v>925</v>
      </c>
      <c r="C19" s="350">
        <f>Flue!C11</f>
        <v>-99</v>
      </c>
      <c r="D19" t="s">
        <v>408</v>
      </c>
      <c r="E19" t="s">
        <v>26</v>
      </c>
      <c r="G19" s="245" t="s">
        <v>22</v>
      </c>
      <c r="W19" s="5"/>
    </row>
    <row r="20" spans="1:25">
      <c r="B20" s="245" t="s">
        <v>1095</v>
      </c>
      <c r="C20" s="425">
        <f>Flue!D10</f>
        <v>1.9281086206186945E-2</v>
      </c>
      <c r="E20" t="s">
        <v>491</v>
      </c>
      <c r="G20" t="s">
        <v>22</v>
      </c>
      <c r="W20" s="5"/>
    </row>
    <row r="21" spans="1:25">
      <c r="B21" s="245" t="s">
        <v>927</v>
      </c>
      <c r="C21" s="343">
        <f>H_flueSI</f>
        <v>8.6359997236480091</v>
      </c>
      <c r="D21" t="s">
        <v>23</v>
      </c>
      <c r="G21" t="s">
        <v>24</v>
      </c>
      <c r="W21" s="5"/>
    </row>
    <row r="22" spans="1:25">
      <c r="A22" s="334"/>
      <c r="B22" s="334" t="s">
        <v>928</v>
      </c>
      <c r="C22" s="342">
        <f>Flue!D11</f>
        <v>-99</v>
      </c>
      <c r="D22" s="334" t="s">
        <v>25</v>
      </c>
      <c r="E22" s="334"/>
      <c r="F22" s="334"/>
      <c r="G22" s="334" t="s">
        <v>22</v>
      </c>
      <c r="W22" s="5"/>
    </row>
    <row r="23" spans="1:25">
      <c r="A23" s="245" t="s">
        <v>27</v>
      </c>
      <c r="B23" t="s">
        <v>913</v>
      </c>
      <c r="C23" s="343">
        <f>Leakage!M53</f>
        <v>0.31645569620253167</v>
      </c>
      <c r="D23" t="s">
        <v>380</v>
      </c>
      <c r="E23" t="s">
        <v>29</v>
      </c>
      <c r="G23" t="s">
        <v>7</v>
      </c>
      <c r="W23" s="5"/>
    </row>
    <row r="24" spans="1:25">
      <c r="B24" t="s">
        <v>914</v>
      </c>
      <c r="C24" s="343">
        <f>C23</f>
        <v>0.31645569620253167</v>
      </c>
      <c r="D24" t="s">
        <v>381</v>
      </c>
      <c r="G24" t="s">
        <v>7</v>
      </c>
      <c r="W24" s="5"/>
    </row>
    <row r="25" spans="1:25">
      <c r="B25" t="s">
        <v>915</v>
      </c>
      <c r="C25" s="343">
        <f>Leakage!M54</f>
        <v>0.18354430379746839</v>
      </c>
      <c r="D25" t="s">
        <v>382</v>
      </c>
      <c r="G25" t="s">
        <v>7</v>
      </c>
      <c r="W25" s="5"/>
    </row>
    <row r="26" spans="1:25">
      <c r="B26" s="334" t="s">
        <v>916</v>
      </c>
      <c r="C26" s="344">
        <f>C25</f>
        <v>0.18354430379746839</v>
      </c>
      <c r="D26" s="334" t="s">
        <v>383</v>
      </c>
      <c r="E26" s="334"/>
      <c r="F26" s="334"/>
      <c r="G26" s="334" t="s">
        <v>7</v>
      </c>
      <c r="W26" s="5"/>
    </row>
    <row r="27" spans="1:25">
      <c r="B27" t="s">
        <v>917</v>
      </c>
      <c r="C27" s="343">
        <f>C23</f>
        <v>0.31645569620253167</v>
      </c>
      <c r="D27" t="s">
        <v>33</v>
      </c>
      <c r="E27" t="s">
        <v>34</v>
      </c>
      <c r="G27" t="s">
        <v>7</v>
      </c>
      <c r="W27" s="5"/>
    </row>
    <row r="28" spans="1:25">
      <c r="B28" t="s">
        <v>918</v>
      </c>
      <c r="C28" s="343">
        <f>C24</f>
        <v>0.31645569620253167</v>
      </c>
      <c r="D28" t="s">
        <v>35</v>
      </c>
      <c r="G28" t="s">
        <v>7</v>
      </c>
      <c r="W28" s="5"/>
      <c r="Y28" s="124"/>
    </row>
    <row r="29" spans="1:25">
      <c r="B29" t="s">
        <v>919</v>
      </c>
      <c r="C29" s="343">
        <f>C25</f>
        <v>0.18354430379746839</v>
      </c>
      <c r="D29" t="s">
        <v>36</v>
      </c>
      <c r="G29" t="s">
        <v>7</v>
      </c>
    </row>
    <row r="30" spans="1:25">
      <c r="B30" s="334" t="s">
        <v>920</v>
      </c>
      <c r="C30" s="344">
        <f>C26</f>
        <v>0.18354430379746839</v>
      </c>
      <c r="D30" s="334" t="s">
        <v>935</v>
      </c>
      <c r="E30" s="334"/>
      <c r="F30" s="334"/>
      <c r="G30" s="334" t="s">
        <v>7</v>
      </c>
    </row>
    <row r="31" spans="1:25">
      <c r="B31" t="s">
        <v>921</v>
      </c>
      <c r="C31" s="335">
        <v>1</v>
      </c>
      <c r="D31" t="s">
        <v>37</v>
      </c>
      <c r="G31" t="s">
        <v>11</v>
      </c>
    </row>
    <row r="32" spans="1:25">
      <c r="A32" s="334"/>
      <c r="B32" s="334" t="s">
        <v>930</v>
      </c>
      <c r="C32" s="330">
        <v>0</v>
      </c>
      <c r="D32" s="334" t="s">
        <v>38</v>
      </c>
      <c r="E32" s="334" t="s">
        <v>39</v>
      </c>
      <c r="F32" s="334"/>
      <c r="G32" s="334" t="s">
        <v>11</v>
      </c>
    </row>
    <row r="33" spans="1:7">
      <c r="A33" s="245" t="s">
        <v>1024</v>
      </c>
      <c r="B33" t="s">
        <v>391</v>
      </c>
      <c r="C33" s="341">
        <f>H_ground</f>
        <v>0.30479999024640031</v>
      </c>
      <c r="D33" t="s">
        <v>40</v>
      </c>
      <c r="G33" t="s">
        <v>14</v>
      </c>
    </row>
    <row r="34" spans="1:7">
      <c r="B34" t="s">
        <v>931</v>
      </c>
      <c r="C34" s="330" t="s">
        <v>794</v>
      </c>
      <c r="D34" t="s">
        <v>1068</v>
      </c>
      <c r="G34" t="s">
        <v>11</v>
      </c>
    </row>
    <row r="35" spans="1:7">
      <c r="B35" t="s">
        <v>932</v>
      </c>
      <c r="C35" s="345">
        <f>V_houseSI</f>
        <v>729.1581126273195</v>
      </c>
      <c r="D35" t="s">
        <v>41</v>
      </c>
      <c r="G35" t="s">
        <v>14</v>
      </c>
    </row>
    <row r="36" spans="1:7">
      <c r="B36" t="s">
        <v>933</v>
      </c>
      <c r="C36" s="345">
        <f>A_houseSI</f>
        <v>250.82999999999998</v>
      </c>
      <c r="D36" t="s">
        <v>42</v>
      </c>
      <c r="E36" t="s">
        <v>936</v>
      </c>
      <c r="F36" t="s">
        <v>43</v>
      </c>
      <c r="G36" t="s">
        <v>14</v>
      </c>
    </row>
    <row r="37" spans="1:7">
      <c r="B37" t="s">
        <v>934</v>
      </c>
      <c r="C37" s="345">
        <f>planareaSI</f>
        <v>134.70499999999998</v>
      </c>
      <c r="D37" t="s">
        <v>390</v>
      </c>
      <c r="G37" t="s">
        <v>14</v>
      </c>
    </row>
    <row r="38" spans="1:7">
      <c r="B38" t="s">
        <v>857</v>
      </c>
      <c r="C38" s="345">
        <f>H_storeySI</f>
        <v>2.743199912217603</v>
      </c>
      <c r="D38" t="s">
        <v>858</v>
      </c>
      <c r="G38" s="245" t="s">
        <v>14</v>
      </c>
    </row>
    <row r="39" spans="1:7">
      <c r="B39" t="s">
        <v>937</v>
      </c>
      <c r="C39" s="346">
        <f>UA!AC12</f>
        <v>59.640279951620009</v>
      </c>
      <c r="D39" t="s">
        <v>894</v>
      </c>
      <c r="E39" t="s">
        <v>942</v>
      </c>
      <c r="F39" t="s">
        <v>44</v>
      </c>
      <c r="G39" t="s">
        <v>45</v>
      </c>
    </row>
    <row r="40" spans="1:7">
      <c r="B40" t="s">
        <v>938</v>
      </c>
      <c r="C40" s="346">
        <f>UA!AC14</f>
        <v>75.382164081239779</v>
      </c>
      <c r="D40" t="s">
        <v>895</v>
      </c>
      <c r="E40" t="s">
        <v>943</v>
      </c>
      <c r="F40" t="s">
        <v>44</v>
      </c>
      <c r="G40" t="s">
        <v>45</v>
      </c>
    </row>
    <row r="41" spans="1:7">
      <c r="A41" s="334"/>
      <c r="B41" s="334" t="s">
        <v>939</v>
      </c>
      <c r="C41" s="347">
        <f>UA!AC13</f>
        <v>91.149615359999984</v>
      </c>
      <c r="D41" s="334" t="s">
        <v>896</v>
      </c>
      <c r="E41" s="334" t="s">
        <v>944</v>
      </c>
      <c r="F41" s="334"/>
      <c r="G41" s="334" t="s">
        <v>45</v>
      </c>
    </row>
    <row r="42" spans="1:7">
      <c r="A42" s="245" t="s">
        <v>46</v>
      </c>
      <c r="B42" t="s">
        <v>940</v>
      </c>
      <c r="C42" s="335">
        <v>0</v>
      </c>
      <c r="D42" t="s">
        <v>47</v>
      </c>
      <c r="G42" t="s">
        <v>11</v>
      </c>
    </row>
    <row r="43" spans="1:7">
      <c r="B43" t="s">
        <v>859</v>
      </c>
      <c r="C43" s="330">
        <v>0</v>
      </c>
    </row>
    <row r="44" spans="1:7">
      <c r="B44" t="s">
        <v>860</v>
      </c>
      <c r="C44" s="330">
        <v>0</v>
      </c>
    </row>
    <row r="45" spans="1:7">
      <c r="B45" t="s">
        <v>861</v>
      </c>
      <c r="C45" s="330">
        <v>0</v>
      </c>
    </row>
    <row r="46" spans="1:7">
      <c r="B46" t="s">
        <v>862</v>
      </c>
      <c r="C46" s="330">
        <v>0</v>
      </c>
    </row>
    <row r="47" spans="1:7">
      <c r="A47" s="334"/>
      <c r="B47" s="334" t="s">
        <v>863</v>
      </c>
      <c r="C47" s="330">
        <v>0</v>
      </c>
      <c r="D47" s="334"/>
      <c r="E47" s="334"/>
      <c r="F47" s="334"/>
      <c r="G47" s="334"/>
    </row>
    <row r="48" spans="1:7">
      <c r="A48" s="245" t="s">
        <v>48</v>
      </c>
      <c r="B48" t="s">
        <v>941</v>
      </c>
      <c r="C48" s="335">
        <v>5</v>
      </c>
      <c r="D48" t="s">
        <v>49</v>
      </c>
      <c r="G48" t="s">
        <v>11</v>
      </c>
    </row>
    <row r="49" spans="2:7">
      <c r="B49" t="s">
        <v>947</v>
      </c>
      <c r="C49" s="348">
        <f>Fans!B12</f>
        <v>0</v>
      </c>
      <c r="D49" t="s">
        <v>627</v>
      </c>
      <c r="G49" t="s">
        <v>50</v>
      </c>
    </row>
    <row r="50" spans="2:7">
      <c r="B50" t="s">
        <v>945</v>
      </c>
      <c r="C50" s="353">
        <f>Fans!B13</f>
        <v>0</v>
      </c>
      <c r="D50" t="s">
        <v>51</v>
      </c>
      <c r="G50" t="s">
        <v>50</v>
      </c>
    </row>
    <row r="51" spans="2:7">
      <c r="B51" s="334" t="s">
        <v>946</v>
      </c>
      <c r="C51" s="428">
        <f>Fans!B14</f>
        <v>1</v>
      </c>
      <c r="D51" s="334" t="s">
        <v>628</v>
      </c>
      <c r="E51" s="334"/>
      <c r="F51" s="334" t="s">
        <v>52</v>
      </c>
      <c r="G51" s="334" t="s">
        <v>50</v>
      </c>
    </row>
    <row r="52" spans="2:7">
      <c r="B52" s="245" t="s">
        <v>948</v>
      </c>
      <c r="C52" s="341">
        <f>Fans!I54</f>
        <v>0</v>
      </c>
      <c r="D52" t="s">
        <v>629</v>
      </c>
      <c r="G52" t="s">
        <v>50</v>
      </c>
    </row>
    <row r="53" spans="2:7">
      <c r="B53" s="245" t="s">
        <v>949</v>
      </c>
      <c r="C53" s="349">
        <f>Fans!C54</f>
        <v>-7.0788107597923547E-2</v>
      </c>
      <c r="D53" t="s">
        <v>53</v>
      </c>
      <c r="G53" t="s">
        <v>50</v>
      </c>
    </row>
    <row r="54" spans="2:7">
      <c r="B54" s="334" t="s">
        <v>950</v>
      </c>
      <c r="C54" s="330">
        <v>23</v>
      </c>
      <c r="D54" s="334" t="s">
        <v>630</v>
      </c>
      <c r="E54" s="334"/>
      <c r="F54" s="334"/>
      <c r="G54" s="334"/>
    </row>
    <row r="55" spans="2:7">
      <c r="B55" s="245" t="s">
        <v>951</v>
      </c>
      <c r="C55" s="350">
        <f>Fans!I52</f>
        <v>37.200000000000003</v>
      </c>
      <c r="D55" t="s">
        <v>631</v>
      </c>
      <c r="G55" t="s">
        <v>50</v>
      </c>
    </row>
    <row r="56" spans="2:7">
      <c r="B56" s="245" t="s">
        <v>952</v>
      </c>
      <c r="C56" s="349">
        <f>Fans!C52</f>
        <v>-4.7192071731949031E-2</v>
      </c>
      <c r="D56" t="s">
        <v>54</v>
      </c>
      <c r="G56" t="s">
        <v>50</v>
      </c>
    </row>
    <row r="57" spans="2:7">
      <c r="B57" s="334" t="s">
        <v>953</v>
      </c>
      <c r="C57" s="330">
        <v>24</v>
      </c>
      <c r="D57" s="334" t="s">
        <v>632</v>
      </c>
      <c r="E57" s="334"/>
      <c r="F57" s="334"/>
      <c r="G57" s="334"/>
    </row>
    <row r="58" spans="2:7">
      <c r="B58" s="245" t="s">
        <v>954</v>
      </c>
      <c r="C58" s="341">
        <f>IF(Fans!B6&gt;0,Fans!I51,0)</f>
        <v>10.199999999999999</v>
      </c>
      <c r="D58" t="s">
        <v>633</v>
      </c>
      <c r="G58" t="s">
        <v>50</v>
      </c>
    </row>
    <row r="59" spans="2:7">
      <c r="B59" s="245" t="s">
        <v>955</v>
      </c>
      <c r="C59" s="349">
        <f>IF(Fans!B6&gt;0,Fans!C51,0)</f>
        <v>-2.3596035865974516E-2</v>
      </c>
      <c r="D59" t="s">
        <v>56</v>
      </c>
      <c r="G59" t="s">
        <v>50</v>
      </c>
    </row>
    <row r="60" spans="2:7">
      <c r="B60" s="334" t="s">
        <v>956</v>
      </c>
      <c r="C60" s="330">
        <v>25</v>
      </c>
      <c r="D60" s="334" t="s">
        <v>634</v>
      </c>
      <c r="E60" s="334"/>
      <c r="F60" s="334"/>
      <c r="G60" s="334"/>
    </row>
    <row r="61" spans="2:7">
      <c r="B61" s="245" t="s">
        <v>957</v>
      </c>
      <c r="C61" s="341">
        <f>IF(Fans!B6&gt;1,Fans!I51,0)</f>
        <v>10.199999999999999</v>
      </c>
      <c r="D61" t="s">
        <v>512</v>
      </c>
      <c r="G61" s="245" t="s">
        <v>50</v>
      </c>
    </row>
    <row r="62" spans="2:7">
      <c r="B62" s="245" t="s">
        <v>958</v>
      </c>
      <c r="C62" s="349">
        <f>IF(Fans!B6&gt;1,Fans!C51,0)</f>
        <v>-2.3596035865974516E-2</v>
      </c>
      <c r="D62" t="s">
        <v>510</v>
      </c>
      <c r="G62" s="245" t="s">
        <v>50</v>
      </c>
    </row>
    <row r="63" spans="2:7">
      <c r="B63" s="334" t="s">
        <v>959</v>
      </c>
      <c r="C63" s="330">
        <v>26</v>
      </c>
      <c r="D63" s="334" t="s">
        <v>635</v>
      </c>
      <c r="E63" s="334"/>
      <c r="F63" s="334"/>
      <c r="G63" s="334"/>
    </row>
    <row r="64" spans="2:7">
      <c r="B64" s="245" t="s">
        <v>960</v>
      </c>
      <c r="C64" s="341">
        <f>IF(Fans!B6&gt;2,Fans!I51,0)</f>
        <v>0</v>
      </c>
      <c r="D64" t="s">
        <v>636</v>
      </c>
      <c r="G64" s="245" t="s">
        <v>50</v>
      </c>
    </row>
    <row r="65" spans="1:7">
      <c r="B65" s="245" t="s">
        <v>961</v>
      </c>
      <c r="C65" s="349">
        <f>IF(Fans!B6&gt;2,Fans!C51,0)</f>
        <v>0</v>
      </c>
      <c r="D65" t="s">
        <v>511</v>
      </c>
      <c r="G65" s="245" t="s">
        <v>50</v>
      </c>
    </row>
    <row r="66" spans="1:7">
      <c r="B66" s="334" t="s">
        <v>962</v>
      </c>
      <c r="C66" s="330">
        <v>27</v>
      </c>
      <c r="D66" s="334" t="s">
        <v>637</v>
      </c>
      <c r="E66" s="334"/>
      <c r="F66" s="334"/>
      <c r="G66" s="334"/>
    </row>
    <row r="67" spans="1:7">
      <c r="B67" s="245" t="s">
        <v>963</v>
      </c>
      <c r="C67" s="337">
        <v>0</v>
      </c>
      <c r="D67" t="s">
        <v>1029</v>
      </c>
      <c r="G67" s="245"/>
    </row>
    <row r="68" spans="1:7">
      <c r="B68" s="245" t="s">
        <v>964</v>
      </c>
      <c r="C68" s="331">
        <f>-1*C50</f>
        <v>0</v>
      </c>
      <c r="D68" t="s">
        <v>511</v>
      </c>
      <c r="G68" s="245"/>
    </row>
    <row r="69" spans="1:7">
      <c r="B69" s="334" t="s">
        <v>965</v>
      </c>
      <c r="C69" s="330">
        <v>1</v>
      </c>
      <c r="D69" s="334" t="s">
        <v>513</v>
      </c>
      <c r="E69" s="334"/>
      <c r="F69" s="334"/>
      <c r="G69" s="334"/>
    </row>
    <row r="70" spans="1:7">
      <c r="B70" s="245" t="s">
        <v>966</v>
      </c>
      <c r="C70" s="337">
        <v>0</v>
      </c>
      <c r="D70" t="s">
        <v>1028</v>
      </c>
      <c r="G70" s="245"/>
    </row>
    <row r="71" spans="1:7">
      <c r="B71" s="245" t="s">
        <v>967</v>
      </c>
      <c r="C71" s="331">
        <v>0</v>
      </c>
      <c r="D71" t="s">
        <v>511</v>
      </c>
      <c r="G71" s="245"/>
    </row>
    <row r="72" spans="1:7">
      <c r="A72" s="334"/>
      <c r="B72" s="334" t="s">
        <v>968</v>
      </c>
      <c r="C72" s="330">
        <v>0</v>
      </c>
      <c r="D72" s="334" t="s">
        <v>513</v>
      </c>
      <c r="E72" s="334"/>
      <c r="F72" s="334"/>
      <c r="G72" s="334"/>
    </row>
    <row r="73" spans="1:7">
      <c r="A73" s="245" t="s">
        <v>57</v>
      </c>
      <c r="B73" t="s">
        <v>392</v>
      </c>
      <c r="C73" s="343">
        <f>A_windowSI/4*2</f>
        <v>25.082999999999998</v>
      </c>
      <c r="D73" t="s">
        <v>58</v>
      </c>
      <c r="E73" t="s">
        <v>59</v>
      </c>
      <c r="G73" t="s">
        <v>14</v>
      </c>
    </row>
    <row r="74" spans="1:7">
      <c r="B74" t="s">
        <v>393</v>
      </c>
      <c r="C74" s="343">
        <f>A_windowSI/4</f>
        <v>12.541499999999999</v>
      </c>
      <c r="D74" t="s">
        <v>60</v>
      </c>
      <c r="E74" t="s">
        <v>61</v>
      </c>
      <c r="G74" t="s">
        <v>14</v>
      </c>
    </row>
    <row r="75" spans="1:7">
      <c r="B75" t="s">
        <v>394</v>
      </c>
      <c r="C75" s="343">
        <f>A_windowSI/4</f>
        <v>12.541499999999999</v>
      </c>
      <c r="D75" t="s">
        <v>487</v>
      </c>
      <c r="E75" t="s">
        <v>62</v>
      </c>
      <c r="G75" t="s">
        <v>14</v>
      </c>
    </row>
    <row r="76" spans="1:7">
      <c r="B76" t="s">
        <v>969</v>
      </c>
      <c r="C76" s="353">
        <f>UA!AC8</f>
        <v>0.25</v>
      </c>
      <c r="D76" t="s">
        <v>63</v>
      </c>
      <c r="F76" t="s">
        <v>64</v>
      </c>
      <c r="G76" t="s">
        <v>45</v>
      </c>
    </row>
    <row r="77" spans="1:7">
      <c r="B77" t="s">
        <v>970</v>
      </c>
      <c r="C77" s="354">
        <f>UA!AC18</f>
        <v>3.8025553171731401</v>
      </c>
      <c r="D77" t="s">
        <v>65</v>
      </c>
      <c r="F77" t="s">
        <v>64</v>
      </c>
      <c r="G77" t="s">
        <v>45</v>
      </c>
    </row>
    <row r="78" spans="1:7">
      <c r="B78" t="s">
        <v>971</v>
      </c>
      <c r="C78" s="354">
        <f>UA!AC19</f>
        <v>5.6239473598527123</v>
      </c>
      <c r="D78" t="s">
        <v>66</v>
      </c>
      <c r="G78" t="s">
        <v>45</v>
      </c>
    </row>
    <row r="79" spans="1:7">
      <c r="B79" t="s">
        <v>972</v>
      </c>
      <c r="C79" s="351">
        <f>'Internal gains'!D12</f>
        <v>7.5231481481481474E-5</v>
      </c>
      <c r="D79" t="s">
        <v>67</v>
      </c>
      <c r="G79" t="s">
        <v>68</v>
      </c>
    </row>
    <row r="80" spans="1:7">
      <c r="A80" s="334"/>
      <c r="B80" s="334" t="s">
        <v>973</v>
      </c>
      <c r="C80" s="352">
        <f>'Internal gains'!D6</f>
        <v>882.80334114888626</v>
      </c>
      <c r="D80" s="334" t="s">
        <v>69</v>
      </c>
      <c r="E80" s="334"/>
      <c r="F80" s="334"/>
      <c r="G80" s="334" t="s">
        <v>68</v>
      </c>
    </row>
    <row r="81" spans="1:7">
      <c r="A81" s="245" t="s">
        <v>70</v>
      </c>
      <c r="B81" t="s">
        <v>974</v>
      </c>
      <c r="C81" s="345">
        <f>V_atticSI</f>
        <v>171.07534452558892</v>
      </c>
      <c r="D81" t="s">
        <v>488</v>
      </c>
      <c r="G81" s="245" t="s">
        <v>14</v>
      </c>
    </row>
    <row r="82" spans="1:7">
      <c r="B82" t="s">
        <v>975</v>
      </c>
      <c r="C82" s="343">
        <f>Attic!D15</f>
        <v>0.25425622664367714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334" t="s">
        <v>976</v>
      </c>
      <c r="C83" s="344">
        <f>Attic!D14</f>
        <v>0.65</v>
      </c>
      <c r="D83" s="334" t="s">
        <v>75</v>
      </c>
      <c r="E83" s="334" t="s">
        <v>76</v>
      </c>
      <c r="F83" s="334" t="s">
        <v>73</v>
      </c>
      <c r="G83" s="334" t="s">
        <v>74</v>
      </c>
    </row>
    <row r="84" spans="1:7">
      <c r="B84" t="s">
        <v>977</v>
      </c>
      <c r="C84" s="341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978</v>
      </c>
      <c r="C85" s="341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979</v>
      </c>
      <c r="C86" s="341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980</v>
      </c>
      <c r="C87" s="341">
        <f>Attic!D22</f>
        <v>0.1</v>
      </c>
      <c r="D87" t="s">
        <v>81</v>
      </c>
      <c r="E87" t="s">
        <v>32</v>
      </c>
      <c r="G87" t="s">
        <v>74</v>
      </c>
    </row>
    <row r="88" spans="1:7">
      <c r="B88" s="334" t="s">
        <v>981</v>
      </c>
      <c r="C88" s="342">
        <f>Attic!D23</f>
        <v>0.1</v>
      </c>
      <c r="D88" s="334" t="s">
        <v>82</v>
      </c>
      <c r="E88" s="334"/>
      <c r="F88" s="334"/>
      <c r="G88" s="334" t="s">
        <v>74</v>
      </c>
    </row>
    <row r="89" spans="1:7">
      <c r="B89" t="s">
        <v>982</v>
      </c>
      <c r="C89" s="341">
        <f>H_soffitSI</f>
        <v>6.095999804928006</v>
      </c>
      <c r="D89" t="s">
        <v>83</v>
      </c>
      <c r="G89" t="s">
        <v>14</v>
      </c>
    </row>
    <row r="90" spans="1:7">
      <c r="B90" t="s">
        <v>983</v>
      </c>
      <c r="C90" s="341">
        <f>H_soffitSI</f>
        <v>6.095999804928006</v>
      </c>
      <c r="D90" t="s">
        <v>84</v>
      </c>
      <c r="G90" t="s">
        <v>14</v>
      </c>
    </row>
    <row r="91" spans="1:7">
      <c r="B91" t="s">
        <v>984</v>
      </c>
      <c r="C91" s="341">
        <f>H_soffitSI</f>
        <v>6.095999804928006</v>
      </c>
      <c r="D91" t="s">
        <v>85</v>
      </c>
      <c r="G91" t="s">
        <v>14</v>
      </c>
    </row>
    <row r="92" spans="1:7">
      <c r="A92" s="334"/>
      <c r="B92" s="334" t="s">
        <v>985</v>
      </c>
      <c r="C92" s="342">
        <f>H_soffitSI</f>
        <v>6.095999804928006</v>
      </c>
      <c r="D92" s="334" t="s">
        <v>86</v>
      </c>
      <c r="E92" s="334"/>
      <c r="F92" s="334"/>
      <c r="G92" s="334" t="s">
        <v>14</v>
      </c>
    </row>
    <row r="93" spans="1:7">
      <c r="A93" s="245" t="s">
        <v>87</v>
      </c>
      <c r="B93" t="s">
        <v>986</v>
      </c>
      <c r="C93" s="335">
        <v>2</v>
      </c>
      <c r="D93" t="s">
        <v>88</v>
      </c>
      <c r="G93" t="s">
        <v>11</v>
      </c>
    </row>
    <row r="94" spans="1:7">
      <c r="B94" t="s">
        <v>1097</v>
      </c>
      <c r="C94" s="330">
        <v>1</v>
      </c>
      <c r="D94" t="s">
        <v>89</v>
      </c>
      <c r="G94" t="s">
        <v>74</v>
      </c>
    </row>
    <row r="95" spans="1:7">
      <c r="B95" t="s">
        <v>1098</v>
      </c>
      <c r="C95" s="343">
        <f>H_attic.ventSI</f>
        <v>7.3659997642880075</v>
      </c>
      <c r="D95" t="s">
        <v>90</v>
      </c>
      <c r="G95" s="245" t="s">
        <v>14</v>
      </c>
    </row>
    <row r="96" spans="1:7">
      <c r="B96" t="s">
        <v>1099</v>
      </c>
      <c r="C96" s="343">
        <f>Attic!D12*Attic!D19*2</f>
        <v>0.12572466666666665</v>
      </c>
      <c r="D96" t="s">
        <v>91</v>
      </c>
      <c r="G96" t="s">
        <v>74</v>
      </c>
    </row>
    <row r="97" spans="1:7">
      <c r="B97" s="334" t="s">
        <v>1100</v>
      </c>
      <c r="C97" s="330">
        <v>0.5</v>
      </c>
      <c r="D97" s="334" t="s">
        <v>92</v>
      </c>
      <c r="E97" s="334"/>
      <c r="F97" s="334"/>
      <c r="G97" s="334" t="s">
        <v>11</v>
      </c>
    </row>
    <row r="98" spans="1:7">
      <c r="B98" s="245" t="s">
        <v>1101</v>
      </c>
      <c r="C98" s="335">
        <v>3</v>
      </c>
      <c r="D98" t="s">
        <v>89</v>
      </c>
      <c r="G98" t="s">
        <v>11</v>
      </c>
    </row>
    <row r="99" spans="1:7">
      <c r="B99" s="245" t="s">
        <v>1102</v>
      </c>
      <c r="C99" s="343">
        <f>H_attic.ventSI</f>
        <v>7.3659997642880075</v>
      </c>
      <c r="D99" t="s">
        <v>90</v>
      </c>
      <c r="G99" s="245" t="s">
        <v>14</v>
      </c>
    </row>
    <row r="100" spans="1:7">
      <c r="B100" s="245" t="s">
        <v>1103</v>
      </c>
      <c r="C100" s="343">
        <f>Attic!D12*Attic!D21*2</f>
        <v>3.5921333333333326E-2</v>
      </c>
      <c r="D100" t="s">
        <v>91</v>
      </c>
      <c r="G100" t="s">
        <v>74</v>
      </c>
    </row>
    <row r="101" spans="1:7">
      <c r="A101" s="334"/>
      <c r="B101" s="334" t="s">
        <v>1104</v>
      </c>
      <c r="C101" s="330">
        <v>0.5</v>
      </c>
      <c r="D101" s="334" t="s">
        <v>92</v>
      </c>
      <c r="E101" s="334"/>
      <c r="F101" s="334"/>
      <c r="G101" s="334" t="s">
        <v>11</v>
      </c>
    </row>
    <row r="102" spans="1:7">
      <c r="A102" s="245" t="s">
        <v>151</v>
      </c>
      <c r="B102" t="s">
        <v>987</v>
      </c>
      <c r="C102" s="343">
        <f>RoofPitch</f>
        <v>18.43494882292201</v>
      </c>
      <c r="D102" s="80" t="s">
        <v>93</v>
      </c>
      <c r="E102" s="247" t="s">
        <v>94</v>
      </c>
      <c r="F102" s="254"/>
      <c r="G102" s="3" t="s">
        <v>14</v>
      </c>
    </row>
    <row r="103" spans="1:7">
      <c r="B103" t="s">
        <v>988</v>
      </c>
      <c r="C103" s="330" t="s">
        <v>95</v>
      </c>
      <c r="D103" s="254" t="s">
        <v>96</v>
      </c>
      <c r="E103" s="254"/>
      <c r="F103" s="254"/>
      <c r="G103" s="3" t="s">
        <v>11</v>
      </c>
    </row>
    <row r="104" spans="1:7">
      <c r="B104" t="s">
        <v>989</v>
      </c>
      <c r="C104" s="345">
        <f>H_peak</f>
        <v>8.6359997236480091</v>
      </c>
      <c r="D104" s="254" t="s">
        <v>401</v>
      </c>
      <c r="E104" s="254"/>
      <c r="F104" s="254"/>
      <c r="G104" s="3" t="s">
        <v>14</v>
      </c>
    </row>
    <row r="105" spans="1:7">
      <c r="B105" t="s">
        <v>990</v>
      </c>
      <c r="C105" s="330">
        <v>0</v>
      </c>
      <c r="D105" s="254" t="s">
        <v>97</v>
      </c>
      <c r="E105" s="254"/>
      <c r="F105" s="254"/>
      <c r="G105" s="3" t="s">
        <v>11</v>
      </c>
    </row>
    <row r="106" spans="1:7">
      <c r="B106" t="s">
        <v>991</v>
      </c>
    </row>
    <row r="107" spans="1:7">
      <c r="B107" t="s">
        <v>992</v>
      </c>
    </row>
    <row r="108" spans="1:7">
      <c r="B108" t="s">
        <v>993</v>
      </c>
    </row>
    <row r="109" spans="1:7">
      <c r="B109" t="s">
        <v>994</v>
      </c>
      <c r="C109" s="330">
        <f>UA!AC21</f>
        <v>0</v>
      </c>
      <c r="D109" s="254" t="s">
        <v>98</v>
      </c>
      <c r="E109" s="254"/>
      <c r="F109" s="254"/>
      <c r="G109" s="3" t="s">
        <v>11</v>
      </c>
    </row>
    <row r="110" spans="1:7">
      <c r="A110" s="334"/>
      <c r="B110" s="334" t="s">
        <v>995</v>
      </c>
      <c r="C110" s="330">
        <v>3</v>
      </c>
      <c r="D110" s="96" t="s">
        <v>100</v>
      </c>
      <c r="E110" s="96"/>
      <c r="F110" s="96"/>
      <c r="G110" s="336" t="s">
        <v>11</v>
      </c>
    </row>
    <row r="111" spans="1:7">
      <c r="A111" s="245" t="s">
        <v>99</v>
      </c>
      <c r="B111" t="s">
        <v>996</v>
      </c>
      <c r="C111" s="335">
        <v>0</v>
      </c>
      <c r="D111" s="254" t="s">
        <v>516</v>
      </c>
      <c r="E111" s="254"/>
      <c r="F111" s="254"/>
      <c r="G111" s="3" t="s">
        <v>11</v>
      </c>
    </row>
    <row r="112" spans="1:7">
      <c r="B112" t="s">
        <v>997</v>
      </c>
      <c r="C112" s="353">
        <f>Ducts!I14</f>
        <v>0.05</v>
      </c>
      <c r="D112" s="254" t="s">
        <v>101</v>
      </c>
      <c r="E112" s="254"/>
      <c r="F112" s="254"/>
      <c r="G112" s="3" t="s">
        <v>102</v>
      </c>
    </row>
    <row r="113" spans="1:7">
      <c r="B113" t="s">
        <v>998</v>
      </c>
      <c r="C113" s="353">
        <f>Ducts!I14</f>
        <v>0.05</v>
      </c>
      <c r="D113" s="254" t="s">
        <v>103</v>
      </c>
      <c r="E113" s="254"/>
      <c r="F113" s="254"/>
      <c r="G113" s="3" t="s">
        <v>102</v>
      </c>
    </row>
    <row r="114" spans="1:7">
      <c r="B114" t="s">
        <v>104</v>
      </c>
      <c r="C114" s="353">
        <f>Ducts!I16</f>
        <v>1.5322296583303978</v>
      </c>
      <c r="D114" s="254" t="s">
        <v>105</v>
      </c>
      <c r="E114" s="254"/>
      <c r="F114" s="254"/>
      <c r="G114" s="3" t="s">
        <v>102</v>
      </c>
    </row>
    <row r="115" spans="1:7">
      <c r="B115" t="s">
        <v>106</v>
      </c>
      <c r="C115" s="353">
        <f>Ducts!I16</f>
        <v>1.5322296583303978</v>
      </c>
      <c r="D115" s="254" t="s">
        <v>107</v>
      </c>
      <c r="E115" s="254"/>
      <c r="F115" s="254"/>
      <c r="G115" s="3" t="s">
        <v>102</v>
      </c>
    </row>
    <row r="116" spans="1:7">
      <c r="B116" t="s">
        <v>1132</v>
      </c>
      <c r="C116" s="425">
        <v>2.5000000000000001E-2</v>
      </c>
      <c r="D116" s="257" t="s">
        <v>1134</v>
      </c>
      <c r="E116" s="254"/>
      <c r="F116" s="254"/>
      <c r="G116" s="3" t="s">
        <v>102</v>
      </c>
    </row>
    <row r="117" spans="1:7">
      <c r="B117" t="s">
        <v>1133</v>
      </c>
      <c r="C117" s="425">
        <v>2.5000000000000001E-2</v>
      </c>
      <c r="D117" s="257" t="s">
        <v>1135</v>
      </c>
      <c r="E117" s="254"/>
      <c r="F117" s="254"/>
      <c r="G117" s="3" t="s">
        <v>102</v>
      </c>
    </row>
    <row r="118" spans="1:7">
      <c r="B118" t="s">
        <v>999</v>
      </c>
      <c r="C118" s="345">
        <f>Ducts!D16</f>
        <v>56.050685570196265</v>
      </c>
      <c r="D118" s="254" t="s">
        <v>108</v>
      </c>
      <c r="E118" s="254"/>
      <c r="F118" s="254"/>
      <c r="G118" s="3" t="s">
        <v>102</v>
      </c>
    </row>
    <row r="119" spans="1:7">
      <c r="B119" t="s">
        <v>1000</v>
      </c>
      <c r="C119" s="345">
        <f>Ducts!D17</f>
        <v>17.743173653116894</v>
      </c>
      <c r="D119" s="254" t="s">
        <v>109</v>
      </c>
      <c r="E119" s="254"/>
      <c r="F119" s="254"/>
      <c r="G119" s="3" t="s">
        <v>102</v>
      </c>
    </row>
    <row r="120" spans="1:7">
      <c r="B120" t="s">
        <v>1001</v>
      </c>
      <c r="C120" s="341">
        <f>Ducts!D12</f>
        <v>0.25</v>
      </c>
      <c r="D120" s="254" t="s">
        <v>110</v>
      </c>
      <c r="E120" s="254"/>
      <c r="F120" s="254"/>
      <c r="G120" s="3" t="s">
        <v>102</v>
      </c>
    </row>
    <row r="121" spans="1:7">
      <c r="B121" t="s">
        <v>1002</v>
      </c>
      <c r="C121" s="341">
        <f>Ducts!D13</f>
        <v>0.45</v>
      </c>
      <c r="D121" s="254" t="s">
        <v>489</v>
      </c>
      <c r="E121" s="254"/>
      <c r="F121" s="254"/>
      <c r="G121" s="3" t="s">
        <v>102</v>
      </c>
    </row>
    <row r="122" spans="1:7">
      <c r="B122" t="s">
        <v>1003</v>
      </c>
      <c r="C122" s="353">
        <f>HVAC!B135</f>
        <v>0.28320000000000001</v>
      </c>
      <c r="D122" s="254" t="s">
        <v>642</v>
      </c>
      <c r="E122" s="254" t="str">
        <f>"q=" &amp;TEXT(Inputs!C122/0.3048^3*60,"0")&amp; " CFM"</f>
        <v>q=600 CFM</v>
      </c>
      <c r="F122" s="254"/>
      <c r="G122" s="3" t="s">
        <v>111</v>
      </c>
    </row>
    <row r="123" spans="1:7">
      <c r="B123" t="s">
        <v>1004</v>
      </c>
      <c r="C123" s="353">
        <f>HVAC!B139</f>
        <v>0.19031039999999999</v>
      </c>
      <c r="D123" s="254" t="s">
        <v>112</v>
      </c>
      <c r="E123" s="254" t="str">
        <f>"q=" &amp;TEXT(Inputs!C123/0.3048^3*60,"0")&amp; " CFM"</f>
        <v>q=403 CFM</v>
      </c>
      <c r="F123" s="254"/>
      <c r="G123" s="3" t="s">
        <v>111</v>
      </c>
    </row>
    <row r="124" spans="1:7">
      <c r="B124" t="s">
        <v>113</v>
      </c>
      <c r="C124" s="341">
        <f>Ducts!D20</f>
        <v>0.6</v>
      </c>
      <c r="D124" s="254" t="s">
        <v>114</v>
      </c>
      <c r="E124" s="254"/>
      <c r="F124" s="254"/>
      <c r="G124" s="3" t="s">
        <v>102</v>
      </c>
    </row>
    <row r="125" spans="1:7">
      <c r="B125" t="s">
        <v>115</v>
      </c>
      <c r="C125" s="341">
        <f>Ducts!D21</f>
        <v>0.6</v>
      </c>
      <c r="D125" s="254" t="s">
        <v>116</v>
      </c>
      <c r="E125" s="254"/>
      <c r="F125" s="254"/>
      <c r="G125" s="3" t="s">
        <v>102</v>
      </c>
    </row>
    <row r="126" spans="1:7">
      <c r="B126" t="s">
        <v>117</v>
      </c>
      <c r="C126" s="355">
        <f>HVAC!B141</f>
        <v>1.0262880037676171E-3</v>
      </c>
      <c r="D126" s="254" t="s">
        <v>118</v>
      </c>
      <c r="E126" s="254"/>
      <c r="F126" s="254"/>
      <c r="G126" s="3" t="s">
        <v>111</v>
      </c>
    </row>
    <row r="127" spans="1:7">
      <c r="A127" s="334"/>
      <c r="B127" s="334" t="s">
        <v>119</v>
      </c>
      <c r="C127" s="355">
        <f>HVAC!B142</f>
        <v>1.0262880037676171E-3</v>
      </c>
      <c r="D127" s="96" t="s">
        <v>120</v>
      </c>
      <c r="E127" s="96"/>
      <c r="F127" s="96"/>
      <c r="G127" s="336" t="s">
        <v>111</v>
      </c>
    </row>
    <row r="128" spans="1:7">
      <c r="A128" s="245" t="s">
        <v>490</v>
      </c>
      <c r="B128" t="s">
        <v>396</v>
      </c>
      <c r="C128" s="353">
        <f>HVAC!B133</f>
        <v>1.5</v>
      </c>
      <c r="D128" s="254" t="s">
        <v>121</v>
      </c>
      <c r="E128" s="254" t="str">
        <f>"= "&amp;TEXT(Inputs!C128*12*1055/1000,"0.0")&amp;"kJ"</f>
        <v>= 19.0kJ</v>
      </c>
      <c r="F128" s="254"/>
      <c r="G128" s="3" t="s">
        <v>111</v>
      </c>
    </row>
    <row r="129" spans="1:7">
      <c r="B129" t="s">
        <v>397</v>
      </c>
      <c r="C129" s="356">
        <f>12*C128</f>
        <v>18</v>
      </c>
      <c r="D129" s="254" t="s">
        <v>122</v>
      </c>
      <c r="E129" s="254" t="str">
        <f>"= "&amp;TEXT(Inputs!C129*1055*1000/(3600)/1000,"0.0")&amp;"kW"</f>
        <v>= 5.3kW</v>
      </c>
      <c r="F129" s="254"/>
      <c r="G129" s="3" t="s">
        <v>111</v>
      </c>
    </row>
    <row r="130" spans="1:7">
      <c r="B130" t="s">
        <v>395</v>
      </c>
      <c r="C130" s="354">
        <f>HVAC!C10</f>
        <v>12.8</v>
      </c>
      <c r="D130" s="254" t="s">
        <v>123</v>
      </c>
      <c r="E130" s="254" t="s">
        <v>124</v>
      </c>
      <c r="F130" s="254"/>
      <c r="G130" s="3" t="s">
        <v>111</v>
      </c>
    </row>
    <row r="131" spans="1:7">
      <c r="B131" t="s">
        <v>1005</v>
      </c>
      <c r="C131" s="354">
        <f>12000/1000*HVAC!B137</f>
        <v>24</v>
      </c>
      <c r="D131" s="254" t="s">
        <v>125</v>
      </c>
      <c r="E131" s="254" t="str">
        <f>"= "&amp;TEXT(Inputs!C131*1055*1000/(3600)/1000,"0.0")&amp;"kW"</f>
        <v>= 7.0kW</v>
      </c>
      <c r="F131" s="254"/>
      <c r="G131" s="3" t="s">
        <v>111</v>
      </c>
    </row>
    <row r="132" spans="1:7">
      <c r="B132" t="s">
        <v>1006</v>
      </c>
      <c r="C132" s="354">
        <f>HVAC!B140</f>
        <v>161.28</v>
      </c>
      <c r="D132" s="254" t="s">
        <v>439</v>
      </c>
      <c r="E132" s="254"/>
      <c r="F132" s="254"/>
      <c r="G132" s="3" t="s">
        <v>111</v>
      </c>
    </row>
    <row r="133" spans="1:7">
      <c r="B133" t="s">
        <v>1007</v>
      </c>
      <c r="C133" s="354">
        <f>HVAC!B136</f>
        <v>240</v>
      </c>
      <c r="D133" s="254" t="s">
        <v>440</v>
      </c>
      <c r="E133" s="254"/>
      <c r="F133" s="254"/>
      <c r="G133" s="3" t="s">
        <v>111</v>
      </c>
    </row>
    <row r="134" spans="1:7">
      <c r="B134" t="s">
        <v>398</v>
      </c>
      <c r="C134" s="330">
        <v>1</v>
      </c>
      <c r="D134" s="80" t="s">
        <v>441</v>
      </c>
      <c r="E134" s="254"/>
      <c r="F134" s="254"/>
      <c r="G134" s="3" t="s">
        <v>11</v>
      </c>
    </row>
    <row r="135" spans="1:7">
      <c r="A135" s="334"/>
      <c r="B135" s="334" t="s">
        <v>378</v>
      </c>
      <c r="C135" s="357">
        <f>HVAC!C14</f>
        <v>0.92</v>
      </c>
      <c r="D135" s="118" t="s">
        <v>438</v>
      </c>
      <c r="E135" s="96"/>
      <c r="F135" s="96"/>
      <c r="G135" s="336" t="s">
        <v>111</v>
      </c>
    </row>
    <row r="136" spans="1:7">
      <c r="A136" s="245" t="s">
        <v>1025</v>
      </c>
      <c r="B136" t="s">
        <v>1008</v>
      </c>
      <c r="C136" s="359">
        <f>Nbedrooms</f>
        <v>3</v>
      </c>
      <c r="D136" t="s">
        <v>605</v>
      </c>
      <c r="G136" s="333" t="s">
        <v>322</v>
      </c>
    </row>
    <row r="137" spans="1:7">
      <c r="B137" t="s">
        <v>1009</v>
      </c>
      <c r="C137" s="360">
        <f>Stories</f>
        <v>2</v>
      </c>
      <c r="D137" t="s">
        <v>649</v>
      </c>
      <c r="G137" s="333" t="s">
        <v>1012</v>
      </c>
    </row>
    <row r="138" spans="1:7">
      <c r="B138" t="s">
        <v>606</v>
      </c>
      <c r="C138" s="358">
        <f>Weather!B44</f>
        <v>0.56000000000000005</v>
      </c>
      <c r="D138" t="s">
        <v>607</v>
      </c>
      <c r="G138" s="333" t="s">
        <v>1030</v>
      </c>
    </row>
    <row r="139" spans="1:7">
      <c r="B139" t="s">
        <v>864</v>
      </c>
      <c r="C139" s="330">
        <v>2</v>
      </c>
      <c r="D139" t="s">
        <v>873</v>
      </c>
      <c r="E139" t="s">
        <v>882</v>
      </c>
    </row>
    <row r="140" spans="1:7">
      <c r="B140" t="s">
        <v>1163</v>
      </c>
      <c r="C140" s="330">
        <f>Aeq/1000*3600/V_houseSI</f>
        <v>0.25488052149669904</v>
      </c>
      <c r="D140" t="s">
        <v>1164</v>
      </c>
    </row>
    <row r="141" spans="1:7" s="245" customFormat="1">
      <c r="B141" s="245" t="s">
        <v>1165</v>
      </c>
      <c r="C141" s="330">
        <v>0</v>
      </c>
      <c r="D141" s="245" t="s">
        <v>1168</v>
      </c>
      <c r="E141" s="245" t="s">
        <v>1166</v>
      </c>
    </row>
    <row r="142" spans="1:7">
      <c r="A142" s="334"/>
      <c r="B142" s="334" t="s">
        <v>865</v>
      </c>
      <c r="C142" s="330">
        <v>0</v>
      </c>
      <c r="D142" s="334" t="s">
        <v>874</v>
      </c>
      <c r="E142" s="334" t="s">
        <v>883</v>
      </c>
      <c r="F142" s="334"/>
      <c r="G142" s="334"/>
    </row>
    <row r="143" spans="1:7">
      <c r="A143" s="245" t="s">
        <v>1026</v>
      </c>
      <c r="B143" t="s">
        <v>866</v>
      </c>
      <c r="C143" s="335">
        <v>0.82</v>
      </c>
      <c r="D143" t="s">
        <v>875</v>
      </c>
    </row>
    <row r="144" spans="1:7">
      <c r="B144" t="s">
        <v>867</v>
      </c>
      <c r="C144" s="330">
        <v>0.63</v>
      </c>
      <c r="D144" t="s">
        <v>876</v>
      </c>
      <c r="E144" t="s">
        <v>884</v>
      </c>
    </row>
    <row r="145" spans="1:7">
      <c r="B145" t="s">
        <v>868</v>
      </c>
      <c r="C145" s="330">
        <v>0.51</v>
      </c>
      <c r="D145" t="s">
        <v>877</v>
      </c>
      <c r="E145" t="s">
        <v>884</v>
      </c>
    </row>
    <row r="146" spans="1:7">
      <c r="B146" t="s">
        <v>869</v>
      </c>
      <c r="C146" s="330">
        <v>0</v>
      </c>
      <c r="D146" t="s">
        <v>878</v>
      </c>
      <c r="E146" t="s">
        <v>885</v>
      </c>
    </row>
    <row r="147" spans="1:7">
      <c r="B147" t="s">
        <v>870</v>
      </c>
      <c r="C147" s="330">
        <v>8</v>
      </c>
      <c r="D147" t="s">
        <v>879</v>
      </c>
      <c r="E147" t="s">
        <v>886</v>
      </c>
    </row>
    <row r="148" spans="1:7">
      <c r="B148" t="s">
        <v>871</v>
      </c>
      <c r="C148" s="330">
        <v>0</v>
      </c>
      <c r="D148" t="s">
        <v>880</v>
      </c>
      <c r="E148" t="s">
        <v>887</v>
      </c>
    </row>
    <row r="149" spans="1:7">
      <c r="A149" s="334"/>
      <c r="B149" s="334" t="s">
        <v>872</v>
      </c>
      <c r="C149" s="330">
        <v>1</v>
      </c>
      <c r="D149" s="334" t="s">
        <v>881</v>
      </c>
      <c r="E149" s="334" t="s">
        <v>888</v>
      </c>
      <c r="F149" s="334"/>
      <c r="G149" s="334"/>
    </row>
    <row r="150" spans="1:7">
      <c r="A150" s="245" t="s">
        <v>789</v>
      </c>
      <c r="B150" t="s">
        <v>828</v>
      </c>
      <c r="C150" s="361">
        <f>IF(HumControl=0,0,1)</f>
        <v>0</v>
      </c>
      <c r="D150" t="s">
        <v>830</v>
      </c>
      <c r="E150" t="s">
        <v>792</v>
      </c>
    </row>
    <row r="151" spans="1:7">
      <c r="B151" t="s">
        <v>1171</v>
      </c>
      <c r="C151" s="361">
        <f>HumControl</f>
        <v>0</v>
      </c>
      <c r="D151" t="s">
        <v>1172</v>
      </c>
      <c r="G151" t="s">
        <v>1023</v>
      </c>
    </row>
    <row r="152" spans="1:7" s="245" customFormat="1">
      <c r="B152" s="245" t="s">
        <v>1188</v>
      </c>
      <c r="C152" s="361">
        <f>IF(OR(HumControl=2, HumControl=4),1,0)</f>
        <v>0</v>
      </c>
      <c r="D152" s="245" t="s">
        <v>1189</v>
      </c>
    </row>
    <row r="153" spans="1:7">
      <c r="A153" s="245" t="s">
        <v>1027</v>
      </c>
      <c r="B153" t="s">
        <v>1013</v>
      </c>
      <c r="C153" s="380">
        <f>Dehumidifier!B8</f>
        <v>0</v>
      </c>
      <c r="D153" t="s">
        <v>1019</v>
      </c>
      <c r="E153" t="s">
        <v>1014</v>
      </c>
      <c r="G153" t="s">
        <v>1055</v>
      </c>
    </row>
    <row r="154" spans="1:7">
      <c r="B154" t="s">
        <v>1015</v>
      </c>
      <c r="C154" s="378">
        <f>Dehumidifier!B9</f>
        <v>1.85</v>
      </c>
      <c r="D154" t="s">
        <v>1020</v>
      </c>
      <c r="G154" t="s">
        <v>1055</v>
      </c>
    </row>
    <row r="155" spans="1:7">
      <c r="B155" t="s">
        <v>1016</v>
      </c>
      <c r="C155" s="377">
        <f>Dehumidifier!B10</f>
        <v>55</v>
      </c>
      <c r="D155" t="s">
        <v>1021</v>
      </c>
      <c r="G155" s="245" t="s">
        <v>1055</v>
      </c>
    </row>
    <row r="156" spans="1:7">
      <c r="B156" t="s">
        <v>1017</v>
      </c>
      <c r="C156" s="379">
        <f>Dehumidifier!B11</f>
        <v>2.5</v>
      </c>
      <c r="D156" t="s">
        <v>1022</v>
      </c>
      <c r="E156" t="s">
        <v>1018</v>
      </c>
      <c r="G156" s="245" t="s">
        <v>1055</v>
      </c>
    </row>
    <row r="157" spans="1:7">
      <c r="A157" s="254" t="s">
        <v>1056</v>
      </c>
      <c r="B157" t="s">
        <v>1073</v>
      </c>
      <c r="C157" s="330" t="s">
        <v>1057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Y159"/>
  <sheetViews>
    <sheetView tabSelected="1" zoomScale="85" zoomScaleNormal="85" zoomScalePage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baseColWidth="10" defaultColWidth="8.6640625" defaultRowHeight="15" customHeight="1" outlineLevelCol="1" x14ac:dyDescent="0"/>
  <cols>
    <col min="1" max="1" width="16.5" style="254" bestFit="1" customWidth="1"/>
    <col min="2" max="2" width="17.83203125" style="254" bestFit="1" customWidth="1"/>
    <col min="3" max="3" width="12.83203125" style="10" customWidth="1" outlineLevel="1"/>
    <col min="4" max="4" width="13" style="10" customWidth="1" outlineLevel="1"/>
    <col min="5" max="13" width="13.33203125" style="10" bestFit="1" customWidth="1" outlineLevel="1"/>
    <col min="14" max="18" width="13.33203125" style="163" bestFit="1" customWidth="1" outlineLevel="1"/>
    <col min="19" max="19" width="17.1640625" style="62" customWidth="1" outlineLevel="1"/>
    <col min="20" max="20" width="9.5" style="5" customWidth="1" outlineLevel="1"/>
    <col min="21" max="16384" width="8.6640625" style="5"/>
  </cols>
  <sheetData>
    <row r="1" spans="1:25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5">
        <v>16</v>
      </c>
      <c r="U1" s="5"/>
    </row>
    <row r="2" spans="1:25" s="124" customFormat="1" ht="14">
      <c r="A2" s="124" t="s">
        <v>856</v>
      </c>
      <c r="B2" s="124" t="s">
        <v>911</v>
      </c>
      <c r="C2" s="52" t="str">
        <f>Weather!B52</f>
        <v>725945TYA.csv</v>
      </c>
      <c r="D2" s="52" t="str">
        <f>Weather!C52</f>
        <v>724957TYA.csv</v>
      </c>
      <c r="E2" s="52" t="str">
        <f>Weather!D52</f>
        <v>724930TYA.csv</v>
      </c>
      <c r="F2" s="52" t="str">
        <f>Weather!E52</f>
        <v>724945TYA.csv</v>
      </c>
      <c r="G2" s="52" t="str">
        <f>Weather!F52</f>
        <v>723940TYA.csv</v>
      </c>
      <c r="H2" s="52" t="str">
        <f>Weather!G52</f>
        <v>722950TYA.csv</v>
      </c>
      <c r="I2" s="52" t="str">
        <f>Weather!H52</f>
        <v>722900TYA.csv</v>
      </c>
      <c r="J2" s="52" t="str">
        <f>Weather!I52</f>
        <v>722976TYA.csv</v>
      </c>
      <c r="K2" s="52" t="str">
        <f>Weather!J52</f>
        <v>722880TYA.csv</v>
      </c>
      <c r="L2" s="52" t="str">
        <f>Weather!K52</f>
        <v>722869TYA.csv</v>
      </c>
      <c r="M2" s="52" t="str">
        <f>Weather!L52</f>
        <v>725910TYA.csv</v>
      </c>
      <c r="N2" s="52" t="str">
        <f>Weather!M52</f>
        <v>724830TYA.csv</v>
      </c>
      <c r="O2" s="52" t="str">
        <f>Weather!N52</f>
        <v>723890TYA.csv</v>
      </c>
      <c r="P2" s="52" t="str">
        <f>Weather!O52</f>
        <v>723820TYA.csv</v>
      </c>
      <c r="Q2" s="52" t="str">
        <f>Weather!P52</f>
        <v>747187TYA.csv</v>
      </c>
      <c r="R2" s="52" t="str">
        <f>Weather!Q52</f>
        <v>725845TYA.csv</v>
      </c>
      <c r="Y2" s="1"/>
    </row>
    <row r="3" spans="1:25" s="124" customFormat="1" ht="14">
      <c r="B3" s="124" t="s">
        <v>844</v>
      </c>
      <c r="C3" s="52" t="str">
        <f>Inputs!$C$3</f>
        <v>REGCAP_FanSchedule_1stShift.txt</v>
      </c>
      <c r="D3" s="52" t="str">
        <f>Inputs!$C$3</f>
        <v>REGCAP_FanSchedule_1stShift.txt</v>
      </c>
      <c r="E3" s="52" t="str">
        <f>Inputs!$C$3</f>
        <v>REGCAP_FanSchedule_1stShift.txt</v>
      </c>
      <c r="F3" s="52" t="str">
        <f>Inputs!$C$3</f>
        <v>REGCAP_FanSchedule_1stShift.txt</v>
      </c>
      <c r="G3" s="52" t="str">
        <f>Inputs!$C$3</f>
        <v>REGCAP_FanSchedule_1stShift.txt</v>
      </c>
      <c r="H3" s="52" t="str">
        <f>Inputs!$C$3</f>
        <v>REGCAP_FanSchedule_1stShift.txt</v>
      </c>
      <c r="I3" s="52" t="str">
        <f>Inputs!$C$3</f>
        <v>REGCAP_FanSchedule_1stShift.txt</v>
      </c>
      <c r="J3" s="52" t="str">
        <f>Inputs!$C$3</f>
        <v>REGCAP_FanSchedule_1stShift.txt</v>
      </c>
      <c r="K3" s="52" t="str">
        <f>Inputs!$C$3</f>
        <v>REGCAP_FanSchedule_1stShift.txt</v>
      </c>
      <c r="L3" s="52" t="str">
        <f>Inputs!$C$3</f>
        <v>REGCAP_FanSchedule_1stShift.txt</v>
      </c>
      <c r="M3" s="52" t="str">
        <f>Inputs!$C$3</f>
        <v>REGCAP_FanSchedule_1stShift.txt</v>
      </c>
      <c r="N3" s="52" t="str">
        <f>Inputs!$C$3</f>
        <v>REGCAP_FanSchedule_1stShift.txt</v>
      </c>
      <c r="O3" s="52" t="str">
        <f>Inputs!$C$3</f>
        <v>REGCAP_FanSchedule_1stShift.txt</v>
      </c>
      <c r="P3" s="52" t="str">
        <f>Inputs!$C$3</f>
        <v>REGCAP_FanSchedule_1stShift.txt</v>
      </c>
      <c r="Q3" s="52" t="str">
        <f>Inputs!$C$3</f>
        <v>REGCAP_FanSchedule_1stShift.txt</v>
      </c>
      <c r="R3" s="52" t="str">
        <f>Inputs!$C$3</f>
        <v>REGCAP_FanSchedule_1stShift.txt</v>
      </c>
      <c r="Y3" s="1"/>
    </row>
    <row r="4" spans="1:25" s="124" customFormat="1" ht="14">
      <c r="B4" s="124" t="s">
        <v>845</v>
      </c>
      <c r="C4" s="52" t="str">
        <f>Inputs!$C$4</f>
        <v>tstat_T24.txt</v>
      </c>
      <c r="D4" s="52" t="str">
        <f>Inputs!$C$4</f>
        <v>tstat_T24.txt</v>
      </c>
      <c r="E4" s="52" t="str">
        <f>Inputs!$C$4</f>
        <v>tstat_T24.txt</v>
      </c>
      <c r="F4" s="52" t="str">
        <f>Inputs!$C$4</f>
        <v>tstat_T24.txt</v>
      </c>
      <c r="G4" s="52" t="str">
        <f>Inputs!$C$4</f>
        <v>tstat_T24.txt</v>
      </c>
      <c r="H4" s="52" t="str">
        <f>Inputs!$C$4</f>
        <v>tstat_T24.txt</v>
      </c>
      <c r="I4" s="52" t="str">
        <f>Inputs!$C$4</f>
        <v>tstat_T24.txt</v>
      </c>
      <c r="J4" s="52" t="str">
        <f>Inputs!$C$4</f>
        <v>tstat_T24.txt</v>
      </c>
      <c r="K4" s="52" t="str">
        <f>Inputs!$C$4</f>
        <v>tstat_T24.txt</v>
      </c>
      <c r="L4" s="52" t="str">
        <f>Inputs!$C$4</f>
        <v>tstat_T24.txt</v>
      </c>
      <c r="M4" s="52" t="str">
        <f>Inputs!$C$4</f>
        <v>tstat_T24.txt</v>
      </c>
      <c r="N4" s="52" t="str">
        <f>Inputs!$C$4</f>
        <v>tstat_T24.txt</v>
      </c>
      <c r="O4" s="52" t="str">
        <f>Inputs!$C$4</f>
        <v>tstat_T24.txt</v>
      </c>
      <c r="P4" s="52" t="str">
        <f>Inputs!$C$4</f>
        <v>tstat_T24.txt</v>
      </c>
      <c r="Q4" s="52" t="str">
        <f>Inputs!$C$4</f>
        <v>tstat_T24.txt</v>
      </c>
      <c r="R4" s="52" t="str">
        <f>Inputs!$C$4</f>
        <v>tstat_T24.txt</v>
      </c>
      <c r="Y4" s="1"/>
    </row>
    <row r="5" spans="1:25" s="124" customFormat="1" ht="14">
      <c r="B5" s="124" t="s">
        <v>846</v>
      </c>
      <c r="C5" s="52" t="str">
        <f>Inputs!$C$5</f>
        <v>occ_full.txt</v>
      </c>
      <c r="D5" s="52" t="str">
        <f>Inputs!$C$5</f>
        <v>occ_full.txt</v>
      </c>
      <c r="E5" s="52" t="str">
        <f>Inputs!$C$5</f>
        <v>occ_full.txt</v>
      </c>
      <c r="F5" s="52" t="str">
        <f>Inputs!$C$5</f>
        <v>occ_full.txt</v>
      </c>
      <c r="G5" s="52" t="str">
        <f>Inputs!$C$5</f>
        <v>occ_full.txt</v>
      </c>
      <c r="H5" s="52" t="str">
        <f>Inputs!$C$5</f>
        <v>occ_full.txt</v>
      </c>
      <c r="I5" s="52" t="str">
        <f>Inputs!$C$5</f>
        <v>occ_full.txt</v>
      </c>
      <c r="J5" s="52" t="str">
        <f>Inputs!$C$5</f>
        <v>occ_full.txt</v>
      </c>
      <c r="K5" s="52" t="str">
        <f>Inputs!$C$5</f>
        <v>occ_full.txt</v>
      </c>
      <c r="L5" s="52" t="str">
        <f>Inputs!$C$5</f>
        <v>occ_full.txt</v>
      </c>
      <c r="M5" s="52" t="str">
        <f>Inputs!$C$5</f>
        <v>occ_full.txt</v>
      </c>
      <c r="N5" s="52" t="str">
        <f>Inputs!$C$5</f>
        <v>occ_full.txt</v>
      </c>
      <c r="O5" s="52" t="str">
        <f>Inputs!$C$5</f>
        <v>occ_full.txt</v>
      </c>
      <c r="P5" s="52" t="str">
        <f>Inputs!$C$5</f>
        <v>occ_full.txt</v>
      </c>
      <c r="Q5" s="52" t="str">
        <f>Inputs!$C$5</f>
        <v>occ_full.txt</v>
      </c>
      <c r="R5" s="52" t="str">
        <f>Inputs!$C$5</f>
        <v>occ_full.txt</v>
      </c>
      <c r="Y5" s="1"/>
    </row>
    <row r="6" spans="1:25" s="124" customFormat="1" ht="14">
      <c r="B6" s="124" t="s">
        <v>847</v>
      </c>
      <c r="C6" s="52" t="str">
        <f>Inputs!$C$6</f>
        <v>bshelter.dat</v>
      </c>
      <c r="D6" s="52" t="str">
        <f>Inputs!$C$6</f>
        <v>bshelter.dat</v>
      </c>
      <c r="E6" s="52" t="str">
        <f>Inputs!$C$6</f>
        <v>bshelter.dat</v>
      </c>
      <c r="F6" s="52" t="str">
        <f>Inputs!$C$6</f>
        <v>bshelter.dat</v>
      </c>
      <c r="G6" s="52" t="str">
        <f>Inputs!$C$6</f>
        <v>bshelter.dat</v>
      </c>
      <c r="H6" s="52" t="str">
        <f>Inputs!$C$6</f>
        <v>bshelter.dat</v>
      </c>
      <c r="I6" s="52" t="str">
        <f>Inputs!$C$6</f>
        <v>bshelter.dat</v>
      </c>
      <c r="J6" s="52" t="str">
        <f>Inputs!$C$6</f>
        <v>bshelter.dat</v>
      </c>
      <c r="K6" s="52" t="str">
        <f>Inputs!$C$6</f>
        <v>bshelter.dat</v>
      </c>
      <c r="L6" s="52" t="str">
        <f>Inputs!$C$6</f>
        <v>bshelter.dat</v>
      </c>
      <c r="M6" s="52" t="str">
        <f>Inputs!$C$6</f>
        <v>bshelter.dat</v>
      </c>
      <c r="N6" s="52" t="str">
        <f>Inputs!$C$6</f>
        <v>bshelter.dat</v>
      </c>
      <c r="O6" s="52" t="str">
        <f>Inputs!$C$6</f>
        <v>bshelter.dat</v>
      </c>
      <c r="P6" s="52" t="str">
        <f>Inputs!$C$6</f>
        <v>bshelter.dat</v>
      </c>
      <c r="Q6" s="52" t="str">
        <f>Inputs!$C$6</f>
        <v>bshelter.dat</v>
      </c>
      <c r="R6" s="52" t="str">
        <f>Inputs!$C$6</f>
        <v>bshelter.dat</v>
      </c>
      <c r="Y6" s="1"/>
    </row>
    <row r="7" spans="1:25" ht="15" customHeight="1">
      <c r="A7" s="254" t="s">
        <v>855</v>
      </c>
      <c r="B7" s="254" t="s">
        <v>1155</v>
      </c>
      <c r="C7" s="6">
        <f>Leakage!B4</f>
        <v>9.1024395236017248E-3</v>
      </c>
      <c r="D7" s="6">
        <f>Leakage!C4</f>
        <v>9.1024395236017248E-3</v>
      </c>
      <c r="E7" s="6">
        <f>Leakage!D4</f>
        <v>9.1024395236017248E-3</v>
      </c>
      <c r="F7" s="6">
        <f>Leakage!E4</f>
        <v>9.1024395236017248E-3</v>
      </c>
      <c r="G7" s="6">
        <f>Leakage!F4</f>
        <v>9.1024395236017248E-3</v>
      </c>
      <c r="H7" s="6">
        <f>Leakage!G4</f>
        <v>9.1024395236017248E-3</v>
      </c>
      <c r="I7" s="6">
        <f>Leakage!H4</f>
        <v>9.1024395236017248E-3</v>
      </c>
      <c r="J7" s="6">
        <f>Leakage!I4</f>
        <v>9.1024395236017248E-3</v>
      </c>
      <c r="K7" s="6">
        <f>Leakage!J4</f>
        <v>9.1024395236017248E-3</v>
      </c>
      <c r="L7" s="6">
        <f>Leakage!K4</f>
        <v>9.1024395236017248E-3</v>
      </c>
      <c r="M7" s="6">
        <f>Leakage!L4</f>
        <v>9.1024395236017248E-3</v>
      </c>
      <c r="N7" s="6">
        <f>Leakage!M4</f>
        <v>9.1024395236017248E-3</v>
      </c>
      <c r="O7" s="6">
        <f>Leakage!N4</f>
        <v>9.1024395236017248E-3</v>
      </c>
      <c r="P7" s="6">
        <f>Leakage!O4</f>
        <v>9.1024395236017248E-3</v>
      </c>
      <c r="Q7" s="6">
        <f>Leakage!P4</f>
        <v>9.1024395236017248E-3</v>
      </c>
      <c r="R7" s="6">
        <f>Leakage!Q4</f>
        <v>9.1024395236017248E-3</v>
      </c>
      <c r="S7" s="60"/>
    </row>
    <row r="8" spans="1:25" ht="15" customHeight="1">
      <c r="B8" s="254" t="s">
        <v>899</v>
      </c>
      <c r="C8" s="153">
        <f>Leakage!B5</f>
        <v>0.65</v>
      </c>
      <c r="D8" s="153">
        <f>Leakage!C5</f>
        <v>0.65</v>
      </c>
      <c r="E8" s="153">
        <f>Leakage!D5</f>
        <v>0.65</v>
      </c>
      <c r="F8" s="153">
        <f>Leakage!E5</f>
        <v>0.65</v>
      </c>
      <c r="G8" s="153">
        <f>Leakage!F5</f>
        <v>0.65</v>
      </c>
      <c r="H8" s="153">
        <f>Leakage!G5</f>
        <v>0.65</v>
      </c>
      <c r="I8" s="153">
        <f>Leakage!H5</f>
        <v>0.65</v>
      </c>
      <c r="J8" s="153">
        <f>Leakage!I5</f>
        <v>0.65</v>
      </c>
      <c r="K8" s="153">
        <f>Leakage!J5</f>
        <v>0.65</v>
      </c>
      <c r="L8" s="153">
        <f>Leakage!K5</f>
        <v>0.65</v>
      </c>
      <c r="M8" s="153">
        <f>Leakage!L5</f>
        <v>0.65</v>
      </c>
      <c r="N8" s="153">
        <f>Leakage!M5</f>
        <v>0.65</v>
      </c>
      <c r="O8" s="153">
        <f>Leakage!N5</f>
        <v>0.65</v>
      </c>
      <c r="P8" s="153">
        <f>Leakage!O5</f>
        <v>0.65</v>
      </c>
      <c r="Q8" s="153">
        <f>Leakage!P5</f>
        <v>0.65</v>
      </c>
      <c r="R8" s="153">
        <f>Leakage!Q5</f>
        <v>0.65</v>
      </c>
      <c r="S8" s="60"/>
    </row>
    <row r="9" spans="1:25" s="254" customFormat="1" ht="15" customHeight="1">
      <c r="B9" s="254" t="s">
        <v>1150</v>
      </c>
      <c r="C9" s="153">
        <f>Inputs!C9</f>
        <v>0.59</v>
      </c>
      <c r="D9" s="153">
        <f>C9</f>
        <v>0.59</v>
      </c>
      <c r="E9" s="153">
        <f t="shared" ref="E9:R9" si="0">D9</f>
        <v>0.59</v>
      </c>
      <c r="F9" s="153">
        <f t="shared" si="0"/>
        <v>0.59</v>
      </c>
      <c r="G9" s="153">
        <f t="shared" si="0"/>
        <v>0.59</v>
      </c>
      <c r="H9" s="153">
        <f t="shared" si="0"/>
        <v>0.59</v>
      </c>
      <c r="I9" s="153">
        <f t="shared" si="0"/>
        <v>0.59</v>
      </c>
      <c r="J9" s="153">
        <f t="shared" si="0"/>
        <v>0.59</v>
      </c>
      <c r="K9" s="153">
        <f t="shared" si="0"/>
        <v>0.59</v>
      </c>
      <c r="L9" s="153">
        <f t="shared" si="0"/>
        <v>0.59</v>
      </c>
      <c r="M9" s="153">
        <f t="shared" si="0"/>
        <v>0.59</v>
      </c>
      <c r="N9" s="153">
        <f t="shared" si="0"/>
        <v>0.59</v>
      </c>
      <c r="O9" s="153">
        <f t="shared" si="0"/>
        <v>0.59</v>
      </c>
      <c r="P9" s="153">
        <f t="shared" si="0"/>
        <v>0.59</v>
      </c>
      <c r="Q9" s="153">
        <f t="shared" si="0"/>
        <v>0.59</v>
      </c>
      <c r="R9" s="153">
        <f t="shared" si="0"/>
        <v>0.59</v>
      </c>
      <c r="S9" s="60"/>
    </row>
    <row r="10" spans="1:25" s="254" customFormat="1" ht="15" customHeight="1">
      <c r="B10" s="254" t="s">
        <v>1143</v>
      </c>
      <c r="C10" s="153">
        <f>Inputs!C10</f>
        <v>0.5</v>
      </c>
      <c r="D10" s="153">
        <f t="shared" ref="D10:R12" si="1">C10</f>
        <v>0.5</v>
      </c>
      <c r="E10" s="153">
        <f t="shared" si="1"/>
        <v>0.5</v>
      </c>
      <c r="F10" s="153">
        <f t="shared" si="1"/>
        <v>0.5</v>
      </c>
      <c r="G10" s="153">
        <f t="shared" si="1"/>
        <v>0.5</v>
      </c>
      <c r="H10" s="153">
        <f t="shared" si="1"/>
        <v>0.5</v>
      </c>
      <c r="I10" s="153">
        <f t="shared" si="1"/>
        <v>0.5</v>
      </c>
      <c r="J10" s="153">
        <f t="shared" si="1"/>
        <v>0.5</v>
      </c>
      <c r="K10" s="153">
        <f t="shared" si="1"/>
        <v>0.5</v>
      </c>
      <c r="L10" s="153">
        <f t="shared" si="1"/>
        <v>0.5</v>
      </c>
      <c r="M10" s="153">
        <f t="shared" si="1"/>
        <v>0.5</v>
      </c>
      <c r="N10" s="153">
        <f t="shared" si="1"/>
        <v>0.5</v>
      </c>
      <c r="O10" s="153">
        <f t="shared" si="1"/>
        <v>0.5</v>
      </c>
      <c r="P10" s="153">
        <f t="shared" si="1"/>
        <v>0.5</v>
      </c>
      <c r="Q10" s="153">
        <f t="shared" si="1"/>
        <v>0.5</v>
      </c>
      <c r="R10" s="153">
        <f t="shared" si="1"/>
        <v>0.5</v>
      </c>
      <c r="S10" s="60"/>
    </row>
    <row r="11" spans="1:25" s="254" customFormat="1" ht="15" customHeight="1">
      <c r="B11" s="254" t="s">
        <v>1152</v>
      </c>
      <c r="C11" s="153">
        <f>Inputs!C11</f>
        <v>7.8E-2</v>
      </c>
      <c r="D11" s="153">
        <f t="shared" si="1"/>
        <v>7.8E-2</v>
      </c>
      <c r="E11" s="153">
        <f t="shared" si="1"/>
        <v>7.8E-2</v>
      </c>
      <c r="F11" s="153">
        <f t="shared" si="1"/>
        <v>7.8E-2</v>
      </c>
      <c r="G11" s="153">
        <f t="shared" si="1"/>
        <v>7.8E-2</v>
      </c>
      <c r="H11" s="153">
        <f t="shared" si="1"/>
        <v>7.8E-2</v>
      </c>
      <c r="I11" s="153">
        <f t="shared" si="1"/>
        <v>7.8E-2</v>
      </c>
      <c r="J11" s="153">
        <f t="shared" si="1"/>
        <v>7.8E-2</v>
      </c>
      <c r="K11" s="153">
        <f t="shared" si="1"/>
        <v>7.8E-2</v>
      </c>
      <c r="L11" s="153">
        <f t="shared" si="1"/>
        <v>7.8E-2</v>
      </c>
      <c r="M11" s="153">
        <f t="shared" si="1"/>
        <v>7.8E-2</v>
      </c>
      <c r="N11" s="153">
        <f t="shared" si="1"/>
        <v>7.8E-2</v>
      </c>
      <c r="O11" s="153">
        <f t="shared" si="1"/>
        <v>7.8E-2</v>
      </c>
      <c r="P11" s="153">
        <f t="shared" si="1"/>
        <v>7.8E-2</v>
      </c>
      <c r="Q11" s="153">
        <f t="shared" si="1"/>
        <v>7.8E-2</v>
      </c>
      <c r="R11" s="153">
        <f t="shared" si="1"/>
        <v>7.8E-2</v>
      </c>
      <c r="S11" s="60"/>
    </row>
    <row r="12" spans="1:25" s="254" customFormat="1" ht="15" customHeight="1">
      <c r="B12" s="254" t="s">
        <v>1156</v>
      </c>
      <c r="C12" s="153">
        <f>Inputs!C12</f>
        <v>0.17</v>
      </c>
      <c r="D12" s="153">
        <f t="shared" si="1"/>
        <v>0.17</v>
      </c>
      <c r="E12" s="153">
        <f t="shared" si="1"/>
        <v>0.17</v>
      </c>
      <c r="F12" s="153">
        <f t="shared" si="1"/>
        <v>0.17</v>
      </c>
      <c r="G12" s="153">
        <f t="shared" si="1"/>
        <v>0.17</v>
      </c>
      <c r="H12" s="153">
        <f t="shared" si="1"/>
        <v>0.17</v>
      </c>
      <c r="I12" s="153">
        <f t="shared" si="1"/>
        <v>0.17</v>
      </c>
      <c r="J12" s="153">
        <f t="shared" si="1"/>
        <v>0.17</v>
      </c>
      <c r="K12" s="153">
        <f t="shared" si="1"/>
        <v>0.17</v>
      </c>
      <c r="L12" s="153">
        <f t="shared" si="1"/>
        <v>0.17</v>
      </c>
      <c r="M12" s="153">
        <f t="shared" si="1"/>
        <v>0.17</v>
      </c>
      <c r="N12" s="153">
        <f t="shared" si="1"/>
        <v>0.17</v>
      </c>
      <c r="O12" s="153">
        <f t="shared" si="1"/>
        <v>0.17</v>
      </c>
      <c r="P12" s="153">
        <f t="shared" si="1"/>
        <v>0.17</v>
      </c>
      <c r="Q12" s="153">
        <f t="shared" si="1"/>
        <v>0.17</v>
      </c>
      <c r="R12" s="153">
        <f t="shared" si="1"/>
        <v>0.17</v>
      </c>
      <c r="S12" s="60"/>
    </row>
    <row r="13" spans="1:25" ht="15" customHeight="1">
      <c r="B13" s="254" t="s">
        <v>898</v>
      </c>
      <c r="C13" s="153">
        <f>Inputs!C13</f>
        <v>6.095999804928006</v>
      </c>
      <c r="D13" s="153">
        <f t="shared" ref="D13:R26" si="2">C13</f>
        <v>6.095999804928006</v>
      </c>
      <c r="E13" s="153">
        <f t="shared" si="2"/>
        <v>6.095999804928006</v>
      </c>
      <c r="F13" s="153">
        <f t="shared" si="2"/>
        <v>6.095999804928006</v>
      </c>
      <c r="G13" s="153">
        <f t="shared" si="2"/>
        <v>6.095999804928006</v>
      </c>
      <c r="H13" s="153">
        <f t="shared" si="2"/>
        <v>6.095999804928006</v>
      </c>
      <c r="I13" s="153">
        <f t="shared" si="2"/>
        <v>6.095999804928006</v>
      </c>
      <c r="J13" s="153">
        <f t="shared" si="2"/>
        <v>6.095999804928006</v>
      </c>
      <c r="K13" s="153">
        <f t="shared" si="2"/>
        <v>6.095999804928006</v>
      </c>
      <c r="L13" s="153">
        <f t="shared" si="2"/>
        <v>6.095999804928006</v>
      </c>
      <c r="M13" s="153">
        <f t="shared" si="2"/>
        <v>6.095999804928006</v>
      </c>
      <c r="N13" s="153">
        <f t="shared" si="2"/>
        <v>6.095999804928006</v>
      </c>
      <c r="O13" s="153">
        <f t="shared" si="2"/>
        <v>6.095999804928006</v>
      </c>
      <c r="P13" s="153">
        <f t="shared" si="2"/>
        <v>6.095999804928006</v>
      </c>
      <c r="Q13" s="153">
        <f t="shared" si="2"/>
        <v>6.095999804928006</v>
      </c>
      <c r="R13" s="153">
        <f t="shared" si="2"/>
        <v>6.095999804928006</v>
      </c>
      <c r="S13" s="60"/>
    </row>
    <row r="14" spans="1:25" ht="15" customHeight="1">
      <c r="B14" s="254" t="s">
        <v>15</v>
      </c>
      <c r="C14" s="153">
        <f>Inputs!C14</f>
        <v>0.5</v>
      </c>
      <c r="D14" s="153">
        <f t="shared" si="2"/>
        <v>0.5</v>
      </c>
      <c r="E14" s="153">
        <f t="shared" si="2"/>
        <v>0.5</v>
      </c>
      <c r="F14" s="153">
        <f t="shared" si="2"/>
        <v>0.5</v>
      </c>
      <c r="G14" s="153">
        <f t="shared" si="2"/>
        <v>0.5</v>
      </c>
      <c r="H14" s="153">
        <f t="shared" si="2"/>
        <v>0.5</v>
      </c>
      <c r="I14" s="153">
        <f t="shared" si="2"/>
        <v>0.5</v>
      </c>
      <c r="J14" s="153">
        <f t="shared" si="2"/>
        <v>0.5</v>
      </c>
      <c r="K14" s="153">
        <f t="shared" si="2"/>
        <v>0.5</v>
      </c>
      <c r="L14" s="153">
        <f t="shared" si="2"/>
        <v>0.5</v>
      </c>
      <c r="M14" s="153">
        <f t="shared" si="2"/>
        <v>0.5</v>
      </c>
      <c r="N14" s="153">
        <f t="shared" si="2"/>
        <v>0.5</v>
      </c>
      <c r="O14" s="153">
        <f t="shared" si="2"/>
        <v>0.5</v>
      </c>
      <c r="P14" s="153">
        <f t="shared" si="2"/>
        <v>0.5</v>
      </c>
      <c r="Q14" s="153">
        <f t="shared" si="2"/>
        <v>0.5</v>
      </c>
      <c r="R14" s="153">
        <f t="shared" si="2"/>
        <v>0.5</v>
      </c>
      <c r="S14" s="60"/>
    </row>
    <row r="15" spans="1:25" ht="15" customHeight="1">
      <c r="B15" s="254" t="s">
        <v>18</v>
      </c>
      <c r="C15" s="153">
        <f>Inputs!C15</f>
        <v>0</v>
      </c>
      <c r="D15" s="153">
        <f t="shared" si="2"/>
        <v>0</v>
      </c>
      <c r="E15" s="153">
        <f t="shared" si="2"/>
        <v>0</v>
      </c>
      <c r="F15" s="153">
        <f t="shared" si="2"/>
        <v>0</v>
      </c>
      <c r="G15" s="153">
        <f t="shared" si="2"/>
        <v>0</v>
      </c>
      <c r="H15" s="153">
        <f t="shared" si="2"/>
        <v>0</v>
      </c>
      <c r="I15" s="153">
        <f t="shared" si="2"/>
        <v>0</v>
      </c>
      <c r="J15" s="153">
        <f t="shared" si="2"/>
        <v>0</v>
      </c>
      <c r="K15" s="153">
        <f t="shared" si="2"/>
        <v>0</v>
      </c>
      <c r="L15" s="153">
        <f t="shared" si="2"/>
        <v>0</v>
      </c>
      <c r="M15" s="153">
        <f t="shared" si="2"/>
        <v>0</v>
      </c>
      <c r="N15" s="153">
        <f t="shared" si="2"/>
        <v>0</v>
      </c>
      <c r="O15" s="153">
        <f t="shared" si="2"/>
        <v>0</v>
      </c>
      <c r="P15" s="153">
        <f t="shared" si="2"/>
        <v>0</v>
      </c>
      <c r="Q15" s="153">
        <f t="shared" si="2"/>
        <v>0</v>
      </c>
      <c r="R15" s="153">
        <f t="shared" si="2"/>
        <v>0</v>
      </c>
      <c r="S15" s="60"/>
    </row>
    <row r="16" spans="1:25" ht="15" customHeight="1">
      <c r="A16" s="254" t="s">
        <v>19</v>
      </c>
      <c r="B16" s="254" t="s">
        <v>912</v>
      </c>
      <c r="C16" s="128">
        <f>Inputs!C16</f>
        <v>0</v>
      </c>
      <c r="D16" s="128">
        <f t="shared" si="2"/>
        <v>0</v>
      </c>
      <c r="E16" s="128">
        <f t="shared" si="2"/>
        <v>0</v>
      </c>
      <c r="F16" s="128">
        <f t="shared" si="2"/>
        <v>0</v>
      </c>
      <c r="G16" s="128">
        <f t="shared" si="2"/>
        <v>0</v>
      </c>
      <c r="H16" s="128">
        <f t="shared" si="2"/>
        <v>0</v>
      </c>
      <c r="I16" s="128">
        <f t="shared" si="2"/>
        <v>0</v>
      </c>
      <c r="J16" s="128">
        <f t="shared" si="2"/>
        <v>0</v>
      </c>
      <c r="K16" s="128">
        <f t="shared" si="2"/>
        <v>0</v>
      </c>
      <c r="L16" s="128">
        <f t="shared" si="2"/>
        <v>0</v>
      </c>
      <c r="M16" s="128">
        <f t="shared" si="2"/>
        <v>0</v>
      </c>
      <c r="N16" s="128">
        <f t="shared" si="2"/>
        <v>0</v>
      </c>
      <c r="O16" s="128">
        <f t="shared" si="2"/>
        <v>0</v>
      </c>
      <c r="P16" s="128">
        <f t="shared" si="2"/>
        <v>0</v>
      </c>
      <c r="Q16" s="128">
        <f t="shared" si="2"/>
        <v>0</v>
      </c>
      <c r="R16" s="128">
        <f t="shared" si="2"/>
        <v>0</v>
      </c>
      <c r="S16" s="60"/>
    </row>
    <row r="17" spans="1:20" ht="15" customHeight="1">
      <c r="B17" s="254" t="s">
        <v>923</v>
      </c>
      <c r="C17" s="197">
        <f>Inputs!C17</f>
        <v>1.9281086206186945E-2</v>
      </c>
      <c r="D17" s="197">
        <f t="shared" si="2"/>
        <v>1.9281086206186945E-2</v>
      </c>
      <c r="E17" s="197">
        <f t="shared" si="2"/>
        <v>1.9281086206186945E-2</v>
      </c>
      <c r="F17" s="197">
        <f t="shared" si="2"/>
        <v>1.9281086206186945E-2</v>
      </c>
      <c r="G17" s="197">
        <f t="shared" si="2"/>
        <v>1.9281086206186945E-2</v>
      </c>
      <c r="H17" s="197">
        <f t="shared" si="2"/>
        <v>1.9281086206186945E-2</v>
      </c>
      <c r="I17" s="197">
        <f t="shared" si="2"/>
        <v>1.9281086206186945E-2</v>
      </c>
      <c r="J17" s="197">
        <f t="shared" si="2"/>
        <v>1.9281086206186945E-2</v>
      </c>
      <c r="K17" s="197">
        <f t="shared" si="2"/>
        <v>1.9281086206186945E-2</v>
      </c>
      <c r="L17" s="197">
        <f t="shared" si="2"/>
        <v>1.9281086206186945E-2</v>
      </c>
      <c r="M17" s="197">
        <f t="shared" si="2"/>
        <v>1.9281086206186945E-2</v>
      </c>
      <c r="N17" s="197">
        <f t="shared" si="2"/>
        <v>1.9281086206186945E-2</v>
      </c>
      <c r="O17" s="197">
        <f t="shared" si="2"/>
        <v>1.9281086206186945E-2</v>
      </c>
      <c r="P17" s="197">
        <f t="shared" si="2"/>
        <v>1.9281086206186945E-2</v>
      </c>
      <c r="Q17" s="197">
        <f t="shared" si="2"/>
        <v>1.9281086206186945E-2</v>
      </c>
      <c r="R17" s="197">
        <f t="shared" si="2"/>
        <v>1.9281086206186945E-2</v>
      </c>
      <c r="S17" s="60"/>
    </row>
    <row r="18" spans="1:20" ht="15" customHeight="1">
      <c r="B18" s="254" t="s">
        <v>924</v>
      </c>
      <c r="C18" s="153">
        <f>Inputs!C18</f>
        <v>8.6359997236480091</v>
      </c>
      <c r="D18" s="153">
        <f t="shared" si="2"/>
        <v>8.6359997236480091</v>
      </c>
      <c r="E18" s="153">
        <f t="shared" si="2"/>
        <v>8.6359997236480091</v>
      </c>
      <c r="F18" s="153">
        <f t="shared" si="2"/>
        <v>8.6359997236480091</v>
      </c>
      <c r="G18" s="153">
        <f t="shared" si="2"/>
        <v>8.6359997236480091</v>
      </c>
      <c r="H18" s="153">
        <f t="shared" si="2"/>
        <v>8.6359997236480091</v>
      </c>
      <c r="I18" s="153">
        <f t="shared" si="2"/>
        <v>8.6359997236480091</v>
      </c>
      <c r="J18" s="153">
        <f t="shared" si="2"/>
        <v>8.6359997236480091</v>
      </c>
      <c r="K18" s="153">
        <f t="shared" si="2"/>
        <v>8.6359997236480091</v>
      </c>
      <c r="L18" s="153">
        <f t="shared" si="2"/>
        <v>8.6359997236480091</v>
      </c>
      <c r="M18" s="153">
        <f t="shared" si="2"/>
        <v>8.6359997236480091</v>
      </c>
      <c r="N18" s="153">
        <f t="shared" si="2"/>
        <v>8.6359997236480091</v>
      </c>
      <c r="O18" s="153">
        <f t="shared" si="2"/>
        <v>8.6359997236480091</v>
      </c>
      <c r="P18" s="153">
        <f t="shared" si="2"/>
        <v>8.6359997236480091</v>
      </c>
      <c r="Q18" s="153">
        <f t="shared" si="2"/>
        <v>8.6359997236480091</v>
      </c>
      <c r="R18" s="153">
        <f t="shared" si="2"/>
        <v>8.6359997236480091</v>
      </c>
      <c r="S18" s="60"/>
      <c r="T18" s="254"/>
    </row>
    <row r="19" spans="1:20" ht="15" customHeight="1">
      <c r="B19" s="254" t="s">
        <v>925</v>
      </c>
      <c r="C19" s="128">
        <f>Inputs!C19</f>
        <v>-99</v>
      </c>
      <c r="D19" s="128">
        <f t="shared" si="2"/>
        <v>-99</v>
      </c>
      <c r="E19" s="128">
        <f t="shared" si="2"/>
        <v>-99</v>
      </c>
      <c r="F19" s="128">
        <f t="shared" si="2"/>
        <v>-99</v>
      </c>
      <c r="G19" s="128">
        <f t="shared" si="2"/>
        <v>-99</v>
      </c>
      <c r="H19" s="128">
        <f t="shared" si="2"/>
        <v>-99</v>
      </c>
      <c r="I19" s="128">
        <f t="shared" si="2"/>
        <v>-99</v>
      </c>
      <c r="J19" s="128">
        <f t="shared" si="2"/>
        <v>-99</v>
      </c>
      <c r="K19" s="128">
        <f t="shared" si="2"/>
        <v>-99</v>
      </c>
      <c r="L19" s="128">
        <f t="shared" si="2"/>
        <v>-99</v>
      </c>
      <c r="M19" s="128">
        <f t="shared" si="2"/>
        <v>-99</v>
      </c>
      <c r="N19" s="128">
        <f t="shared" si="2"/>
        <v>-99</v>
      </c>
      <c r="O19" s="128">
        <f t="shared" si="2"/>
        <v>-99</v>
      </c>
      <c r="P19" s="128">
        <f t="shared" si="2"/>
        <v>-99</v>
      </c>
      <c r="Q19" s="128">
        <f t="shared" si="2"/>
        <v>-99</v>
      </c>
      <c r="R19" s="128">
        <f t="shared" si="2"/>
        <v>-99</v>
      </c>
      <c r="S19" s="60"/>
      <c r="T19" s="254"/>
    </row>
    <row r="20" spans="1:20" ht="15" customHeight="1">
      <c r="B20" s="254" t="s">
        <v>926</v>
      </c>
      <c r="C20" s="6">
        <f>Inputs!C20</f>
        <v>1.9281086206186945E-2</v>
      </c>
      <c r="D20" s="153">
        <f t="shared" si="2"/>
        <v>1.9281086206186945E-2</v>
      </c>
      <c r="E20" s="153">
        <f t="shared" si="2"/>
        <v>1.9281086206186945E-2</v>
      </c>
      <c r="F20" s="153">
        <f t="shared" si="2"/>
        <v>1.9281086206186945E-2</v>
      </c>
      <c r="G20" s="153">
        <f t="shared" si="2"/>
        <v>1.9281086206186945E-2</v>
      </c>
      <c r="H20" s="153">
        <f t="shared" si="2"/>
        <v>1.9281086206186945E-2</v>
      </c>
      <c r="I20" s="153">
        <f t="shared" si="2"/>
        <v>1.9281086206186945E-2</v>
      </c>
      <c r="J20" s="153">
        <f t="shared" si="2"/>
        <v>1.9281086206186945E-2</v>
      </c>
      <c r="K20" s="153">
        <f t="shared" si="2"/>
        <v>1.9281086206186945E-2</v>
      </c>
      <c r="L20" s="153">
        <f t="shared" si="2"/>
        <v>1.9281086206186945E-2</v>
      </c>
      <c r="M20" s="153">
        <f t="shared" si="2"/>
        <v>1.9281086206186945E-2</v>
      </c>
      <c r="N20" s="153">
        <f t="shared" si="2"/>
        <v>1.9281086206186945E-2</v>
      </c>
      <c r="O20" s="153">
        <f t="shared" si="2"/>
        <v>1.9281086206186945E-2</v>
      </c>
      <c r="P20" s="153">
        <f t="shared" si="2"/>
        <v>1.9281086206186945E-2</v>
      </c>
      <c r="Q20" s="153">
        <f t="shared" si="2"/>
        <v>1.9281086206186945E-2</v>
      </c>
      <c r="R20" s="153">
        <f t="shared" si="2"/>
        <v>1.9281086206186945E-2</v>
      </c>
      <c r="S20" s="60"/>
    </row>
    <row r="21" spans="1:20" ht="15" customHeight="1">
      <c r="B21" s="254" t="s">
        <v>927</v>
      </c>
      <c r="C21" s="153">
        <f>Inputs!C21</f>
        <v>8.6359997236480091</v>
      </c>
      <c r="D21" s="153">
        <f t="shared" si="2"/>
        <v>8.6359997236480091</v>
      </c>
      <c r="E21" s="153">
        <f t="shared" si="2"/>
        <v>8.6359997236480091</v>
      </c>
      <c r="F21" s="153">
        <f t="shared" si="2"/>
        <v>8.6359997236480091</v>
      </c>
      <c r="G21" s="153">
        <f t="shared" si="2"/>
        <v>8.6359997236480091</v>
      </c>
      <c r="H21" s="153">
        <f t="shared" si="2"/>
        <v>8.6359997236480091</v>
      </c>
      <c r="I21" s="153">
        <f t="shared" si="2"/>
        <v>8.6359997236480091</v>
      </c>
      <c r="J21" s="153">
        <f t="shared" si="2"/>
        <v>8.6359997236480091</v>
      </c>
      <c r="K21" s="153">
        <f t="shared" si="2"/>
        <v>8.6359997236480091</v>
      </c>
      <c r="L21" s="153">
        <f t="shared" si="2"/>
        <v>8.6359997236480091</v>
      </c>
      <c r="M21" s="153">
        <f t="shared" si="2"/>
        <v>8.6359997236480091</v>
      </c>
      <c r="N21" s="153">
        <f t="shared" si="2"/>
        <v>8.6359997236480091</v>
      </c>
      <c r="O21" s="153">
        <f t="shared" si="2"/>
        <v>8.6359997236480091</v>
      </c>
      <c r="P21" s="153">
        <f t="shared" si="2"/>
        <v>8.6359997236480091</v>
      </c>
      <c r="Q21" s="153">
        <f t="shared" si="2"/>
        <v>8.6359997236480091</v>
      </c>
      <c r="R21" s="153">
        <f t="shared" si="2"/>
        <v>8.6359997236480091</v>
      </c>
    </row>
    <row r="22" spans="1:20" ht="15" customHeight="1">
      <c r="B22" s="254" t="s">
        <v>928</v>
      </c>
      <c r="C22" s="128">
        <f>Inputs!C22</f>
        <v>-99</v>
      </c>
      <c r="D22" s="128">
        <f t="shared" si="2"/>
        <v>-99</v>
      </c>
      <c r="E22" s="128">
        <f t="shared" si="2"/>
        <v>-99</v>
      </c>
      <c r="F22" s="128">
        <f t="shared" si="2"/>
        <v>-99</v>
      </c>
      <c r="G22" s="128">
        <f t="shared" si="2"/>
        <v>-99</v>
      </c>
      <c r="H22" s="128">
        <f t="shared" si="2"/>
        <v>-99</v>
      </c>
      <c r="I22" s="128">
        <f t="shared" si="2"/>
        <v>-99</v>
      </c>
      <c r="J22" s="128">
        <f t="shared" si="2"/>
        <v>-99</v>
      </c>
      <c r="K22" s="128">
        <f t="shared" si="2"/>
        <v>-99</v>
      </c>
      <c r="L22" s="128">
        <f t="shared" si="2"/>
        <v>-99</v>
      </c>
      <c r="M22" s="128">
        <f t="shared" si="2"/>
        <v>-99</v>
      </c>
      <c r="N22" s="128">
        <f t="shared" si="2"/>
        <v>-99</v>
      </c>
      <c r="O22" s="128">
        <f t="shared" si="2"/>
        <v>-99</v>
      </c>
      <c r="P22" s="128">
        <f t="shared" si="2"/>
        <v>-99</v>
      </c>
      <c r="Q22" s="128">
        <f t="shared" si="2"/>
        <v>-99</v>
      </c>
      <c r="R22" s="128">
        <f t="shared" si="2"/>
        <v>-99</v>
      </c>
      <c r="S22" s="60"/>
      <c r="T22" s="254"/>
    </row>
    <row r="23" spans="1:20" ht="15" customHeight="1">
      <c r="A23" s="254" t="s">
        <v>27</v>
      </c>
      <c r="B23" s="254" t="s">
        <v>913</v>
      </c>
      <c r="C23" s="153">
        <f>Inputs!C23</f>
        <v>0.31645569620253167</v>
      </c>
      <c r="D23" s="153">
        <f t="shared" si="2"/>
        <v>0.31645569620253167</v>
      </c>
      <c r="E23" s="153">
        <f t="shared" si="2"/>
        <v>0.31645569620253167</v>
      </c>
      <c r="F23" s="153">
        <f t="shared" si="2"/>
        <v>0.31645569620253167</v>
      </c>
      <c r="G23" s="153">
        <f t="shared" si="2"/>
        <v>0.31645569620253167</v>
      </c>
      <c r="H23" s="153">
        <f t="shared" si="2"/>
        <v>0.31645569620253167</v>
      </c>
      <c r="I23" s="153">
        <f t="shared" si="2"/>
        <v>0.31645569620253167</v>
      </c>
      <c r="J23" s="153">
        <f t="shared" si="2"/>
        <v>0.31645569620253167</v>
      </c>
      <c r="K23" s="153">
        <f t="shared" si="2"/>
        <v>0.31645569620253167</v>
      </c>
      <c r="L23" s="153">
        <f t="shared" si="2"/>
        <v>0.31645569620253167</v>
      </c>
      <c r="M23" s="153">
        <f t="shared" si="2"/>
        <v>0.31645569620253167</v>
      </c>
      <c r="N23" s="153">
        <f t="shared" si="2"/>
        <v>0.31645569620253167</v>
      </c>
      <c r="O23" s="153">
        <f t="shared" si="2"/>
        <v>0.31645569620253167</v>
      </c>
      <c r="P23" s="153">
        <f t="shared" si="2"/>
        <v>0.31645569620253167</v>
      </c>
      <c r="Q23" s="153">
        <f t="shared" si="2"/>
        <v>0.31645569620253167</v>
      </c>
      <c r="R23" s="153">
        <f t="shared" si="2"/>
        <v>0.31645569620253167</v>
      </c>
      <c r="S23" s="60"/>
      <c r="T23" s="254"/>
    </row>
    <row r="24" spans="1:20" ht="15" customHeight="1">
      <c r="B24" s="254" t="s">
        <v>914</v>
      </c>
      <c r="C24" s="153">
        <f>Inputs!C24</f>
        <v>0.31645569620253167</v>
      </c>
      <c r="D24" s="153">
        <f t="shared" si="2"/>
        <v>0.31645569620253167</v>
      </c>
      <c r="E24" s="153">
        <f t="shared" si="2"/>
        <v>0.31645569620253167</v>
      </c>
      <c r="F24" s="153">
        <f t="shared" si="2"/>
        <v>0.31645569620253167</v>
      </c>
      <c r="G24" s="153">
        <f t="shared" si="2"/>
        <v>0.31645569620253167</v>
      </c>
      <c r="H24" s="153">
        <f t="shared" si="2"/>
        <v>0.31645569620253167</v>
      </c>
      <c r="I24" s="153">
        <f t="shared" si="2"/>
        <v>0.31645569620253167</v>
      </c>
      <c r="J24" s="153">
        <f t="shared" si="2"/>
        <v>0.31645569620253167</v>
      </c>
      <c r="K24" s="153">
        <f t="shared" si="2"/>
        <v>0.31645569620253167</v>
      </c>
      <c r="L24" s="153">
        <f t="shared" si="2"/>
        <v>0.31645569620253167</v>
      </c>
      <c r="M24" s="153">
        <f t="shared" si="2"/>
        <v>0.31645569620253167</v>
      </c>
      <c r="N24" s="153">
        <f t="shared" si="2"/>
        <v>0.31645569620253167</v>
      </c>
      <c r="O24" s="153">
        <f t="shared" si="2"/>
        <v>0.31645569620253167</v>
      </c>
      <c r="P24" s="153">
        <f t="shared" si="2"/>
        <v>0.31645569620253167</v>
      </c>
      <c r="Q24" s="153">
        <f t="shared" si="2"/>
        <v>0.31645569620253167</v>
      </c>
      <c r="R24" s="153">
        <f t="shared" si="2"/>
        <v>0.31645569620253167</v>
      </c>
      <c r="S24" s="60"/>
    </row>
    <row r="25" spans="1:20" ht="15" customHeight="1">
      <c r="B25" s="254" t="s">
        <v>915</v>
      </c>
      <c r="C25" s="153">
        <f>Inputs!C25</f>
        <v>0.18354430379746839</v>
      </c>
      <c r="D25" s="153">
        <f t="shared" si="2"/>
        <v>0.18354430379746839</v>
      </c>
      <c r="E25" s="153">
        <f t="shared" si="2"/>
        <v>0.18354430379746839</v>
      </c>
      <c r="F25" s="153">
        <f t="shared" si="2"/>
        <v>0.18354430379746839</v>
      </c>
      <c r="G25" s="153">
        <f t="shared" si="2"/>
        <v>0.18354430379746839</v>
      </c>
      <c r="H25" s="153">
        <f t="shared" si="2"/>
        <v>0.18354430379746839</v>
      </c>
      <c r="I25" s="153">
        <f t="shared" si="2"/>
        <v>0.18354430379746839</v>
      </c>
      <c r="J25" s="153">
        <f t="shared" si="2"/>
        <v>0.18354430379746839</v>
      </c>
      <c r="K25" s="153">
        <f t="shared" si="2"/>
        <v>0.18354430379746839</v>
      </c>
      <c r="L25" s="153">
        <f t="shared" si="2"/>
        <v>0.18354430379746839</v>
      </c>
      <c r="M25" s="153">
        <f t="shared" si="2"/>
        <v>0.18354430379746839</v>
      </c>
      <c r="N25" s="153">
        <f t="shared" si="2"/>
        <v>0.18354430379746839</v>
      </c>
      <c r="O25" s="153">
        <f t="shared" si="2"/>
        <v>0.18354430379746839</v>
      </c>
      <c r="P25" s="153">
        <f t="shared" si="2"/>
        <v>0.18354430379746839</v>
      </c>
      <c r="Q25" s="153">
        <f t="shared" si="2"/>
        <v>0.18354430379746839</v>
      </c>
      <c r="R25" s="153">
        <f t="shared" si="2"/>
        <v>0.18354430379746839</v>
      </c>
      <c r="S25" s="60"/>
      <c r="T25" s="254"/>
    </row>
    <row r="26" spans="1:20" ht="15" customHeight="1">
      <c r="B26" s="254" t="s">
        <v>916</v>
      </c>
      <c r="C26" s="153">
        <f>Inputs!C26</f>
        <v>0.18354430379746839</v>
      </c>
      <c r="D26" s="153">
        <f t="shared" si="2"/>
        <v>0.18354430379746839</v>
      </c>
      <c r="E26" s="153">
        <f t="shared" si="2"/>
        <v>0.18354430379746839</v>
      </c>
      <c r="F26" s="153">
        <f t="shared" si="2"/>
        <v>0.18354430379746839</v>
      </c>
      <c r="G26" s="153">
        <f t="shared" si="2"/>
        <v>0.18354430379746839</v>
      </c>
      <c r="H26" s="153">
        <f t="shared" si="2"/>
        <v>0.18354430379746839</v>
      </c>
      <c r="I26" s="153">
        <f t="shared" si="2"/>
        <v>0.18354430379746839</v>
      </c>
      <c r="J26" s="153">
        <f t="shared" si="2"/>
        <v>0.18354430379746839</v>
      </c>
      <c r="K26" s="153">
        <f t="shared" si="2"/>
        <v>0.18354430379746839</v>
      </c>
      <c r="L26" s="153">
        <f t="shared" si="2"/>
        <v>0.18354430379746839</v>
      </c>
      <c r="M26" s="153">
        <f t="shared" si="2"/>
        <v>0.18354430379746839</v>
      </c>
      <c r="N26" s="153">
        <f t="shared" si="2"/>
        <v>0.18354430379746839</v>
      </c>
      <c r="O26" s="153">
        <f t="shared" si="2"/>
        <v>0.18354430379746839</v>
      </c>
      <c r="P26" s="153">
        <f t="shared" si="2"/>
        <v>0.18354430379746839</v>
      </c>
      <c r="Q26" s="153">
        <f t="shared" si="2"/>
        <v>0.18354430379746839</v>
      </c>
      <c r="R26" s="153">
        <f t="shared" si="2"/>
        <v>0.18354430379746839</v>
      </c>
      <c r="S26" s="60"/>
      <c r="T26" s="254"/>
    </row>
    <row r="27" spans="1:20" ht="15" customHeight="1">
      <c r="B27" s="254" t="s">
        <v>917</v>
      </c>
      <c r="C27" s="153">
        <f>Inputs!C27</f>
        <v>0.31645569620253167</v>
      </c>
      <c r="D27" s="153">
        <f t="shared" ref="D27:R38" si="3">C27</f>
        <v>0.31645569620253167</v>
      </c>
      <c r="E27" s="153">
        <f t="shared" si="3"/>
        <v>0.31645569620253167</v>
      </c>
      <c r="F27" s="153">
        <f t="shared" si="3"/>
        <v>0.31645569620253167</v>
      </c>
      <c r="G27" s="153">
        <f t="shared" si="3"/>
        <v>0.31645569620253167</v>
      </c>
      <c r="H27" s="153">
        <f t="shared" si="3"/>
        <v>0.31645569620253167</v>
      </c>
      <c r="I27" s="153">
        <f t="shared" si="3"/>
        <v>0.31645569620253167</v>
      </c>
      <c r="J27" s="153">
        <f t="shared" si="3"/>
        <v>0.31645569620253167</v>
      </c>
      <c r="K27" s="153">
        <f t="shared" si="3"/>
        <v>0.31645569620253167</v>
      </c>
      <c r="L27" s="153">
        <f t="shared" si="3"/>
        <v>0.31645569620253167</v>
      </c>
      <c r="M27" s="153">
        <f t="shared" si="3"/>
        <v>0.31645569620253167</v>
      </c>
      <c r="N27" s="153">
        <f t="shared" si="3"/>
        <v>0.31645569620253167</v>
      </c>
      <c r="O27" s="153">
        <f t="shared" si="3"/>
        <v>0.31645569620253167</v>
      </c>
      <c r="P27" s="153">
        <f t="shared" si="3"/>
        <v>0.31645569620253167</v>
      </c>
      <c r="Q27" s="153">
        <f t="shared" si="3"/>
        <v>0.31645569620253167</v>
      </c>
      <c r="R27" s="153">
        <f t="shared" si="3"/>
        <v>0.31645569620253167</v>
      </c>
      <c r="S27" s="60"/>
    </row>
    <row r="28" spans="1:20" ht="15" customHeight="1">
      <c r="B28" s="254" t="s">
        <v>918</v>
      </c>
      <c r="C28" s="153">
        <f>Inputs!C28</f>
        <v>0.31645569620253167</v>
      </c>
      <c r="D28" s="153">
        <f t="shared" si="3"/>
        <v>0.31645569620253167</v>
      </c>
      <c r="E28" s="153">
        <f t="shared" si="3"/>
        <v>0.31645569620253167</v>
      </c>
      <c r="F28" s="153">
        <f t="shared" si="3"/>
        <v>0.31645569620253167</v>
      </c>
      <c r="G28" s="153">
        <f t="shared" si="3"/>
        <v>0.31645569620253167</v>
      </c>
      <c r="H28" s="153">
        <f t="shared" si="3"/>
        <v>0.31645569620253167</v>
      </c>
      <c r="I28" s="153">
        <f t="shared" si="3"/>
        <v>0.31645569620253167</v>
      </c>
      <c r="J28" s="153">
        <f t="shared" si="3"/>
        <v>0.31645569620253167</v>
      </c>
      <c r="K28" s="153">
        <f t="shared" si="3"/>
        <v>0.31645569620253167</v>
      </c>
      <c r="L28" s="153">
        <f t="shared" si="3"/>
        <v>0.31645569620253167</v>
      </c>
      <c r="M28" s="153">
        <f t="shared" si="3"/>
        <v>0.31645569620253167</v>
      </c>
      <c r="N28" s="153">
        <f t="shared" si="3"/>
        <v>0.31645569620253167</v>
      </c>
      <c r="O28" s="153">
        <f t="shared" si="3"/>
        <v>0.31645569620253167</v>
      </c>
      <c r="P28" s="153">
        <f t="shared" si="3"/>
        <v>0.31645569620253167</v>
      </c>
      <c r="Q28" s="153">
        <f t="shared" si="3"/>
        <v>0.31645569620253167</v>
      </c>
      <c r="R28" s="153">
        <f t="shared" si="3"/>
        <v>0.31645569620253167</v>
      </c>
      <c r="S28" s="60"/>
      <c r="T28" s="254"/>
    </row>
    <row r="29" spans="1:20" ht="15" customHeight="1">
      <c r="B29" s="254" t="s">
        <v>919</v>
      </c>
      <c r="C29" s="153">
        <f>Inputs!C29</f>
        <v>0.18354430379746839</v>
      </c>
      <c r="D29" s="153">
        <f t="shared" si="3"/>
        <v>0.18354430379746839</v>
      </c>
      <c r="E29" s="153">
        <f t="shared" si="3"/>
        <v>0.18354430379746839</v>
      </c>
      <c r="F29" s="153">
        <f t="shared" si="3"/>
        <v>0.18354430379746839</v>
      </c>
      <c r="G29" s="153">
        <f t="shared" si="3"/>
        <v>0.18354430379746839</v>
      </c>
      <c r="H29" s="153">
        <f t="shared" si="3"/>
        <v>0.18354430379746839</v>
      </c>
      <c r="I29" s="153">
        <f t="shared" si="3"/>
        <v>0.18354430379746839</v>
      </c>
      <c r="J29" s="153">
        <f t="shared" si="3"/>
        <v>0.18354430379746839</v>
      </c>
      <c r="K29" s="153">
        <f t="shared" si="3"/>
        <v>0.18354430379746839</v>
      </c>
      <c r="L29" s="153">
        <f t="shared" si="3"/>
        <v>0.18354430379746839</v>
      </c>
      <c r="M29" s="153">
        <f t="shared" si="3"/>
        <v>0.18354430379746839</v>
      </c>
      <c r="N29" s="153">
        <f t="shared" si="3"/>
        <v>0.18354430379746839</v>
      </c>
      <c r="O29" s="153">
        <f t="shared" si="3"/>
        <v>0.18354430379746839</v>
      </c>
      <c r="P29" s="153">
        <f t="shared" si="3"/>
        <v>0.18354430379746839</v>
      </c>
      <c r="Q29" s="153">
        <f t="shared" si="3"/>
        <v>0.18354430379746839</v>
      </c>
      <c r="R29" s="153">
        <f t="shared" si="3"/>
        <v>0.18354430379746839</v>
      </c>
      <c r="S29" s="60"/>
      <c r="T29" s="254"/>
    </row>
    <row r="30" spans="1:20" ht="15" customHeight="1">
      <c r="B30" s="254" t="s">
        <v>920</v>
      </c>
      <c r="C30" s="153">
        <f>Inputs!C30</f>
        <v>0.18354430379746839</v>
      </c>
      <c r="D30" s="153">
        <f t="shared" si="3"/>
        <v>0.18354430379746839</v>
      </c>
      <c r="E30" s="153">
        <f t="shared" si="3"/>
        <v>0.18354430379746839</v>
      </c>
      <c r="F30" s="153">
        <f t="shared" si="3"/>
        <v>0.18354430379746839</v>
      </c>
      <c r="G30" s="153">
        <f t="shared" si="3"/>
        <v>0.18354430379746839</v>
      </c>
      <c r="H30" s="153">
        <f t="shared" si="3"/>
        <v>0.18354430379746839</v>
      </c>
      <c r="I30" s="153">
        <f t="shared" si="3"/>
        <v>0.18354430379746839</v>
      </c>
      <c r="J30" s="153">
        <f t="shared" si="3"/>
        <v>0.18354430379746839</v>
      </c>
      <c r="K30" s="153">
        <f t="shared" si="3"/>
        <v>0.18354430379746839</v>
      </c>
      <c r="L30" s="153">
        <f t="shared" si="3"/>
        <v>0.18354430379746839</v>
      </c>
      <c r="M30" s="153">
        <f t="shared" si="3"/>
        <v>0.18354430379746839</v>
      </c>
      <c r="N30" s="153">
        <f t="shared" si="3"/>
        <v>0.18354430379746839</v>
      </c>
      <c r="O30" s="153">
        <f t="shared" si="3"/>
        <v>0.18354430379746839</v>
      </c>
      <c r="P30" s="153">
        <f t="shared" si="3"/>
        <v>0.18354430379746839</v>
      </c>
      <c r="Q30" s="153">
        <f t="shared" si="3"/>
        <v>0.18354430379746839</v>
      </c>
      <c r="R30" s="153">
        <f t="shared" si="3"/>
        <v>0.18354430379746839</v>
      </c>
      <c r="S30" s="60"/>
    </row>
    <row r="31" spans="1:20" ht="15" customHeight="1">
      <c r="B31" s="254" t="s">
        <v>921</v>
      </c>
      <c r="C31" s="128">
        <f>Inputs!C31</f>
        <v>1</v>
      </c>
      <c r="D31" s="128">
        <f t="shared" si="3"/>
        <v>1</v>
      </c>
      <c r="E31" s="128">
        <f t="shared" si="3"/>
        <v>1</v>
      </c>
      <c r="F31" s="128">
        <f t="shared" si="3"/>
        <v>1</v>
      </c>
      <c r="G31" s="128">
        <f t="shared" si="3"/>
        <v>1</v>
      </c>
      <c r="H31" s="128">
        <f t="shared" si="3"/>
        <v>1</v>
      </c>
      <c r="I31" s="128">
        <f t="shared" si="3"/>
        <v>1</v>
      </c>
      <c r="J31" s="128">
        <f t="shared" si="3"/>
        <v>1</v>
      </c>
      <c r="K31" s="128">
        <f t="shared" si="3"/>
        <v>1</v>
      </c>
      <c r="L31" s="128">
        <f t="shared" si="3"/>
        <v>1</v>
      </c>
      <c r="M31" s="128">
        <f t="shared" si="3"/>
        <v>1</v>
      </c>
      <c r="N31" s="128">
        <f t="shared" si="3"/>
        <v>1</v>
      </c>
      <c r="O31" s="128">
        <f t="shared" si="3"/>
        <v>1</v>
      </c>
      <c r="P31" s="128">
        <f t="shared" si="3"/>
        <v>1</v>
      </c>
      <c r="Q31" s="128">
        <f t="shared" si="3"/>
        <v>1</v>
      </c>
      <c r="R31" s="128">
        <f t="shared" si="3"/>
        <v>1</v>
      </c>
      <c r="S31" s="60"/>
      <c r="T31" s="254"/>
    </row>
    <row r="32" spans="1:20" ht="15" customHeight="1">
      <c r="B32" s="254" t="s">
        <v>930</v>
      </c>
      <c r="C32" s="128">
        <f>Inputs!C32</f>
        <v>0</v>
      </c>
      <c r="D32" s="128">
        <f t="shared" si="3"/>
        <v>0</v>
      </c>
      <c r="E32" s="128">
        <f t="shared" si="3"/>
        <v>0</v>
      </c>
      <c r="F32" s="128">
        <f t="shared" si="3"/>
        <v>0</v>
      </c>
      <c r="G32" s="128">
        <f t="shared" si="3"/>
        <v>0</v>
      </c>
      <c r="H32" s="128">
        <f t="shared" si="3"/>
        <v>0</v>
      </c>
      <c r="I32" s="128">
        <f t="shared" si="3"/>
        <v>0</v>
      </c>
      <c r="J32" s="128">
        <f t="shared" si="3"/>
        <v>0</v>
      </c>
      <c r="K32" s="128">
        <f t="shared" si="3"/>
        <v>0</v>
      </c>
      <c r="L32" s="128">
        <f t="shared" si="3"/>
        <v>0</v>
      </c>
      <c r="M32" s="128">
        <f t="shared" si="3"/>
        <v>0</v>
      </c>
      <c r="N32" s="128">
        <f t="shared" si="3"/>
        <v>0</v>
      </c>
      <c r="O32" s="128">
        <f t="shared" si="3"/>
        <v>0</v>
      </c>
      <c r="P32" s="128">
        <f t="shared" si="3"/>
        <v>0</v>
      </c>
      <c r="Q32" s="128">
        <f t="shared" si="3"/>
        <v>0</v>
      </c>
      <c r="R32" s="128">
        <f t="shared" si="3"/>
        <v>0</v>
      </c>
      <c r="S32" s="60"/>
      <c r="T32" s="254"/>
    </row>
    <row r="33" spans="1:21" ht="15" customHeight="1">
      <c r="A33" s="254" t="s">
        <v>1024</v>
      </c>
      <c r="B33" s="254" t="s">
        <v>391</v>
      </c>
      <c r="C33" s="8">
        <f>Inputs!C33</f>
        <v>0.30479999024640031</v>
      </c>
      <c r="D33" s="8">
        <f t="shared" si="3"/>
        <v>0.30479999024640031</v>
      </c>
      <c r="E33" s="8">
        <f t="shared" si="3"/>
        <v>0.30479999024640031</v>
      </c>
      <c r="F33" s="8">
        <f t="shared" si="3"/>
        <v>0.30479999024640031</v>
      </c>
      <c r="G33" s="8">
        <f t="shared" si="3"/>
        <v>0.30479999024640031</v>
      </c>
      <c r="H33" s="8">
        <f t="shared" si="3"/>
        <v>0.30479999024640031</v>
      </c>
      <c r="I33" s="8">
        <f t="shared" si="3"/>
        <v>0.30479999024640031</v>
      </c>
      <c r="J33" s="8">
        <f t="shared" si="3"/>
        <v>0.30479999024640031</v>
      </c>
      <c r="K33" s="8">
        <f t="shared" si="3"/>
        <v>0.30479999024640031</v>
      </c>
      <c r="L33" s="8">
        <f t="shared" si="3"/>
        <v>0.30479999024640031</v>
      </c>
      <c r="M33" s="8">
        <f t="shared" si="3"/>
        <v>0.30479999024640031</v>
      </c>
      <c r="N33" s="8">
        <f t="shared" si="3"/>
        <v>0.30479999024640031</v>
      </c>
      <c r="O33" s="8">
        <f t="shared" si="3"/>
        <v>0.30479999024640031</v>
      </c>
      <c r="P33" s="8">
        <f t="shared" si="3"/>
        <v>0.30479999024640031</v>
      </c>
      <c r="Q33" s="8">
        <f t="shared" si="3"/>
        <v>0.30479999024640031</v>
      </c>
      <c r="R33" s="8">
        <f t="shared" si="3"/>
        <v>0.30479999024640031</v>
      </c>
      <c r="S33" s="278"/>
    </row>
    <row r="34" spans="1:21" ht="15" customHeight="1">
      <c r="B34" s="254" t="s">
        <v>931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278"/>
    </row>
    <row r="35" spans="1:21" ht="15" customHeight="1">
      <c r="B35" s="254" t="s">
        <v>932</v>
      </c>
      <c r="C35" s="8">
        <f>Inputs!C35</f>
        <v>729.1581126273195</v>
      </c>
      <c r="D35" s="8">
        <f t="shared" si="3"/>
        <v>729.1581126273195</v>
      </c>
      <c r="E35" s="8">
        <f t="shared" si="3"/>
        <v>729.1581126273195</v>
      </c>
      <c r="F35" s="8">
        <f t="shared" si="3"/>
        <v>729.1581126273195</v>
      </c>
      <c r="G35" s="8">
        <f t="shared" si="3"/>
        <v>729.1581126273195</v>
      </c>
      <c r="H35" s="8">
        <f t="shared" si="3"/>
        <v>729.1581126273195</v>
      </c>
      <c r="I35" s="8">
        <f t="shared" si="3"/>
        <v>729.1581126273195</v>
      </c>
      <c r="J35" s="8">
        <f t="shared" si="3"/>
        <v>729.1581126273195</v>
      </c>
      <c r="K35" s="8">
        <f t="shared" si="3"/>
        <v>729.1581126273195</v>
      </c>
      <c r="L35" s="8">
        <f t="shared" si="3"/>
        <v>729.1581126273195</v>
      </c>
      <c r="M35" s="8">
        <f t="shared" si="3"/>
        <v>729.1581126273195</v>
      </c>
      <c r="N35" s="8">
        <f t="shared" si="3"/>
        <v>729.1581126273195</v>
      </c>
      <c r="O35" s="8">
        <f t="shared" si="3"/>
        <v>729.1581126273195</v>
      </c>
      <c r="P35" s="8">
        <f t="shared" si="3"/>
        <v>729.1581126273195</v>
      </c>
      <c r="Q35" s="8">
        <f t="shared" si="3"/>
        <v>729.1581126273195</v>
      </c>
      <c r="R35" s="8">
        <f t="shared" si="3"/>
        <v>729.1581126273195</v>
      </c>
      <c r="S35" s="278"/>
    </row>
    <row r="36" spans="1:21" ht="15" customHeight="1">
      <c r="B36" s="254" t="s">
        <v>933</v>
      </c>
      <c r="C36" s="8">
        <f>Inputs!C36</f>
        <v>250.82999999999998</v>
      </c>
      <c r="D36" s="8">
        <f>C36</f>
        <v>250.82999999999998</v>
      </c>
      <c r="E36" s="8">
        <f t="shared" si="3"/>
        <v>250.82999999999998</v>
      </c>
      <c r="F36" s="8">
        <f t="shared" si="3"/>
        <v>250.82999999999998</v>
      </c>
      <c r="G36" s="8">
        <f t="shared" si="3"/>
        <v>250.82999999999998</v>
      </c>
      <c r="H36" s="8">
        <f t="shared" si="3"/>
        <v>250.82999999999998</v>
      </c>
      <c r="I36" s="8">
        <f t="shared" si="3"/>
        <v>250.82999999999998</v>
      </c>
      <c r="J36" s="8">
        <f t="shared" si="3"/>
        <v>250.82999999999998</v>
      </c>
      <c r="K36" s="8">
        <f t="shared" si="3"/>
        <v>250.82999999999998</v>
      </c>
      <c r="L36" s="8">
        <f t="shared" si="3"/>
        <v>250.82999999999998</v>
      </c>
      <c r="M36" s="8">
        <f t="shared" si="3"/>
        <v>250.82999999999998</v>
      </c>
      <c r="N36" s="8">
        <f t="shared" si="3"/>
        <v>250.82999999999998</v>
      </c>
      <c r="O36" s="8">
        <f t="shared" si="3"/>
        <v>250.82999999999998</v>
      </c>
      <c r="P36" s="8">
        <f t="shared" si="3"/>
        <v>250.82999999999998</v>
      </c>
      <c r="Q36" s="8">
        <f t="shared" si="3"/>
        <v>250.82999999999998</v>
      </c>
      <c r="R36" s="8">
        <f t="shared" si="3"/>
        <v>250.82999999999998</v>
      </c>
      <c r="S36" s="278"/>
    </row>
    <row r="37" spans="1:21" ht="15" customHeight="1">
      <c r="B37" s="254" t="s">
        <v>934</v>
      </c>
      <c r="C37" s="8">
        <f>Inputs!C37</f>
        <v>134.70499999999998</v>
      </c>
      <c r="D37" s="8">
        <f>C37</f>
        <v>134.70499999999998</v>
      </c>
      <c r="E37" s="8">
        <f t="shared" si="3"/>
        <v>134.70499999999998</v>
      </c>
      <c r="F37" s="8">
        <f t="shared" si="3"/>
        <v>134.70499999999998</v>
      </c>
      <c r="G37" s="8">
        <f t="shared" si="3"/>
        <v>134.70499999999998</v>
      </c>
      <c r="H37" s="8">
        <f t="shared" si="3"/>
        <v>134.70499999999998</v>
      </c>
      <c r="I37" s="8">
        <f t="shared" si="3"/>
        <v>134.70499999999998</v>
      </c>
      <c r="J37" s="8">
        <f t="shared" si="3"/>
        <v>134.70499999999998</v>
      </c>
      <c r="K37" s="8">
        <f t="shared" si="3"/>
        <v>134.70499999999998</v>
      </c>
      <c r="L37" s="8">
        <f t="shared" si="3"/>
        <v>134.70499999999998</v>
      </c>
      <c r="M37" s="8">
        <f t="shared" si="3"/>
        <v>134.70499999999998</v>
      </c>
      <c r="N37" s="8">
        <f t="shared" si="3"/>
        <v>134.70499999999998</v>
      </c>
      <c r="O37" s="8">
        <f t="shared" si="3"/>
        <v>134.70499999999998</v>
      </c>
      <c r="P37" s="8">
        <f t="shared" si="3"/>
        <v>134.70499999999998</v>
      </c>
      <c r="Q37" s="8">
        <f t="shared" si="3"/>
        <v>134.70499999999998</v>
      </c>
      <c r="R37" s="8">
        <f t="shared" si="3"/>
        <v>134.70499999999998</v>
      </c>
      <c r="S37" s="278"/>
    </row>
    <row r="38" spans="1:21" s="254" customFormat="1" ht="15" customHeight="1">
      <c r="B38" s="254" t="s">
        <v>857</v>
      </c>
      <c r="C38" s="233">
        <f>Inputs!C38</f>
        <v>2.743199912217603</v>
      </c>
      <c r="D38" s="233">
        <f>C38</f>
        <v>2.743199912217603</v>
      </c>
      <c r="E38" s="233">
        <f t="shared" si="3"/>
        <v>2.743199912217603</v>
      </c>
      <c r="F38" s="233">
        <f t="shared" si="3"/>
        <v>2.743199912217603</v>
      </c>
      <c r="G38" s="233">
        <f t="shared" si="3"/>
        <v>2.743199912217603</v>
      </c>
      <c r="H38" s="233">
        <f t="shared" si="3"/>
        <v>2.743199912217603</v>
      </c>
      <c r="I38" s="233">
        <f t="shared" si="3"/>
        <v>2.743199912217603</v>
      </c>
      <c r="J38" s="233">
        <f t="shared" si="3"/>
        <v>2.743199912217603</v>
      </c>
      <c r="K38" s="233">
        <f t="shared" si="3"/>
        <v>2.743199912217603</v>
      </c>
      <c r="L38" s="233">
        <f t="shared" si="3"/>
        <v>2.743199912217603</v>
      </c>
      <c r="M38" s="233">
        <f t="shared" si="3"/>
        <v>2.743199912217603</v>
      </c>
      <c r="N38" s="233">
        <f t="shared" si="3"/>
        <v>2.743199912217603</v>
      </c>
      <c r="O38" s="233">
        <f t="shared" si="3"/>
        <v>2.743199912217603</v>
      </c>
      <c r="P38" s="233">
        <f t="shared" si="3"/>
        <v>2.743199912217603</v>
      </c>
      <c r="Q38" s="233">
        <f t="shared" si="3"/>
        <v>2.743199912217603</v>
      </c>
      <c r="R38" s="233">
        <f t="shared" si="3"/>
        <v>2.743199912217603</v>
      </c>
      <c r="S38" s="278"/>
    </row>
    <row r="39" spans="1:21" ht="15" customHeight="1">
      <c r="B39" s="254" t="s">
        <v>937</v>
      </c>
      <c r="C39" s="346">
        <f>UA!AC12</f>
        <v>59.640279951620009</v>
      </c>
      <c r="D39" s="346">
        <f>UA!AD12</f>
        <v>59.640279951620009</v>
      </c>
      <c r="E39" s="346">
        <f>UA!AE12</f>
        <v>59.640279951620009</v>
      </c>
      <c r="F39" s="346">
        <f>UA!AF12</f>
        <v>59.640279951620009</v>
      </c>
      <c r="G39" s="346">
        <f>UA!AG12</f>
        <v>59.640279951620009</v>
      </c>
      <c r="H39" s="346">
        <f>UA!AH12</f>
        <v>74.853720440300009</v>
      </c>
      <c r="I39" s="346">
        <f>UA!AI12</f>
        <v>74.853720440300009</v>
      </c>
      <c r="J39" s="346">
        <f>UA!AJ12</f>
        <v>59.640279951620009</v>
      </c>
      <c r="K39" s="346">
        <f>UA!AK12</f>
        <v>59.640279951620009</v>
      </c>
      <c r="L39" s="346">
        <f>UA!AL12</f>
        <v>59.640279951620009</v>
      </c>
      <c r="M39" s="346">
        <f>UA!AM12</f>
        <v>59.640279951620009</v>
      </c>
      <c r="N39" s="346">
        <f>UA!AN12</f>
        <v>59.640279951620009</v>
      </c>
      <c r="O39" s="346">
        <f>UA!AO12</f>
        <v>59.640279951620009</v>
      </c>
      <c r="P39" s="346">
        <f>UA!AP12</f>
        <v>59.640279951620009</v>
      </c>
      <c r="Q39" s="346">
        <f>UA!AQ12</f>
        <v>59.640279951620009</v>
      </c>
      <c r="R39" s="346">
        <f>UA!AR12</f>
        <v>59.640279951620009</v>
      </c>
      <c r="S39" s="278"/>
      <c r="U39" s="254"/>
    </row>
    <row r="40" spans="1:21" ht="15" customHeight="1">
      <c r="B40" s="254" t="s">
        <v>938</v>
      </c>
      <c r="C40" s="346">
        <f>UA!AC14</f>
        <v>75.382164081239779</v>
      </c>
      <c r="D40" s="346">
        <f>UA!AD14</f>
        <v>75.382164081239779</v>
      </c>
      <c r="E40" s="346">
        <f>UA!AE14</f>
        <v>75.382164081239779</v>
      </c>
      <c r="F40" s="346">
        <f>UA!AF14</f>
        <v>75.382164081239779</v>
      </c>
      <c r="G40" s="346">
        <f>UA!AG14</f>
        <v>75.382164081239779</v>
      </c>
      <c r="H40" s="346">
        <f>UA!AH14</f>
        <v>75.382164081239779</v>
      </c>
      <c r="I40" s="346">
        <f>UA!AI14</f>
        <v>75.382164081239779</v>
      </c>
      <c r="J40" s="346">
        <f>UA!AJ14</f>
        <v>75.382164081239779</v>
      </c>
      <c r="K40" s="346">
        <f>UA!AK14</f>
        <v>75.382164081239779</v>
      </c>
      <c r="L40" s="346">
        <f>UA!AL14</f>
        <v>75.382164081239779</v>
      </c>
      <c r="M40" s="346">
        <f>UA!AM14</f>
        <v>75.382164081239779</v>
      </c>
      <c r="N40" s="346">
        <f>UA!AN14</f>
        <v>75.382164081239779</v>
      </c>
      <c r="O40" s="346">
        <f>UA!AO14</f>
        <v>75.382164081239779</v>
      </c>
      <c r="P40" s="346">
        <f>UA!AP14</f>
        <v>75.382164081239779</v>
      </c>
      <c r="Q40" s="346">
        <f>UA!AQ14</f>
        <v>75.382164081239779</v>
      </c>
      <c r="R40" s="346">
        <f>UA!AR14</f>
        <v>46.487125005881033</v>
      </c>
      <c r="S40" s="278"/>
    </row>
    <row r="41" spans="1:21" s="254" customFormat="1" ht="15" customHeight="1">
      <c r="B41" s="254" t="s">
        <v>939</v>
      </c>
      <c r="C41" s="347">
        <f>UA!AC13</f>
        <v>91.149615359999984</v>
      </c>
      <c r="D41" s="347">
        <f>UA!AD13</f>
        <v>91.149615359999984</v>
      </c>
      <c r="E41" s="347">
        <f>UA!AE13</f>
        <v>91.149615359999984</v>
      </c>
      <c r="F41" s="347">
        <f>UA!AF13</f>
        <v>91.149615359999984</v>
      </c>
      <c r="G41" s="347">
        <f>UA!AG13</f>
        <v>91.149615359999984</v>
      </c>
      <c r="H41" s="347">
        <f>UA!AH13</f>
        <v>91.149615359999984</v>
      </c>
      <c r="I41" s="347">
        <f>UA!AI13</f>
        <v>91.149615359999984</v>
      </c>
      <c r="J41" s="347">
        <f>UA!AJ13</f>
        <v>91.149615359999984</v>
      </c>
      <c r="K41" s="347">
        <f>UA!AK13</f>
        <v>91.149615359999984</v>
      </c>
      <c r="L41" s="347">
        <f>UA!AL13</f>
        <v>91.149615359999984</v>
      </c>
      <c r="M41" s="347">
        <f>UA!AM13</f>
        <v>91.149615359999984</v>
      </c>
      <c r="N41" s="347">
        <f>UA!AN13</f>
        <v>91.149615359999984</v>
      </c>
      <c r="O41" s="347">
        <f>UA!AO13</f>
        <v>91.149615359999984</v>
      </c>
      <c r="P41" s="347">
        <f>UA!AP13</f>
        <v>91.149615359999984</v>
      </c>
      <c r="Q41" s="347">
        <f>UA!AQ13</f>
        <v>91.149615359999984</v>
      </c>
      <c r="R41" s="347">
        <f>UA!AR13</f>
        <v>91.149615359999984</v>
      </c>
      <c r="S41" s="278"/>
    </row>
    <row r="42" spans="1:21" ht="15" customHeight="1">
      <c r="A42" s="254" t="s">
        <v>46</v>
      </c>
      <c r="B42" s="254" t="s">
        <v>940</v>
      </c>
      <c r="C42" s="6">
        <f>Inputs!C42</f>
        <v>0</v>
      </c>
      <c r="D42" s="6">
        <f t="shared" ref="D42:R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278"/>
    </row>
    <row r="43" spans="1:21" s="254" customFormat="1" ht="15" customHeight="1">
      <c r="B43" s="254" t="s">
        <v>859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278"/>
    </row>
    <row r="44" spans="1:21" s="254" customFormat="1" ht="15" customHeight="1">
      <c r="B44" s="254" t="s">
        <v>860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278"/>
    </row>
    <row r="45" spans="1:21" s="254" customFormat="1" ht="15" customHeight="1">
      <c r="B45" s="254" t="s">
        <v>861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278"/>
    </row>
    <row r="46" spans="1:21" s="254" customFormat="1" ht="15" customHeight="1">
      <c r="B46" s="254" t="s">
        <v>862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278"/>
    </row>
    <row r="47" spans="1:21" s="254" customFormat="1" ht="15" customHeight="1">
      <c r="B47" s="254" t="s">
        <v>863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278"/>
    </row>
    <row r="48" spans="1:21" ht="15" customHeight="1">
      <c r="A48" s="254" t="s">
        <v>48</v>
      </c>
      <c r="B48" s="254" t="s">
        <v>941</v>
      </c>
      <c r="C48" s="128">
        <f>Inputs!C48</f>
        <v>5</v>
      </c>
      <c r="D48" s="128">
        <f t="shared" ref="D48:R48" si="20">C48</f>
        <v>5</v>
      </c>
      <c r="E48" s="128">
        <f t="shared" si="20"/>
        <v>5</v>
      </c>
      <c r="F48" s="128">
        <f t="shared" si="20"/>
        <v>5</v>
      </c>
      <c r="G48" s="128">
        <f t="shared" si="20"/>
        <v>5</v>
      </c>
      <c r="H48" s="128">
        <f t="shared" si="20"/>
        <v>5</v>
      </c>
      <c r="I48" s="128">
        <f t="shared" si="20"/>
        <v>5</v>
      </c>
      <c r="J48" s="128">
        <f t="shared" si="20"/>
        <v>5</v>
      </c>
      <c r="K48" s="128">
        <f t="shared" si="20"/>
        <v>5</v>
      </c>
      <c r="L48" s="128">
        <f t="shared" si="20"/>
        <v>5</v>
      </c>
      <c r="M48" s="128">
        <f t="shared" si="20"/>
        <v>5</v>
      </c>
      <c r="N48" s="128">
        <f t="shared" si="20"/>
        <v>5</v>
      </c>
      <c r="O48" s="128">
        <f t="shared" si="20"/>
        <v>5</v>
      </c>
      <c r="P48" s="128">
        <f t="shared" si="20"/>
        <v>5</v>
      </c>
      <c r="Q48" s="128">
        <f t="shared" si="20"/>
        <v>5</v>
      </c>
      <c r="R48" s="128">
        <f t="shared" si="20"/>
        <v>5</v>
      </c>
      <c r="S48" s="278"/>
    </row>
    <row r="49" spans="2:19" ht="15" customHeight="1">
      <c r="B49" s="254" t="s">
        <v>947</v>
      </c>
      <c r="C49" s="329">
        <f>Fans!B12</f>
        <v>0</v>
      </c>
      <c r="D49" s="329">
        <f>Fans!C12</f>
        <v>0</v>
      </c>
      <c r="E49" s="329">
        <f>Fans!D12</f>
        <v>0</v>
      </c>
      <c r="F49" s="329">
        <f>Fans!E12</f>
        <v>0</v>
      </c>
      <c r="G49" s="329">
        <f>Fans!F12</f>
        <v>0</v>
      </c>
      <c r="H49" s="329">
        <f>Fans!G12</f>
        <v>0</v>
      </c>
      <c r="I49" s="329">
        <f>Fans!H12</f>
        <v>0</v>
      </c>
      <c r="J49" s="329">
        <f>Fans!I12</f>
        <v>0</v>
      </c>
      <c r="K49" s="329">
        <f>Fans!J12</f>
        <v>0</v>
      </c>
      <c r="L49" s="329">
        <f>Fans!K12</f>
        <v>0</v>
      </c>
      <c r="M49" s="329">
        <f>Fans!L12</f>
        <v>0</v>
      </c>
      <c r="N49" s="329">
        <f>Fans!M12</f>
        <v>0</v>
      </c>
      <c r="O49" s="329">
        <f>Fans!N12</f>
        <v>0</v>
      </c>
      <c r="P49" s="329">
        <f>Fans!O12</f>
        <v>0</v>
      </c>
      <c r="Q49" s="329">
        <f>Fans!P12</f>
        <v>0</v>
      </c>
      <c r="R49" s="329">
        <f>Fans!Q12</f>
        <v>0</v>
      </c>
      <c r="S49" s="278"/>
    </row>
    <row r="50" spans="2:19" ht="15" customHeight="1">
      <c r="B50" s="254" t="s">
        <v>945</v>
      </c>
      <c r="C50" s="491">
        <f>Fans!B13</f>
        <v>0</v>
      </c>
      <c r="D50" s="187">
        <f>Fans!C13</f>
        <v>0</v>
      </c>
      <c r="E50" s="187">
        <f>Fans!D13</f>
        <v>0</v>
      </c>
      <c r="F50" s="187">
        <f>Fans!E13</f>
        <v>0</v>
      </c>
      <c r="G50" s="187">
        <f>Fans!F13</f>
        <v>0</v>
      </c>
      <c r="H50" s="187">
        <f>Fans!G13</f>
        <v>0</v>
      </c>
      <c r="I50" s="187">
        <f>Fans!H13</f>
        <v>0</v>
      </c>
      <c r="J50" s="187">
        <f>Fans!I13</f>
        <v>0</v>
      </c>
      <c r="K50" s="187">
        <f>Fans!J13</f>
        <v>0</v>
      </c>
      <c r="L50" s="187">
        <f>Fans!K13</f>
        <v>0</v>
      </c>
      <c r="M50" s="187">
        <f>Fans!L13</f>
        <v>0</v>
      </c>
      <c r="N50" s="187">
        <f>Fans!M13</f>
        <v>0</v>
      </c>
      <c r="O50" s="187">
        <f>Fans!N13</f>
        <v>0</v>
      </c>
      <c r="P50" s="187">
        <f>Fans!O13</f>
        <v>0</v>
      </c>
      <c r="Q50" s="187">
        <f>Fans!P13</f>
        <v>0</v>
      </c>
      <c r="R50" s="187">
        <f>Fans!Q13</f>
        <v>0</v>
      </c>
      <c r="S50" s="278"/>
    </row>
    <row r="51" spans="2:19" ht="15" customHeight="1">
      <c r="B51" s="254" t="s">
        <v>946</v>
      </c>
      <c r="C51" s="186">
        <f>Fans!B14</f>
        <v>1</v>
      </c>
      <c r="D51" s="186">
        <f>Fans!C14</f>
        <v>1</v>
      </c>
      <c r="E51" s="186">
        <f>Fans!D14</f>
        <v>1</v>
      </c>
      <c r="F51" s="186">
        <f>Fans!E14</f>
        <v>1</v>
      </c>
      <c r="G51" s="186">
        <f>Fans!F14</f>
        <v>1</v>
      </c>
      <c r="H51" s="186">
        <f>Fans!G14</f>
        <v>1</v>
      </c>
      <c r="I51" s="186">
        <f>Fans!H14</f>
        <v>1</v>
      </c>
      <c r="J51" s="186">
        <f>Fans!I14</f>
        <v>1</v>
      </c>
      <c r="K51" s="186">
        <f>Fans!J14</f>
        <v>1</v>
      </c>
      <c r="L51" s="186">
        <f>Fans!K14</f>
        <v>1</v>
      </c>
      <c r="M51" s="186">
        <f>Fans!L14</f>
        <v>1</v>
      </c>
      <c r="N51" s="186">
        <f>Fans!M14</f>
        <v>1</v>
      </c>
      <c r="O51" s="186">
        <f>Fans!N14</f>
        <v>1</v>
      </c>
      <c r="P51" s="186">
        <f>Fans!O14</f>
        <v>1</v>
      </c>
      <c r="Q51" s="186">
        <f>Fans!P14</f>
        <v>1</v>
      </c>
      <c r="R51" s="186">
        <f>Fans!Q14</f>
        <v>1</v>
      </c>
      <c r="S51" s="278"/>
    </row>
    <row r="52" spans="2:19" ht="15" customHeight="1">
      <c r="B52" s="254" t="s">
        <v>948</v>
      </c>
      <c r="C52" s="8">
        <f>Inputs!C52</f>
        <v>0</v>
      </c>
      <c r="D52" s="8">
        <f t="shared" ref="D52:R52" si="21">C52</f>
        <v>0</v>
      </c>
      <c r="E52" s="8">
        <f t="shared" si="21"/>
        <v>0</v>
      </c>
      <c r="F52" s="8">
        <f t="shared" si="21"/>
        <v>0</v>
      </c>
      <c r="G52" s="8">
        <f t="shared" si="21"/>
        <v>0</v>
      </c>
      <c r="H52" s="8">
        <f t="shared" si="21"/>
        <v>0</v>
      </c>
      <c r="I52" s="8">
        <f t="shared" si="21"/>
        <v>0</v>
      </c>
      <c r="J52" s="8">
        <f t="shared" si="21"/>
        <v>0</v>
      </c>
      <c r="K52" s="8">
        <f t="shared" si="21"/>
        <v>0</v>
      </c>
      <c r="L52" s="8">
        <f t="shared" si="21"/>
        <v>0</v>
      </c>
      <c r="M52" s="8">
        <f t="shared" si="21"/>
        <v>0</v>
      </c>
      <c r="N52" s="8">
        <f t="shared" si="21"/>
        <v>0</v>
      </c>
      <c r="O52" s="8">
        <f t="shared" si="21"/>
        <v>0</v>
      </c>
      <c r="P52" s="8">
        <f t="shared" si="21"/>
        <v>0</v>
      </c>
      <c r="Q52" s="8">
        <f t="shared" si="21"/>
        <v>0</v>
      </c>
      <c r="R52" s="8">
        <f t="shared" si="21"/>
        <v>0</v>
      </c>
      <c r="S52" s="278"/>
    </row>
    <row r="53" spans="2:19" ht="15" customHeight="1">
      <c r="B53" s="254" t="s">
        <v>949</v>
      </c>
      <c r="C53" s="6">
        <f>Inputs!C53</f>
        <v>-7.0788107597923547E-2</v>
      </c>
      <c r="D53" s="6">
        <f t="shared" ref="D53:R53" si="22">C53</f>
        <v>-7.0788107597923547E-2</v>
      </c>
      <c r="E53" s="6">
        <f t="shared" si="22"/>
        <v>-7.0788107597923547E-2</v>
      </c>
      <c r="F53" s="6">
        <f t="shared" si="22"/>
        <v>-7.0788107597923547E-2</v>
      </c>
      <c r="G53" s="6">
        <f t="shared" si="22"/>
        <v>-7.0788107597923547E-2</v>
      </c>
      <c r="H53" s="6">
        <f t="shared" si="22"/>
        <v>-7.0788107597923547E-2</v>
      </c>
      <c r="I53" s="6">
        <f t="shared" si="22"/>
        <v>-7.0788107597923547E-2</v>
      </c>
      <c r="J53" s="6">
        <f t="shared" si="22"/>
        <v>-7.0788107597923547E-2</v>
      </c>
      <c r="K53" s="6">
        <f t="shared" si="22"/>
        <v>-7.0788107597923547E-2</v>
      </c>
      <c r="L53" s="6">
        <f t="shared" si="22"/>
        <v>-7.0788107597923547E-2</v>
      </c>
      <c r="M53" s="6">
        <f t="shared" si="22"/>
        <v>-7.0788107597923547E-2</v>
      </c>
      <c r="N53" s="6">
        <f t="shared" si="22"/>
        <v>-7.0788107597923547E-2</v>
      </c>
      <c r="O53" s="6">
        <f t="shared" si="22"/>
        <v>-7.0788107597923547E-2</v>
      </c>
      <c r="P53" s="6">
        <f t="shared" si="22"/>
        <v>-7.0788107597923547E-2</v>
      </c>
      <c r="Q53" s="6">
        <f t="shared" si="22"/>
        <v>-7.0788107597923547E-2</v>
      </c>
      <c r="R53" s="6">
        <f t="shared" si="22"/>
        <v>-7.0788107597923547E-2</v>
      </c>
      <c r="S53" s="278"/>
    </row>
    <row r="54" spans="2:19" ht="15" customHeight="1">
      <c r="B54" s="254" t="s">
        <v>950</v>
      </c>
      <c r="C54" s="128">
        <f>Inputs!C54</f>
        <v>23</v>
      </c>
      <c r="D54" s="128">
        <f t="shared" ref="D54:R54" si="23">C54</f>
        <v>23</v>
      </c>
      <c r="E54" s="128">
        <f t="shared" si="23"/>
        <v>23</v>
      </c>
      <c r="F54" s="128">
        <f t="shared" si="23"/>
        <v>23</v>
      </c>
      <c r="G54" s="128">
        <f t="shared" si="23"/>
        <v>23</v>
      </c>
      <c r="H54" s="128">
        <f t="shared" si="23"/>
        <v>23</v>
      </c>
      <c r="I54" s="128">
        <f t="shared" si="23"/>
        <v>23</v>
      </c>
      <c r="J54" s="128">
        <f t="shared" si="23"/>
        <v>23</v>
      </c>
      <c r="K54" s="128">
        <f t="shared" si="23"/>
        <v>23</v>
      </c>
      <c r="L54" s="128">
        <f t="shared" si="23"/>
        <v>23</v>
      </c>
      <c r="M54" s="128">
        <f t="shared" si="23"/>
        <v>23</v>
      </c>
      <c r="N54" s="128">
        <f t="shared" si="23"/>
        <v>23</v>
      </c>
      <c r="O54" s="128">
        <f t="shared" si="23"/>
        <v>23</v>
      </c>
      <c r="P54" s="128">
        <f t="shared" si="23"/>
        <v>23</v>
      </c>
      <c r="Q54" s="128">
        <f t="shared" si="23"/>
        <v>23</v>
      </c>
      <c r="R54" s="128">
        <f t="shared" si="23"/>
        <v>23</v>
      </c>
      <c r="S54" s="278"/>
    </row>
    <row r="55" spans="2:19" ht="15" customHeight="1">
      <c r="B55" s="254" t="s">
        <v>951</v>
      </c>
      <c r="C55" s="191">
        <f>Inputs!C55</f>
        <v>37.200000000000003</v>
      </c>
      <c r="D55" s="191">
        <f t="shared" ref="D55:R55" si="24">C55</f>
        <v>37.200000000000003</v>
      </c>
      <c r="E55" s="191">
        <f t="shared" si="24"/>
        <v>37.200000000000003</v>
      </c>
      <c r="F55" s="191">
        <f t="shared" si="24"/>
        <v>37.200000000000003</v>
      </c>
      <c r="G55" s="191">
        <f t="shared" si="24"/>
        <v>37.200000000000003</v>
      </c>
      <c r="H55" s="191">
        <f t="shared" si="24"/>
        <v>37.200000000000003</v>
      </c>
      <c r="I55" s="191">
        <f t="shared" si="24"/>
        <v>37.200000000000003</v>
      </c>
      <c r="J55" s="191">
        <f t="shared" si="24"/>
        <v>37.200000000000003</v>
      </c>
      <c r="K55" s="191">
        <f t="shared" si="24"/>
        <v>37.200000000000003</v>
      </c>
      <c r="L55" s="191">
        <f t="shared" si="24"/>
        <v>37.200000000000003</v>
      </c>
      <c r="M55" s="191">
        <f t="shared" si="24"/>
        <v>37.200000000000003</v>
      </c>
      <c r="N55" s="191">
        <f t="shared" si="24"/>
        <v>37.200000000000003</v>
      </c>
      <c r="O55" s="191">
        <f t="shared" si="24"/>
        <v>37.200000000000003</v>
      </c>
      <c r="P55" s="191">
        <f t="shared" si="24"/>
        <v>37.200000000000003</v>
      </c>
      <c r="Q55" s="191">
        <f t="shared" si="24"/>
        <v>37.200000000000003</v>
      </c>
      <c r="R55" s="191">
        <f t="shared" si="24"/>
        <v>37.200000000000003</v>
      </c>
      <c r="S55" s="278"/>
    </row>
    <row r="56" spans="2:19" ht="15" customHeight="1">
      <c r="B56" s="254" t="s">
        <v>952</v>
      </c>
      <c r="C56" s="187">
        <f>Inputs!C56</f>
        <v>-4.7192071731949031E-2</v>
      </c>
      <c r="D56" s="187">
        <f t="shared" ref="D56:R56" si="25">C56</f>
        <v>-4.7192071731949031E-2</v>
      </c>
      <c r="E56" s="187">
        <f t="shared" si="25"/>
        <v>-4.7192071731949031E-2</v>
      </c>
      <c r="F56" s="187">
        <f t="shared" si="25"/>
        <v>-4.7192071731949031E-2</v>
      </c>
      <c r="G56" s="187">
        <f t="shared" si="25"/>
        <v>-4.7192071731949031E-2</v>
      </c>
      <c r="H56" s="187">
        <f t="shared" si="25"/>
        <v>-4.7192071731949031E-2</v>
      </c>
      <c r="I56" s="187">
        <f t="shared" si="25"/>
        <v>-4.7192071731949031E-2</v>
      </c>
      <c r="J56" s="187">
        <f t="shared" si="25"/>
        <v>-4.7192071731949031E-2</v>
      </c>
      <c r="K56" s="187">
        <f t="shared" si="25"/>
        <v>-4.7192071731949031E-2</v>
      </c>
      <c r="L56" s="187">
        <f t="shared" si="25"/>
        <v>-4.7192071731949031E-2</v>
      </c>
      <c r="M56" s="187">
        <f t="shared" si="25"/>
        <v>-4.7192071731949031E-2</v>
      </c>
      <c r="N56" s="187">
        <f t="shared" si="25"/>
        <v>-4.7192071731949031E-2</v>
      </c>
      <c r="O56" s="187">
        <f t="shared" si="25"/>
        <v>-4.7192071731949031E-2</v>
      </c>
      <c r="P56" s="187">
        <f t="shared" si="25"/>
        <v>-4.7192071731949031E-2</v>
      </c>
      <c r="Q56" s="187">
        <f t="shared" si="25"/>
        <v>-4.7192071731949031E-2</v>
      </c>
      <c r="R56" s="187">
        <f t="shared" si="25"/>
        <v>-4.7192071731949031E-2</v>
      </c>
      <c r="S56" s="278"/>
    </row>
    <row r="57" spans="2:19" ht="15" customHeight="1">
      <c r="B57" s="254" t="s">
        <v>953</v>
      </c>
      <c r="C57" s="186">
        <f>Inputs!C57</f>
        <v>24</v>
      </c>
      <c r="D57" s="186">
        <f t="shared" ref="D57:R57" si="26">C57</f>
        <v>24</v>
      </c>
      <c r="E57" s="186">
        <f t="shared" si="26"/>
        <v>24</v>
      </c>
      <c r="F57" s="186">
        <f t="shared" si="26"/>
        <v>24</v>
      </c>
      <c r="G57" s="186">
        <f t="shared" si="26"/>
        <v>24</v>
      </c>
      <c r="H57" s="186">
        <f t="shared" si="26"/>
        <v>24</v>
      </c>
      <c r="I57" s="186">
        <f t="shared" si="26"/>
        <v>24</v>
      </c>
      <c r="J57" s="186">
        <f t="shared" si="26"/>
        <v>24</v>
      </c>
      <c r="K57" s="186">
        <f t="shared" si="26"/>
        <v>24</v>
      </c>
      <c r="L57" s="186">
        <f t="shared" si="26"/>
        <v>24</v>
      </c>
      <c r="M57" s="186">
        <f t="shared" si="26"/>
        <v>24</v>
      </c>
      <c r="N57" s="186">
        <f t="shared" si="26"/>
        <v>24</v>
      </c>
      <c r="O57" s="186">
        <f t="shared" si="26"/>
        <v>24</v>
      </c>
      <c r="P57" s="186">
        <f t="shared" si="26"/>
        <v>24</v>
      </c>
      <c r="Q57" s="186">
        <f t="shared" si="26"/>
        <v>24</v>
      </c>
      <c r="R57" s="186">
        <f t="shared" si="26"/>
        <v>24</v>
      </c>
      <c r="S57" s="278"/>
    </row>
    <row r="58" spans="2:19" ht="15" customHeight="1">
      <c r="B58" s="254" t="s">
        <v>954</v>
      </c>
      <c r="C58" s="8">
        <f>Inputs!C58</f>
        <v>10.199999999999999</v>
      </c>
      <c r="D58" s="8">
        <f t="shared" ref="D58:R58" si="27">C58</f>
        <v>10.199999999999999</v>
      </c>
      <c r="E58" s="8">
        <f t="shared" si="27"/>
        <v>10.199999999999999</v>
      </c>
      <c r="F58" s="8">
        <f t="shared" si="27"/>
        <v>10.199999999999999</v>
      </c>
      <c r="G58" s="8">
        <f t="shared" si="27"/>
        <v>10.199999999999999</v>
      </c>
      <c r="H58" s="8">
        <f t="shared" si="27"/>
        <v>10.199999999999999</v>
      </c>
      <c r="I58" s="8">
        <f t="shared" si="27"/>
        <v>10.199999999999999</v>
      </c>
      <c r="J58" s="8">
        <f t="shared" si="27"/>
        <v>10.199999999999999</v>
      </c>
      <c r="K58" s="8">
        <f t="shared" si="27"/>
        <v>10.199999999999999</v>
      </c>
      <c r="L58" s="8">
        <f t="shared" si="27"/>
        <v>10.199999999999999</v>
      </c>
      <c r="M58" s="8">
        <f t="shared" si="27"/>
        <v>10.199999999999999</v>
      </c>
      <c r="N58" s="8">
        <f t="shared" si="27"/>
        <v>10.199999999999999</v>
      </c>
      <c r="O58" s="8">
        <f t="shared" si="27"/>
        <v>10.199999999999999</v>
      </c>
      <c r="P58" s="8">
        <f t="shared" si="27"/>
        <v>10.199999999999999</v>
      </c>
      <c r="Q58" s="8">
        <f t="shared" si="27"/>
        <v>10.199999999999999</v>
      </c>
      <c r="R58" s="8">
        <f t="shared" si="27"/>
        <v>10.199999999999999</v>
      </c>
      <c r="S58" s="278"/>
    </row>
    <row r="59" spans="2:19" ht="15" customHeight="1">
      <c r="B59" s="254" t="s">
        <v>955</v>
      </c>
      <c r="C59" s="6">
        <f>Inputs!C59</f>
        <v>-2.3596035865974516E-2</v>
      </c>
      <c r="D59" s="6">
        <f t="shared" ref="D59:R59" si="28">C59</f>
        <v>-2.3596035865974516E-2</v>
      </c>
      <c r="E59" s="6">
        <f t="shared" si="28"/>
        <v>-2.3596035865974516E-2</v>
      </c>
      <c r="F59" s="6">
        <f t="shared" si="28"/>
        <v>-2.3596035865974516E-2</v>
      </c>
      <c r="G59" s="6">
        <f t="shared" si="28"/>
        <v>-2.3596035865974516E-2</v>
      </c>
      <c r="H59" s="6">
        <f t="shared" si="28"/>
        <v>-2.3596035865974516E-2</v>
      </c>
      <c r="I59" s="6">
        <f t="shared" si="28"/>
        <v>-2.3596035865974516E-2</v>
      </c>
      <c r="J59" s="6">
        <f t="shared" si="28"/>
        <v>-2.3596035865974516E-2</v>
      </c>
      <c r="K59" s="6">
        <f t="shared" si="28"/>
        <v>-2.3596035865974516E-2</v>
      </c>
      <c r="L59" s="6">
        <f t="shared" si="28"/>
        <v>-2.3596035865974516E-2</v>
      </c>
      <c r="M59" s="6">
        <f t="shared" si="28"/>
        <v>-2.3596035865974516E-2</v>
      </c>
      <c r="N59" s="6">
        <f t="shared" si="28"/>
        <v>-2.3596035865974516E-2</v>
      </c>
      <c r="O59" s="6">
        <f t="shared" si="28"/>
        <v>-2.3596035865974516E-2</v>
      </c>
      <c r="P59" s="6">
        <f t="shared" si="28"/>
        <v>-2.3596035865974516E-2</v>
      </c>
      <c r="Q59" s="6">
        <f t="shared" si="28"/>
        <v>-2.3596035865974516E-2</v>
      </c>
      <c r="R59" s="6">
        <f t="shared" si="28"/>
        <v>-2.3596035865974516E-2</v>
      </c>
      <c r="S59" s="278"/>
    </row>
    <row r="60" spans="2:19" ht="15" customHeight="1">
      <c r="B60" s="254" t="s">
        <v>956</v>
      </c>
      <c r="C60" s="128">
        <f>Inputs!C60</f>
        <v>25</v>
      </c>
      <c r="D60" s="128">
        <f t="shared" ref="D60:R60" si="29">C60</f>
        <v>25</v>
      </c>
      <c r="E60" s="128">
        <f t="shared" si="29"/>
        <v>25</v>
      </c>
      <c r="F60" s="128">
        <f t="shared" si="29"/>
        <v>25</v>
      </c>
      <c r="G60" s="128">
        <f t="shared" si="29"/>
        <v>25</v>
      </c>
      <c r="H60" s="128">
        <f t="shared" si="29"/>
        <v>25</v>
      </c>
      <c r="I60" s="128">
        <f t="shared" si="29"/>
        <v>25</v>
      </c>
      <c r="J60" s="128">
        <f t="shared" si="29"/>
        <v>25</v>
      </c>
      <c r="K60" s="128">
        <f t="shared" si="29"/>
        <v>25</v>
      </c>
      <c r="L60" s="128">
        <f t="shared" si="29"/>
        <v>25</v>
      </c>
      <c r="M60" s="128">
        <f t="shared" si="29"/>
        <v>25</v>
      </c>
      <c r="N60" s="128">
        <f t="shared" si="29"/>
        <v>25</v>
      </c>
      <c r="O60" s="128">
        <f t="shared" si="29"/>
        <v>25</v>
      </c>
      <c r="P60" s="128">
        <f t="shared" si="29"/>
        <v>25</v>
      </c>
      <c r="Q60" s="128">
        <f t="shared" si="29"/>
        <v>25</v>
      </c>
      <c r="R60" s="128">
        <f t="shared" si="29"/>
        <v>25</v>
      </c>
      <c r="S60" s="278"/>
    </row>
    <row r="61" spans="2:19" ht="15" customHeight="1">
      <c r="B61" s="254" t="s">
        <v>957</v>
      </c>
      <c r="C61" s="191">
        <f>Inputs!C61</f>
        <v>10.199999999999999</v>
      </c>
      <c r="D61" s="191">
        <f t="shared" ref="D61:R61" si="30">C61</f>
        <v>10.199999999999999</v>
      </c>
      <c r="E61" s="191">
        <f t="shared" si="30"/>
        <v>10.199999999999999</v>
      </c>
      <c r="F61" s="191">
        <f t="shared" si="30"/>
        <v>10.199999999999999</v>
      </c>
      <c r="G61" s="191">
        <f t="shared" si="30"/>
        <v>10.199999999999999</v>
      </c>
      <c r="H61" s="191">
        <f t="shared" si="30"/>
        <v>10.199999999999999</v>
      </c>
      <c r="I61" s="191">
        <f t="shared" si="30"/>
        <v>10.199999999999999</v>
      </c>
      <c r="J61" s="191">
        <f t="shared" si="30"/>
        <v>10.199999999999999</v>
      </c>
      <c r="K61" s="191">
        <f t="shared" si="30"/>
        <v>10.199999999999999</v>
      </c>
      <c r="L61" s="191">
        <f t="shared" si="30"/>
        <v>10.199999999999999</v>
      </c>
      <c r="M61" s="191">
        <f t="shared" si="30"/>
        <v>10.199999999999999</v>
      </c>
      <c r="N61" s="191">
        <f t="shared" si="30"/>
        <v>10.199999999999999</v>
      </c>
      <c r="O61" s="191">
        <f t="shared" si="30"/>
        <v>10.199999999999999</v>
      </c>
      <c r="P61" s="191">
        <f t="shared" si="30"/>
        <v>10.199999999999999</v>
      </c>
      <c r="Q61" s="191">
        <f t="shared" si="30"/>
        <v>10.199999999999999</v>
      </c>
      <c r="R61" s="191">
        <f t="shared" si="30"/>
        <v>10.199999999999999</v>
      </c>
      <c r="S61" s="278"/>
    </row>
    <row r="62" spans="2:19" ht="15" customHeight="1">
      <c r="B62" s="254" t="s">
        <v>958</v>
      </c>
      <c r="C62" s="187">
        <f>Inputs!C62</f>
        <v>-2.3596035865974516E-2</v>
      </c>
      <c r="D62" s="187">
        <f t="shared" ref="D62:R62" si="31">C62</f>
        <v>-2.3596035865974516E-2</v>
      </c>
      <c r="E62" s="187">
        <f t="shared" si="31"/>
        <v>-2.3596035865974516E-2</v>
      </c>
      <c r="F62" s="187">
        <f t="shared" si="31"/>
        <v>-2.3596035865974516E-2</v>
      </c>
      <c r="G62" s="187">
        <f t="shared" si="31"/>
        <v>-2.3596035865974516E-2</v>
      </c>
      <c r="H62" s="187">
        <f t="shared" si="31"/>
        <v>-2.3596035865974516E-2</v>
      </c>
      <c r="I62" s="187">
        <f t="shared" si="31"/>
        <v>-2.3596035865974516E-2</v>
      </c>
      <c r="J62" s="187">
        <f t="shared" si="31"/>
        <v>-2.3596035865974516E-2</v>
      </c>
      <c r="K62" s="187">
        <f t="shared" si="31"/>
        <v>-2.3596035865974516E-2</v>
      </c>
      <c r="L62" s="187">
        <f t="shared" si="31"/>
        <v>-2.3596035865974516E-2</v>
      </c>
      <c r="M62" s="187">
        <f t="shared" si="31"/>
        <v>-2.3596035865974516E-2</v>
      </c>
      <c r="N62" s="187">
        <f t="shared" si="31"/>
        <v>-2.3596035865974516E-2</v>
      </c>
      <c r="O62" s="187">
        <f t="shared" si="31"/>
        <v>-2.3596035865974516E-2</v>
      </c>
      <c r="P62" s="187">
        <f t="shared" si="31"/>
        <v>-2.3596035865974516E-2</v>
      </c>
      <c r="Q62" s="187">
        <f t="shared" si="31"/>
        <v>-2.3596035865974516E-2</v>
      </c>
      <c r="R62" s="187">
        <f t="shared" si="31"/>
        <v>-2.3596035865974516E-2</v>
      </c>
    </row>
    <row r="63" spans="2:19" ht="15" customHeight="1">
      <c r="B63" s="254" t="s">
        <v>959</v>
      </c>
      <c r="C63" s="186">
        <f>Inputs!C63</f>
        <v>26</v>
      </c>
      <c r="D63" s="186">
        <f t="shared" ref="D63:R72" si="32">C63</f>
        <v>26</v>
      </c>
      <c r="E63" s="186">
        <f t="shared" si="32"/>
        <v>26</v>
      </c>
      <c r="F63" s="186">
        <f t="shared" si="32"/>
        <v>26</v>
      </c>
      <c r="G63" s="186">
        <f t="shared" si="32"/>
        <v>26</v>
      </c>
      <c r="H63" s="186">
        <f t="shared" si="32"/>
        <v>26</v>
      </c>
      <c r="I63" s="186">
        <f t="shared" si="32"/>
        <v>26</v>
      </c>
      <c r="J63" s="186">
        <f t="shared" si="32"/>
        <v>26</v>
      </c>
      <c r="K63" s="186">
        <f t="shared" si="32"/>
        <v>26</v>
      </c>
      <c r="L63" s="186">
        <f t="shared" si="32"/>
        <v>26</v>
      </c>
      <c r="M63" s="186">
        <f t="shared" si="32"/>
        <v>26</v>
      </c>
      <c r="N63" s="186">
        <f t="shared" si="32"/>
        <v>26</v>
      </c>
      <c r="O63" s="186">
        <f t="shared" si="32"/>
        <v>26</v>
      </c>
      <c r="P63" s="186">
        <f t="shared" si="32"/>
        <v>26</v>
      </c>
      <c r="Q63" s="186">
        <f t="shared" si="32"/>
        <v>26</v>
      </c>
      <c r="R63" s="186">
        <f t="shared" si="32"/>
        <v>26</v>
      </c>
    </row>
    <row r="64" spans="2:19" ht="15" customHeight="1">
      <c r="B64" s="254" t="s">
        <v>960</v>
      </c>
      <c r="C64" s="8">
        <f>Inputs!C64</f>
        <v>0</v>
      </c>
      <c r="D64" s="8">
        <f t="shared" si="32"/>
        <v>0</v>
      </c>
      <c r="E64" s="8">
        <f t="shared" si="32"/>
        <v>0</v>
      </c>
      <c r="F64" s="8">
        <f t="shared" si="32"/>
        <v>0</v>
      </c>
      <c r="G64" s="8">
        <f t="shared" si="32"/>
        <v>0</v>
      </c>
      <c r="H64" s="8">
        <f t="shared" si="32"/>
        <v>0</v>
      </c>
      <c r="I64" s="8">
        <f t="shared" si="32"/>
        <v>0</v>
      </c>
      <c r="J64" s="8">
        <f t="shared" si="32"/>
        <v>0</v>
      </c>
      <c r="K64" s="8">
        <f t="shared" si="32"/>
        <v>0</v>
      </c>
      <c r="L64" s="8">
        <f t="shared" si="32"/>
        <v>0</v>
      </c>
      <c r="M64" s="8">
        <f t="shared" si="32"/>
        <v>0</v>
      </c>
      <c r="N64" s="8">
        <f t="shared" si="32"/>
        <v>0</v>
      </c>
      <c r="O64" s="8">
        <f t="shared" si="32"/>
        <v>0</v>
      </c>
      <c r="P64" s="8">
        <f t="shared" si="32"/>
        <v>0</v>
      </c>
      <c r="Q64" s="8">
        <f t="shared" si="32"/>
        <v>0</v>
      </c>
      <c r="R64" s="8">
        <f t="shared" si="32"/>
        <v>0</v>
      </c>
    </row>
    <row r="65" spans="1:19" ht="15" customHeight="1">
      <c r="B65" s="254" t="s">
        <v>961</v>
      </c>
      <c r="C65" s="6">
        <f>Inputs!C65</f>
        <v>0</v>
      </c>
      <c r="D65" s="6">
        <f t="shared" si="32"/>
        <v>0</v>
      </c>
      <c r="E65" s="6">
        <f t="shared" si="32"/>
        <v>0</v>
      </c>
      <c r="F65" s="6">
        <f t="shared" si="32"/>
        <v>0</v>
      </c>
      <c r="G65" s="6">
        <f t="shared" si="32"/>
        <v>0</v>
      </c>
      <c r="H65" s="6">
        <f t="shared" si="32"/>
        <v>0</v>
      </c>
      <c r="I65" s="6">
        <f t="shared" si="32"/>
        <v>0</v>
      </c>
      <c r="J65" s="6">
        <f t="shared" si="32"/>
        <v>0</v>
      </c>
      <c r="K65" s="6">
        <f t="shared" si="32"/>
        <v>0</v>
      </c>
      <c r="L65" s="6">
        <f t="shared" si="32"/>
        <v>0</v>
      </c>
      <c r="M65" s="6">
        <f t="shared" si="32"/>
        <v>0</v>
      </c>
      <c r="N65" s="6">
        <f t="shared" si="32"/>
        <v>0</v>
      </c>
      <c r="O65" s="6">
        <f t="shared" si="32"/>
        <v>0</v>
      </c>
      <c r="P65" s="6">
        <f t="shared" si="32"/>
        <v>0</v>
      </c>
      <c r="Q65" s="6">
        <f t="shared" si="32"/>
        <v>0</v>
      </c>
      <c r="R65" s="6">
        <f t="shared" si="32"/>
        <v>0</v>
      </c>
    </row>
    <row r="66" spans="1:19" ht="15" customHeight="1">
      <c r="B66" s="254" t="s">
        <v>962</v>
      </c>
      <c r="C66" s="128">
        <f>Inputs!C66</f>
        <v>27</v>
      </c>
      <c r="D66" s="128">
        <f t="shared" si="32"/>
        <v>27</v>
      </c>
      <c r="E66" s="128">
        <f t="shared" si="32"/>
        <v>27</v>
      </c>
      <c r="F66" s="128">
        <f t="shared" si="32"/>
        <v>27</v>
      </c>
      <c r="G66" s="128">
        <f t="shared" si="32"/>
        <v>27</v>
      </c>
      <c r="H66" s="128">
        <f t="shared" si="32"/>
        <v>27</v>
      </c>
      <c r="I66" s="128">
        <f t="shared" si="32"/>
        <v>27</v>
      </c>
      <c r="J66" s="128">
        <f t="shared" si="32"/>
        <v>27</v>
      </c>
      <c r="K66" s="128">
        <f t="shared" si="32"/>
        <v>27</v>
      </c>
      <c r="L66" s="128">
        <f t="shared" si="32"/>
        <v>27</v>
      </c>
      <c r="M66" s="128">
        <f t="shared" si="32"/>
        <v>27</v>
      </c>
      <c r="N66" s="128">
        <f t="shared" si="32"/>
        <v>27</v>
      </c>
      <c r="O66" s="128">
        <f t="shared" si="32"/>
        <v>27</v>
      </c>
      <c r="P66" s="128">
        <f t="shared" si="32"/>
        <v>27</v>
      </c>
      <c r="Q66" s="128">
        <f t="shared" si="32"/>
        <v>27</v>
      </c>
      <c r="R66" s="128">
        <f t="shared" si="32"/>
        <v>27</v>
      </c>
    </row>
    <row r="67" spans="1:19" s="123" customFormat="1" ht="15" customHeight="1">
      <c r="A67" s="254"/>
      <c r="B67" s="254" t="s">
        <v>963</v>
      </c>
      <c r="C67" s="219">
        <v>0</v>
      </c>
      <c r="D67" s="219">
        <f>C67</f>
        <v>0</v>
      </c>
      <c r="E67" s="219">
        <f t="shared" si="32"/>
        <v>0</v>
      </c>
      <c r="F67" s="219">
        <f t="shared" si="32"/>
        <v>0</v>
      </c>
      <c r="G67" s="219">
        <f t="shared" si="32"/>
        <v>0</v>
      </c>
      <c r="H67" s="219">
        <f t="shared" si="32"/>
        <v>0</v>
      </c>
      <c r="I67" s="219">
        <f t="shared" si="32"/>
        <v>0</v>
      </c>
      <c r="J67" s="219">
        <f t="shared" si="32"/>
        <v>0</v>
      </c>
      <c r="K67" s="219">
        <f t="shared" si="32"/>
        <v>0</v>
      </c>
      <c r="L67" s="219">
        <f t="shared" si="32"/>
        <v>0</v>
      </c>
      <c r="M67" s="219">
        <f t="shared" si="32"/>
        <v>0</v>
      </c>
      <c r="N67" s="219">
        <f t="shared" si="32"/>
        <v>0</v>
      </c>
      <c r="O67" s="219">
        <f t="shared" si="32"/>
        <v>0</v>
      </c>
      <c r="P67" s="219">
        <f t="shared" si="32"/>
        <v>0</v>
      </c>
      <c r="Q67" s="219">
        <f t="shared" si="32"/>
        <v>0</v>
      </c>
      <c r="R67" s="219">
        <f t="shared" si="32"/>
        <v>0</v>
      </c>
      <c r="S67" s="62"/>
    </row>
    <row r="68" spans="1:19" s="123" customFormat="1" ht="15" customHeight="1">
      <c r="A68" s="254"/>
      <c r="B68" s="254" t="s">
        <v>964</v>
      </c>
      <c r="C68" s="262">
        <f>-1*C50</f>
        <v>0</v>
      </c>
      <c r="D68" s="262">
        <f t="shared" ref="D68" si="33">-1*D50</f>
        <v>0</v>
      </c>
      <c r="E68" s="262">
        <f t="shared" ref="E68:R68" si="34">-1*E50</f>
        <v>0</v>
      </c>
      <c r="F68" s="262">
        <f t="shared" si="34"/>
        <v>0</v>
      </c>
      <c r="G68" s="262">
        <f t="shared" si="34"/>
        <v>0</v>
      </c>
      <c r="H68" s="262">
        <f t="shared" si="34"/>
        <v>0</v>
      </c>
      <c r="I68" s="262">
        <f t="shared" si="34"/>
        <v>0</v>
      </c>
      <c r="J68" s="262">
        <f t="shared" si="34"/>
        <v>0</v>
      </c>
      <c r="K68" s="262">
        <f t="shared" si="34"/>
        <v>0</v>
      </c>
      <c r="L68" s="262">
        <f t="shared" si="34"/>
        <v>0</v>
      </c>
      <c r="M68" s="262">
        <f t="shared" si="34"/>
        <v>0</v>
      </c>
      <c r="N68" s="262">
        <f t="shared" si="34"/>
        <v>0</v>
      </c>
      <c r="O68" s="262">
        <f t="shared" si="34"/>
        <v>0</v>
      </c>
      <c r="P68" s="262">
        <f t="shared" si="34"/>
        <v>0</v>
      </c>
      <c r="Q68" s="262">
        <f t="shared" si="34"/>
        <v>0</v>
      </c>
      <c r="R68" s="262">
        <f t="shared" si="34"/>
        <v>0</v>
      </c>
      <c r="S68" s="62"/>
    </row>
    <row r="69" spans="1:19" s="123" customFormat="1" ht="15" customHeight="1">
      <c r="A69" s="254"/>
      <c r="B69" s="254" t="s">
        <v>965</v>
      </c>
      <c r="C69" s="186">
        <f>Inputs!C69</f>
        <v>1</v>
      </c>
      <c r="D69" s="186">
        <f>C69</f>
        <v>1</v>
      </c>
      <c r="E69" s="186">
        <f t="shared" ref="E69:R69" si="35">D69</f>
        <v>1</v>
      </c>
      <c r="F69" s="186">
        <f t="shared" si="35"/>
        <v>1</v>
      </c>
      <c r="G69" s="186">
        <f t="shared" si="35"/>
        <v>1</v>
      </c>
      <c r="H69" s="186">
        <f t="shared" si="35"/>
        <v>1</v>
      </c>
      <c r="I69" s="186">
        <f t="shared" si="35"/>
        <v>1</v>
      </c>
      <c r="J69" s="186">
        <f t="shared" si="35"/>
        <v>1</v>
      </c>
      <c r="K69" s="186">
        <f t="shared" si="35"/>
        <v>1</v>
      </c>
      <c r="L69" s="186">
        <f t="shared" si="35"/>
        <v>1</v>
      </c>
      <c r="M69" s="186">
        <f t="shared" si="35"/>
        <v>1</v>
      </c>
      <c r="N69" s="186">
        <f t="shared" si="35"/>
        <v>1</v>
      </c>
      <c r="O69" s="186">
        <f t="shared" si="35"/>
        <v>1</v>
      </c>
      <c r="P69" s="186">
        <f t="shared" si="35"/>
        <v>1</v>
      </c>
      <c r="Q69" s="186">
        <f t="shared" si="35"/>
        <v>1</v>
      </c>
      <c r="R69" s="186">
        <f t="shared" si="35"/>
        <v>1</v>
      </c>
      <c r="S69" s="62"/>
    </row>
    <row r="70" spans="1:19" s="123" customFormat="1" ht="15" customHeight="1">
      <c r="A70" s="254"/>
      <c r="B70" s="254" t="s">
        <v>966</v>
      </c>
      <c r="C70" s="191">
        <f>Inputs!C70</f>
        <v>0</v>
      </c>
      <c r="D70" s="191">
        <f t="shared" si="32"/>
        <v>0</v>
      </c>
      <c r="E70" s="191">
        <f t="shared" ref="E70:Q70" si="36">D70</f>
        <v>0</v>
      </c>
      <c r="F70" s="191">
        <f t="shared" si="36"/>
        <v>0</v>
      </c>
      <c r="G70" s="191">
        <f t="shared" si="36"/>
        <v>0</v>
      </c>
      <c r="H70" s="191">
        <f t="shared" si="36"/>
        <v>0</v>
      </c>
      <c r="I70" s="191">
        <f t="shared" si="36"/>
        <v>0</v>
      </c>
      <c r="J70" s="191">
        <f t="shared" si="36"/>
        <v>0</v>
      </c>
      <c r="K70" s="191">
        <f t="shared" si="36"/>
        <v>0</v>
      </c>
      <c r="L70" s="191">
        <f t="shared" si="36"/>
        <v>0</v>
      </c>
      <c r="M70" s="191">
        <f t="shared" si="36"/>
        <v>0</v>
      </c>
      <c r="N70" s="191">
        <f t="shared" si="36"/>
        <v>0</v>
      </c>
      <c r="O70" s="191">
        <f t="shared" si="36"/>
        <v>0</v>
      </c>
      <c r="P70" s="191">
        <f t="shared" si="36"/>
        <v>0</v>
      </c>
      <c r="Q70" s="191">
        <f t="shared" si="36"/>
        <v>0</v>
      </c>
      <c r="R70" s="191">
        <f t="shared" ref="R70:R72" si="37">Q70</f>
        <v>0</v>
      </c>
      <c r="S70" s="62"/>
    </row>
    <row r="71" spans="1:19" s="123" customFormat="1" ht="15" customHeight="1">
      <c r="A71" s="254"/>
      <c r="B71" s="254" t="s">
        <v>967</v>
      </c>
      <c r="C71" s="187">
        <f>Inputs!C71</f>
        <v>0</v>
      </c>
      <c r="D71" s="187">
        <f t="shared" si="32"/>
        <v>0</v>
      </c>
      <c r="E71" s="187">
        <f t="shared" si="32"/>
        <v>0</v>
      </c>
      <c r="F71" s="187">
        <f t="shared" si="32"/>
        <v>0</v>
      </c>
      <c r="G71" s="187">
        <f t="shared" si="32"/>
        <v>0</v>
      </c>
      <c r="H71" s="187">
        <f t="shared" si="32"/>
        <v>0</v>
      </c>
      <c r="I71" s="187">
        <f t="shared" si="32"/>
        <v>0</v>
      </c>
      <c r="J71" s="187">
        <f t="shared" si="32"/>
        <v>0</v>
      </c>
      <c r="K71" s="187">
        <f t="shared" si="32"/>
        <v>0</v>
      </c>
      <c r="L71" s="187">
        <f t="shared" si="32"/>
        <v>0</v>
      </c>
      <c r="M71" s="187">
        <f t="shared" si="32"/>
        <v>0</v>
      </c>
      <c r="N71" s="187">
        <f t="shared" si="32"/>
        <v>0</v>
      </c>
      <c r="O71" s="187">
        <f t="shared" si="32"/>
        <v>0</v>
      </c>
      <c r="P71" s="187">
        <f t="shared" si="32"/>
        <v>0</v>
      </c>
      <c r="Q71" s="187">
        <f t="shared" si="32"/>
        <v>0</v>
      </c>
      <c r="R71" s="187">
        <f t="shared" si="37"/>
        <v>0</v>
      </c>
      <c r="S71" s="62"/>
    </row>
    <row r="72" spans="1:19" s="123" customFormat="1" ht="15" customHeight="1">
      <c r="A72" s="254"/>
      <c r="B72" s="254" t="s">
        <v>968</v>
      </c>
      <c r="C72" s="186">
        <f>Inputs!C72</f>
        <v>0</v>
      </c>
      <c r="D72" s="186">
        <f t="shared" si="32"/>
        <v>0</v>
      </c>
      <c r="E72" s="186">
        <f t="shared" si="32"/>
        <v>0</v>
      </c>
      <c r="F72" s="186">
        <f t="shared" si="32"/>
        <v>0</v>
      </c>
      <c r="G72" s="186">
        <f t="shared" si="32"/>
        <v>0</v>
      </c>
      <c r="H72" s="186">
        <f t="shared" si="32"/>
        <v>0</v>
      </c>
      <c r="I72" s="186">
        <f t="shared" si="32"/>
        <v>0</v>
      </c>
      <c r="J72" s="186">
        <f t="shared" si="32"/>
        <v>0</v>
      </c>
      <c r="K72" s="186">
        <f t="shared" si="32"/>
        <v>0</v>
      </c>
      <c r="L72" s="186">
        <f t="shared" si="32"/>
        <v>0</v>
      </c>
      <c r="M72" s="186">
        <f t="shared" si="32"/>
        <v>0</v>
      </c>
      <c r="N72" s="186">
        <f t="shared" si="32"/>
        <v>0</v>
      </c>
      <c r="O72" s="186">
        <f t="shared" si="32"/>
        <v>0</v>
      </c>
      <c r="P72" s="186">
        <f t="shared" si="32"/>
        <v>0</v>
      </c>
      <c r="Q72" s="186">
        <f t="shared" si="32"/>
        <v>0</v>
      </c>
      <c r="R72" s="186">
        <f t="shared" si="37"/>
        <v>0</v>
      </c>
      <c r="S72" s="62"/>
    </row>
    <row r="73" spans="1:19" ht="15" customHeight="1">
      <c r="A73" s="254" t="s">
        <v>57</v>
      </c>
      <c r="B73" s="254" t="s">
        <v>392</v>
      </c>
      <c r="C73" s="153">
        <f>Inputs!C73</f>
        <v>25.082999999999998</v>
      </c>
      <c r="D73" s="153">
        <f t="shared" ref="D73:R73" si="38">C73</f>
        <v>25.082999999999998</v>
      </c>
      <c r="E73" s="153">
        <f t="shared" si="38"/>
        <v>25.082999999999998</v>
      </c>
      <c r="F73" s="153">
        <f t="shared" si="38"/>
        <v>25.082999999999998</v>
      </c>
      <c r="G73" s="153">
        <f t="shared" si="38"/>
        <v>25.082999999999998</v>
      </c>
      <c r="H73" s="153">
        <f t="shared" si="38"/>
        <v>25.082999999999998</v>
      </c>
      <c r="I73" s="153">
        <f t="shared" si="38"/>
        <v>25.082999999999998</v>
      </c>
      <c r="J73" s="153">
        <f t="shared" si="38"/>
        <v>25.082999999999998</v>
      </c>
      <c r="K73" s="153">
        <f t="shared" si="38"/>
        <v>25.082999999999998</v>
      </c>
      <c r="L73" s="153">
        <f t="shared" si="38"/>
        <v>25.082999999999998</v>
      </c>
      <c r="M73" s="153">
        <f t="shared" si="38"/>
        <v>25.082999999999998</v>
      </c>
      <c r="N73" s="153">
        <f t="shared" si="38"/>
        <v>25.082999999999998</v>
      </c>
      <c r="O73" s="153">
        <f t="shared" si="38"/>
        <v>25.082999999999998</v>
      </c>
      <c r="P73" s="153">
        <f t="shared" si="38"/>
        <v>25.082999999999998</v>
      </c>
      <c r="Q73" s="153">
        <f t="shared" si="38"/>
        <v>25.082999999999998</v>
      </c>
      <c r="R73" s="153">
        <f t="shared" si="38"/>
        <v>25.082999999999998</v>
      </c>
    </row>
    <row r="74" spans="1:19" ht="15" customHeight="1">
      <c r="B74" s="254" t="s">
        <v>393</v>
      </c>
      <c r="C74" s="153">
        <f>Inputs!C74</f>
        <v>12.541499999999999</v>
      </c>
      <c r="D74" s="153">
        <f t="shared" ref="D74:R74" si="39">C74</f>
        <v>12.541499999999999</v>
      </c>
      <c r="E74" s="153">
        <f t="shared" si="39"/>
        <v>12.541499999999999</v>
      </c>
      <c r="F74" s="153">
        <f t="shared" si="39"/>
        <v>12.541499999999999</v>
      </c>
      <c r="G74" s="153">
        <f t="shared" si="39"/>
        <v>12.541499999999999</v>
      </c>
      <c r="H74" s="153">
        <f t="shared" si="39"/>
        <v>12.541499999999999</v>
      </c>
      <c r="I74" s="153">
        <f t="shared" si="39"/>
        <v>12.541499999999999</v>
      </c>
      <c r="J74" s="153">
        <f t="shared" si="39"/>
        <v>12.541499999999999</v>
      </c>
      <c r="K74" s="153">
        <f t="shared" si="39"/>
        <v>12.541499999999999</v>
      </c>
      <c r="L74" s="153">
        <f t="shared" si="39"/>
        <v>12.541499999999999</v>
      </c>
      <c r="M74" s="153">
        <f t="shared" si="39"/>
        <v>12.541499999999999</v>
      </c>
      <c r="N74" s="153">
        <f t="shared" si="39"/>
        <v>12.541499999999999</v>
      </c>
      <c r="O74" s="153">
        <f t="shared" si="39"/>
        <v>12.541499999999999</v>
      </c>
      <c r="P74" s="153">
        <f t="shared" si="39"/>
        <v>12.541499999999999</v>
      </c>
      <c r="Q74" s="153">
        <f t="shared" si="39"/>
        <v>12.541499999999999</v>
      </c>
      <c r="R74" s="153">
        <f t="shared" si="39"/>
        <v>12.541499999999999</v>
      </c>
    </row>
    <row r="75" spans="1:19" ht="15" customHeight="1">
      <c r="B75" s="254" t="s">
        <v>394</v>
      </c>
      <c r="C75" s="153">
        <f>Inputs!C75</f>
        <v>12.541499999999999</v>
      </c>
      <c r="D75" s="153">
        <f t="shared" ref="D75:R91" si="40">C75</f>
        <v>12.541499999999999</v>
      </c>
      <c r="E75" s="153">
        <f t="shared" si="40"/>
        <v>12.541499999999999</v>
      </c>
      <c r="F75" s="153">
        <f t="shared" si="40"/>
        <v>12.541499999999999</v>
      </c>
      <c r="G75" s="153">
        <f t="shared" si="40"/>
        <v>12.541499999999999</v>
      </c>
      <c r="H75" s="153">
        <f t="shared" si="40"/>
        <v>12.541499999999999</v>
      </c>
      <c r="I75" s="153">
        <f t="shared" si="40"/>
        <v>12.541499999999999</v>
      </c>
      <c r="J75" s="153">
        <f t="shared" si="40"/>
        <v>12.541499999999999</v>
      </c>
      <c r="K75" s="153">
        <f t="shared" si="40"/>
        <v>12.541499999999999</v>
      </c>
      <c r="L75" s="153">
        <f t="shared" si="40"/>
        <v>12.541499999999999</v>
      </c>
      <c r="M75" s="153">
        <f t="shared" si="40"/>
        <v>12.541499999999999</v>
      </c>
      <c r="N75" s="153">
        <f t="shared" si="40"/>
        <v>12.541499999999999</v>
      </c>
      <c r="O75" s="153">
        <f t="shared" si="40"/>
        <v>12.541499999999999</v>
      </c>
      <c r="P75" s="153">
        <f t="shared" si="40"/>
        <v>12.541499999999999</v>
      </c>
      <c r="Q75" s="153">
        <f t="shared" si="40"/>
        <v>12.541499999999999</v>
      </c>
      <c r="R75" s="153">
        <f t="shared" si="40"/>
        <v>12.541499999999999</v>
      </c>
    </row>
    <row r="76" spans="1:19" ht="15" customHeight="1">
      <c r="B76" s="254" t="s">
        <v>969</v>
      </c>
      <c r="C76" s="353">
        <f>UA!AC8</f>
        <v>0.25</v>
      </c>
      <c r="D76" s="353">
        <f>UA!AD8</f>
        <v>0.25</v>
      </c>
      <c r="E76" s="353">
        <f>UA!AE8</f>
        <v>0.25</v>
      </c>
      <c r="F76" s="353">
        <f>UA!AF8</f>
        <v>0.25</v>
      </c>
      <c r="G76" s="353">
        <f>UA!AG8</f>
        <v>0.25</v>
      </c>
      <c r="H76" s="353">
        <f>UA!AH8</f>
        <v>0.25</v>
      </c>
      <c r="I76" s="353">
        <f>UA!AI8</f>
        <v>0.25</v>
      </c>
      <c r="J76" s="353">
        <f>UA!AJ8</f>
        <v>0.25</v>
      </c>
      <c r="K76" s="353">
        <f>UA!AK8</f>
        <v>0.25</v>
      </c>
      <c r="L76" s="353">
        <f>UA!AL8</f>
        <v>0.25</v>
      </c>
      <c r="M76" s="353">
        <f>UA!AM8</f>
        <v>0.25</v>
      </c>
      <c r="N76" s="353">
        <f>UA!AN8</f>
        <v>0.25</v>
      </c>
      <c r="O76" s="353">
        <f>UA!AO8</f>
        <v>0.25</v>
      </c>
      <c r="P76" s="353">
        <f>UA!AP8</f>
        <v>0.25</v>
      </c>
      <c r="Q76" s="353">
        <f>UA!AQ8</f>
        <v>0.25</v>
      </c>
      <c r="R76" s="353">
        <f>UA!AR8</f>
        <v>0.25</v>
      </c>
    </row>
    <row r="77" spans="1:19" ht="15" customHeight="1">
      <c r="B77" s="254" t="s">
        <v>970</v>
      </c>
      <c r="C77" s="354">
        <f>UA!AC18</f>
        <v>3.8025553171731401</v>
      </c>
      <c r="D77" s="354">
        <f>UA!AD18</f>
        <v>3.8025553171731401</v>
      </c>
      <c r="E77" s="354">
        <f>UA!AE18</f>
        <v>3.3022190912293063</v>
      </c>
      <c r="F77" s="354">
        <f>UA!AF18</f>
        <v>3.8025553171731401</v>
      </c>
      <c r="G77" s="354">
        <f>UA!AG18</f>
        <v>3.3022190912293063</v>
      </c>
      <c r="H77" s="354">
        <f>UA!AH18</f>
        <v>3.3022190912293063</v>
      </c>
      <c r="I77" s="354">
        <f>UA!AI18</f>
        <v>3.3022190912293063</v>
      </c>
      <c r="J77" s="354">
        <f>UA!AJ18</f>
        <v>3.8025553171731401</v>
      </c>
      <c r="K77" s="354">
        <f>UA!AK18</f>
        <v>3.8025553171731401</v>
      </c>
      <c r="L77" s="354">
        <f>UA!AL18</f>
        <v>3.8025553171731401</v>
      </c>
      <c r="M77" s="354">
        <f>UA!AM18</f>
        <v>3.8025553171731401</v>
      </c>
      <c r="N77" s="354">
        <f>UA!AN18</f>
        <v>3.8025553171731401</v>
      </c>
      <c r="O77" s="354">
        <f>UA!AO18</f>
        <v>3.8025553171731401</v>
      </c>
      <c r="P77" s="354">
        <f>UA!AP18</f>
        <v>3.8025553171731401</v>
      </c>
      <c r="Q77" s="354">
        <f>UA!AQ18</f>
        <v>3.8025553171731401</v>
      </c>
      <c r="R77" s="354">
        <f>UA!AR18</f>
        <v>3.8025553171731401</v>
      </c>
    </row>
    <row r="78" spans="1:19" ht="15" customHeight="1">
      <c r="B78" s="254" t="s">
        <v>971</v>
      </c>
      <c r="C78" s="354">
        <f>UA!AC19</f>
        <v>5.6239473598527123</v>
      </c>
      <c r="D78" s="354">
        <f>UA!AD19</f>
        <v>5.6239473598527123</v>
      </c>
      <c r="E78" s="354">
        <f>UA!AE19</f>
        <v>4.5943917791016435</v>
      </c>
      <c r="F78" s="354">
        <f>UA!AF19</f>
        <v>5.6239473598527123</v>
      </c>
      <c r="G78" s="354">
        <f>UA!AG19</f>
        <v>4.5943917791016435</v>
      </c>
      <c r="H78" s="354">
        <f>UA!AH19</f>
        <v>4.5943917791016435</v>
      </c>
      <c r="I78" s="354">
        <f>UA!AI19</f>
        <v>4.5943917791016435</v>
      </c>
      <c r="J78" s="354">
        <f>UA!AJ19</f>
        <v>5.6239473598527123</v>
      </c>
      <c r="K78" s="354">
        <f>UA!AK19</f>
        <v>5.6239473598527123</v>
      </c>
      <c r="L78" s="354">
        <f>UA!AL19</f>
        <v>5.6239473598527123</v>
      </c>
      <c r="M78" s="354">
        <f>UA!AM19</f>
        <v>5.6239473598527123</v>
      </c>
      <c r="N78" s="354">
        <f>UA!AN19</f>
        <v>5.6239473598527123</v>
      </c>
      <c r="O78" s="354">
        <f>UA!AO19</f>
        <v>5.6239473598527123</v>
      </c>
      <c r="P78" s="354">
        <f>UA!AP19</f>
        <v>5.6239473598527123</v>
      </c>
      <c r="Q78" s="354">
        <f>UA!AQ19</f>
        <v>5.6239473598527123</v>
      </c>
      <c r="R78" s="354">
        <f>UA!AR19</f>
        <v>5.6239473598527123</v>
      </c>
    </row>
    <row r="79" spans="1:19" ht="15" customHeight="1">
      <c r="B79" s="254" t="s">
        <v>972</v>
      </c>
      <c r="C79" s="190">
        <f>Inputs!C79</f>
        <v>7.5231481481481474E-5</v>
      </c>
      <c r="D79" s="190">
        <f t="shared" ref="D79:D95" si="41">C79</f>
        <v>7.5231481481481474E-5</v>
      </c>
      <c r="E79" s="190">
        <f t="shared" si="40"/>
        <v>7.5231481481481474E-5</v>
      </c>
      <c r="F79" s="190">
        <f t="shared" si="40"/>
        <v>7.5231481481481474E-5</v>
      </c>
      <c r="G79" s="190">
        <f t="shared" si="40"/>
        <v>7.5231481481481474E-5</v>
      </c>
      <c r="H79" s="190">
        <f t="shared" si="40"/>
        <v>7.5231481481481474E-5</v>
      </c>
      <c r="I79" s="190">
        <f t="shared" si="40"/>
        <v>7.5231481481481474E-5</v>
      </c>
      <c r="J79" s="190">
        <f t="shared" si="40"/>
        <v>7.5231481481481474E-5</v>
      </c>
      <c r="K79" s="190">
        <f t="shared" si="40"/>
        <v>7.5231481481481474E-5</v>
      </c>
      <c r="L79" s="190">
        <f t="shared" si="40"/>
        <v>7.5231481481481474E-5</v>
      </c>
      <c r="M79" s="190">
        <f t="shared" si="40"/>
        <v>7.5231481481481474E-5</v>
      </c>
      <c r="N79" s="190">
        <f t="shared" si="40"/>
        <v>7.5231481481481474E-5</v>
      </c>
      <c r="O79" s="190">
        <f t="shared" si="40"/>
        <v>7.5231481481481474E-5</v>
      </c>
      <c r="P79" s="190">
        <f t="shared" si="40"/>
        <v>7.5231481481481474E-5</v>
      </c>
      <c r="Q79" s="190">
        <f t="shared" si="40"/>
        <v>7.5231481481481474E-5</v>
      </c>
      <c r="R79" s="190">
        <f t="shared" si="40"/>
        <v>7.5231481481481474E-5</v>
      </c>
    </row>
    <row r="80" spans="1:19" ht="15" customHeight="1">
      <c r="B80" s="254" t="s">
        <v>973</v>
      </c>
      <c r="C80" s="8">
        <f>Inputs!C80</f>
        <v>882.80334114888626</v>
      </c>
      <c r="D80" s="8">
        <f t="shared" si="41"/>
        <v>882.80334114888626</v>
      </c>
      <c r="E80" s="8">
        <f t="shared" si="40"/>
        <v>882.80334114888626</v>
      </c>
      <c r="F80" s="8">
        <f t="shared" si="40"/>
        <v>882.80334114888626</v>
      </c>
      <c r="G80" s="8">
        <f t="shared" si="40"/>
        <v>882.80334114888626</v>
      </c>
      <c r="H80" s="8">
        <f t="shared" si="40"/>
        <v>882.80334114888626</v>
      </c>
      <c r="I80" s="8">
        <f t="shared" si="40"/>
        <v>882.80334114888626</v>
      </c>
      <c r="J80" s="8">
        <f t="shared" si="40"/>
        <v>882.80334114888626</v>
      </c>
      <c r="K80" s="8">
        <f t="shared" si="40"/>
        <v>882.80334114888626</v>
      </c>
      <c r="L80" s="8">
        <f t="shared" si="40"/>
        <v>882.80334114888626</v>
      </c>
      <c r="M80" s="8">
        <f t="shared" si="40"/>
        <v>882.80334114888626</v>
      </c>
      <c r="N80" s="8">
        <f t="shared" si="40"/>
        <v>882.80334114888626</v>
      </c>
      <c r="O80" s="8">
        <f t="shared" si="40"/>
        <v>882.80334114888626</v>
      </c>
      <c r="P80" s="8">
        <f t="shared" si="40"/>
        <v>882.80334114888626</v>
      </c>
      <c r="Q80" s="8">
        <f t="shared" si="40"/>
        <v>882.80334114888626</v>
      </c>
      <c r="R80" s="8">
        <f t="shared" si="40"/>
        <v>882.80334114888626</v>
      </c>
    </row>
    <row r="81" spans="1:18" ht="15" customHeight="1">
      <c r="A81" s="254" t="s">
        <v>70</v>
      </c>
      <c r="B81" s="254" t="s">
        <v>974</v>
      </c>
      <c r="C81" s="8">
        <f>Inputs!C81</f>
        <v>171.07534452558892</v>
      </c>
      <c r="D81" s="8">
        <f t="shared" si="41"/>
        <v>171.07534452558892</v>
      </c>
      <c r="E81" s="8">
        <f t="shared" si="40"/>
        <v>171.07534452558892</v>
      </c>
      <c r="F81" s="8">
        <f t="shared" si="40"/>
        <v>171.07534452558892</v>
      </c>
      <c r="G81" s="8">
        <f t="shared" si="40"/>
        <v>171.07534452558892</v>
      </c>
      <c r="H81" s="8">
        <f t="shared" si="40"/>
        <v>171.07534452558892</v>
      </c>
      <c r="I81" s="8">
        <f t="shared" si="40"/>
        <v>171.07534452558892</v>
      </c>
      <c r="J81" s="8">
        <f t="shared" si="40"/>
        <v>171.07534452558892</v>
      </c>
      <c r="K81" s="8">
        <f t="shared" si="40"/>
        <v>171.07534452558892</v>
      </c>
      <c r="L81" s="8">
        <f t="shared" si="40"/>
        <v>171.07534452558892</v>
      </c>
      <c r="M81" s="8">
        <f t="shared" si="40"/>
        <v>171.07534452558892</v>
      </c>
      <c r="N81" s="8">
        <f t="shared" si="40"/>
        <v>171.07534452558892</v>
      </c>
      <c r="O81" s="8">
        <f t="shared" si="40"/>
        <v>171.07534452558892</v>
      </c>
      <c r="P81" s="8">
        <f t="shared" si="40"/>
        <v>171.07534452558892</v>
      </c>
      <c r="Q81" s="8">
        <f t="shared" si="40"/>
        <v>171.07534452558892</v>
      </c>
      <c r="R81" s="8">
        <f t="shared" si="40"/>
        <v>171.07534452558892</v>
      </c>
    </row>
    <row r="82" spans="1:18" ht="15" customHeight="1">
      <c r="B82" s="254" t="s">
        <v>975</v>
      </c>
      <c r="C82" s="153">
        <f>Inputs!C82</f>
        <v>0.25425622664367714</v>
      </c>
      <c r="D82" s="153">
        <f t="shared" si="41"/>
        <v>0.25425622664367714</v>
      </c>
      <c r="E82" s="153">
        <f t="shared" si="40"/>
        <v>0.25425622664367714</v>
      </c>
      <c r="F82" s="153">
        <f t="shared" si="40"/>
        <v>0.25425622664367714</v>
      </c>
      <c r="G82" s="153">
        <f t="shared" si="40"/>
        <v>0.25425622664367714</v>
      </c>
      <c r="H82" s="153">
        <f t="shared" si="40"/>
        <v>0.25425622664367714</v>
      </c>
      <c r="I82" s="153">
        <f t="shared" si="40"/>
        <v>0.25425622664367714</v>
      </c>
      <c r="J82" s="153">
        <f t="shared" si="40"/>
        <v>0.25425622664367714</v>
      </c>
      <c r="K82" s="153">
        <f t="shared" si="40"/>
        <v>0.25425622664367714</v>
      </c>
      <c r="L82" s="153">
        <f t="shared" si="40"/>
        <v>0.25425622664367714</v>
      </c>
      <c r="M82" s="153">
        <f t="shared" si="40"/>
        <v>0.25425622664367714</v>
      </c>
      <c r="N82" s="153">
        <f t="shared" si="40"/>
        <v>0.25425622664367714</v>
      </c>
      <c r="O82" s="153">
        <f t="shared" si="40"/>
        <v>0.25425622664367714</v>
      </c>
      <c r="P82" s="153">
        <f t="shared" si="40"/>
        <v>0.25425622664367714</v>
      </c>
      <c r="Q82" s="153">
        <f t="shared" si="40"/>
        <v>0.25425622664367714</v>
      </c>
      <c r="R82" s="153">
        <f t="shared" si="40"/>
        <v>0.25425622664367714</v>
      </c>
    </row>
    <row r="83" spans="1:18" ht="15" customHeight="1">
      <c r="B83" s="254" t="s">
        <v>976</v>
      </c>
      <c r="C83" s="153">
        <f>Inputs!C83</f>
        <v>0.65</v>
      </c>
      <c r="D83" s="153">
        <f t="shared" si="41"/>
        <v>0.65</v>
      </c>
      <c r="E83" s="153">
        <f t="shared" si="40"/>
        <v>0.65</v>
      </c>
      <c r="F83" s="153">
        <f t="shared" si="40"/>
        <v>0.65</v>
      </c>
      <c r="G83" s="153">
        <f t="shared" si="40"/>
        <v>0.65</v>
      </c>
      <c r="H83" s="153">
        <f t="shared" si="40"/>
        <v>0.65</v>
      </c>
      <c r="I83" s="153">
        <f t="shared" si="40"/>
        <v>0.65</v>
      </c>
      <c r="J83" s="153">
        <f t="shared" si="40"/>
        <v>0.65</v>
      </c>
      <c r="K83" s="153">
        <f t="shared" si="40"/>
        <v>0.65</v>
      </c>
      <c r="L83" s="153">
        <f t="shared" si="40"/>
        <v>0.65</v>
      </c>
      <c r="M83" s="153">
        <f t="shared" si="40"/>
        <v>0.65</v>
      </c>
      <c r="N83" s="153">
        <f t="shared" si="40"/>
        <v>0.65</v>
      </c>
      <c r="O83" s="153">
        <f t="shared" si="40"/>
        <v>0.65</v>
      </c>
      <c r="P83" s="153">
        <f t="shared" si="40"/>
        <v>0.65</v>
      </c>
      <c r="Q83" s="153">
        <f t="shared" si="40"/>
        <v>0.65</v>
      </c>
      <c r="R83" s="153">
        <f t="shared" si="40"/>
        <v>0.65</v>
      </c>
    </row>
    <row r="84" spans="1:18" ht="15" customHeight="1">
      <c r="B84" s="254" t="s">
        <v>977</v>
      </c>
      <c r="C84" s="153">
        <f>Inputs!C84</f>
        <v>0.35</v>
      </c>
      <c r="D84" s="153">
        <f t="shared" si="41"/>
        <v>0.35</v>
      </c>
      <c r="E84" s="153">
        <f t="shared" si="40"/>
        <v>0.35</v>
      </c>
      <c r="F84" s="153">
        <f t="shared" si="40"/>
        <v>0.35</v>
      </c>
      <c r="G84" s="153">
        <f t="shared" si="40"/>
        <v>0.35</v>
      </c>
      <c r="H84" s="153">
        <f t="shared" si="40"/>
        <v>0.35</v>
      </c>
      <c r="I84" s="153">
        <f t="shared" si="40"/>
        <v>0.35</v>
      </c>
      <c r="J84" s="153">
        <f t="shared" si="40"/>
        <v>0.35</v>
      </c>
      <c r="K84" s="153">
        <f t="shared" si="40"/>
        <v>0.35</v>
      </c>
      <c r="L84" s="153">
        <f t="shared" si="40"/>
        <v>0.35</v>
      </c>
      <c r="M84" s="153">
        <f t="shared" si="40"/>
        <v>0.35</v>
      </c>
      <c r="N84" s="153">
        <f t="shared" si="40"/>
        <v>0.35</v>
      </c>
      <c r="O84" s="153">
        <f t="shared" si="40"/>
        <v>0.35</v>
      </c>
      <c r="P84" s="153">
        <f t="shared" si="40"/>
        <v>0.35</v>
      </c>
      <c r="Q84" s="153">
        <f t="shared" si="40"/>
        <v>0.35</v>
      </c>
      <c r="R84" s="153">
        <f t="shared" si="40"/>
        <v>0.35</v>
      </c>
    </row>
    <row r="85" spans="1:18" ht="15.75" customHeight="1">
      <c r="B85" s="254" t="s">
        <v>978</v>
      </c>
      <c r="C85" s="153">
        <f>Inputs!C85</f>
        <v>0.35</v>
      </c>
      <c r="D85" s="153">
        <f t="shared" si="41"/>
        <v>0.35</v>
      </c>
      <c r="E85" s="153">
        <f t="shared" si="40"/>
        <v>0.35</v>
      </c>
      <c r="F85" s="153">
        <f t="shared" si="40"/>
        <v>0.35</v>
      </c>
      <c r="G85" s="153">
        <f t="shared" si="40"/>
        <v>0.35</v>
      </c>
      <c r="H85" s="153">
        <f t="shared" si="40"/>
        <v>0.35</v>
      </c>
      <c r="I85" s="153">
        <f t="shared" si="40"/>
        <v>0.35</v>
      </c>
      <c r="J85" s="153">
        <f t="shared" si="40"/>
        <v>0.35</v>
      </c>
      <c r="K85" s="153">
        <f t="shared" si="40"/>
        <v>0.35</v>
      </c>
      <c r="L85" s="153">
        <f t="shared" si="40"/>
        <v>0.35</v>
      </c>
      <c r="M85" s="153">
        <f t="shared" si="40"/>
        <v>0.35</v>
      </c>
      <c r="N85" s="153">
        <f t="shared" si="40"/>
        <v>0.35</v>
      </c>
      <c r="O85" s="153">
        <f t="shared" si="40"/>
        <v>0.35</v>
      </c>
      <c r="P85" s="153">
        <f t="shared" si="40"/>
        <v>0.35</v>
      </c>
      <c r="Q85" s="153">
        <f t="shared" si="40"/>
        <v>0.35</v>
      </c>
      <c r="R85" s="153">
        <f t="shared" si="40"/>
        <v>0.35</v>
      </c>
    </row>
    <row r="86" spans="1:18" ht="15" customHeight="1">
      <c r="B86" s="254" t="s">
        <v>979</v>
      </c>
      <c r="C86" s="153">
        <f>Inputs!C86</f>
        <v>0.1</v>
      </c>
      <c r="D86" s="153">
        <f t="shared" si="41"/>
        <v>0.1</v>
      </c>
      <c r="E86" s="153">
        <f t="shared" si="40"/>
        <v>0.1</v>
      </c>
      <c r="F86" s="153">
        <f t="shared" si="40"/>
        <v>0.1</v>
      </c>
      <c r="G86" s="153">
        <f t="shared" si="40"/>
        <v>0.1</v>
      </c>
      <c r="H86" s="153">
        <f t="shared" si="40"/>
        <v>0.1</v>
      </c>
      <c r="I86" s="153">
        <f t="shared" si="40"/>
        <v>0.1</v>
      </c>
      <c r="J86" s="153">
        <f t="shared" si="40"/>
        <v>0.1</v>
      </c>
      <c r="K86" s="153">
        <f t="shared" si="40"/>
        <v>0.1</v>
      </c>
      <c r="L86" s="153">
        <f t="shared" si="40"/>
        <v>0.1</v>
      </c>
      <c r="M86" s="153">
        <f t="shared" si="40"/>
        <v>0.1</v>
      </c>
      <c r="N86" s="153">
        <f t="shared" si="40"/>
        <v>0.1</v>
      </c>
      <c r="O86" s="153">
        <f t="shared" si="40"/>
        <v>0.1</v>
      </c>
      <c r="P86" s="153">
        <f t="shared" si="40"/>
        <v>0.1</v>
      </c>
      <c r="Q86" s="153">
        <f t="shared" si="40"/>
        <v>0.1</v>
      </c>
      <c r="R86" s="153">
        <f t="shared" si="40"/>
        <v>0.1</v>
      </c>
    </row>
    <row r="87" spans="1:18" ht="15" customHeight="1">
      <c r="B87" s="254" t="s">
        <v>980</v>
      </c>
      <c r="C87" s="153">
        <f>Inputs!C87</f>
        <v>0.1</v>
      </c>
      <c r="D87" s="153">
        <f t="shared" si="41"/>
        <v>0.1</v>
      </c>
      <c r="E87" s="153">
        <f t="shared" si="40"/>
        <v>0.1</v>
      </c>
      <c r="F87" s="153">
        <f t="shared" si="40"/>
        <v>0.1</v>
      </c>
      <c r="G87" s="153">
        <f t="shared" si="40"/>
        <v>0.1</v>
      </c>
      <c r="H87" s="153">
        <f t="shared" si="40"/>
        <v>0.1</v>
      </c>
      <c r="I87" s="153">
        <f t="shared" si="40"/>
        <v>0.1</v>
      </c>
      <c r="J87" s="153">
        <f t="shared" si="40"/>
        <v>0.1</v>
      </c>
      <c r="K87" s="153">
        <f t="shared" si="40"/>
        <v>0.1</v>
      </c>
      <c r="L87" s="153">
        <f t="shared" si="40"/>
        <v>0.1</v>
      </c>
      <c r="M87" s="153">
        <f t="shared" si="40"/>
        <v>0.1</v>
      </c>
      <c r="N87" s="153">
        <f t="shared" si="40"/>
        <v>0.1</v>
      </c>
      <c r="O87" s="153">
        <f t="shared" si="40"/>
        <v>0.1</v>
      </c>
      <c r="P87" s="153">
        <f t="shared" si="40"/>
        <v>0.1</v>
      </c>
      <c r="Q87" s="153">
        <f t="shared" si="40"/>
        <v>0.1</v>
      </c>
      <c r="R87" s="153">
        <f t="shared" si="40"/>
        <v>0.1</v>
      </c>
    </row>
    <row r="88" spans="1:18" ht="15" customHeight="1">
      <c r="B88" s="254" t="s">
        <v>981</v>
      </c>
      <c r="C88" s="153">
        <f>Inputs!C88</f>
        <v>0.1</v>
      </c>
      <c r="D88" s="153">
        <f t="shared" si="41"/>
        <v>0.1</v>
      </c>
      <c r="E88" s="153">
        <f t="shared" si="40"/>
        <v>0.1</v>
      </c>
      <c r="F88" s="153">
        <f t="shared" si="40"/>
        <v>0.1</v>
      </c>
      <c r="G88" s="153">
        <f t="shared" si="40"/>
        <v>0.1</v>
      </c>
      <c r="H88" s="153">
        <f t="shared" si="40"/>
        <v>0.1</v>
      </c>
      <c r="I88" s="153">
        <f t="shared" si="40"/>
        <v>0.1</v>
      </c>
      <c r="J88" s="153">
        <f t="shared" si="40"/>
        <v>0.1</v>
      </c>
      <c r="K88" s="153">
        <f t="shared" si="40"/>
        <v>0.1</v>
      </c>
      <c r="L88" s="153">
        <f t="shared" si="40"/>
        <v>0.1</v>
      </c>
      <c r="M88" s="153">
        <f t="shared" si="40"/>
        <v>0.1</v>
      </c>
      <c r="N88" s="153">
        <f t="shared" si="40"/>
        <v>0.1</v>
      </c>
      <c r="O88" s="153">
        <f t="shared" si="40"/>
        <v>0.1</v>
      </c>
      <c r="P88" s="153">
        <f t="shared" si="40"/>
        <v>0.1</v>
      </c>
      <c r="Q88" s="153">
        <f t="shared" si="40"/>
        <v>0.1</v>
      </c>
      <c r="R88" s="153">
        <f t="shared" si="40"/>
        <v>0.1</v>
      </c>
    </row>
    <row r="89" spans="1:18" ht="15" customHeight="1">
      <c r="B89" s="254" t="s">
        <v>982</v>
      </c>
      <c r="C89" s="153">
        <f>Inputs!C89</f>
        <v>6.095999804928006</v>
      </c>
      <c r="D89" s="153">
        <f t="shared" si="41"/>
        <v>6.095999804928006</v>
      </c>
      <c r="E89" s="153">
        <f t="shared" si="40"/>
        <v>6.095999804928006</v>
      </c>
      <c r="F89" s="153">
        <f t="shared" si="40"/>
        <v>6.095999804928006</v>
      </c>
      <c r="G89" s="153">
        <f t="shared" si="40"/>
        <v>6.095999804928006</v>
      </c>
      <c r="H89" s="153">
        <f t="shared" si="40"/>
        <v>6.095999804928006</v>
      </c>
      <c r="I89" s="153">
        <f t="shared" si="40"/>
        <v>6.095999804928006</v>
      </c>
      <c r="J89" s="153">
        <f t="shared" si="40"/>
        <v>6.095999804928006</v>
      </c>
      <c r="K89" s="153">
        <f t="shared" si="40"/>
        <v>6.095999804928006</v>
      </c>
      <c r="L89" s="153">
        <f t="shared" si="40"/>
        <v>6.095999804928006</v>
      </c>
      <c r="M89" s="153">
        <f t="shared" si="40"/>
        <v>6.095999804928006</v>
      </c>
      <c r="N89" s="153">
        <f t="shared" si="40"/>
        <v>6.095999804928006</v>
      </c>
      <c r="O89" s="153">
        <f t="shared" si="40"/>
        <v>6.095999804928006</v>
      </c>
      <c r="P89" s="153">
        <f t="shared" si="40"/>
        <v>6.095999804928006</v>
      </c>
      <c r="Q89" s="153">
        <f t="shared" si="40"/>
        <v>6.095999804928006</v>
      </c>
      <c r="R89" s="153">
        <f t="shared" si="40"/>
        <v>6.095999804928006</v>
      </c>
    </row>
    <row r="90" spans="1:18" ht="15" customHeight="1">
      <c r="B90" s="254" t="s">
        <v>983</v>
      </c>
      <c r="C90" s="153">
        <f>Inputs!C90</f>
        <v>6.095999804928006</v>
      </c>
      <c r="D90" s="153">
        <f t="shared" si="41"/>
        <v>6.095999804928006</v>
      </c>
      <c r="E90" s="153">
        <f t="shared" si="40"/>
        <v>6.095999804928006</v>
      </c>
      <c r="F90" s="153">
        <f t="shared" si="40"/>
        <v>6.095999804928006</v>
      </c>
      <c r="G90" s="153">
        <f t="shared" si="40"/>
        <v>6.095999804928006</v>
      </c>
      <c r="H90" s="153">
        <f t="shared" si="40"/>
        <v>6.095999804928006</v>
      </c>
      <c r="I90" s="153">
        <f t="shared" si="40"/>
        <v>6.095999804928006</v>
      </c>
      <c r="J90" s="153">
        <f t="shared" si="40"/>
        <v>6.095999804928006</v>
      </c>
      <c r="K90" s="153">
        <f t="shared" si="40"/>
        <v>6.095999804928006</v>
      </c>
      <c r="L90" s="153">
        <f t="shared" si="40"/>
        <v>6.095999804928006</v>
      </c>
      <c r="M90" s="153">
        <f t="shared" si="40"/>
        <v>6.095999804928006</v>
      </c>
      <c r="N90" s="153">
        <f t="shared" si="40"/>
        <v>6.095999804928006</v>
      </c>
      <c r="O90" s="153">
        <f t="shared" si="40"/>
        <v>6.095999804928006</v>
      </c>
      <c r="P90" s="153">
        <f t="shared" si="40"/>
        <v>6.095999804928006</v>
      </c>
      <c r="Q90" s="153">
        <f t="shared" si="40"/>
        <v>6.095999804928006</v>
      </c>
      <c r="R90" s="153">
        <f t="shared" si="40"/>
        <v>6.095999804928006</v>
      </c>
    </row>
    <row r="91" spans="1:18" ht="15" customHeight="1">
      <c r="B91" s="254" t="s">
        <v>984</v>
      </c>
      <c r="C91" s="153">
        <f>Inputs!C91</f>
        <v>6.095999804928006</v>
      </c>
      <c r="D91" s="153">
        <f t="shared" si="41"/>
        <v>6.095999804928006</v>
      </c>
      <c r="E91" s="153">
        <f t="shared" si="40"/>
        <v>6.095999804928006</v>
      </c>
      <c r="F91" s="153">
        <f t="shared" si="40"/>
        <v>6.095999804928006</v>
      </c>
      <c r="G91" s="153">
        <f t="shared" si="40"/>
        <v>6.095999804928006</v>
      </c>
      <c r="H91" s="153">
        <f t="shared" si="40"/>
        <v>6.095999804928006</v>
      </c>
      <c r="I91" s="153">
        <f t="shared" si="40"/>
        <v>6.095999804928006</v>
      </c>
      <c r="J91" s="153">
        <f t="shared" si="40"/>
        <v>6.095999804928006</v>
      </c>
      <c r="K91" s="153">
        <f t="shared" si="40"/>
        <v>6.095999804928006</v>
      </c>
      <c r="L91" s="153">
        <f t="shared" si="40"/>
        <v>6.095999804928006</v>
      </c>
      <c r="M91" s="153">
        <f t="shared" si="40"/>
        <v>6.095999804928006</v>
      </c>
      <c r="N91" s="153">
        <f t="shared" si="40"/>
        <v>6.095999804928006</v>
      </c>
      <c r="O91" s="153">
        <f t="shared" si="40"/>
        <v>6.095999804928006</v>
      </c>
      <c r="P91" s="153">
        <f t="shared" si="40"/>
        <v>6.095999804928006</v>
      </c>
      <c r="Q91" s="153">
        <f t="shared" si="40"/>
        <v>6.095999804928006</v>
      </c>
      <c r="R91" s="153">
        <f t="shared" si="40"/>
        <v>6.095999804928006</v>
      </c>
    </row>
    <row r="92" spans="1:18" ht="15" customHeight="1">
      <c r="B92" s="254" t="s">
        <v>985</v>
      </c>
      <c r="C92" s="153">
        <f>Inputs!C92</f>
        <v>6.095999804928006</v>
      </c>
      <c r="D92" s="153">
        <f t="shared" si="41"/>
        <v>6.095999804928006</v>
      </c>
      <c r="E92" s="153">
        <f t="shared" ref="E92:R92" si="42">D92</f>
        <v>6.095999804928006</v>
      </c>
      <c r="F92" s="153">
        <f t="shared" si="42"/>
        <v>6.095999804928006</v>
      </c>
      <c r="G92" s="153">
        <f t="shared" si="42"/>
        <v>6.095999804928006</v>
      </c>
      <c r="H92" s="153">
        <f t="shared" si="42"/>
        <v>6.095999804928006</v>
      </c>
      <c r="I92" s="153">
        <f t="shared" si="42"/>
        <v>6.095999804928006</v>
      </c>
      <c r="J92" s="153">
        <f t="shared" si="42"/>
        <v>6.095999804928006</v>
      </c>
      <c r="K92" s="153">
        <f t="shared" si="42"/>
        <v>6.095999804928006</v>
      </c>
      <c r="L92" s="153">
        <f t="shared" si="42"/>
        <v>6.095999804928006</v>
      </c>
      <c r="M92" s="153">
        <f t="shared" si="42"/>
        <v>6.095999804928006</v>
      </c>
      <c r="N92" s="153">
        <f t="shared" si="42"/>
        <v>6.095999804928006</v>
      </c>
      <c r="O92" s="153">
        <f t="shared" si="42"/>
        <v>6.095999804928006</v>
      </c>
      <c r="P92" s="153">
        <f t="shared" si="42"/>
        <v>6.095999804928006</v>
      </c>
      <c r="Q92" s="153">
        <f t="shared" si="42"/>
        <v>6.095999804928006</v>
      </c>
      <c r="R92" s="153">
        <f t="shared" si="42"/>
        <v>6.095999804928006</v>
      </c>
    </row>
    <row r="93" spans="1:18" ht="15" customHeight="1">
      <c r="A93" s="254" t="s">
        <v>87</v>
      </c>
      <c r="B93" s="254" t="s">
        <v>986</v>
      </c>
      <c r="C93" s="128">
        <f>Inputs!C93</f>
        <v>2</v>
      </c>
      <c r="D93" s="128">
        <f t="shared" si="41"/>
        <v>2</v>
      </c>
      <c r="E93" s="128">
        <f t="shared" ref="E93:R93" si="43">D93</f>
        <v>2</v>
      </c>
      <c r="F93" s="128">
        <f t="shared" si="43"/>
        <v>2</v>
      </c>
      <c r="G93" s="128">
        <f t="shared" si="43"/>
        <v>2</v>
      </c>
      <c r="H93" s="128">
        <f t="shared" si="43"/>
        <v>2</v>
      </c>
      <c r="I93" s="128">
        <f t="shared" si="43"/>
        <v>2</v>
      </c>
      <c r="J93" s="128">
        <f t="shared" si="43"/>
        <v>2</v>
      </c>
      <c r="K93" s="128">
        <f t="shared" si="43"/>
        <v>2</v>
      </c>
      <c r="L93" s="128">
        <f t="shared" si="43"/>
        <v>2</v>
      </c>
      <c r="M93" s="128">
        <f t="shared" si="43"/>
        <v>2</v>
      </c>
      <c r="N93" s="128">
        <f t="shared" si="43"/>
        <v>2</v>
      </c>
      <c r="O93" s="128">
        <f t="shared" si="43"/>
        <v>2</v>
      </c>
      <c r="P93" s="128">
        <f t="shared" si="43"/>
        <v>2</v>
      </c>
      <c r="Q93" s="128">
        <f t="shared" si="43"/>
        <v>2</v>
      </c>
      <c r="R93" s="128">
        <f t="shared" si="43"/>
        <v>2</v>
      </c>
    </row>
    <row r="94" spans="1:18" ht="15" customHeight="1">
      <c r="B94" s="254" t="s">
        <v>1097</v>
      </c>
      <c r="C94" s="6">
        <f>Inputs!C94</f>
        <v>1</v>
      </c>
      <c r="D94" s="6">
        <f t="shared" si="41"/>
        <v>1</v>
      </c>
      <c r="E94" s="6">
        <f t="shared" ref="E94:R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</row>
    <row r="95" spans="1:18" ht="15" customHeight="1">
      <c r="B95" s="254" t="s">
        <v>1098</v>
      </c>
      <c r="C95" s="6">
        <f>Inputs!C95</f>
        <v>7.3659997642880075</v>
      </c>
      <c r="D95" s="6">
        <f t="shared" si="41"/>
        <v>7.3659997642880075</v>
      </c>
      <c r="E95" s="6">
        <f t="shared" ref="E95:R95" si="45">D95</f>
        <v>7.3659997642880075</v>
      </c>
      <c r="F95" s="6">
        <f t="shared" si="45"/>
        <v>7.3659997642880075</v>
      </c>
      <c r="G95" s="6">
        <f t="shared" si="45"/>
        <v>7.3659997642880075</v>
      </c>
      <c r="H95" s="6">
        <f t="shared" si="45"/>
        <v>7.3659997642880075</v>
      </c>
      <c r="I95" s="6">
        <f t="shared" si="45"/>
        <v>7.3659997642880075</v>
      </c>
      <c r="J95" s="6">
        <f t="shared" si="45"/>
        <v>7.3659997642880075</v>
      </c>
      <c r="K95" s="6">
        <f t="shared" si="45"/>
        <v>7.3659997642880075</v>
      </c>
      <c r="L95" s="6">
        <f t="shared" si="45"/>
        <v>7.3659997642880075</v>
      </c>
      <c r="M95" s="6">
        <f t="shared" si="45"/>
        <v>7.3659997642880075</v>
      </c>
      <c r="N95" s="6">
        <f t="shared" si="45"/>
        <v>7.3659997642880075</v>
      </c>
      <c r="O95" s="6">
        <f t="shared" si="45"/>
        <v>7.3659997642880075</v>
      </c>
      <c r="P95" s="6">
        <f t="shared" si="45"/>
        <v>7.3659997642880075</v>
      </c>
      <c r="Q95" s="6">
        <f t="shared" si="45"/>
        <v>7.3659997642880075</v>
      </c>
      <c r="R95" s="6">
        <f t="shared" si="45"/>
        <v>7.3659997642880075</v>
      </c>
    </row>
    <row r="96" spans="1:18" ht="15" customHeight="1">
      <c r="B96" s="254" t="s">
        <v>1099</v>
      </c>
      <c r="C96" s="6">
        <f>Inputs!C96</f>
        <v>0.12572466666666665</v>
      </c>
      <c r="D96" s="6">
        <f t="shared" ref="D96:R111" si="46">C96</f>
        <v>0.12572466666666665</v>
      </c>
      <c r="E96" s="6">
        <f t="shared" si="46"/>
        <v>0.12572466666666665</v>
      </c>
      <c r="F96" s="6">
        <f t="shared" si="46"/>
        <v>0.12572466666666665</v>
      </c>
      <c r="G96" s="6">
        <f t="shared" si="46"/>
        <v>0.12572466666666665</v>
      </c>
      <c r="H96" s="6">
        <f t="shared" si="46"/>
        <v>0.12572466666666665</v>
      </c>
      <c r="I96" s="6">
        <f t="shared" si="46"/>
        <v>0.12572466666666665</v>
      </c>
      <c r="J96" s="6">
        <f t="shared" si="46"/>
        <v>0.12572466666666665</v>
      </c>
      <c r="K96" s="6">
        <f t="shared" si="46"/>
        <v>0.12572466666666665</v>
      </c>
      <c r="L96" s="6">
        <f t="shared" si="46"/>
        <v>0.12572466666666665</v>
      </c>
      <c r="M96" s="6">
        <f t="shared" si="46"/>
        <v>0.12572466666666665</v>
      </c>
      <c r="N96" s="6">
        <f t="shared" si="46"/>
        <v>0.12572466666666665</v>
      </c>
      <c r="O96" s="6">
        <f t="shared" si="46"/>
        <v>0.12572466666666665</v>
      </c>
      <c r="P96" s="6">
        <f t="shared" si="46"/>
        <v>0.12572466666666665</v>
      </c>
      <c r="Q96" s="6">
        <f t="shared" si="46"/>
        <v>0.12572466666666665</v>
      </c>
      <c r="R96" s="6">
        <f t="shared" si="46"/>
        <v>0.12572466666666665</v>
      </c>
    </row>
    <row r="97" spans="1:18" ht="15" customHeight="1">
      <c r="B97" s="254" t="s">
        <v>1100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</row>
    <row r="98" spans="1:18" ht="15" customHeight="1">
      <c r="B98" s="254" t="s">
        <v>1101</v>
      </c>
      <c r="C98" s="128">
        <f>Inputs!C98</f>
        <v>3</v>
      </c>
      <c r="D98" s="128">
        <f t="shared" si="46"/>
        <v>3</v>
      </c>
      <c r="E98" s="128">
        <f t="shared" si="46"/>
        <v>3</v>
      </c>
      <c r="F98" s="128">
        <f t="shared" si="46"/>
        <v>3</v>
      </c>
      <c r="G98" s="128">
        <f t="shared" si="46"/>
        <v>3</v>
      </c>
      <c r="H98" s="128">
        <f t="shared" si="46"/>
        <v>3</v>
      </c>
      <c r="I98" s="128">
        <f t="shared" si="46"/>
        <v>3</v>
      </c>
      <c r="J98" s="128">
        <f t="shared" si="46"/>
        <v>3</v>
      </c>
      <c r="K98" s="128">
        <f t="shared" si="46"/>
        <v>3</v>
      </c>
      <c r="L98" s="128">
        <f t="shared" si="46"/>
        <v>3</v>
      </c>
      <c r="M98" s="128">
        <f t="shared" si="46"/>
        <v>3</v>
      </c>
      <c r="N98" s="128">
        <f t="shared" si="46"/>
        <v>3</v>
      </c>
      <c r="O98" s="128">
        <f t="shared" si="46"/>
        <v>3</v>
      </c>
      <c r="P98" s="128">
        <f t="shared" si="46"/>
        <v>3</v>
      </c>
      <c r="Q98" s="128">
        <f t="shared" si="46"/>
        <v>3</v>
      </c>
      <c r="R98" s="128">
        <f t="shared" si="46"/>
        <v>3</v>
      </c>
    </row>
    <row r="99" spans="1:18" ht="15" customHeight="1">
      <c r="B99" s="254" t="s">
        <v>1102</v>
      </c>
      <c r="C99" s="153">
        <f>Inputs!C99</f>
        <v>7.3659997642880075</v>
      </c>
      <c r="D99" s="153">
        <f t="shared" si="46"/>
        <v>7.3659997642880075</v>
      </c>
      <c r="E99" s="153">
        <f t="shared" si="46"/>
        <v>7.3659997642880075</v>
      </c>
      <c r="F99" s="153">
        <f t="shared" si="46"/>
        <v>7.3659997642880075</v>
      </c>
      <c r="G99" s="153">
        <f t="shared" si="46"/>
        <v>7.3659997642880075</v>
      </c>
      <c r="H99" s="153">
        <f t="shared" si="46"/>
        <v>7.3659997642880075</v>
      </c>
      <c r="I99" s="153">
        <f t="shared" si="46"/>
        <v>7.3659997642880075</v>
      </c>
      <c r="J99" s="153">
        <f t="shared" si="46"/>
        <v>7.3659997642880075</v>
      </c>
      <c r="K99" s="153">
        <f t="shared" si="46"/>
        <v>7.3659997642880075</v>
      </c>
      <c r="L99" s="153">
        <f t="shared" si="46"/>
        <v>7.3659997642880075</v>
      </c>
      <c r="M99" s="153">
        <f t="shared" si="46"/>
        <v>7.3659997642880075</v>
      </c>
      <c r="N99" s="153">
        <f t="shared" si="46"/>
        <v>7.3659997642880075</v>
      </c>
      <c r="O99" s="153">
        <f t="shared" si="46"/>
        <v>7.3659997642880075</v>
      </c>
      <c r="P99" s="153">
        <f t="shared" si="46"/>
        <v>7.3659997642880075</v>
      </c>
      <c r="Q99" s="153">
        <f t="shared" si="46"/>
        <v>7.3659997642880075</v>
      </c>
      <c r="R99" s="153">
        <f t="shared" si="46"/>
        <v>7.3659997642880075</v>
      </c>
    </row>
    <row r="100" spans="1:18" ht="15" customHeight="1">
      <c r="B100" s="254" t="s">
        <v>1103</v>
      </c>
      <c r="C100" s="153">
        <f>Inputs!C100</f>
        <v>3.5921333333333326E-2</v>
      </c>
      <c r="D100" s="153">
        <f t="shared" si="46"/>
        <v>3.5921333333333326E-2</v>
      </c>
      <c r="E100" s="153">
        <f t="shared" si="46"/>
        <v>3.5921333333333326E-2</v>
      </c>
      <c r="F100" s="153">
        <f t="shared" si="46"/>
        <v>3.5921333333333326E-2</v>
      </c>
      <c r="G100" s="153">
        <f t="shared" si="46"/>
        <v>3.5921333333333326E-2</v>
      </c>
      <c r="H100" s="153">
        <f t="shared" si="46"/>
        <v>3.5921333333333326E-2</v>
      </c>
      <c r="I100" s="153">
        <f t="shared" si="46"/>
        <v>3.5921333333333326E-2</v>
      </c>
      <c r="J100" s="153">
        <f t="shared" si="46"/>
        <v>3.5921333333333326E-2</v>
      </c>
      <c r="K100" s="153">
        <f t="shared" si="46"/>
        <v>3.5921333333333326E-2</v>
      </c>
      <c r="L100" s="153">
        <f t="shared" si="46"/>
        <v>3.5921333333333326E-2</v>
      </c>
      <c r="M100" s="153">
        <f t="shared" si="46"/>
        <v>3.5921333333333326E-2</v>
      </c>
      <c r="N100" s="153">
        <f t="shared" si="46"/>
        <v>3.5921333333333326E-2</v>
      </c>
      <c r="O100" s="153">
        <f t="shared" si="46"/>
        <v>3.5921333333333326E-2</v>
      </c>
      <c r="P100" s="153">
        <f t="shared" si="46"/>
        <v>3.5921333333333326E-2</v>
      </c>
      <c r="Q100" s="153">
        <f t="shared" si="46"/>
        <v>3.5921333333333326E-2</v>
      </c>
      <c r="R100" s="153">
        <f t="shared" si="46"/>
        <v>3.5921333333333326E-2</v>
      </c>
    </row>
    <row r="101" spans="1:18" ht="15" customHeight="1">
      <c r="B101" s="254" t="s">
        <v>1104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</row>
    <row r="102" spans="1:18" ht="15" customHeight="1">
      <c r="A102" s="254" t="s">
        <v>151</v>
      </c>
      <c r="B102" s="254" t="s">
        <v>987</v>
      </c>
      <c r="C102" s="153">
        <f>Inputs!C102</f>
        <v>18.43494882292201</v>
      </c>
      <c r="D102" s="153">
        <f t="shared" si="46"/>
        <v>18.43494882292201</v>
      </c>
      <c r="E102" s="153">
        <f t="shared" si="46"/>
        <v>18.43494882292201</v>
      </c>
      <c r="F102" s="153">
        <f t="shared" si="46"/>
        <v>18.43494882292201</v>
      </c>
      <c r="G102" s="153">
        <f t="shared" si="46"/>
        <v>18.43494882292201</v>
      </c>
      <c r="H102" s="153">
        <f t="shared" si="46"/>
        <v>18.43494882292201</v>
      </c>
      <c r="I102" s="153">
        <f t="shared" si="46"/>
        <v>18.43494882292201</v>
      </c>
      <c r="J102" s="153">
        <f t="shared" si="46"/>
        <v>18.43494882292201</v>
      </c>
      <c r="K102" s="153">
        <f t="shared" si="46"/>
        <v>18.43494882292201</v>
      </c>
      <c r="L102" s="153">
        <f t="shared" si="46"/>
        <v>18.43494882292201</v>
      </c>
      <c r="M102" s="153">
        <f t="shared" si="46"/>
        <v>18.43494882292201</v>
      </c>
      <c r="N102" s="153">
        <f t="shared" si="46"/>
        <v>18.43494882292201</v>
      </c>
      <c r="O102" s="153">
        <f t="shared" si="46"/>
        <v>18.43494882292201</v>
      </c>
      <c r="P102" s="153">
        <f t="shared" si="46"/>
        <v>18.43494882292201</v>
      </c>
      <c r="Q102" s="153">
        <f t="shared" si="46"/>
        <v>18.43494882292201</v>
      </c>
      <c r="R102" s="153">
        <f t="shared" si="46"/>
        <v>18.43494882292201</v>
      </c>
    </row>
    <row r="103" spans="1:18" ht="15" customHeight="1">
      <c r="B103" s="254" t="s">
        <v>988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</row>
    <row r="104" spans="1:18" ht="15" customHeight="1">
      <c r="B104" s="254" t="s">
        <v>989</v>
      </c>
      <c r="C104" s="8">
        <f>Inputs!C104</f>
        <v>8.6359997236480091</v>
      </c>
      <c r="D104" s="8">
        <f>C104</f>
        <v>8.6359997236480091</v>
      </c>
      <c r="E104" s="8">
        <f t="shared" si="46"/>
        <v>8.6359997236480091</v>
      </c>
      <c r="F104" s="8">
        <f t="shared" si="46"/>
        <v>8.6359997236480091</v>
      </c>
      <c r="G104" s="8">
        <f t="shared" si="46"/>
        <v>8.6359997236480091</v>
      </c>
      <c r="H104" s="8">
        <f t="shared" si="46"/>
        <v>8.6359997236480091</v>
      </c>
      <c r="I104" s="8">
        <f t="shared" si="46"/>
        <v>8.6359997236480091</v>
      </c>
      <c r="J104" s="8">
        <f t="shared" si="46"/>
        <v>8.6359997236480091</v>
      </c>
      <c r="K104" s="8">
        <f t="shared" si="46"/>
        <v>8.6359997236480091</v>
      </c>
      <c r="L104" s="8">
        <f t="shared" si="46"/>
        <v>8.6359997236480091</v>
      </c>
      <c r="M104" s="8">
        <f t="shared" si="46"/>
        <v>8.6359997236480091</v>
      </c>
      <c r="N104" s="8">
        <f t="shared" si="46"/>
        <v>8.6359997236480091</v>
      </c>
      <c r="O104" s="8">
        <f t="shared" si="46"/>
        <v>8.6359997236480091</v>
      </c>
      <c r="P104" s="8">
        <f t="shared" si="46"/>
        <v>8.6359997236480091</v>
      </c>
      <c r="Q104" s="8">
        <f t="shared" si="46"/>
        <v>8.6359997236480091</v>
      </c>
      <c r="R104" s="8">
        <f t="shared" si="46"/>
        <v>8.6359997236480091</v>
      </c>
    </row>
    <row r="105" spans="1:18" ht="15" customHeight="1">
      <c r="B105" s="254" t="s">
        <v>990</v>
      </c>
      <c r="C105" s="128">
        <f>Inputs!C105</f>
        <v>0</v>
      </c>
      <c r="D105" s="128">
        <f t="shared" si="46"/>
        <v>0</v>
      </c>
      <c r="E105" s="128">
        <f t="shared" si="46"/>
        <v>0</v>
      </c>
      <c r="F105" s="128">
        <f t="shared" si="46"/>
        <v>0</v>
      </c>
      <c r="G105" s="128">
        <f t="shared" si="46"/>
        <v>0</v>
      </c>
      <c r="H105" s="128">
        <f t="shared" si="46"/>
        <v>0</v>
      </c>
      <c r="I105" s="128">
        <f t="shared" si="46"/>
        <v>0</v>
      </c>
      <c r="J105" s="128">
        <f t="shared" si="46"/>
        <v>0</v>
      </c>
      <c r="K105" s="128">
        <f t="shared" si="46"/>
        <v>0</v>
      </c>
      <c r="L105" s="128">
        <f t="shared" si="46"/>
        <v>0</v>
      </c>
      <c r="M105" s="128">
        <f t="shared" si="46"/>
        <v>0</v>
      </c>
      <c r="N105" s="128">
        <f t="shared" si="46"/>
        <v>0</v>
      </c>
      <c r="O105" s="128">
        <f t="shared" si="46"/>
        <v>0</v>
      </c>
      <c r="P105" s="128">
        <f t="shared" si="46"/>
        <v>0</v>
      </c>
      <c r="Q105" s="128">
        <f t="shared" si="46"/>
        <v>0</v>
      </c>
      <c r="R105" s="128">
        <f t="shared" si="46"/>
        <v>0</v>
      </c>
    </row>
    <row r="106" spans="1:18" ht="15" customHeight="1">
      <c r="B106" s="254" t="s">
        <v>991</v>
      </c>
      <c r="C106" s="128"/>
      <c r="D106" s="128"/>
      <c r="E106" s="128"/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28"/>
      <c r="R106" s="128"/>
    </row>
    <row r="107" spans="1:18" ht="15" customHeight="1">
      <c r="B107" s="254" t="s">
        <v>992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</row>
    <row r="108" spans="1:18" ht="15" customHeight="1">
      <c r="B108" s="254" t="s">
        <v>993</v>
      </c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  <c r="M108" s="128"/>
      <c r="N108" s="128"/>
      <c r="O108" s="128"/>
      <c r="P108" s="128"/>
      <c r="Q108" s="128"/>
      <c r="R108" s="128"/>
    </row>
    <row r="109" spans="1:18" ht="15" customHeight="1">
      <c r="B109" s="254" t="s">
        <v>994</v>
      </c>
      <c r="C109" s="128">
        <f>UA!AC21</f>
        <v>0</v>
      </c>
      <c r="D109" s="128">
        <f>UA!AD21</f>
        <v>0</v>
      </c>
      <c r="E109" s="128">
        <f>UA!AE21</f>
        <v>0</v>
      </c>
      <c r="F109" s="128">
        <f>UA!AF21</f>
        <v>13</v>
      </c>
      <c r="G109" s="128">
        <f>UA!AG21</f>
        <v>0</v>
      </c>
      <c r="H109" s="128">
        <f>UA!AH21</f>
        <v>0</v>
      </c>
      <c r="I109" s="128">
        <f>UA!AI21</f>
        <v>0</v>
      </c>
      <c r="J109" s="128">
        <f>UA!AJ21</f>
        <v>13</v>
      </c>
      <c r="K109" s="128">
        <f>UA!AK21</f>
        <v>13</v>
      </c>
      <c r="L109" s="128">
        <f>UA!AL21</f>
        <v>13</v>
      </c>
      <c r="M109" s="128">
        <f>UA!AM21</f>
        <v>13</v>
      </c>
      <c r="N109" s="128">
        <f>UA!AN21</f>
        <v>13</v>
      </c>
      <c r="O109" s="128">
        <f>UA!AO21</f>
        <v>13</v>
      </c>
      <c r="P109" s="128">
        <f>UA!AP21</f>
        <v>13</v>
      </c>
      <c r="Q109" s="128">
        <f>UA!AQ21</f>
        <v>13</v>
      </c>
      <c r="R109" s="128">
        <f>UA!AR21</f>
        <v>13</v>
      </c>
    </row>
    <row r="110" spans="1:18" ht="15" customHeight="1">
      <c r="B110" s="254" t="s">
        <v>995</v>
      </c>
      <c r="C110" s="128">
        <f>Inputs!C110</f>
        <v>3</v>
      </c>
      <c r="D110" s="128">
        <f t="shared" si="46"/>
        <v>3</v>
      </c>
      <c r="E110" s="128">
        <f t="shared" si="46"/>
        <v>3</v>
      </c>
      <c r="F110" s="128">
        <f t="shared" si="46"/>
        <v>3</v>
      </c>
      <c r="G110" s="128">
        <f t="shared" si="46"/>
        <v>3</v>
      </c>
      <c r="H110" s="128">
        <f t="shared" si="46"/>
        <v>3</v>
      </c>
      <c r="I110" s="128">
        <f t="shared" si="46"/>
        <v>3</v>
      </c>
      <c r="J110" s="128">
        <f t="shared" si="46"/>
        <v>3</v>
      </c>
      <c r="K110" s="128">
        <f t="shared" si="46"/>
        <v>3</v>
      </c>
      <c r="L110" s="128">
        <f t="shared" si="46"/>
        <v>3</v>
      </c>
      <c r="M110" s="128">
        <f t="shared" si="46"/>
        <v>3</v>
      </c>
      <c r="N110" s="128">
        <f t="shared" si="46"/>
        <v>3</v>
      </c>
      <c r="O110" s="128">
        <f t="shared" si="46"/>
        <v>3</v>
      </c>
      <c r="P110" s="128">
        <f t="shared" si="46"/>
        <v>3</v>
      </c>
      <c r="Q110" s="128">
        <f t="shared" si="46"/>
        <v>3</v>
      </c>
      <c r="R110" s="128">
        <f t="shared" si="46"/>
        <v>3</v>
      </c>
    </row>
    <row r="111" spans="1:18" ht="15" customHeight="1">
      <c r="A111" s="254" t="s">
        <v>99</v>
      </c>
      <c r="B111" s="254" t="s">
        <v>996</v>
      </c>
      <c r="C111" s="128">
        <f>Inputs!C111</f>
        <v>0</v>
      </c>
      <c r="D111" s="128">
        <f t="shared" si="46"/>
        <v>0</v>
      </c>
      <c r="E111" s="128">
        <f t="shared" si="46"/>
        <v>0</v>
      </c>
      <c r="F111" s="128">
        <f t="shared" si="46"/>
        <v>0</v>
      </c>
      <c r="G111" s="128">
        <f t="shared" si="46"/>
        <v>0</v>
      </c>
      <c r="H111" s="128">
        <f t="shared" si="46"/>
        <v>0</v>
      </c>
      <c r="I111" s="128">
        <f t="shared" si="46"/>
        <v>0</v>
      </c>
      <c r="J111" s="128">
        <f t="shared" si="46"/>
        <v>0</v>
      </c>
      <c r="K111" s="128">
        <f t="shared" si="46"/>
        <v>0</v>
      </c>
      <c r="L111" s="128">
        <f t="shared" si="46"/>
        <v>0</v>
      </c>
      <c r="M111" s="128">
        <f t="shared" si="46"/>
        <v>0</v>
      </c>
      <c r="N111" s="128">
        <f t="shared" si="46"/>
        <v>0</v>
      </c>
      <c r="O111" s="128">
        <f t="shared" si="46"/>
        <v>0</v>
      </c>
      <c r="P111" s="128">
        <f t="shared" si="46"/>
        <v>0</v>
      </c>
      <c r="Q111" s="128">
        <f t="shared" si="46"/>
        <v>0</v>
      </c>
      <c r="R111" s="128">
        <f t="shared" si="46"/>
        <v>0</v>
      </c>
    </row>
    <row r="112" spans="1:18" ht="15" customHeight="1">
      <c r="B112" s="254" t="s">
        <v>997</v>
      </c>
      <c r="C112" s="9">
        <f>Ducts!I14</f>
        <v>0.05</v>
      </c>
      <c r="D112" s="9">
        <f>Ducts!J14</f>
        <v>0.05</v>
      </c>
      <c r="E112" s="9">
        <f>Ducts!K14</f>
        <v>0.05</v>
      </c>
      <c r="F112" s="9">
        <f>Ducts!L14</f>
        <v>0.05</v>
      </c>
      <c r="G112" s="9">
        <f>Ducts!M14</f>
        <v>0.05</v>
      </c>
      <c r="H112" s="9">
        <f>Ducts!N14</f>
        <v>0.05</v>
      </c>
      <c r="I112" s="9">
        <f>Ducts!O14</f>
        <v>0.05</v>
      </c>
      <c r="J112" s="9">
        <f>Ducts!P14</f>
        <v>0.05</v>
      </c>
      <c r="K112" s="9">
        <f>Ducts!Q14</f>
        <v>0.05</v>
      </c>
      <c r="L112" s="9">
        <f>Ducts!R14</f>
        <v>0.05</v>
      </c>
      <c r="M112" s="9">
        <f>Ducts!S14</f>
        <v>0.05</v>
      </c>
      <c r="N112" s="9">
        <f>Ducts!T14</f>
        <v>0.05</v>
      </c>
      <c r="O112" s="9">
        <f>Ducts!U14</f>
        <v>0.05</v>
      </c>
      <c r="P112" s="9">
        <f>Ducts!V14</f>
        <v>0.05</v>
      </c>
      <c r="Q112" s="9">
        <f>Ducts!W14</f>
        <v>0.05</v>
      </c>
      <c r="R112" s="9">
        <f>Ducts!X14</f>
        <v>0.05</v>
      </c>
    </row>
    <row r="113" spans="1:18" ht="15" customHeight="1">
      <c r="B113" s="254" t="s">
        <v>998</v>
      </c>
      <c r="C113" s="9">
        <f>Ducts!I14</f>
        <v>0.05</v>
      </c>
      <c r="D113" s="9">
        <f>Ducts!J14</f>
        <v>0.05</v>
      </c>
      <c r="E113" s="9">
        <f>Ducts!K14</f>
        <v>0.05</v>
      </c>
      <c r="F113" s="9">
        <f>Ducts!L14</f>
        <v>0.05</v>
      </c>
      <c r="G113" s="9">
        <f>Ducts!M14</f>
        <v>0.05</v>
      </c>
      <c r="H113" s="9">
        <f>Ducts!N14</f>
        <v>0.05</v>
      </c>
      <c r="I113" s="9">
        <f>Ducts!O14</f>
        <v>0.05</v>
      </c>
      <c r="J113" s="9">
        <f>Ducts!P14</f>
        <v>0.05</v>
      </c>
      <c r="K113" s="9">
        <f>Ducts!Q14</f>
        <v>0.05</v>
      </c>
      <c r="L113" s="9">
        <f>Ducts!R14</f>
        <v>0.05</v>
      </c>
      <c r="M113" s="9">
        <f>Ducts!S14</f>
        <v>0.05</v>
      </c>
      <c r="N113" s="9">
        <f>Ducts!T14</f>
        <v>0.05</v>
      </c>
      <c r="O113" s="9">
        <f>Ducts!U14</f>
        <v>0.05</v>
      </c>
      <c r="P113" s="9">
        <f>Ducts!V14</f>
        <v>0.05</v>
      </c>
      <c r="Q113" s="9">
        <f>Ducts!W14</f>
        <v>0.05</v>
      </c>
      <c r="R113" s="9">
        <f>Ducts!X14</f>
        <v>0.05</v>
      </c>
    </row>
    <row r="114" spans="1:18" ht="15" customHeight="1">
      <c r="B114" s="254" t="s">
        <v>104</v>
      </c>
      <c r="C114" s="9">
        <f>Ducts!I16</f>
        <v>1.5322296583303978</v>
      </c>
      <c r="D114" s="9">
        <f>Ducts!J16</f>
        <v>1.5322296583303978</v>
      </c>
      <c r="E114" s="9">
        <f>Ducts!K16</f>
        <v>1.5322296583303978</v>
      </c>
      <c r="F114" s="9">
        <f>Ducts!L16</f>
        <v>1.5322296583303978</v>
      </c>
      <c r="G114" s="9">
        <f>Ducts!M16</f>
        <v>1.5322296583303978</v>
      </c>
      <c r="H114" s="9">
        <f>Ducts!N16</f>
        <v>1.5322296583303978</v>
      </c>
      <c r="I114" s="9">
        <f>Ducts!O16</f>
        <v>1.5322296583303978</v>
      </c>
      <c r="J114" s="9">
        <f>Ducts!P16</f>
        <v>1.5322296583303978</v>
      </c>
      <c r="K114" s="9">
        <f>Ducts!Q16</f>
        <v>1.5322296583303978</v>
      </c>
      <c r="L114" s="9">
        <f>Ducts!R16</f>
        <v>1.5322296583303978</v>
      </c>
      <c r="M114" s="9">
        <f>Ducts!S16</f>
        <v>1.5322296583303978</v>
      </c>
      <c r="N114" s="9">
        <f>Ducts!T16</f>
        <v>1.5322296583303978</v>
      </c>
      <c r="O114" s="9">
        <f>Ducts!U16</f>
        <v>1.5322296583303978</v>
      </c>
      <c r="P114" s="9">
        <f>Ducts!V16</f>
        <v>1.5322296583303978</v>
      </c>
      <c r="Q114" s="9">
        <f>Ducts!W16</f>
        <v>1.5322296583303978</v>
      </c>
      <c r="R114" s="9">
        <f>Ducts!X16</f>
        <v>1.5322296583303978</v>
      </c>
    </row>
    <row r="115" spans="1:18" ht="15" customHeight="1">
      <c r="B115" s="254" t="s">
        <v>106</v>
      </c>
      <c r="C115" s="9">
        <f>Ducts!I16</f>
        <v>1.5322296583303978</v>
      </c>
      <c r="D115" s="9">
        <f>Ducts!J16</f>
        <v>1.5322296583303978</v>
      </c>
      <c r="E115" s="9">
        <f>Ducts!K16</f>
        <v>1.5322296583303978</v>
      </c>
      <c r="F115" s="9">
        <f>Ducts!L16</f>
        <v>1.5322296583303978</v>
      </c>
      <c r="G115" s="9">
        <f>Ducts!M16</f>
        <v>1.5322296583303978</v>
      </c>
      <c r="H115" s="9">
        <f>Ducts!N16</f>
        <v>1.5322296583303978</v>
      </c>
      <c r="I115" s="9">
        <f>Ducts!O16</f>
        <v>1.5322296583303978</v>
      </c>
      <c r="J115" s="9">
        <f>Ducts!P16</f>
        <v>1.5322296583303978</v>
      </c>
      <c r="K115" s="9">
        <f>Ducts!Q16</f>
        <v>1.5322296583303978</v>
      </c>
      <c r="L115" s="9">
        <f>Ducts!R16</f>
        <v>1.5322296583303978</v>
      </c>
      <c r="M115" s="9">
        <f>Ducts!S16</f>
        <v>1.5322296583303978</v>
      </c>
      <c r="N115" s="9">
        <f>Ducts!T16</f>
        <v>1.5322296583303978</v>
      </c>
      <c r="O115" s="9">
        <f>Ducts!U16</f>
        <v>1.5322296583303978</v>
      </c>
      <c r="P115" s="9">
        <f>Ducts!V16</f>
        <v>1.5322296583303978</v>
      </c>
      <c r="Q115" s="9">
        <f>Ducts!W16</f>
        <v>1.5322296583303978</v>
      </c>
      <c r="R115" s="9">
        <f>Ducts!X16</f>
        <v>1.5322296583303978</v>
      </c>
    </row>
    <row r="116" spans="1:18" ht="15" customHeight="1">
      <c r="B116" s="254" t="s">
        <v>1132</v>
      </c>
      <c r="C116" s="153">
        <f>Inputs!C116</f>
        <v>2.5000000000000001E-2</v>
      </c>
      <c r="D116" s="153">
        <f t="shared" ref="D116:R125" si="47">C116</f>
        <v>2.5000000000000001E-2</v>
      </c>
      <c r="E116" s="153">
        <f t="shared" si="47"/>
        <v>2.5000000000000001E-2</v>
      </c>
      <c r="F116" s="153">
        <f t="shared" si="47"/>
        <v>2.5000000000000001E-2</v>
      </c>
      <c r="G116" s="153">
        <f t="shared" si="47"/>
        <v>2.5000000000000001E-2</v>
      </c>
      <c r="H116" s="153">
        <f t="shared" si="47"/>
        <v>2.5000000000000001E-2</v>
      </c>
      <c r="I116" s="153">
        <f t="shared" si="47"/>
        <v>2.5000000000000001E-2</v>
      </c>
      <c r="J116" s="153">
        <f t="shared" si="47"/>
        <v>2.5000000000000001E-2</v>
      </c>
      <c r="K116" s="153">
        <f t="shared" si="47"/>
        <v>2.5000000000000001E-2</v>
      </c>
      <c r="L116" s="153">
        <f t="shared" si="47"/>
        <v>2.5000000000000001E-2</v>
      </c>
      <c r="M116" s="153">
        <f t="shared" si="47"/>
        <v>2.5000000000000001E-2</v>
      </c>
      <c r="N116" s="153">
        <f t="shared" si="47"/>
        <v>2.5000000000000001E-2</v>
      </c>
      <c r="O116" s="153">
        <f t="shared" si="47"/>
        <v>2.5000000000000001E-2</v>
      </c>
      <c r="P116" s="153">
        <f t="shared" si="47"/>
        <v>2.5000000000000001E-2</v>
      </c>
      <c r="Q116" s="153">
        <f t="shared" si="47"/>
        <v>2.5000000000000001E-2</v>
      </c>
      <c r="R116" s="153">
        <f t="shared" si="47"/>
        <v>2.5000000000000001E-2</v>
      </c>
    </row>
    <row r="117" spans="1:18" ht="15" customHeight="1">
      <c r="B117" s="254" t="s">
        <v>1133</v>
      </c>
      <c r="C117" s="153">
        <f>Inputs!C117</f>
        <v>2.5000000000000001E-2</v>
      </c>
      <c r="D117" s="153">
        <f t="shared" si="47"/>
        <v>2.5000000000000001E-2</v>
      </c>
      <c r="E117" s="153">
        <f t="shared" si="47"/>
        <v>2.5000000000000001E-2</v>
      </c>
      <c r="F117" s="153">
        <f t="shared" si="47"/>
        <v>2.5000000000000001E-2</v>
      </c>
      <c r="G117" s="153">
        <f t="shared" si="47"/>
        <v>2.5000000000000001E-2</v>
      </c>
      <c r="H117" s="153">
        <f t="shared" si="47"/>
        <v>2.5000000000000001E-2</v>
      </c>
      <c r="I117" s="153">
        <f t="shared" si="47"/>
        <v>2.5000000000000001E-2</v>
      </c>
      <c r="J117" s="153">
        <f t="shared" si="47"/>
        <v>2.5000000000000001E-2</v>
      </c>
      <c r="K117" s="153">
        <f t="shared" si="47"/>
        <v>2.5000000000000001E-2</v>
      </c>
      <c r="L117" s="153">
        <f t="shared" si="47"/>
        <v>2.5000000000000001E-2</v>
      </c>
      <c r="M117" s="153">
        <f t="shared" si="47"/>
        <v>2.5000000000000001E-2</v>
      </c>
      <c r="N117" s="153">
        <f t="shared" si="47"/>
        <v>2.5000000000000001E-2</v>
      </c>
      <c r="O117" s="153">
        <f t="shared" si="47"/>
        <v>2.5000000000000001E-2</v>
      </c>
      <c r="P117" s="153">
        <f t="shared" si="47"/>
        <v>2.5000000000000001E-2</v>
      </c>
      <c r="Q117" s="153">
        <f t="shared" si="47"/>
        <v>2.5000000000000001E-2</v>
      </c>
      <c r="R117" s="153">
        <f t="shared" si="47"/>
        <v>2.5000000000000001E-2</v>
      </c>
    </row>
    <row r="118" spans="1:18" ht="15" customHeight="1">
      <c r="B118" s="254" t="s">
        <v>999</v>
      </c>
      <c r="C118" s="8">
        <f>Inputs!C118</f>
        <v>56.050685570196265</v>
      </c>
      <c r="D118" s="8">
        <f t="shared" si="47"/>
        <v>56.050685570196265</v>
      </c>
      <c r="E118" s="8">
        <f t="shared" si="47"/>
        <v>56.050685570196265</v>
      </c>
      <c r="F118" s="8">
        <f t="shared" si="47"/>
        <v>56.050685570196265</v>
      </c>
      <c r="G118" s="8">
        <f t="shared" si="47"/>
        <v>56.050685570196265</v>
      </c>
      <c r="H118" s="8">
        <f t="shared" si="47"/>
        <v>56.050685570196265</v>
      </c>
      <c r="I118" s="8">
        <f t="shared" si="47"/>
        <v>56.050685570196265</v>
      </c>
      <c r="J118" s="8">
        <f t="shared" si="47"/>
        <v>56.050685570196265</v>
      </c>
      <c r="K118" s="8">
        <f t="shared" si="47"/>
        <v>56.050685570196265</v>
      </c>
      <c r="L118" s="8">
        <f t="shared" si="47"/>
        <v>56.050685570196265</v>
      </c>
      <c r="M118" s="8">
        <f t="shared" si="47"/>
        <v>56.050685570196265</v>
      </c>
      <c r="N118" s="8">
        <f t="shared" si="47"/>
        <v>56.050685570196265</v>
      </c>
      <c r="O118" s="8">
        <f t="shared" si="47"/>
        <v>56.050685570196265</v>
      </c>
      <c r="P118" s="8">
        <f t="shared" si="47"/>
        <v>56.050685570196265</v>
      </c>
      <c r="Q118" s="8">
        <f t="shared" si="47"/>
        <v>56.050685570196265</v>
      </c>
      <c r="R118" s="8">
        <f t="shared" si="47"/>
        <v>56.050685570196265</v>
      </c>
    </row>
    <row r="119" spans="1:18" ht="15" customHeight="1">
      <c r="B119" s="254" t="s">
        <v>1000</v>
      </c>
      <c r="C119" s="8">
        <f>Inputs!C119</f>
        <v>17.743173653116894</v>
      </c>
      <c r="D119" s="8">
        <f t="shared" si="47"/>
        <v>17.743173653116894</v>
      </c>
      <c r="E119" s="8">
        <f t="shared" si="47"/>
        <v>17.743173653116894</v>
      </c>
      <c r="F119" s="8">
        <f t="shared" si="47"/>
        <v>17.743173653116894</v>
      </c>
      <c r="G119" s="8">
        <f t="shared" si="47"/>
        <v>17.743173653116894</v>
      </c>
      <c r="H119" s="8">
        <f t="shared" si="47"/>
        <v>17.743173653116894</v>
      </c>
      <c r="I119" s="8">
        <f t="shared" si="47"/>
        <v>17.743173653116894</v>
      </c>
      <c r="J119" s="8">
        <f t="shared" si="47"/>
        <v>17.743173653116894</v>
      </c>
      <c r="K119" s="8">
        <f t="shared" si="47"/>
        <v>17.743173653116894</v>
      </c>
      <c r="L119" s="8">
        <f t="shared" si="47"/>
        <v>17.743173653116894</v>
      </c>
      <c r="M119" s="8">
        <f t="shared" si="47"/>
        <v>17.743173653116894</v>
      </c>
      <c r="N119" s="8">
        <f t="shared" si="47"/>
        <v>17.743173653116894</v>
      </c>
      <c r="O119" s="8">
        <f t="shared" si="47"/>
        <v>17.743173653116894</v>
      </c>
      <c r="P119" s="8">
        <f t="shared" si="47"/>
        <v>17.743173653116894</v>
      </c>
      <c r="Q119" s="8">
        <f t="shared" si="47"/>
        <v>17.743173653116894</v>
      </c>
      <c r="R119" s="8">
        <f t="shared" si="47"/>
        <v>17.743173653116894</v>
      </c>
    </row>
    <row r="120" spans="1:18" ht="15" customHeight="1">
      <c r="B120" s="254" t="s">
        <v>1001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</row>
    <row r="121" spans="1:18" ht="15" customHeight="1">
      <c r="B121" s="254" t="s">
        <v>1002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</row>
    <row r="122" spans="1:18" ht="15" customHeight="1">
      <c r="B122" s="254" t="s">
        <v>1003</v>
      </c>
      <c r="C122" s="353">
        <f>HVAC!B135</f>
        <v>0.28320000000000001</v>
      </c>
      <c r="D122" s="353">
        <f>HVAC!C135</f>
        <v>0.37759999999999999</v>
      </c>
      <c r="E122" s="353">
        <f>HVAC!D135</f>
        <v>0.37759999999999999</v>
      </c>
      <c r="F122" s="353">
        <f>HVAC!E135</f>
        <v>0.37759999999999999</v>
      </c>
      <c r="G122" s="353">
        <f>HVAC!F135</f>
        <v>0.37759999999999999</v>
      </c>
      <c r="H122" s="353">
        <f>HVAC!G135</f>
        <v>0.37759999999999999</v>
      </c>
      <c r="I122" s="353">
        <f>HVAC!H135</f>
        <v>0.37759999999999999</v>
      </c>
      <c r="J122" s="353">
        <f>HVAC!I135</f>
        <v>0.37759999999999999</v>
      </c>
      <c r="K122" s="353">
        <f>HVAC!J135</f>
        <v>0.37759999999999999</v>
      </c>
      <c r="L122" s="353">
        <f>HVAC!K135</f>
        <v>0.37759999999999999</v>
      </c>
      <c r="M122" s="353">
        <f>HVAC!L135</f>
        <v>0.47199999999999998</v>
      </c>
      <c r="N122" s="353">
        <f>HVAC!M135</f>
        <v>0.37759999999999999</v>
      </c>
      <c r="O122" s="353">
        <f>HVAC!N135</f>
        <v>0.47199999999999998</v>
      </c>
      <c r="P122" s="353">
        <f>HVAC!O135</f>
        <v>0.37759999999999999</v>
      </c>
      <c r="Q122" s="353">
        <f>HVAC!P135</f>
        <v>0.47199999999999998</v>
      </c>
      <c r="R122" s="353">
        <f>HVAC!Q135</f>
        <v>0.37759999999999999</v>
      </c>
    </row>
    <row r="123" spans="1:18" ht="15" customHeight="1">
      <c r="B123" s="254" t="s">
        <v>1004</v>
      </c>
      <c r="C123" s="353">
        <f>HVAC!B139</f>
        <v>0.19031039999999999</v>
      </c>
      <c r="D123" s="353">
        <f>HVAC!C139</f>
        <v>0.19031039999999999</v>
      </c>
      <c r="E123" s="353">
        <f>HVAC!D139</f>
        <v>0.19031039999999999</v>
      </c>
      <c r="F123" s="353">
        <f>HVAC!E139</f>
        <v>0.19031039999999999</v>
      </c>
      <c r="G123" s="353">
        <f>HVAC!F139</f>
        <v>0.19031039999999999</v>
      </c>
      <c r="H123" s="353">
        <f>HVAC!G139</f>
        <v>0.19031039999999999</v>
      </c>
      <c r="I123" s="353">
        <f>HVAC!H139</f>
        <v>0.19031039999999999</v>
      </c>
      <c r="J123" s="353">
        <f>HVAC!I139</f>
        <v>0.19031039999999999</v>
      </c>
      <c r="K123" s="353">
        <f>HVAC!J139</f>
        <v>0.19031039999999999</v>
      </c>
      <c r="L123" s="353">
        <f>HVAC!K139</f>
        <v>0.19031039999999999</v>
      </c>
      <c r="M123" s="353">
        <f>HVAC!L139</f>
        <v>0.23788799999999999</v>
      </c>
      <c r="N123" s="353">
        <f>HVAC!M139</f>
        <v>0.19031039999999999</v>
      </c>
      <c r="O123" s="353">
        <f>HVAC!N139</f>
        <v>0.23788799999999999</v>
      </c>
      <c r="P123" s="353">
        <f>HVAC!O139</f>
        <v>0.19031039999999999</v>
      </c>
      <c r="Q123" s="353">
        <f>HVAC!P139</f>
        <v>0.23788799999999999</v>
      </c>
      <c r="R123" s="353">
        <f>HVAC!Q139</f>
        <v>0.19031039999999999</v>
      </c>
    </row>
    <row r="124" spans="1:18" ht="15" customHeight="1">
      <c r="B124" s="254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</row>
    <row r="125" spans="1:18" ht="15" customHeight="1">
      <c r="B125" s="254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</row>
    <row r="126" spans="1:18" ht="15" customHeight="1">
      <c r="B126" s="254" t="s">
        <v>117</v>
      </c>
      <c r="C126" s="355">
        <f>HVAC!B141</f>
        <v>1.0262880037676171E-3</v>
      </c>
      <c r="D126" s="355">
        <f>HVAC!C141</f>
        <v>1.3683840050234895E-3</v>
      </c>
      <c r="E126" s="355">
        <f>HVAC!D141</f>
        <v>1.3683840050234895E-3</v>
      </c>
      <c r="F126" s="355">
        <f>HVAC!E141</f>
        <v>1.3683840050234895E-3</v>
      </c>
      <c r="G126" s="355">
        <f>HVAC!F141</f>
        <v>1.3683840050234895E-3</v>
      </c>
      <c r="H126" s="355">
        <f>HVAC!G141</f>
        <v>1.3683840050234895E-3</v>
      </c>
      <c r="I126" s="355">
        <f>HVAC!H141</f>
        <v>1.3683840050234895E-3</v>
      </c>
      <c r="J126" s="355">
        <f>HVAC!I141</f>
        <v>1.3683840050234895E-3</v>
      </c>
      <c r="K126" s="355">
        <f>HVAC!J141</f>
        <v>1.3683840050234895E-3</v>
      </c>
      <c r="L126" s="355">
        <f>HVAC!K141</f>
        <v>1.3683840050234895E-3</v>
      </c>
      <c r="M126" s="355">
        <f>HVAC!L141</f>
        <v>1.7104800062793617E-3</v>
      </c>
      <c r="N126" s="355">
        <f>HVAC!M141</f>
        <v>1.3683840050234895E-3</v>
      </c>
      <c r="O126" s="355">
        <f>HVAC!N141</f>
        <v>1.7104800062793617E-3</v>
      </c>
      <c r="P126" s="355">
        <f>HVAC!O141</f>
        <v>1.3683840050234895E-3</v>
      </c>
      <c r="Q126" s="355">
        <f>HVAC!P141</f>
        <v>1.7104800062793617E-3</v>
      </c>
      <c r="R126" s="355">
        <f>HVAC!Q141</f>
        <v>1.3683840050234895E-3</v>
      </c>
    </row>
    <row r="127" spans="1:18" ht="15" customHeight="1">
      <c r="B127" s="254" t="s">
        <v>119</v>
      </c>
      <c r="C127" s="355">
        <f>HVAC!B142</f>
        <v>1.0262880037676171E-3</v>
      </c>
      <c r="D127" s="355">
        <f>HVAC!C142</f>
        <v>1.3683840050234895E-3</v>
      </c>
      <c r="E127" s="355">
        <f>HVAC!D142</f>
        <v>1.3683840050234895E-3</v>
      </c>
      <c r="F127" s="355">
        <f>HVAC!E142</f>
        <v>1.3683840050234895E-3</v>
      </c>
      <c r="G127" s="355">
        <f>HVAC!F142</f>
        <v>1.3683840050234895E-3</v>
      </c>
      <c r="H127" s="355">
        <f>HVAC!G142</f>
        <v>1.3683840050234895E-3</v>
      </c>
      <c r="I127" s="355">
        <f>HVAC!H142</f>
        <v>1.3683840050234895E-3</v>
      </c>
      <c r="J127" s="355">
        <f>HVAC!I142</f>
        <v>1.3683840050234895E-3</v>
      </c>
      <c r="K127" s="355">
        <f>HVAC!J142</f>
        <v>1.3683840050234895E-3</v>
      </c>
      <c r="L127" s="355">
        <f>HVAC!K142</f>
        <v>1.3683840050234895E-3</v>
      </c>
      <c r="M127" s="355">
        <f>HVAC!L142</f>
        <v>1.7104800062793617E-3</v>
      </c>
      <c r="N127" s="355">
        <f>HVAC!M142</f>
        <v>1.3683840050234895E-3</v>
      </c>
      <c r="O127" s="355">
        <f>HVAC!N142</f>
        <v>1.7104800062793617E-3</v>
      </c>
      <c r="P127" s="355">
        <f>HVAC!O142</f>
        <v>1.3683840050234895E-3</v>
      </c>
      <c r="Q127" s="355">
        <f>HVAC!P142</f>
        <v>1.7104800062793617E-3</v>
      </c>
      <c r="R127" s="355">
        <f>HVAC!Q142</f>
        <v>1.3683840050234895E-3</v>
      </c>
    </row>
    <row r="128" spans="1:18" ht="15" customHeight="1">
      <c r="A128" s="254" t="s">
        <v>490</v>
      </c>
      <c r="B128" s="254" t="s">
        <v>396</v>
      </c>
      <c r="C128" s="353">
        <f>HVAC!B133</f>
        <v>1.5</v>
      </c>
      <c r="D128" s="353">
        <f>HVAC!C133</f>
        <v>2</v>
      </c>
      <c r="E128" s="353">
        <f>HVAC!D133</f>
        <v>2</v>
      </c>
      <c r="F128" s="353">
        <f>HVAC!E133</f>
        <v>2</v>
      </c>
      <c r="G128" s="353">
        <f>HVAC!F133</f>
        <v>2</v>
      </c>
      <c r="H128" s="353">
        <f>HVAC!G133</f>
        <v>2</v>
      </c>
      <c r="I128" s="353">
        <f>HVAC!H133</f>
        <v>2</v>
      </c>
      <c r="J128" s="353">
        <f>HVAC!I133</f>
        <v>2</v>
      </c>
      <c r="K128" s="353">
        <f>HVAC!J133</f>
        <v>2</v>
      </c>
      <c r="L128" s="353">
        <f>HVAC!K133</f>
        <v>2</v>
      </c>
      <c r="M128" s="353">
        <f>HVAC!L133</f>
        <v>2.5</v>
      </c>
      <c r="N128" s="353">
        <f>HVAC!M133</f>
        <v>2</v>
      </c>
      <c r="O128" s="353">
        <f>HVAC!N133</f>
        <v>2.5</v>
      </c>
      <c r="P128" s="353">
        <f>HVAC!O133</f>
        <v>2</v>
      </c>
      <c r="Q128" s="353">
        <f>HVAC!P133</f>
        <v>2.5</v>
      </c>
      <c r="R128" s="353">
        <f>HVAC!Q133</f>
        <v>2</v>
      </c>
    </row>
    <row r="129" spans="1:19" ht="15" customHeight="1">
      <c r="B129" s="254" t="s">
        <v>397</v>
      </c>
      <c r="C129" s="356">
        <f>12*C128</f>
        <v>18</v>
      </c>
      <c r="D129" s="356">
        <f t="shared" ref="D129:R129" si="48">12*D128</f>
        <v>24</v>
      </c>
      <c r="E129" s="356">
        <f t="shared" si="48"/>
        <v>24</v>
      </c>
      <c r="F129" s="356">
        <f t="shared" si="48"/>
        <v>24</v>
      </c>
      <c r="G129" s="356">
        <f t="shared" si="48"/>
        <v>24</v>
      </c>
      <c r="H129" s="356">
        <f t="shared" si="48"/>
        <v>24</v>
      </c>
      <c r="I129" s="356">
        <f t="shared" si="48"/>
        <v>24</v>
      </c>
      <c r="J129" s="356">
        <f t="shared" si="48"/>
        <v>24</v>
      </c>
      <c r="K129" s="356">
        <f t="shared" si="48"/>
        <v>24</v>
      </c>
      <c r="L129" s="356">
        <f t="shared" si="48"/>
        <v>24</v>
      </c>
      <c r="M129" s="356">
        <f t="shared" si="48"/>
        <v>30</v>
      </c>
      <c r="N129" s="356">
        <f t="shared" si="48"/>
        <v>24</v>
      </c>
      <c r="O129" s="356">
        <f t="shared" si="48"/>
        <v>30</v>
      </c>
      <c r="P129" s="356">
        <f t="shared" si="48"/>
        <v>24</v>
      </c>
      <c r="Q129" s="356">
        <f t="shared" si="48"/>
        <v>30</v>
      </c>
      <c r="R129" s="356">
        <f t="shared" si="48"/>
        <v>24</v>
      </c>
    </row>
    <row r="130" spans="1:19" ht="15" customHeight="1">
      <c r="B130" s="254" t="s">
        <v>395</v>
      </c>
      <c r="C130" s="354">
        <f>HVAC!C10</f>
        <v>12.8</v>
      </c>
      <c r="D130" s="354">
        <f>HVAC!D10</f>
        <v>12.8</v>
      </c>
      <c r="E130" s="354">
        <f>HVAC!E10</f>
        <v>12.8</v>
      </c>
      <c r="F130" s="354">
        <f>HVAC!F10</f>
        <v>12.8</v>
      </c>
      <c r="G130" s="354">
        <f>HVAC!G10</f>
        <v>12.8</v>
      </c>
      <c r="H130" s="354">
        <f>HVAC!H10</f>
        <v>12.8</v>
      </c>
      <c r="I130" s="354">
        <f>HVAC!I10</f>
        <v>12.8</v>
      </c>
      <c r="J130" s="354">
        <f>HVAC!J10</f>
        <v>12.8</v>
      </c>
      <c r="K130" s="354">
        <f>HVAC!K10</f>
        <v>12.8</v>
      </c>
      <c r="L130" s="354">
        <f>HVAC!L10</f>
        <v>12.8</v>
      </c>
      <c r="M130" s="354">
        <f>HVAC!M10</f>
        <v>12.8</v>
      </c>
      <c r="N130" s="354">
        <f>HVAC!N10</f>
        <v>12.8</v>
      </c>
      <c r="O130" s="354">
        <f>HVAC!O10</f>
        <v>12.8</v>
      </c>
      <c r="P130" s="354">
        <f>HVAC!P10</f>
        <v>12.8</v>
      </c>
      <c r="Q130" s="354">
        <f>HVAC!Q10</f>
        <v>12.8</v>
      </c>
      <c r="R130" s="354">
        <f>HVAC!R10</f>
        <v>12.8</v>
      </c>
    </row>
    <row r="131" spans="1:19" ht="15" customHeight="1">
      <c r="B131" s="254" t="s">
        <v>1005</v>
      </c>
      <c r="C131" s="354">
        <f>12000/1000*HVAC!B137</f>
        <v>24</v>
      </c>
      <c r="D131" s="354">
        <f>12000/1000*HVAC!C137</f>
        <v>24</v>
      </c>
      <c r="E131" s="354">
        <f>12000/1000*HVAC!D137</f>
        <v>24</v>
      </c>
      <c r="F131" s="354">
        <f>12000/1000*HVAC!E137</f>
        <v>24</v>
      </c>
      <c r="G131" s="354">
        <f>12000/1000*HVAC!F137</f>
        <v>24</v>
      </c>
      <c r="H131" s="354">
        <f>12000/1000*HVAC!G137</f>
        <v>24</v>
      </c>
      <c r="I131" s="354">
        <f>12000/1000*HVAC!H137</f>
        <v>24</v>
      </c>
      <c r="J131" s="354">
        <f>12000/1000*HVAC!I137</f>
        <v>24</v>
      </c>
      <c r="K131" s="354">
        <f>12000/1000*HVAC!J137</f>
        <v>24</v>
      </c>
      <c r="L131" s="354">
        <f>12000/1000*HVAC!K137</f>
        <v>24</v>
      </c>
      <c r="M131" s="354">
        <f>12000/1000*HVAC!L137</f>
        <v>30</v>
      </c>
      <c r="N131" s="354">
        <f>12000/1000*HVAC!M137</f>
        <v>24</v>
      </c>
      <c r="O131" s="354">
        <f>12000/1000*HVAC!N137</f>
        <v>30</v>
      </c>
      <c r="P131" s="354">
        <f>12000/1000*HVAC!O137</f>
        <v>24</v>
      </c>
      <c r="Q131" s="354">
        <f>12000/1000*HVAC!P137</f>
        <v>30</v>
      </c>
      <c r="R131" s="354">
        <f>12000/1000*HVAC!Q137</f>
        <v>24</v>
      </c>
    </row>
    <row r="132" spans="1:19" ht="15" customHeight="1">
      <c r="B132" s="254" t="s">
        <v>1006</v>
      </c>
      <c r="C132" s="354">
        <f>HVAC!B140</f>
        <v>161.28</v>
      </c>
      <c r="D132" s="354">
        <f>HVAC!C140</f>
        <v>161.28</v>
      </c>
      <c r="E132" s="354">
        <f>HVAC!D140</f>
        <v>161.28</v>
      </c>
      <c r="F132" s="354">
        <f>HVAC!E140</f>
        <v>161.28</v>
      </c>
      <c r="G132" s="354">
        <f>HVAC!F140</f>
        <v>161.28</v>
      </c>
      <c r="H132" s="354">
        <f>HVAC!G140</f>
        <v>161.28</v>
      </c>
      <c r="I132" s="354">
        <f>HVAC!H140</f>
        <v>161.28</v>
      </c>
      <c r="J132" s="354">
        <f>HVAC!I140</f>
        <v>161.28</v>
      </c>
      <c r="K132" s="354">
        <f>HVAC!J140</f>
        <v>161.28</v>
      </c>
      <c r="L132" s="354">
        <f>HVAC!K140</f>
        <v>161.28</v>
      </c>
      <c r="M132" s="354">
        <f>HVAC!L140</f>
        <v>201.6</v>
      </c>
      <c r="N132" s="354">
        <f>HVAC!M140</f>
        <v>161.28</v>
      </c>
      <c r="O132" s="354">
        <f>HVAC!N140</f>
        <v>201.6</v>
      </c>
      <c r="P132" s="354">
        <f>HVAC!O140</f>
        <v>161.28</v>
      </c>
      <c r="Q132" s="354">
        <f>HVAC!P140</f>
        <v>201.6</v>
      </c>
      <c r="R132" s="354">
        <f>HVAC!Q140</f>
        <v>161.28</v>
      </c>
    </row>
    <row r="133" spans="1:19" ht="15" customHeight="1">
      <c r="B133" s="254" t="s">
        <v>1007</v>
      </c>
      <c r="C133" s="354">
        <f>HVAC!B136</f>
        <v>240</v>
      </c>
      <c r="D133" s="354">
        <f>HVAC!C136</f>
        <v>320</v>
      </c>
      <c r="E133" s="354">
        <f>HVAC!D136</f>
        <v>320</v>
      </c>
      <c r="F133" s="354">
        <f>HVAC!E136</f>
        <v>320</v>
      </c>
      <c r="G133" s="354">
        <f>HVAC!F136</f>
        <v>320</v>
      </c>
      <c r="H133" s="354">
        <f>HVAC!G136</f>
        <v>320</v>
      </c>
      <c r="I133" s="354">
        <f>HVAC!H136</f>
        <v>320</v>
      </c>
      <c r="J133" s="354">
        <f>HVAC!I136</f>
        <v>320</v>
      </c>
      <c r="K133" s="354">
        <f>HVAC!J136</f>
        <v>320</v>
      </c>
      <c r="L133" s="354">
        <f>HVAC!K136</f>
        <v>320</v>
      </c>
      <c r="M133" s="354">
        <f>HVAC!L136</f>
        <v>400</v>
      </c>
      <c r="N133" s="354">
        <f>HVAC!M136</f>
        <v>320</v>
      </c>
      <c r="O133" s="354">
        <f>HVAC!N136</f>
        <v>400</v>
      </c>
      <c r="P133" s="354">
        <f>HVAC!O136</f>
        <v>320</v>
      </c>
      <c r="Q133" s="354">
        <f>HVAC!P136</f>
        <v>400</v>
      </c>
      <c r="R133" s="354">
        <f>HVAC!Q136</f>
        <v>320</v>
      </c>
    </row>
    <row r="134" spans="1:19" ht="15" customHeight="1">
      <c r="B134" s="254" t="s">
        <v>398</v>
      </c>
      <c r="C134" s="8">
        <f>Inputs!C134</f>
        <v>1</v>
      </c>
      <c r="D134" s="8">
        <f t="shared" ref="D134:R134" si="49">C134</f>
        <v>1</v>
      </c>
      <c r="E134" s="8">
        <f t="shared" si="49"/>
        <v>1</v>
      </c>
      <c r="F134" s="8">
        <f t="shared" si="49"/>
        <v>1</v>
      </c>
      <c r="G134" s="8">
        <f t="shared" si="49"/>
        <v>1</v>
      </c>
      <c r="H134" s="8">
        <f t="shared" si="49"/>
        <v>1</v>
      </c>
      <c r="I134" s="8">
        <f t="shared" si="49"/>
        <v>1</v>
      </c>
      <c r="J134" s="8">
        <f t="shared" si="49"/>
        <v>1</v>
      </c>
      <c r="K134" s="8">
        <f t="shared" si="49"/>
        <v>1</v>
      </c>
      <c r="L134" s="8">
        <f t="shared" si="49"/>
        <v>1</v>
      </c>
      <c r="M134" s="8">
        <f t="shared" si="49"/>
        <v>1</v>
      </c>
      <c r="N134" s="8">
        <f t="shared" si="49"/>
        <v>1</v>
      </c>
      <c r="O134" s="8">
        <f t="shared" si="49"/>
        <v>1</v>
      </c>
      <c r="P134" s="8">
        <f t="shared" si="49"/>
        <v>1</v>
      </c>
      <c r="Q134" s="8">
        <f t="shared" si="49"/>
        <v>1</v>
      </c>
      <c r="R134" s="8">
        <f t="shared" si="49"/>
        <v>1</v>
      </c>
    </row>
    <row r="135" spans="1:19" ht="15" customHeight="1">
      <c r="B135" s="254" t="s">
        <v>378</v>
      </c>
      <c r="C135" s="153">
        <f>HVAC!C14</f>
        <v>0.92</v>
      </c>
      <c r="D135" s="153">
        <f>HVAC!D14</f>
        <v>0.92</v>
      </c>
      <c r="E135" s="153">
        <f>HVAC!E14</f>
        <v>0.92</v>
      </c>
      <c r="F135" s="153">
        <f>HVAC!F14</f>
        <v>0.92</v>
      </c>
      <c r="G135" s="153">
        <f>HVAC!G14</f>
        <v>0.92</v>
      </c>
      <c r="H135" s="153">
        <f>HVAC!H14</f>
        <v>0.92</v>
      </c>
      <c r="I135" s="153">
        <f>HVAC!I14</f>
        <v>0.92</v>
      </c>
      <c r="J135" s="153">
        <f>HVAC!J14</f>
        <v>0.92</v>
      </c>
      <c r="K135" s="153">
        <f>HVAC!K14</f>
        <v>0.92</v>
      </c>
      <c r="L135" s="153">
        <f>HVAC!L14</f>
        <v>0.92</v>
      </c>
      <c r="M135" s="153">
        <f>HVAC!M14</f>
        <v>0.92</v>
      </c>
      <c r="N135" s="153">
        <f>HVAC!N14</f>
        <v>0.92</v>
      </c>
      <c r="O135" s="153">
        <f>HVAC!O14</f>
        <v>0.92</v>
      </c>
      <c r="P135" s="153">
        <f>HVAC!P14</f>
        <v>0.92</v>
      </c>
      <c r="Q135" s="153">
        <f>HVAC!Q14</f>
        <v>0.92</v>
      </c>
      <c r="R135" s="153">
        <f>HVAC!R14</f>
        <v>0.92</v>
      </c>
    </row>
    <row r="136" spans="1:19" s="254" customFormat="1" ht="15" customHeight="1">
      <c r="A136" s="254" t="s">
        <v>1025</v>
      </c>
      <c r="B136" s="254" t="s">
        <v>1008</v>
      </c>
      <c r="C136" s="128">
        <f>Inputs!C136</f>
        <v>3</v>
      </c>
      <c r="D136" s="128">
        <f>C136</f>
        <v>3</v>
      </c>
      <c r="E136" s="128">
        <f t="shared" ref="E136:R136" si="50">D136</f>
        <v>3</v>
      </c>
      <c r="F136" s="128">
        <f t="shared" si="50"/>
        <v>3</v>
      </c>
      <c r="G136" s="128">
        <f t="shared" si="50"/>
        <v>3</v>
      </c>
      <c r="H136" s="128">
        <f t="shared" si="50"/>
        <v>3</v>
      </c>
      <c r="I136" s="128">
        <f t="shared" si="50"/>
        <v>3</v>
      </c>
      <c r="J136" s="128">
        <f t="shared" si="50"/>
        <v>3</v>
      </c>
      <c r="K136" s="128">
        <f t="shared" si="50"/>
        <v>3</v>
      </c>
      <c r="L136" s="128">
        <f t="shared" si="50"/>
        <v>3</v>
      </c>
      <c r="M136" s="128">
        <f t="shared" si="50"/>
        <v>3</v>
      </c>
      <c r="N136" s="128">
        <f t="shared" si="50"/>
        <v>3</v>
      </c>
      <c r="O136" s="128">
        <f t="shared" si="50"/>
        <v>3</v>
      </c>
      <c r="P136" s="128">
        <f t="shared" si="50"/>
        <v>3</v>
      </c>
      <c r="Q136" s="128">
        <f t="shared" si="50"/>
        <v>3</v>
      </c>
      <c r="R136" s="128">
        <f t="shared" si="50"/>
        <v>3</v>
      </c>
      <c r="S136" s="62"/>
    </row>
    <row r="137" spans="1:19" s="254" customFormat="1" ht="15" customHeight="1">
      <c r="B137" s="254" t="s">
        <v>1009</v>
      </c>
      <c r="C137" s="128">
        <f>Inputs!C137</f>
        <v>2</v>
      </c>
      <c r="D137" s="128">
        <f>C137</f>
        <v>2</v>
      </c>
      <c r="E137" s="128">
        <f t="shared" ref="E137:R137" si="51">D137</f>
        <v>2</v>
      </c>
      <c r="F137" s="128">
        <f t="shared" si="51"/>
        <v>2</v>
      </c>
      <c r="G137" s="128">
        <f t="shared" si="51"/>
        <v>2</v>
      </c>
      <c r="H137" s="128">
        <f t="shared" si="51"/>
        <v>2</v>
      </c>
      <c r="I137" s="128">
        <f t="shared" si="51"/>
        <v>2</v>
      </c>
      <c r="J137" s="128">
        <f t="shared" si="51"/>
        <v>2</v>
      </c>
      <c r="K137" s="128">
        <f t="shared" si="51"/>
        <v>2</v>
      </c>
      <c r="L137" s="128">
        <f t="shared" si="51"/>
        <v>2</v>
      </c>
      <c r="M137" s="128">
        <f t="shared" si="51"/>
        <v>2</v>
      </c>
      <c r="N137" s="128">
        <f t="shared" si="51"/>
        <v>2</v>
      </c>
      <c r="O137" s="128">
        <f t="shared" si="51"/>
        <v>2</v>
      </c>
      <c r="P137" s="128">
        <f t="shared" si="51"/>
        <v>2</v>
      </c>
      <c r="Q137" s="128">
        <f t="shared" si="51"/>
        <v>2</v>
      </c>
      <c r="R137" s="128">
        <f t="shared" si="51"/>
        <v>2</v>
      </c>
      <c r="S137" s="62"/>
    </row>
    <row r="138" spans="1:19" s="254" customFormat="1" ht="15" customHeight="1">
      <c r="B138" s="254" t="s">
        <v>606</v>
      </c>
      <c r="C138" s="153">
        <f>Weather!B44</f>
        <v>0.56000000000000005</v>
      </c>
      <c r="D138" s="153">
        <f>Weather!C44</f>
        <v>0.49</v>
      </c>
      <c r="E138" s="153">
        <f>Weather!D44</f>
        <v>0.54</v>
      </c>
      <c r="F138" s="153">
        <f>Weather!E44</f>
        <v>0.48</v>
      </c>
      <c r="G138" s="153">
        <f>Weather!F44</f>
        <v>0.52</v>
      </c>
      <c r="H138" s="153">
        <f>Weather!G44</f>
        <v>0.42</v>
      </c>
      <c r="I138" s="153">
        <f>Weather!H44</f>
        <v>0.38</v>
      </c>
      <c r="J138" s="153">
        <f>Weather!I44</f>
        <v>0.34</v>
      </c>
      <c r="K138" s="153">
        <f>Weather!J44</f>
        <v>0.39</v>
      </c>
      <c r="L138" s="153">
        <f>Weather!K44</f>
        <v>0.42</v>
      </c>
      <c r="M138" s="153">
        <f>Weather!L44</f>
        <v>0.5</v>
      </c>
      <c r="N138" s="153">
        <f>Weather!M44</f>
        <v>0.51</v>
      </c>
      <c r="O138" s="153">
        <f>Weather!N44</f>
        <v>0.45</v>
      </c>
      <c r="P138" s="153">
        <f>Weather!O44</f>
        <v>0.56999999999999995</v>
      </c>
      <c r="Q138" s="153">
        <f>Weather!P44</f>
        <v>0.46</v>
      </c>
      <c r="R138" s="153">
        <f>Weather!Q44</f>
        <v>0.44</v>
      </c>
      <c r="S138" s="62"/>
    </row>
    <row r="139" spans="1:19" s="254" customFormat="1" ht="15" customHeight="1">
      <c r="B139" s="254" t="s">
        <v>864</v>
      </c>
      <c r="C139" s="128">
        <f>Inputs!C139</f>
        <v>2</v>
      </c>
      <c r="D139" s="128">
        <f>C139</f>
        <v>2</v>
      </c>
      <c r="E139" s="128">
        <f t="shared" ref="E139:R141" si="52">D139</f>
        <v>2</v>
      </c>
      <c r="F139" s="128">
        <f t="shared" si="52"/>
        <v>2</v>
      </c>
      <c r="G139" s="128">
        <f t="shared" si="52"/>
        <v>2</v>
      </c>
      <c r="H139" s="128">
        <f t="shared" si="52"/>
        <v>2</v>
      </c>
      <c r="I139" s="128">
        <f t="shared" si="52"/>
        <v>2</v>
      </c>
      <c r="J139" s="128">
        <f t="shared" si="52"/>
        <v>2</v>
      </c>
      <c r="K139" s="128">
        <f t="shared" si="52"/>
        <v>2</v>
      </c>
      <c r="L139" s="128">
        <f t="shared" si="52"/>
        <v>2</v>
      </c>
      <c r="M139" s="128">
        <f t="shared" si="52"/>
        <v>2</v>
      </c>
      <c r="N139" s="128">
        <f t="shared" si="52"/>
        <v>2</v>
      </c>
      <c r="O139" s="128">
        <f t="shared" si="52"/>
        <v>2</v>
      </c>
      <c r="P139" s="128">
        <f t="shared" si="52"/>
        <v>2</v>
      </c>
      <c r="Q139" s="128">
        <f t="shared" si="52"/>
        <v>2</v>
      </c>
      <c r="R139" s="128">
        <f t="shared" si="52"/>
        <v>2</v>
      </c>
      <c r="S139" s="62"/>
    </row>
    <row r="140" spans="1:19" s="254" customFormat="1" ht="15" customHeight="1">
      <c r="B140" s="254" t="s">
        <v>1163</v>
      </c>
      <c r="C140" s="197">
        <f>Inputs!C140</f>
        <v>0.25488052149669904</v>
      </c>
      <c r="D140" s="197">
        <f>C140</f>
        <v>0.25488052149669904</v>
      </c>
      <c r="E140" s="197">
        <f t="shared" si="52"/>
        <v>0.25488052149669904</v>
      </c>
      <c r="F140" s="197">
        <f t="shared" si="52"/>
        <v>0.25488052149669904</v>
      </c>
      <c r="G140" s="197">
        <f t="shared" si="52"/>
        <v>0.25488052149669904</v>
      </c>
      <c r="H140" s="197">
        <f t="shared" si="52"/>
        <v>0.25488052149669904</v>
      </c>
      <c r="I140" s="197">
        <f t="shared" si="52"/>
        <v>0.25488052149669904</v>
      </c>
      <c r="J140" s="197">
        <f t="shared" si="52"/>
        <v>0.25488052149669904</v>
      </c>
      <c r="K140" s="197">
        <f t="shared" si="52"/>
        <v>0.25488052149669904</v>
      </c>
      <c r="L140" s="197">
        <f t="shared" si="52"/>
        <v>0.25488052149669904</v>
      </c>
      <c r="M140" s="197">
        <f t="shared" si="52"/>
        <v>0.25488052149669904</v>
      </c>
      <c r="N140" s="197">
        <f t="shared" si="52"/>
        <v>0.25488052149669904</v>
      </c>
      <c r="O140" s="197">
        <f t="shared" si="52"/>
        <v>0.25488052149669904</v>
      </c>
      <c r="P140" s="197">
        <f t="shared" si="52"/>
        <v>0.25488052149669904</v>
      </c>
      <c r="Q140" s="197">
        <f t="shared" si="52"/>
        <v>0.25488052149669904</v>
      </c>
      <c r="R140" s="197">
        <f t="shared" si="52"/>
        <v>0.25488052149669904</v>
      </c>
      <c r="S140" s="62"/>
    </row>
    <row r="141" spans="1:19" s="254" customFormat="1" ht="15" customHeight="1">
      <c r="B141" s="254" t="s">
        <v>1165</v>
      </c>
      <c r="C141" s="197">
        <f>Inputs!C141</f>
        <v>0</v>
      </c>
      <c r="D141" s="197">
        <f>C141</f>
        <v>0</v>
      </c>
      <c r="E141" s="197">
        <f t="shared" si="52"/>
        <v>0</v>
      </c>
      <c r="F141" s="197">
        <f t="shared" si="52"/>
        <v>0</v>
      </c>
      <c r="G141" s="197">
        <f t="shared" si="52"/>
        <v>0</v>
      </c>
      <c r="H141" s="197">
        <f t="shared" si="52"/>
        <v>0</v>
      </c>
      <c r="I141" s="197">
        <f t="shared" si="52"/>
        <v>0</v>
      </c>
      <c r="J141" s="197">
        <f t="shared" si="52"/>
        <v>0</v>
      </c>
      <c r="K141" s="197">
        <f t="shared" si="52"/>
        <v>0</v>
      </c>
      <c r="L141" s="197">
        <f t="shared" si="52"/>
        <v>0</v>
      </c>
      <c r="M141" s="197">
        <f t="shared" si="52"/>
        <v>0</v>
      </c>
      <c r="N141" s="197">
        <f t="shared" si="52"/>
        <v>0</v>
      </c>
      <c r="O141" s="197">
        <f t="shared" si="52"/>
        <v>0</v>
      </c>
      <c r="P141" s="197">
        <f t="shared" si="52"/>
        <v>0</v>
      </c>
      <c r="Q141" s="197">
        <f t="shared" si="52"/>
        <v>0</v>
      </c>
      <c r="R141" s="197">
        <f t="shared" si="52"/>
        <v>0</v>
      </c>
      <c r="S141" s="62"/>
    </row>
    <row r="142" spans="1:19" s="254" customFormat="1" ht="15" customHeight="1">
      <c r="B142" s="254" t="s">
        <v>865</v>
      </c>
      <c r="C142" s="128">
        <f>Inputs!C142</f>
        <v>0</v>
      </c>
      <c r="D142" s="128">
        <f t="shared" ref="D142:R149" si="53">C142</f>
        <v>0</v>
      </c>
      <c r="E142" s="128">
        <f t="shared" si="53"/>
        <v>0</v>
      </c>
      <c r="F142" s="128">
        <f t="shared" si="53"/>
        <v>0</v>
      </c>
      <c r="G142" s="128">
        <f t="shared" si="53"/>
        <v>0</v>
      </c>
      <c r="H142" s="128">
        <f t="shared" si="53"/>
        <v>0</v>
      </c>
      <c r="I142" s="128">
        <f t="shared" si="53"/>
        <v>0</v>
      </c>
      <c r="J142" s="128">
        <f t="shared" si="53"/>
        <v>0</v>
      </c>
      <c r="K142" s="128">
        <f t="shared" si="53"/>
        <v>0</v>
      </c>
      <c r="L142" s="128">
        <f t="shared" si="53"/>
        <v>0</v>
      </c>
      <c r="M142" s="128">
        <f t="shared" si="53"/>
        <v>0</v>
      </c>
      <c r="N142" s="128">
        <f t="shared" si="53"/>
        <v>0</v>
      </c>
      <c r="O142" s="128">
        <f t="shared" si="53"/>
        <v>0</v>
      </c>
      <c r="P142" s="128">
        <f t="shared" si="53"/>
        <v>0</v>
      </c>
      <c r="Q142" s="128">
        <f t="shared" si="53"/>
        <v>0</v>
      </c>
      <c r="R142" s="128">
        <f t="shared" si="53"/>
        <v>0</v>
      </c>
      <c r="S142" s="62"/>
    </row>
    <row r="143" spans="1:19" s="254" customFormat="1" ht="15" customHeight="1">
      <c r="A143" s="254" t="s">
        <v>1026</v>
      </c>
      <c r="B143" s="254" t="s">
        <v>866</v>
      </c>
      <c r="C143" s="153">
        <f>Inputs!C143</f>
        <v>0.82</v>
      </c>
      <c r="D143" s="153">
        <f t="shared" si="53"/>
        <v>0.82</v>
      </c>
      <c r="E143" s="153">
        <f t="shared" si="53"/>
        <v>0.82</v>
      </c>
      <c r="F143" s="153">
        <f t="shared" si="53"/>
        <v>0.82</v>
      </c>
      <c r="G143" s="153">
        <f t="shared" si="53"/>
        <v>0.82</v>
      </c>
      <c r="H143" s="153">
        <f t="shared" si="53"/>
        <v>0.82</v>
      </c>
      <c r="I143" s="153">
        <f t="shared" si="53"/>
        <v>0.82</v>
      </c>
      <c r="J143" s="153">
        <f t="shared" si="53"/>
        <v>0.82</v>
      </c>
      <c r="K143" s="153">
        <f t="shared" si="53"/>
        <v>0.82</v>
      </c>
      <c r="L143" s="153">
        <f t="shared" si="53"/>
        <v>0.82</v>
      </c>
      <c r="M143" s="153">
        <f t="shared" si="53"/>
        <v>0.82</v>
      </c>
      <c r="N143" s="153">
        <f t="shared" si="53"/>
        <v>0.82</v>
      </c>
      <c r="O143" s="153">
        <f t="shared" si="53"/>
        <v>0.82</v>
      </c>
      <c r="P143" s="153">
        <f t="shared" si="53"/>
        <v>0.82</v>
      </c>
      <c r="Q143" s="153">
        <f t="shared" si="53"/>
        <v>0.82</v>
      </c>
      <c r="R143" s="153">
        <f t="shared" si="53"/>
        <v>0.82</v>
      </c>
      <c r="S143" s="62"/>
    </row>
    <row r="144" spans="1:19" s="254" customFormat="1" ht="15" customHeight="1">
      <c r="B144" s="254" t="s">
        <v>867</v>
      </c>
      <c r="C144" s="153">
        <f>Inputs!C144</f>
        <v>0.63</v>
      </c>
      <c r="D144" s="153">
        <f t="shared" si="53"/>
        <v>0.63</v>
      </c>
      <c r="E144" s="153">
        <f t="shared" si="53"/>
        <v>0.63</v>
      </c>
      <c r="F144" s="153">
        <f t="shared" si="53"/>
        <v>0.63</v>
      </c>
      <c r="G144" s="153">
        <f t="shared" si="53"/>
        <v>0.63</v>
      </c>
      <c r="H144" s="153">
        <f t="shared" si="53"/>
        <v>0.63</v>
      </c>
      <c r="I144" s="153">
        <f t="shared" si="53"/>
        <v>0.63</v>
      </c>
      <c r="J144" s="153">
        <f t="shared" si="53"/>
        <v>0.63</v>
      </c>
      <c r="K144" s="153">
        <f t="shared" si="53"/>
        <v>0.63</v>
      </c>
      <c r="L144" s="153">
        <f t="shared" si="53"/>
        <v>0.63</v>
      </c>
      <c r="M144" s="153">
        <f t="shared" si="53"/>
        <v>0.63</v>
      </c>
      <c r="N144" s="153">
        <f t="shared" si="53"/>
        <v>0.63</v>
      </c>
      <c r="O144" s="153">
        <f t="shared" si="53"/>
        <v>0.63</v>
      </c>
      <c r="P144" s="153">
        <f t="shared" si="53"/>
        <v>0.63</v>
      </c>
      <c r="Q144" s="153">
        <f t="shared" si="53"/>
        <v>0.63</v>
      </c>
      <c r="R144" s="153">
        <f t="shared" si="53"/>
        <v>0.63</v>
      </c>
      <c r="S144" s="62"/>
    </row>
    <row r="145" spans="1:19" s="254" customFormat="1" ht="15" customHeight="1">
      <c r="B145" s="254" t="s">
        <v>868</v>
      </c>
      <c r="C145" s="153">
        <f>Inputs!C145</f>
        <v>0.51</v>
      </c>
      <c r="D145" s="153">
        <f t="shared" si="53"/>
        <v>0.51</v>
      </c>
      <c r="E145" s="153">
        <f t="shared" si="53"/>
        <v>0.51</v>
      </c>
      <c r="F145" s="153">
        <f t="shared" si="53"/>
        <v>0.51</v>
      </c>
      <c r="G145" s="153">
        <f t="shared" si="53"/>
        <v>0.51</v>
      </c>
      <c r="H145" s="153">
        <f t="shared" si="53"/>
        <v>0.51</v>
      </c>
      <c r="I145" s="153">
        <f t="shared" si="53"/>
        <v>0.51</v>
      </c>
      <c r="J145" s="153">
        <f t="shared" si="53"/>
        <v>0.51</v>
      </c>
      <c r="K145" s="153">
        <f t="shared" si="53"/>
        <v>0.51</v>
      </c>
      <c r="L145" s="153">
        <f t="shared" si="53"/>
        <v>0.51</v>
      </c>
      <c r="M145" s="153">
        <f t="shared" si="53"/>
        <v>0.51</v>
      </c>
      <c r="N145" s="153">
        <f t="shared" si="53"/>
        <v>0.51</v>
      </c>
      <c r="O145" s="153">
        <f t="shared" si="53"/>
        <v>0.51</v>
      </c>
      <c r="P145" s="153">
        <f t="shared" si="53"/>
        <v>0.51</v>
      </c>
      <c r="Q145" s="153">
        <f t="shared" si="53"/>
        <v>0.51</v>
      </c>
      <c r="R145" s="153">
        <f t="shared" si="53"/>
        <v>0.51</v>
      </c>
      <c r="S145" s="62"/>
    </row>
    <row r="146" spans="1:19" s="254" customFormat="1" ht="15" customHeight="1">
      <c r="B146" s="254" t="s">
        <v>869</v>
      </c>
      <c r="C146" s="128">
        <f>Inputs!C146</f>
        <v>0</v>
      </c>
      <c r="D146" s="128">
        <f t="shared" si="53"/>
        <v>0</v>
      </c>
      <c r="E146" s="128">
        <f t="shared" si="53"/>
        <v>0</v>
      </c>
      <c r="F146" s="128">
        <f t="shared" si="53"/>
        <v>0</v>
      </c>
      <c r="G146" s="128">
        <f t="shared" si="53"/>
        <v>0</v>
      </c>
      <c r="H146" s="128">
        <f t="shared" si="53"/>
        <v>0</v>
      </c>
      <c r="I146" s="128">
        <f t="shared" si="53"/>
        <v>0</v>
      </c>
      <c r="J146" s="128">
        <f t="shared" si="53"/>
        <v>0</v>
      </c>
      <c r="K146" s="128">
        <f t="shared" si="53"/>
        <v>0</v>
      </c>
      <c r="L146" s="128">
        <f t="shared" si="53"/>
        <v>0</v>
      </c>
      <c r="M146" s="128">
        <f t="shared" si="53"/>
        <v>0</v>
      </c>
      <c r="N146" s="128">
        <f t="shared" si="53"/>
        <v>0</v>
      </c>
      <c r="O146" s="128">
        <f t="shared" si="53"/>
        <v>0</v>
      </c>
      <c r="P146" s="128">
        <f t="shared" si="53"/>
        <v>0</v>
      </c>
      <c r="Q146" s="128">
        <f t="shared" si="53"/>
        <v>0</v>
      </c>
      <c r="R146" s="128">
        <f t="shared" si="53"/>
        <v>0</v>
      </c>
      <c r="S146" s="62"/>
    </row>
    <row r="147" spans="1:19" ht="15" customHeight="1">
      <c r="B147" s="254" t="s">
        <v>870</v>
      </c>
      <c r="C147" s="128">
        <f>Inputs!C147</f>
        <v>8</v>
      </c>
      <c r="D147" s="128">
        <f t="shared" si="53"/>
        <v>8</v>
      </c>
      <c r="E147" s="128">
        <f t="shared" si="53"/>
        <v>8</v>
      </c>
      <c r="F147" s="128">
        <f t="shared" si="53"/>
        <v>8</v>
      </c>
      <c r="G147" s="128">
        <f t="shared" si="53"/>
        <v>8</v>
      </c>
      <c r="H147" s="128">
        <f t="shared" si="53"/>
        <v>8</v>
      </c>
      <c r="I147" s="128">
        <f t="shared" si="53"/>
        <v>8</v>
      </c>
      <c r="J147" s="128">
        <f t="shared" si="53"/>
        <v>8</v>
      </c>
      <c r="K147" s="128">
        <f t="shared" si="53"/>
        <v>8</v>
      </c>
      <c r="L147" s="128">
        <f t="shared" si="53"/>
        <v>8</v>
      </c>
      <c r="M147" s="128">
        <f t="shared" si="53"/>
        <v>8</v>
      </c>
      <c r="N147" s="128">
        <f t="shared" si="53"/>
        <v>8</v>
      </c>
      <c r="O147" s="128">
        <f t="shared" si="53"/>
        <v>8</v>
      </c>
      <c r="P147" s="128">
        <f t="shared" si="53"/>
        <v>8</v>
      </c>
      <c r="Q147" s="128">
        <f t="shared" si="53"/>
        <v>8</v>
      </c>
      <c r="R147" s="128">
        <f t="shared" si="53"/>
        <v>8</v>
      </c>
    </row>
    <row r="148" spans="1:19" ht="15" customHeight="1">
      <c r="B148" s="254" t="s">
        <v>871</v>
      </c>
      <c r="C148" s="128">
        <f>Inputs!C148</f>
        <v>0</v>
      </c>
      <c r="D148" s="128">
        <f t="shared" si="53"/>
        <v>0</v>
      </c>
      <c r="E148" s="128">
        <f t="shared" si="53"/>
        <v>0</v>
      </c>
      <c r="F148" s="128">
        <f t="shared" si="53"/>
        <v>0</v>
      </c>
      <c r="G148" s="128">
        <f t="shared" si="53"/>
        <v>0</v>
      </c>
      <c r="H148" s="128">
        <f t="shared" si="53"/>
        <v>0</v>
      </c>
      <c r="I148" s="128">
        <f t="shared" si="53"/>
        <v>0</v>
      </c>
      <c r="J148" s="128">
        <f t="shared" si="53"/>
        <v>0</v>
      </c>
      <c r="K148" s="128">
        <f t="shared" si="53"/>
        <v>0</v>
      </c>
      <c r="L148" s="128">
        <f t="shared" si="53"/>
        <v>0</v>
      </c>
      <c r="M148" s="128">
        <f t="shared" si="53"/>
        <v>0</v>
      </c>
      <c r="N148" s="128">
        <f t="shared" si="53"/>
        <v>0</v>
      </c>
      <c r="O148" s="128">
        <f t="shared" si="53"/>
        <v>0</v>
      </c>
      <c r="P148" s="128">
        <f t="shared" si="53"/>
        <v>0</v>
      </c>
      <c r="Q148" s="128">
        <f t="shared" si="53"/>
        <v>0</v>
      </c>
      <c r="R148" s="128">
        <f t="shared" si="53"/>
        <v>0</v>
      </c>
    </row>
    <row r="149" spans="1:19" ht="15" customHeight="1">
      <c r="B149" s="254" t="s">
        <v>872</v>
      </c>
      <c r="C149" s="128">
        <f>Inputs!C149</f>
        <v>1</v>
      </c>
      <c r="D149" s="128">
        <f t="shared" si="53"/>
        <v>1</v>
      </c>
      <c r="E149" s="128">
        <f t="shared" si="53"/>
        <v>1</v>
      </c>
      <c r="F149" s="128">
        <f t="shared" si="53"/>
        <v>1</v>
      </c>
      <c r="G149" s="128">
        <f t="shared" si="53"/>
        <v>1</v>
      </c>
      <c r="H149" s="128">
        <f t="shared" si="53"/>
        <v>1</v>
      </c>
      <c r="I149" s="128">
        <f t="shared" si="53"/>
        <v>1</v>
      </c>
      <c r="J149" s="128">
        <f t="shared" si="53"/>
        <v>1</v>
      </c>
      <c r="K149" s="128">
        <f t="shared" si="53"/>
        <v>1</v>
      </c>
      <c r="L149" s="128">
        <f t="shared" si="53"/>
        <v>1</v>
      </c>
      <c r="M149" s="128">
        <f t="shared" si="53"/>
        <v>1</v>
      </c>
      <c r="N149" s="128">
        <f t="shared" si="53"/>
        <v>1</v>
      </c>
      <c r="O149" s="128">
        <f t="shared" si="53"/>
        <v>1</v>
      </c>
      <c r="P149" s="128">
        <f t="shared" si="53"/>
        <v>1</v>
      </c>
      <c r="Q149" s="128">
        <f t="shared" si="53"/>
        <v>1</v>
      </c>
      <c r="R149" s="128">
        <f t="shared" si="53"/>
        <v>1</v>
      </c>
    </row>
    <row r="150" spans="1:19" s="254" customFormat="1" ht="15" customHeight="1">
      <c r="A150" s="254" t="s">
        <v>789</v>
      </c>
      <c r="B150" s="254" t="s">
        <v>828</v>
      </c>
      <c r="C150" s="232">
        <f>Inputs!C150</f>
        <v>0</v>
      </c>
      <c r="D150" s="232">
        <f>C150</f>
        <v>0</v>
      </c>
      <c r="E150" s="232">
        <f t="shared" ref="E150:R150" si="54">D150</f>
        <v>0</v>
      </c>
      <c r="F150" s="232">
        <f t="shared" si="54"/>
        <v>0</v>
      </c>
      <c r="G150" s="232">
        <f t="shared" si="54"/>
        <v>0</v>
      </c>
      <c r="H150" s="232">
        <f t="shared" si="54"/>
        <v>0</v>
      </c>
      <c r="I150" s="232">
        <f t="shared" si="54"/>
        <v>0</v>
      </c>
      <c r="J150" s="232">
        <f t="shared" si="54"/>
        <v>0</v>
      </c>
      <c r="K150" s="232">
        <f t="shared" si="54"/>
        <v>0</v>
      </c>
      <c r="L150" s="232">
        <f t="shared" si="54"/>
        <v>0</v>
      </c>
      <c r="M150" s="232">
        <f t="shared" si="54"/>
        <v>0</v>
      </c>
      <c r="N150" s="232">
        <f t="shared" si="54"/>
        <v>0</v>
      </c>
      <c r="O150" s="232">
        <f t="shared" si="54"/>
        <v>0</v>
      </c>
      <c r="P150" s="232">
        <f t="shared" si="54"/>
        <v>0</v>
      </c>
      <c r="Q150" s="232">
        <f t="shared" si="54"/>
        <v>0</v>
      </c>
      <c r="R150" s="232">
        <f t="shared" si="54"/>
        <v>0</v>
      </c>
      <c r="S150" s="62"/>
    </row>
    <row r="151" spans="1:19" ht="15" customHeight="1">
      <c r="B151" s="254" t="s">
        <v>829</v>
      </c>
      <c r="C151" s="232">
        <f>Inputs!C151</f>
        <v>0</v>
      </c>
      <c r="D151" s="232">
        <f>C151</f>
        <v>0</v>
      </c>
      <c r="E151" s="232">
        <f t="shared" ref="E151:R151" si="55">D151</f>
        <v>0</v>
      </c>
      <c r="F151" s="232">
        <f t="shared" si="55"/>
        <v>0</v>
      </c>
      <c r="G151" s="232">
        <f t="shared" si="55"/>
        <v>0</v>
      </c>
      <c r="H151" s="232">
        <f t="shared" si="55"/>
        <v>0</v>
      </c>
      <c r="I151" s="232">
        <f t="shared" si="55"/>
        <v>0</v>
      </c>
      <c r="J151" s="232">
        <f t="shared" si="55"/>
        <v>0</v>
      </c>
      <c r="K151" s="232">
        <f t="shared" si="55"/>
        <v>0</v>
      </c>
      <c r="L151" s="232">
        <f t="shared" si="55"/>
        <v>0</v>
      </c>
      <c r="M151" s="232">
        <f t="shared" si="55"/>
        <v>0</v>
      </c>
      <c r="N151" s="232">
        <f t="shared" si="55"/>
        <v>0</v>
      </c>
      <c r="O151" s="232">
        <f t="shared" si="55"/>
        <v>0</v>
      </c>
      <c r="P151" s="232">
        <f t="shared" si="55"/>
        <v>0</v>
      </c>
      <c r="Q151" s="232">
        <f t="shared" si="55"/>
        <v>0</v>
      </c>
      <c r="R151" s="232">
        <f t="shared" si="55"/>
        <v>0</v>
      </c>
    </row>
    <row r="152" spans="1:19" s="254" customFormat="1" ht="15" customHeight="1">
      <c r="B152" s="245" t="s">
        <v>1188</v>
      </c>
      <c r="C152" s="232">
        <f>Inputs!$C$152</f>
        <v>0</v>
      </c>
      <c r="D152" s="232">
        <f>Inputs!$C$152</f>
        <v>0</v>
      </c>
      <c r="E152" s="232">
        <f>Inputs!$C$152</f>
        <v>0</v>
      </c>
      <c r="F152" s="232">
        <f>Inputs!$C$152</f>
        <v>0</v>
      </c>
      <c r="G152" s="232">
        <f>Inputs!$C$152</f>
        <v>0</v>
      </c>
      <c r="H152" s="232">
        <f>Inputs!$C$152</f>
        <v>0</v>
      </c>
      <c r="I152" s="232">
        <f>Inputs!$C$152</f>
        <v>0</v>
      </c>
      <c r="J152" s="232">
        <f>Inputs!$C$152</f>
        <v>0</v>
      </c>
      <c r="K152" s="232">
        <f>Inputs!$C$152</f>
        <v>0</v>
      </c>
      <c r="L152" s="232">
        <f>Inputs!$C$152</f>
        <v>0</v>
      </c>
      <c r="M152" s="232">
        <f>Inputs!$C$152</f>
        <v>0</v>
      </c>
      <c r="N152" s="232">
        <f>Inputs!$C$152</f>
        <v>0</v>
      </c>
      <c r="O152" s="232">
        <f>Inputs!$C$152</f>
        <v>0</v>
      </c>
      <c r="P152" s="232">
        <f>Inputs!$C$152</f>
        <v>0</v>
      </c>
      <c r="Q152" s="232">
        <f>Inputs!$C$152</f>
        <v>0</v>
      </c>
      <c r="R152" s="232">
        <f>Inputs!$C$152</f>
        <v>0</v>
      </c>
      <c r="S152" s="62"/>
    </row>
    <row r="153" spans="1:19" ht="15" customHeight="1">
      <c r="A153" s="254" t="s">
        <v>1027</v>
      </c>
      <c r="B153" s="254" t="s">
        <v>1013</v>
      </c>
      <c r="C153" s="128">
        <f>Inputs!C153</f>
        <v>0</v>
      </c>
      <c r="D153" s="128">
        <f>C153</f>
        <v>0</v>
      </c>
      <c r="E153" s="128">
        <f t="shared" ref="E153:R153" si="56">D153</f>
        <v>0</v>
      </c>
      <c r="F153" s="128">
        <f t="shared" si="56"/>
        <v>0</v>
      </c>
      <c r="G153" s="128">
        <f t="shared" si="56"/>
        <v>0</v>
      </c>
      <c r="H153" s="128">
        <f t="shared" si="56"/>
        <v>0</v>
      </c>
      <c r="I153" s="128">
        <f t="shared" si="56"/>
        <v>0</v>
      </c>
      <c r="J153" s="128">
        <f t="shared" si="56"/>
        <v>0</v>
      </c>
      <c r="K153" s="128">
        <f t="shared" si="56"/>
        <v>0</v>
      </c>
      <c r="L153" s="128">
        <f t="shared" si="56"/>
        <v>0</v>
      </c>
      <c r="M153" s="128">
        <f t="shared" si="56"/>
        <v>0</v>
      </c>
      <c r="N153" s="128">
        <f t="shared" si="56"/>
        <v>0</v>
      </c>
      <c r="O153" s="128">
        <f t="shared" si="56"/>
        <v>0</v>
      </c>
      <c r="P153" s="128">
        <f t="shared" si="56"/>
        <v>0</v>
      </c>
      <c r="Q153" s="128">
        <f t="shared" si="56"/>
        <v>0</v>
      </c>
      <c r="R153" s="128">
        <f t="shared" si="56"/>
        <v>0</v>
      </c>
    </row>
    <row r="154" spans="1:19" ht="15" customHeight="1">
      <c r="B154" s="254" t="s">
        <v>1015</v>
      </c>
      <c r="C154" s="153">
        <f>Inputs!C154</f>
        <v>1.85</v>
      </c>
      <c r="D154" s="153">
        <f t="shared" ref="D154:R157" si="57">C154</f>
        <v>1.85</v>
      </c>
      <c r="E154" s="153">
        <f t="shared" si="57"/>
        <v>1.85</v>
      </c>
      <c r="F154" s="153">
        <f t="shared" si="57"/>
        <v>1.85</v>
      </c>
      <c r="G154" s="153">
        <f t="shared" si="57"/>
        <v>1.85</v>
      </c>
      <c r="H154" s="153">
        <f t="shared" si="57"/>
        <v>1.85</v>
      </c>
      <c r="I154" s="153">
        <f t="shared" si="57"/>
        <v>1.85</v>
      </c>
      <c r="J154" s="153">
        <f t="shared" si="57"/>
        <v>1.85</v>
      </c>
      <c r="K154" s="153">
        <f t="shared" si="57"/>
        <v>1.85</v>
      </c>
      <c r="L154" s="153">
        <f t="shared" si="57"/>
        <v>1.85</v>
      </c>
      <c r="M154" s="153">
        <f t="shared" si="57"/>
        <v>1.85</v>
      </c>
      <c r="N154" s="153">
        <f t="shared" si="57"/>
        <v>1.85</v>
      </c>
      <c r="O154" s="153">
        <f t="shared" si="57"/>
        <v>1.85</v>
      </c>
      <c r="P154" s="153">
        <f t="shared" si="57"/>
        <v>1.85</v>
      </c>
      <c r="Q154" s="153">
        <f t="shared" si="57"/>
        <v>1.85</v>
      </c>
      <c r="R154" s="153">
        <f t="shared" si="57"/>
        <v>1.85</v>
      </c>
    </row>
    <row r="155" spans="1:19" ht="15" customHeight="1">
      <c r="B155" s="254" t="s">
        <v>1016</v>
      </c>
      <c r="C155" s="128">
        <f>Inputs!C155</f>
        <v>55</v>
      </c>
      <c r="D155" s="128">
        <f t="shared" si="57"/>
        <v>55</v>
      </c>
      <c r="E155" s="128">
        <f t="shared" si="57"/>
        <v>55</v>
      </c>
      <c r="F155" s="128">
        <f t="shared" si="57"/>
        <v>55</v>
      </c>
      <c r="G155" s="128">
        <f t="shared" si="57"/>
        <v>55</v>
      </c>
      <c r="H155" s="128">
        <f t="shared" si="57"/>
        <v>55</v>
      </c>
      <c r="I155" s="128">
        <f t="shared" si="57"/>
        <v>55</v>
      </c>
      <c r="J155" s="128">
        <f t="shared" si="57"/>
        <v>55</v>
      </c>
      <c r="K155" s="128">
        <f t="shared" si="57"/>
        <v>55</v>
      </c>
      <c r="L155" s="128">
        <f t="shared" si="57"/>
        <v>55</v>
      </c>
      <c r="M155" s="128">
        <f t="shared" si="57"/>
        <v>55</v>
      </c>
      <c r="N155" s="128">
        <f t="shared" si="57"/>
        <v>55</v>
      </c>
      <c r="O155" s="128">
        <f t="shared" si="57"/>
        <v>55</v>
      </c>
      <c r="P155" s="128">
        <f t="shared" si="57"/>
        <v>55</v>
      </c>
      <c r="Q155" s="128">
        <f t="shared" si="57"/>
        <v>55</v>
      </c>
      <c r="R155" s="128">
        <f t="shared" si="57"/>
        <v>55</v>
      </c>
    </row>
    <row r="156" spans="1:19" ht="15" customHeight="1">
      <c r="B156" s="254" t="s">
        <v>1017</v>
      </c>
      <c r="C156" s="233">
        <f>Inputs!C156</f>
        <v>2.5</v>
      </c>
      <c r="D156" s="233">
        <f t="shared" si="57"/>
        <v>2.5</v>
      </c>
      <c r="E156" s="233">
        <f t="shared" si="57"/>
        <v>2.5</v>
      </c>
      <c r="F156" s="233">
        <f t="shared" si="57"/>
        <v>2.5</v>
      </c>
      <c r="G156" s="233">
        <f t="shared" si="57"/>
        <v>2.5</v>
      </c>
      <c r="H156" s="233">
        <f t="shared" si="57"/>
        <v>2.5</v>
      </c>
      <c r="I156" s="233">
        <f t="shared" si="57"/>
        <v>2.5</v>
      </c>
      <c r="J156" s="233">
        <f t="shared" si="57"/>
        <v>2.5</v>
      </c>
      <c r="K156" s="233">
        <f t="shared" si="57"/>
        <v>2.5</v>
      </c>
      <c r="L156" s="233">
        <f t="shared" si="57"/>
        <v>2.5</v>
      </c>
      <c r="M156" s="233">
        <f t="shared" si="57"/>
        <v>2.5</v>
      </c>
      <c r="N156" s="233">
        <f t="shared" si="57"/>
        <v>2.5</v>
      </c>
      <c r="O156" s="233">
        <f t="shared" si="57"/>
        <v>2.5</v>
      </c>
      <c r="P156" s="233">
        <f t="shared" si="57"/>
        <v>2.5</v>
      </c>
      <c r="Q156" s="233">
        <f t="shared" si="57"/>
        <v>2.5</v>
      </c>
      <c r="R156" s="233">
        <f t="shared" si="57"/>
        <v>2.5</v>
      </c>
    </row>
    <row r="157" spans="1:19" ht="15" customHeight="1">
      <c r="A157" s="254" t="s">
        <v>1056</v>
      </c>
      <c r="C157" s="233" t="str">
        <f>Inputs!C157</f>
        <v>E_O_F</v>
      </c>
      <c r="D157" s="233" t="str">
        <f t="shared" si="57"/>
        <v>E_O_F</v>
      </c>
      <c r="E157" s="233" t="str">
        <f t="shared" si="57"/>
        <v>E_O_F</v>
      </c>
      <c r="F157" s="233" t="str">
        <f t="shared" si="57"/>
        <v>E_O_F</v>
      </c>
      <c r="G157" s="233" t="str">
        <f t="shared" si="57"/>
        <v>E_O_F</v>
      </c>
      <c r="H157" s="233" t="str">
        <f t="shared" si="57"/>
        <v>E_O_F</v>
      </c>
      <c r="I157" s="233" t="str">
        <f t="shared" si="57"/>
        <v>E_O_F</v>
      </c>
      <c r="J157" s="233" t="str">
        <f t="shared" si="57"/>
        <v>E_O_F</v>
      </c>
      <c r="K157" s="233" t="str">
        <f t="shared" si="57"/>
        <v>E_O_F</v>
      </c>
      <c r="L157" s="233" t="str">
        <f t="shared" si="57"/>
        <v>E_O_F</v>
      </c>
      <c r="M157" s="233" t="str">
        <f t="shared" si="57"/>
        <v>E_O_F</v>
      </c>
      <c r="N157" s="233" t="str">
        <f t="shared" si="57"/>
        <v>E_O_F</v>
      </c>
      <c r="O157" s="233" t="str">
        <f t="shared" si="57"/>
        <v>E_O_F</v>
      </c>
      <c r="P157" s="233" t="str">
        <f t="shared" si="57"/>
        <v>E_O_F</v>
      </c>
      <c r="Q157" s="233" t="str">
        <f t="shared" si="57"/>
        <v>E_O_F</v>
      </c>
      <c r="R157" s="233" t="str">
        <f t="shared" si="57"/>
        <v>E_O_F</v>
      </c>
    </row>
    <row r="158" spans="1:19" ht="15" customHeight="1"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32"/>
    </row>
    <row r="159" spans="1:19" ht="15" customHeight="1"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32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54"/>
  <sheetViews>
    <sheetView workbookViewId="0">
      <selection activeCell="D29" sqref="D29"/>
    </sheetView>
  </sheetViews>
  <sheetFormatPr baseColWidth="10" defaultColWidth="8.83203125" defaultRowHeight="15" customHeight="1" x14ac:dyDescent="0"/>
  <cols>
    <col min="1" max="1" width="18.1640625" style="254" customWidth="1"/>
    <col min="2" max="2" width="10.6640625" style="254" customWidth="1"/>
    <col min="3" max="3" width="5.6640625" style="254" customWidth="1"/>
    <col min="4" max="4" width="9.33203125" style="254" customWidth="1"/>
    <col min="5" max="5" width="6" style="254" customWidth="1"/>
    <col min="6" max="6" width="8.1640625" style="254" customWidth="1"/>
    <col min="7" max="7" width="29.33203125" style="5" bestFit="1" customWidth="1"/>
    <col min="8" max="8" width="27.5" style="5" bestFit="1" customWidth="1"/>
    <col min="9" max="9" width="13.6640625" style="5" customWidth="1"/>
    <col min="10" max="10" width="8.83203125" style="5" customWidth="1"/>
    <col min="11" max="11" width="9.83203125" style="5" customWidth="1"/>
    <col min="12" max="12" width="8.1640625" style="5" customWidth="1"/>
    <col min="13" max="16384" width="8.83203125" style="5"/>
  </cols>
  <sheetData>
    <row r="1" spans="1:19" ht="15" customHeight="1">
      <c r="A1" s="124" t="s">
        <v>126</v>
      </c>
      <c r="B1" s="124"/>
      <c r="C1" s="124"/>
      <c r="D1" s="124"/>
      <c r="E1" s="124"/>
      <c r="I1" s="124" t="s">
        <v>1326</v>
      </c>
      <c r="J1" s="4"/>
      <c r="K1" s="4"/>
      <c r="L1" s="4"/>
      <c r="M1" s="4"/>
      <c r="N1" s="124"/>
      <c r="O1" s="124"/>
      <c r="P1" s="124"/>
      <c r="Q1" s="124"/>
    </row>
    <row r="2" spans="1:19" ht="15" customHeight="1">
      <c r="A2" s="127" t="s">
        <v>507</v>
      </c>
      <c r="I2" s="125" t="s">
        <v>507</v>
      </c>
      <c r="N2" s="254"/>
      <c r="O2" s="254"/>
      <c r="P2" s="254"/>
      <c r="Q2" s="254"/>
    </row>
    <row r="3" spans="1:19" ht="15" customHeight="1">
      <c r="A3" s="126" t="s">
        <v>508</v>
      </c>
      <c r="B3" s="521" t="s">
        <v>1325</v>
      </c>
      <c r="C3" s="521"/>
      <c r="D3" s="521"/>
      <c r="E3" s="521"/>
      <c r="I3" s="126" t="s">
        <v>508</v>
      </c>
      <c r="J3" s="521" t="s">
        <v>1292</v>
      </c>
      <c r="K3" s="521"/>
      <c r="L3" s="521"/>
      <c r="M3" s="521"/>
      <c r="N3" s="521" t="s">
        <v>1293</v>
      </c>
      <c r="O3" s="521"/>
      <c r="P3" s="521"/>
      <c r="Q3" s="521"/>
    </row>
    <row r="4" spans="1:19" ht="15" customHeight="1">
      <c r="A4" s="99" t="s">
        <v>128</v>
      </c>
      <c r="B4" s="100" t="s">
        <v>129</v>
      </c>
      <c r="C4" s="100" t="s">
        <v>130</v>
      </c>
      <c r="D4" s="100" t="s">
        <v>131</v>
      </c>
      <c r="E4" s="100" t="s">
        <v>130</v>
      </c>
      <c r="I4" s="99" t="s">
        <v>128</v>
      </c>
      <c r="J4" s="100" t="s">
        <v>129</v>
      </c>
      <c r="K4" s="100" t="s">
        <v>130</v>
      </c>
      <c r="L4" s="100" t="s">
        <v>131</v>
      </c>
      <c r="M4" s="100" t="s">
        <v>130</v>
      </c>
      <c r="N4" s="100" t="s">
        <v>129</v>
      </c>
      <c r="O4" s="100" t="s">
        <v>130</v>
      </c>
      <c r="P4" s="100" t="s">
        <v>131</v>
      </c>
      <c r="Q4" s="100" t="s">
        <v>130</v>
      </c>
      <c r="R4" s="5" t="s">
        <v>2</v>
      </c>
    </row>
    <row r="5" spans="1:19" ht="15" customHeight="1">
      <c r="A5" s="201" t="s">
        <v>575</v>
      </c>
      <c r="B5" s="254">
        <f>IF(HomeSize="Med",VLOOKUP(Geometry!A5,Geometry!$I$5:$Q$40,2,FALSE),VLOOKUP(Geometry!A5,Geometry!$I5:$Q$40,6,FALSE))</f>
        <v>2</v>
      </c>
      <c r="C5" s="245"/>
      <c r="D5" s="254">
        <f>IF(HomeSize="Med",VLOOKUP(Geometry!A5,Geometry!$I$5:$Q$40,4,FALSE),VLOOKUP(Geometry!A5,Geometry!$I$5:$Q$40,8,FALSE))</f>
        <v>2</v>
      </c>
      <c r="E5" s="254" t="s">
        <v>11</v>
      </c>
      <c r="I5" s="87" t="s">
        <v>575</v>
      </c>
      <c r="J5" s="266">
        <v>1</v>
      </c>
      <c r="K5" s="240"/>
      <c r="L5" s="257">
        <v>1</v>
      </c>
      <c r="M5" s="257" t="s">
        <v>11</v>
      </c>
      <c r="N5" s="266">
        <v>2</v>
      </c>
      <c r="O5" s="266"/>
      <c r="P5" s="257">
        <v>2</v>
      </c>
      <c r="Q5" s="254" t="s">
        <v>11</v>
      </c>
    </row>
    <row r="6" spans="1:19" ht="15" customHeight="1">
      <c r="A6" s="201" t="s">
        <v>132</v>
      </c>
      <c r="B6" s="254">
        <f>IF(HomeSize="Med",VLOOKUP(Geometry!A6,Geometry!$I$5:$Q$40,2,FALSE),VLOOKUP(Geometry!A6,Geometry!$I5:$Q$40,6,FALSE))</f>
        <v>50</v>
      </c>
      <c r="C6" s="257" t="s">
        <v>133</v>
      </c>
      <c r="D6" s="254">
        <f>IF(HomeSize="Med",VLOOKUP(Geometry!A6,Geometry!$I$5:$Q$40,4,FALSE),VLOOKUP(Geometry!A6,Geometry!$I$5:$Q$40,8,FALSE))</f>
        <v>15.239999512320015</v>
      </c>
      <c r="E6" s="257" t="s">
        <v>134</v>
      </c>
      <c r="I6" s="87" t="s">
        <v>132</v>
      </c>
      <c r="J6" s="257">
        <v>50</v>
      </c>
      <c r="K6" s="241" t="s">
        <v>133</v>
      </c>
      <c r="L6" s="257">
        <f t="shared" ref="L6:L7" si="0">J6/3.28084</f>
        <v>15.239999512320015</v>
      </c>
      <c r="M6" s="257" t="s">
        <v>134</v>
      </c>
      <c r="N6" s="257">
        <v>50</v>
      </c>
      <c r="O6" s="257" t="s">
        <v>133</v>
      </c>
      <c r="P6" s="257">
        <f t="shared" ref="P6:P7" si="1">N6/3.28084</f>
        <v>15.239999512320015</v>
      </c>
      <c r="Q6" s="257" t="s">
        <v>134</v>
      </c>
      <c r="R6" s="123" t="s">
        <v>505</v>
      </c>
    </row>
    <row r="7" spans="1:19" ht="15" customHeight="1">
      <c r="A7" s="201" t="s">
        <v>135</v>
      </c>
      <c r="B7" s="254">
        <f>IF(HomeSize="Med",VLOOKUP(Geometry!A7,Geometry!$I$5:$Q$40,2,FALSE),VLOOKUP(Geometry!A7,Geometry!$I7:$Q$40,6,FALSE))</f>
        <v>29</v>
      </c>
      <c r="C7" s="257" t="s">
        <v>133</v>
      </c>
      <c r="D7" s="254">
        <f>IF(HomeSize="Med",VLOOKUP(Geometry!A7,Geometry!$I$5:$Q$40,4,FALSE),VLOOKUP(Geometry!A7,Geometry!$I$5:$Q$40,8,FALSE))</f>
        <v>8.8391997171456094</v>
      </c>
      <c r="E7" s="257" t="s">
        <v>134</v>
      </c>
      <c r="I7" s="87" t="s">
        <v>135</v>
      </c>
      <c r="J7" s="257">
        <v>46</v>
      </c>
      <c r="K7" s="241" t="s">
        <v>133</v>
      </c>
      <c r="L7" s="257">
        <f t="shared" si="0"/>
        <v>14.020799551334415</v>
      </c>
      <c r="M7" s="257" t="s">
        <v>134</v>
      </c>
      <c r="N7" s="257">
        <v>29</v>
      </c>
      <c r="O7" s="257" t="s">
        <v>133</v>
      </c>
      <c r="P7" s="257">
        <f t="shared" si="1"/>
        <v>8.8391997171456094</v>
      </c>
      <c r="Q7" s="257" t="s">
        <v>134</v>
      </c>
      <c r="R7" s="122"/>
      <c r="S7" s="55"/>
    </row>
    <row r="8" spans="1:19" ht="15" customHeight="1">
      <c r="A8" s="201" t="s">
        <v>136</v>
      </c>
      <c r="B8" s="254">
        <f>IF(HomeSize="Med",VLOOKUP(Geometry!A8,Geometry!$I$5:$Q$40,2,FALSE),VLOOKUP(Geometry!A8,Geometry!$I8:$Q$40,6,FALSE))</f>
        <v>2700</v>
      </c>
      <c r="C8" s="257" t="s">
        <v>502</v>
      </c>
      <c r="D8" s="264">
        <f>IF(HomeSize="Med",VLOOKUP(Geometry!A8,Geometry!$I$5:$Q$40,4,FALSE),VLOOKUP(Geometry!A8,Geometry!$I$5:$Q$40,8,FALSE))</f>
        <v>250.82999999999998</v>
      </c>
      <c r="E8" s="257" t="s">
        <v>501</v>
      </c>
      <c r="I8" s="87" t="s">
        <v>136</v>
      </c>
      <c r="J8" s="242">
        <v>2100</v>
      </c>
      <c r="K8" s="241" t="s">
        <v>502</v>
      </c>
      <c r="L8" s="244">
        <f t="shared" ref="L8:L12" si="2">J8*0.0929</f>
        <v>195.09</v>
      </c>
      <c r="M8" s="257" t="s">
        <v>501</v>
      </c>
      <c r="N8" s="242">
        <v>2700</v>
      </c>
      <c r="O8" s="257" t="s">
        <v>502</v>
      </c>
      <c r="P8" s="244">
        <f t="shared" ref="P8:P12" si="3">N8*0.0929</f>
        <v>250.82999999999998</v>
      </c>
      <c r="Q8" s="257" t="s">
        <v>501</v>
      </c>
      <c r="R8" s="122"/>
      <c r="S8"/>
    </row>
    <row r="9" spans="1:19" ht="15" customHeight="1">
      <c r="A9" s="201" t="s">
        <v>500</v>
      </c>
      <c r="B9" s="254">
        <f>IF(HomeSize="Med",VLOOKUP(Geometry!A9,Geometry!$I$5:$Q$40,2,FALSE),VLOOKUP(Geometry!A9,Geometry!$I9:$Q$40,6,FALSE))</f>
        <v>1250</v>
      </c>
      <c r="C9" s="257" t="s">
        <v>502</v>
      </c>
      <c r="D9" s="264">
        <f>IF(HomeSize="Med",VLOOKUP(Geometry!A9,Geometry!$I$5:$Q$40,4,FALSE),VLOOKUP(Geometry!A9,Geometry!$I$5:$Q$40,8,FALSE))</f>
        <v>116.125</v>
      </c>
      <c r="E9" s="257" t="s">
        <v>501</v>
      </c>
      <c r="I9" s="87" t="s">
        <v>500</v>
      </c>
      <c r="J9" s="257">
        <f>J8/J5</f>
        <v>2100</v>
      </c>
      <c r="K9" s="241" t="s">
        <v>502</v>
      </c>
      <c r="L9" s="244">
        <f t="shared" si="2"/>
        <v>195.09</v>
      </c>
      <c r="M9" s="257" t="s">
        <v>501</v>
      </c>
      <c r="N9" s="257">
        <v>1250</v>
      </c>
      <c r="O9" s="257" t="s">
        <v>502</v>
      </c>
      <c r="P9" s="244">
        <f t="shared" si="3"/>
        <v>116.125</v>
      </c>
      <c r="Q9" s="257" t="s">
        <v>501</v>
      </c>
      <c r="R9" s="122"/>
      <c r="S9"/>
    </row>
    <row r="10" spans="1:19" ht="15" customHeight="1">
      <c r="A10" s="201" t="s">
        <v>139</v>
      </c>
      <c r="B10" s="254">
        <f>IF(HomeSize="Med",VLOOKUP(Geometry!A10,Geometry!$I$5:$Q$40,2,FALSE),VLOOKUP(Geometry!A10,Geometry!$I10:$Q$40,6,FALSE))</f>
        <v>1450</v>
      </c>
      <c r="C10" s="257" t="s">
        <v>502</v>
      </c>
      <c r="D10" s="264">
        <f>IF(HomeSize="Med",VLOOKUP(Geometry!A10,Geometry!$I$5:$Q$40,4,FALSE),VLOOKUP(Geometry!A10,Geometry!$I$5:$Q$40,8,FALSE))</f>
        <v>134.70499999999998</v>
      </c>
      <c r="E10" s="257" t="s">
        <v>501</v>
      </c>
      <c r="I10" s="87" t="s">
        <v>139</v>
      </c>
      <c r="J10" s="257">
        <f>IF(J5=2,J8/J5,0)</f>
        <v>0</v>
      </c>
      <c r="K10" s="241" t="s">
        <v>502</v>
      </c>
      <c r="L10" s="244">
        <f t="shared" si="2"/>
        <v>0</v>
      </c>
      <c r="M10" s="257" t="s">
        <v>501</v>
      </c>
      <c r="N10" s="257">
        <v>1450</v>
      </c>
      <c r="O10" s="257" t="s">
        <v>502</v>
      </c>
      <c r="P10" s="244">
        <f t="shared" si="3"/>
        <v>134.70499999999998</v>
      </c>
      <c r="Q10" s="257" t="s">
        <v>501</v>
      </c>
      <c r="R10" s="122"/>
    </row>
    <row r="11" spans="1:19" ht="15" customHeight="1">
      <c r="A11" s="201" t="s">
        <v>140</v>
      </c>
      <c r="B11" s="254">
        <f>IF(HomeSize="Med",VLOOKUP(Geometry!A11,Geometry!$I$5:$Q$40,2,FALSE),VLOOKUP(Geometry!A11,Geometry!$I11:$Q$40,6,FALSE))</f>
        <v>158</v>
      </c>
      <c r="C11" s="257" t="s">
        <v>133</v>
      </c>
      <c r="D11" s="254">
        <f>IF(HomeSize="Med",VLOOKUP(Geometry!A11,Geometry!$I$5:$Q$40,4,FALSE),VLOOKUP(Geometry!A11,Geometry!$I$5:$Q$40,8,FALSE))</f>
        <v>48.158398458931252</v>
      </c>
      <c r="E11" s="257" t="s">
        <v>134</v>
      </c>
      <c r="I11" s="87" t="s">
        <v>140</v>
      </c>
      <c r="J11" s="243">
        <v>192</v>
      </c>
      <c r="K11" s="241" t="s">
        <v>133</v>
      </c>
      <c r="L11" s="257">
        <f>J11/3.28084</f>
        <v>58.521598127308863</v>
      </c>
      <c r="M11" s="257" t="s">
        <v>134</v>
      </c>
      <c r="N11" s="243">
        <v>158</v>
      </c>
      <c r="O11" s="257" t="s">
        <v>133</v>
      </c>
      <c r="P11" s="257">
        <f>N11/3.28084</f>
        <v>48.158398458931252</v>
      </c>
      <c r="Q11" s="257" t="s">
        <v>134</v>
      </c>
      <c r="R11" s="122"/>
      <c r="S11" s="5" t="s">
        <v>1324</v>
      </c>
    </row>
    <row r="12" spans="1:19" s="254" customFormat="1" ht="15" customHeight="1">
      <c r="A12" s="201" t="s">
        <v>1330</v>
      </c>
      <c r="B12" s="254">
        <f>IF(HomeSize="Med",VLOOKUP(Geometry!A12,Geometry!$I$5:$Q$40,2,FALSE),VLOOKUP(Geometry!A12,Geometry!$I12:$Q$40,6,FALSE))</f>
        <v>200</v>
      </c>
      <c r="C12" s="257" t="s">
        <v>502</v>
      </c>
      <c r="D12" s="254">
        <f>IF(HomeSize="Med",VLOOKUP(Geometry!A12,Geometry!$I$5:$Q$40,4,FALSE),VLOOKUP(Geometry!A12,Geometry!$I$5:$Q$40,8,FALSE))</f>
        <v>18.579999999999998</v>
      </c>
      <c r="E12" s="257" t="s">
        <v>501</v>
      </c>
      <c r="I12" s="201" t="s">
        <v>1330</v>
      </c>
      <c r="J12" s="496">
        <f>J8-J9</f>
        <v>0</v>
      </c>
      <c r="K12" s="257" t="s">
        <v>502</v>
      </c>
      <c r="L12" s="244">
        <f t="shared" si="2"/>
        <v>0</v>
      </c>
      <c r="M12" s="257" t="s">
        <v>501</v>
      </c>
      <c r="N12" s="496">
        <f>N10-N9</f>
        <v>200</v>
      </c>
      <c r="O12" s="257" t="s">
        <v>502</v>
      </c>
      <c r="P12" s="244">
        <f t="shared" si="3"/>
        <v>18.579999999999998</v>
      </c>
      <c r="Q12" s="257" t="s">
        <v>501</v>
      </c>
      <c r="R12" s="245"/>
    </row>
    <row r="13" spans="1:19" ht="15" customHeight="1">
      <c r="A13" s="201" t="s">
        <v>141</v>
      </c>
      <c r="B13" s="254">
        <f>IF(HomeSize="Med",VLOOKUP(Geometry!A13,Geometry!$I$5:$Q$40,2,FALSE),VLOOKUP(Geometry!A13,Geometry!$I13:$Q$40,6,FALSE))</f>
        <v>1</v>
      </c>
      <c r="C13" s="257" t="s">
        <v>133</v>
      </c>
      <c r="D13" s="264">
        <f>IF(HomeSize="Med",VLOOKUP(Geometry!A13,Geometry!$I$5:$Q$40,4,FALSE),VLOOKUP(Geometry!A13,Geometry!$I$5:$Q$40,8,FALSE))</f>
        <v>0.30479999024640031</v>
      </c>
      <c r="E13" s="257" t="s">
        <v>134</v>
      </c>
      <c r="I13" s="87" t="s">
        <v>141</v>
      </c>
      <c r="J13" s="257">
        <v>1</v>
      </c>
      <c r="K13" s="241" t="s">
        <v>133</v>
      </c>
      <c r="L13" s="257">
        <f>J13/3.28084</f>
        <v>0.30479999024640031</v>
      </c>
      <c r="M13" s="257" t="s">
        <v>134</v>
      </c>
      <c r="N13" s="257">
        <v>1</v>
      </c>
      <c r="O13" s="257" t="s">
        <v>133</v>
      </c>
      <c r="P13" s="257">
        <f>N13/3.28084</f>
        <v>0.30479999024640031</v>
      </c>
      <c r="Q13" s="257" t="s">
        <v>134</v>
      </c>
      <c r="R13" s="122"/>
    </row>
    <row r="14" spans="1:19" ht="15" customHeight="1">
      <c r="A14" s="201" t="s">
        <v>142</v>
      </c>
      <c r="B14" s="254">
        <f>IF(HomeSize="Med",VLOOKUP(Geometry!A14,Geometry!$I$5:$Q$40,2,FALSE),VLOOKUP(Geometry!A14,Geometry!$I14:$Q$40,6,FALSE))</f>
        <v>9</v>
      </c>
      <c r="C14" s="257" t="s">
        <v>133</v>
      </c>
      <c r="D14" s="264">
        <f>IF(HomeSize="Med",VLOOKUP(Geometry!A14,Geometry!$I$5:$Q$40,4,FALSE),VLOOKUP(Geometry!A14,Geometry!$I$5:$Q$40,8,FALSE))</f>
        <v>2.743199912217603</v>
      </c>
      <c r="E14" s="257" t="s">
        <v>134</v>
      </c>
      <c r="I14" s="87" t="s">
        <v>142</v>
      </c>
      <c r="J14" s="257">
        <v>9</v>
      </c>
      <c r="K14" s="241" t="s">
        <v>133</v>
      </c>
      <c r="L14" s="257">
        <f>J14/3.28084</f>
        <v>2.743199912217603</v>
      </c>
      <c r="M14" s="257" t="s">
        <v>134</v>
      </c>
      <c r="N14" s="257">
        <v>9</v>
      </c>
      <c r="O14" s="257" t="s">
        <v>133</v>
      </c>
      <c r="P14" s="257">
        <f>N14/3.28084</f>
        <v>2.743199912217603</v>
      </c>
      <c r="Q14" s="257" t="s">
        <v>134</v>
      </c>
      <c r="R14" s="122"/>
    </row>
    <row r="15" spans="1:19" ht="15" customHeight="1">
      <c r="A15" s="201" t="s">
        <v>143</v>
      </c>
      <c r="B15" s="254">
        <f>IF(HomeSize="Med",VLOOKUP(Geometry!A15,Geometry!$I$5:$Q$40,2,FALSE),VLOOKUP(Geometry!A15,Geometry!$I15:$Q$40,6,FALSE))</f>
        <v>1</v>
      </c>
      <c r="C15" s="257" t="s">
        <v>133</v>
      </c>
      <c r="D15" s="254">
        <f>IF(HomeSize="Med",VLOOKUP(Geometry!A15,Geometry!$I$5:$Q$40,4,FALSE),VLOOKUP(Geometry!A15,Geometry!$I$5:$Q$40,8,FALSE))</f>
        <v>0.30479999024640031</v>
      </c>
      <c r="E15" s="257" t="s">
        <v>134</v>
      </c>
      <c r="I15" s="87" t="s">
        <v>143</v>
      </c>
      <c r="J15" s="257">
        <v>1</v>
      </c>
      <c r="K15" s="241" t="s">
        <v>133</v>
      </c>
      <c r="L15" s="257">
        <f>J15/3.28084</f>
        <v>0.30479999024640031</v>
      </c>
      <c r="M15" s="257" t="s">
        <v>134</v>
      </c>
      <c r="N15" s="257">
        <v>1</v>
      </c>
      <c r="O15" s="257" t="s">
        <v>133</v>
      </c>
      <c r="P15" s="257">
        <f>N15/3.28084</f>
        <v>0.30479999024640031</v>
      </c>
      <c r="Q15" s="257" t="s">
        <v>134</v>
      </c>
      <c r="R15" s="122"/>
    </row>
    <row r="16" spans="1:19" ht="15" customHeight="1">
      <c r="A16" s="201" t="s">
        <v>144</v>
      </c>
      <c r="B16" s="254">
        <f>IF(HomeSize="Med",VLOOKUP(Geometry!A16,Geometry!$I$5:$Q$40,2,FALSE),VLOOKUP(Geometry!A16,Geometry!$I16:$Q$40,6,FALSE))</f>
        <v>20</v>
      </c>
      <c r="C16" s="257" t="s">
        <v>133</v>
      </c>
      <c r="D16" s="264">
        <f>IF(HomeSize="Med",VLOOKUP(Geometry!A16,Geometry!$I$5:$Q$40,4,FALSE),VLOOKUP(Geometry!A16,Geometry!$I$5:$Q$40,8,FALSE))</f>
        <v>6.095999804928006</v>
      </c>
      <c r="E16" s="257" t="s">
        <v>134</v>
      </c>
      <c r="I16" s="87" t="s">
        <v>144</v>
      </c>
      <c r="J16" s="257">
        <f>J13+(J14*J5)+J15</f>
        <v>11</v>
      </c>
      <c r="K16" s="241" t="s">
        <v>133</v>
      </c>
      <c r="L16" s="257">
        <f>J16/3.28084</f>
        <v>3.3527998927104035</v>
      </c>
      <c r="M16" s="257" t="s">
        <v>134</v>
      </c>
      <c r="N16" s="257">
        <f>N13+(N14*N5)+N15</f>
        <v>20</v>
      </c>
      <c r="O16" s="257" t="s">
        <v>133</v>
      </c>
      <c r="P16" s="257">
        <f>N16/3.28084</f>
        <v>6.095999804928006</v>
      </c>
      <c r="Q16" s="257" t="s">
        <v>134</v>
      </c>
      <c r="R16" s="122"/>
      <c r="S16" s="5" t="s">
        <v>145</v>
      </c>
    </row>
    <row r="17" spans="1:19" ht="15" customHeight="1">
      <c r="A17" s="201" t="s">
        <v>146</v>
      </c>
      <c r="B17" s="254">
        <f>IF(HomeSize="Med",VLOOKUP(Geometry!A17,Geometry!$I$5:$Q$40,2,FALSE),VLOOKUP(Geometry!A17,Geometry!$I17:$Q$40,6,FALSE))</f>
        <v>540</v>
      </c>
      <c r="C17" s="257" t="s">
        <v>502</v>
      </c>
      <c r="D17" s="264">
        <f>IF(HomeSize="Med",VLOOKUP(Geometry!A17,Geometry!$I$5:$Q$40,4,FALSE),VLOOKUP(Geometry!A17,Geometry!$I$5:$Q$40,8,FALSE))</f>
        <v>50.165999999999997</v>
      </c>
      <c r="E17" s="257" t="s">
        <v>501</v>
      </c>
      <c r="G17" s="5" t="s">
        <v>1328</v>
      </c>
      <c r="I17" s="87" t="s">
        <v>146</v>
      </c>
      <c r="J17" s="244">
        <f>0.2*J8</f>
        <v>420</v>
      </c>
      <c r="K17" s="257" t="s">
        <v>502</v>
      </c>
      <c r="L17" s="244">
        <f>J17*0.0929</f>
        <v>39.018000000000001</v>
      </c>
      <c r="M17" s="257" t="s">
        <v>501</v>
      </c>
      <c r="N17" s="244">
        <f>0.2*N8</f>
        <v>540</v>
      </c>
      <c r="O17" s="257" t="s">
        <v>502</v>
      </c>
      <c r="P17" s="244">
        <f>N17*0.0929</f>
        <v>50.165999999999997</v>
      </c>
      <c r="Q17" s="257" t="s">
        <v>501</v>
      </c>
      <c r="R17" s="123" t="s">
        <v>506</v>
      </c>
      <c r="S17" s="5" t="s">
        <v>147</v>
      </c>
    </row>
    <row r="18" spans="1:19" s="254" customFormat="1" ht="15" customHeight="1">
      <c r="A18" s="201" t="s">
        <v>889</v>
      </c>
      <c r="B18" s="254">
        <f>IF(HomeSize="Med",VLOOKUP(Geometry!A18,Geometry!$I$5:$Q$40,2,FALSE),VLOOKUP(Geometry!A18,Geometry!$I18:$Q$40,6,FALSE))</f>
        <v>40</v>
      </c>
      <c r="C18" s="257" t="s">
        <v>502</v>
      </c>
      <c r="D18" s="254">
        <f>IF(HomeSize="Med",VLOOKUP(Geometry!A18,Geometry!$I$5:$Q$40,4,FALSE),VLOOKUP(Geometry!A18,Geometry!$I$5:$Q$40,8,FALSE))</f>
        <v>3.7159999999999997</v>
      </c>
      <c r="E18" s="257" t="s">
        <v>501</v>
      </c>
      <c r="I18" s="201" t="s">
        <v>889</v>
      </c>
      <c r="J18" s="244">
        <v>40</v>
      </c>
      <c r="K18" s="257" t="s">
        <v>502</v>
      </c>
      <c r="L18" s="244">
        <f>J18*0.0929</f>
        <v>3.7159999999999997</v>
      </c>
      <c r="M18" s="257" t="s">
        <v>501</v>
      </c>
      <c r="N18" s="244">
        <v>40</v>
      </c>
      <c r="O18" s="257" t="s">
        <v>502</v>
      </c>
      <c r="P18" s="244">
        <f>N18*0.0929</f>
        <v>3.7159999999999997</v>
      </c>
      <c r="Q18" s="257" t="s">
        <v>501</v>
      </c>
    </row>
    <row r="19" spans="1:19" ht="15" customHeight="1">
      <c r="A19" s="201" t="s">
        <v>148</v>
      </c>
      <c r="B19" s="254">
        <f>IF(HomeSize="Med",VLOOKUP(Geometry!A19,Geometry!$I$5:$Q$40,2,FALSE),VLOOKUP(Geometry!A19,Geometry!$I19:$Q$40,6,FALSE))</f>
        <v>0</v>
      </c>
      <c r="C19" s="257"/>
      <c r="D19" s="254">
        <f>IF(HomeSize="Med",VLOOKUP(Geometry!A19,Geometry!$I$5:$Q$40,4,FALSE),VLOOKUP(Geometry!A19,Geometry!$I$5:$Q$40,8,FALSE))</f>
        <v>0</v>
      </c>
      <c r="E19" s="257" t="s">
        <v>11</v>
      </c>
      <c r="I19" s="87" t="s">
        <v>148</v>
      </c>
      <c r="J19" s="257"/>
      <c r="K19" s="257"/>
      <c r="L19" s="257"/>
      <c r="M19" s="257" t="s">
        <v>11</v>
      </c>
      <c r="N19" s="257"/>
      <c r="O19" s="257"/>
      <c r="P19" s="257"/>
      <c r="Q19" s="257" t="s">
        <v>11</v>
      </c>
      <c r="R19" s="266" t="s">
        <v>160</v>
      </c>
    </row>
    <row r="20" spans="1:19" s="254" customFormat="1" ht="15" customHeight="1">
      <c r="A20" s="201" t="s">
        <v>1316</v>
      </c>
      <c r="B20" s="254">
        <f>IF(HomeSize="Med",VLOOKUP(Geometry!A20,Geometry!$I$5:$Q$40,2,FALSE),VLOOKUP(Geometry!A20,Geometry!$I20:$Q$40,6,FALSE))</f>
        <v>270</v>
      </c>
      <c r="C20" s="257" t="s">
        <v>502</v>
      </c>
      <c r="D20" s="254">
        <f>IF(HomeSize="Med",VLOOKUP(Geometry!A20,Geometry!$I$5:$Q$40,4,FALSE),VLOOKUP(Geometry!A20,Geometry!$I$5:$Q$40,8,FALSE))</f>
        <v>25.082999999999998</v>
      </c>
      <c r="E20" s="257" t="s">
        <v>501</v>
      </c>
      <c r="I20" s="201" t="s">
        <v>1316</v>
      </c>
      <c r="J20" s="257">
        <v>270</v>
      </c>
      <c r="K20" s="257" t="s">
        <v>502</v>
      </c>
      <c r="L20" s="244">
        <f t="shared" ref="L20:L28" si="4">J20*0.0929</f>
        <v>25.082999999999998</v>
      </c>
      <c r="M20" s="257" t="s">
        <v>501</v>
      </c>
      <c r="N20" s="257">
        <v>270</v>
      </c>
      <c r="O20" s="257" t="s">
        <v>502</v>
      </c>
      <c r="P20" s="244">
        <f t="shared" ref="P20:P28" si="5">N20*0.0929</f>
        <v>25.082999999999998</v>
      </c>
      <c r="Q20" s="257" t="s">
        <v>501</v>
      </c>
      <c r="R20" s="266"/>
    </row>
    <row r="21" spans="1:19" s="254" customFormat="1" ht="15" customHeight="1">
      <c r="A21" s="201" t="s">
        <v>1317</v>
      </c>
      <c r="B21" s="254">
        <f>IF(HomeSize="Med",VLOOKUP(Geometry!A21,Geometry!$I$5:$Q$40,2,FALSE),VLOOKUP(Geometry!A21,Geometry!$I21:$Q$40,6,FALSE))</f>
        <v>180</v>
      </c>
      <c r="C21" s="257" t="s">
        <v>502</v>
      </c>
      <c r="D21" s="254">
        <f>IF(HomeSize="Med",VLOOKUP(Geometry!A21,Geometry!$I$5:$Q$40,4,FALSE),VLOOKUP(Geometry!A21,Geometry!$I$5:$Q$40,8,FALSE))</f>
        <v>16.721999999999998</v>
      </c>
      <c r="E21" s="257" t="s">
        <v>501</v>
      </c>
      <c r="I21" s="201" t="s">
        <v>1317</v>
      </c>
      <c r="J21" s="257">
        <v>180</v>
      </c>
      <c r="K21" s="257" t="s">
        <v>502</v>
      </c>
      <c r="L21" s="244">
        <f t="shared" si="4"/>
        <v>16.721999999999998</v>
      </c>
      <c r="M21" s="257" t="s">
        <v>501</v>
      </c>
      <c r="N21" s="257">
        <v>180</v>
      </c>
      <c r="O21" s="257" t="s">
        <v>502</v>
      </c>
      <c r="P21" s="244">
        <f t="shared" si="5"/>
        <v>16.721999999999998</v>
      </c>
      <c r="Q21" s="257" t="s">
        <v>501</v>
      </c>
      <c r="R21" s="266"/>
    </row>
    <row r="22" spans="1:19" s="254" customFormat="1" ht="15" customHeight="1">
      <c r="A22" s="201" t="s">
        <v>1318</v>
      </c>
      <c r="B22" s="254">
        <f>IF(HomeSize="Med",VLOOKUP(Geometry!A22,Geometry!$I$5:$Q$40,2,FALSE),VLOOKUP(Geometry!A22,Geometry!$I22:$Q$40,6,FALSE))</f>
        <v>551</v>
      </c>
      <c r="C22" s="257" t="s">
        <v>502</v>
      </c>
      <c r="D22" s="254">
        <f>IF(HomeSize="Med",VLOOKUP(Geometry!A22,Geometry!$I$5:$Q$40,4,FALSE),VLOOKUP(Geometry!A22,Geometry!$I$5:$Q$40,8,FALSE))</f>
        <v>51.187899999999999</v>
      </c>
      <c r="E22" s="257" t="s">
        <v>501</v>
      </c>
      <c r="I22" s="201" t="s">
        <v>1318</v>
      </c>
      <c r="J22" s="257">
        <v>324</v>
      </c>
      <c r="K22" s="257" t="s">
        <v>502</v>
      </c>
      <c r="L22" s="244">
        <f t="shared" si="4"/>
        <v>30.099599999999999</v>
      </c>
      <c r="M22" s="257" t="s">
        <v>501</v>
      </c>
      <c r="N22" s="257">
        <v>551</v>
      </c>
      <c r="O22" s="257" t="s">
        <v>502</v>
      </c>
      <c r="P22" s="244">
        <f t="shared" si="5"/>
        <v>51.187899999999999</v>
      </c>
      <c r="Q22" s="257" t="s">
        <v>501</v>
      </c>
      <c r="R22" s="266"/>
    </row>
    <row r="23" spans="1:19" s="254" customFormat="1" ht="15" customHeight="1">
      <c r="A23" s="201" t="s">
        <v>1319</v>
      </c>
      <c r="B23" s="254">
        <f>IF(HomeSize="Med",VLOOKUP(Geometry!A23,Geometry!$I$5:$Q$40,2,FALSE),VLOOKUP(Geometry!A23,Geometry!$I23:$Q$40,6,FALSE))</f>
        <v>0</v>
      </c>
      <c r="C23" s="257" t="s">
        <v>502</v>
      </c>
      <c r="D23" s="254">
        <f>IF(HomeSize="Med",VLOOKUP(Geometry!A23,Geometry!$I$5:$Q$40,4,FALSE),VLOOKUP(Geometry!A23,Geometry!$I$5:$Q$40,8,FALSE))</f>
        <v>0</v>
      </c>
      <c r="E23" s="257" t="s">
        <v>501</v>
      </c>
      <c r="I23" s="201" t="s">
        <v>1319</v>
      </c>
      <c r="J23" s="257">
        <v>90</v>
      </c>
      <c r="K23" s="257" t="s">
        <v>502</v>
      </c>
      <c r="L23" s="244">
        <f t="shared" si="4"/>
        <v>8.3609999999999989</v>
      </c>
      <c r="M23" s="257" t="s">
        <v>501</v>
      </c>
      <c r="N23" s="257">
        <v>0</v>
      </c>
      <c r="O23" s="257" t="s">
        <v>502</v>
      </c>
      <c r="P23" s="244">
        <f t="shared" si="5"/>
        <v>0</v>
      </c>
      <c r="Q23" s="257" t="s">
        <v>501</v>
      </c>
      <c r="R23" s="266"/>
    </row>
    <row r="24" spans="1:19" s="254" customFormat="1" ht="15" customHeight="1">
      <c r="A24" s="201" t="s">
        <v>1320</v>
      </c>
      <c r="B24" s="254">
        <f>IF(HomeSize="Med",VLOOKUP(Geometry!A24,Geometry!$I$5:$Q$40,2,FALSE),VLOOKUP(Geometry!A24,Geometry!$I24:$Q$40,6,FALSE))</f>
        <v>950</v>
      </c>
      <c r="C24" s="257" t="s">
        <v>502</v>
      </c>
      <c r="D24" s="254">
        <f>IF(HomeSize="Med",VLOOKUP(Geometry!A24,Geometry!$I$5:$Q$40,4,FALSE),VLOOKUP(Geometry!A24,Geometry!$I$5:$Q$40,8,FALSE))</f>
        <v>88.254999999999995</v>
      </c>
      <c r="E24" s="257" t="s">
        <v>501</v>
      </c>
      <c r="I24" s="201" t="s">
        <v>1320</v>
      </c>
      <c r="J24" s="257">
        <v>450</v>
      </c>
      <c r="K24" s="257" t="s">
        <v>502</v>
      </c>
      <c r="L24" s="244">
        <f t="shared" si="4"/>
        <v>41.805</v>
      </c>
      <c r="M24" s="257" t="s">
        <v>501</v>
      </c>
      <c r="N24" s="257">
        <v>950</v>
      </c>
      <c r="O24" s="257" t="s">
        <v>502</v>
      </c>
      <c r="P24" s="244">
        <f t="shared" si="5"/>
        <v>88.254999999999995</v>
      </c>
      <c r="Q24" s="257" t="s">
        <v>501</v>
      </c>
      <c r="R24" s="266"/>
    </row>
    <row r="25" spans="1:19" s="254" customFormat="1" ht="15" customHeight="1">
      <c r="A25" s="201" t="s">
        <v>1321</v>
      </c>
      <c r="B25" s="254">
        <f>IF(HomeSize="Med",VLOOKUP(Geometry!A25,Geometry!$I$5:$Q$40,2,FALSE),VLOOKUP(Geometry!A25,Geometry!$I25:$Q$40,6,FALSE))</f>
        <v>461</v>
      </c>
      <c r="C25" s="257" t="s">
        <v>502</v>
      </c>
      <c r="D25" s="254">
        <f>IF(HomeSize="Med",VLOOKUP(Geometry!A25,Geometry!$I$5:$Q$40,4,FALSE),VLOOKUP(Geometry!A25,Geometry!$I$5:$Q$40,8,FALSE))</f>
        <v>42.826899999999995</v>
      </c>
      <c r="E25" s="257" t="s">
        <v>501</v>
      </c>
      <c r="I25" s="201" t="s">
        <v>1321</v>
      </c>
      <c r="J25" s="257">
        <v>414</v>
      </c>
      <c r="K25" s="257" t="s">
        <v>502</v>
      </c>
      <c r="L25" s="244">
        <f t="shared" si="4"/>
        <v>38.460599999999999</v>
      </c>
      <c r="M25" s="257" t="s">
        <v>501</v>
      </c>
      <c r="N25" s="257">
        <v>461</v>
      </c>
      <c r="O25" s="257" t="s">
        <v>502</v>
      </c>
      <c r="P25" s="244">
        <f t="shared" si="5"/>
        <v>42.826899999999995</v>
      </c>
      <c r="Q25" s="257" t="s">
        <v>501</v>
      </c>
      <c r="R25" s="266"/>
    </row>
    <row r="26" spans="1:19" s="254" customFormat="1" ht="15" customHeight="1">
      <c r="A26" s="201" t="s">
        <v>1323</v>
      </c>
      <c r="B26" s="254">
        <f>IF(HomeSize="Med",VLOOKUP(Geometry!A26,Geometry!$I$5:$Q$40,2,FALSE),VLOOKUP(Geometry!A26,Geometry!$I26:$Q$40,6,FALSE))</f>
        <v>90</v>
      </c>
      <c r="C26" s="257" t="s">
        <v>502</v>
      </c>
      <c r="D26" s="254">
        <f>IF(HomeSize="Med",VLOOKUP(Geometry!A26,Geometry!$I$5:$Q$40,4,FALSE),VLOOKUP(Geometry!A26,Geometry!$I$5:$Q$40,8,FALSE))</f>
        <v>8.3609999999999989</v>
      </c>
      <c r="E26" s="257" t="s">
        <v>501</v>
      </c>
      <c r="I26" s="201" t="s">
        <v>1323</v>
      </c>
      <c r="J26" s="257">
        <v>0</v>
      </c>
      <c r="K26" s="257" t="s">
        <v>502</v>
      </c>
      <c r="L26" s="244">
        <f t="shared" si="4"/>
        <v>0</v>
      </c>
      <c r="M26" s="257" t="s">
        <v>501</v>
      </c>
      <c r="N26" s="257">
        <v>90</v>
      </c>
      <c r="O26" s="257"/>
      <c r="P26" s="244">
        <f t="shared" si="5"/>
        <v>8.3609999999999989</v>
      </c>
      <c r="Q26" s="257"/>
      <c r="R26" s="266"/>
    </row>
    <row r="27" spans="1:19" ht="15" customHeight="1">
      <c r="A27" s="201" t="s">
        <v>1331</v>
      </c>
      <c r="B27" s="254">
        <f>IF(HomeSize="Med",VLOOKUP(Geometry!A27,Geometry!$I$5:$Q$40,2,FALSE),VLOOKUP(Geometry!A27,Geometry!$I27:$Q$40,6,FALSE))</f>
        <v>2502</v>
      </c>
      <c r="C27" s="257" t="s">
        <v>502</v>
      </c>
      <c r="D27" s="254">
        <f>IF(HomeSize="Med",VLOOKUP(Geometry!A27,Geometry!$I$5:$Q$40,4,FALSE),VLOOKUP(Geometry!A27,Geometry!$I$5:$Q$40,8,FALSE))</f>
        <v>232.4358</v>
      </c>
      <c r="E27" s="257" t="s">
        <v>501</v>
      </c>
      <c r="G27" s="5" t="s">
        <v>1329</v>
      </c>
      <c r="I27" s="87" t="s">
        <v>1331</v>
      </c>
      <c r="J27" s="266">
        <f>SUM(J20:J26)</f>
        <v>1728</v>
      </c>
      <c r="K27" s="257" t="s">
        <v>502</v>
      </c>
      <c r="L27" s="244">
        <f t="shared" si="4"/>
        <v>160.53119999999998</v>
      </c>
      <c r="M27" s="257" t="s">
        <v>501</v>
      </c>
      <c r="N27" s="266">
        <f>SUM(N20:N26)</f>
        <v>2502</v>
      </c>
      <c r="O27" s="257" t="s">
        <v>502</v>
      </c>
      <c r="P27" s="244">
        <f t="shared" si="5"/>
        <v>232.4358</v>
      </c>
      <c r="Q27" s="257" t="s">
        <v>501</v>
      </c>
      <c r="R27"/>
      <c r="S27" s="5">
        <f>((L11*L14*Stories))-A_windowSI</f>
        <v>270.90688569133505</v>
      </c>
    </row>
    <row r="28" spans="1:19" s="254" customFormat="1" ht="15" customHeight="1">
      <c r="A28" s="201" t="s">
        <v>1332</v>
      </c>
      <c r="B28" s="254">
        <f>IF(HomeSize="Med",VLOOKUP(Geometry!A28,Geometry!$I$5:$Q$40,2,FALSE),VLOOKUP(Geometry!A28,Geometry!$I28:$Q$40,6,FALSE))</f>
        <v>1962</v>
      </c>
      <c r="C28" s="257" t="s">
        <v>1333</v>
      </c>
      <c r="D28" s="254">
        <f>IF(HomeSize="Med",VLOOKUP(Geometry!A28,Geometry!$I$5:$Q$40,4,FALSE),VLOOKUP(Geometry!A28,Geometry!$I$5:$Q$40,8,FALSE))</f>
        <v>182.2698</v>
      </c>
      <c r="E28" s="257" t="s">
        <v>1334</v>
      </c>
      <c r="I28" s="201" t="s">
        <v>1332</v>
      </c>
      <c r="J28" s="497">
        <f>J27-J17</f>
        <v>1308</v>
      </c>
      <c r="K28" s="257" t="s">
        <v>502</v>
      </c>
      <c r="L28" s="244">
        <f t="shared" si="4"/>
        <v>121.5132</v>
      </c>
      <c r="M28" s="257" t="s">
        <v>501</v>
      </c>
      <c r="N28" s="497">
        <f>N27-N17</f>
        <v>1962</v>
      </c>
      <c r="O28" s="257" t="s">
        <v>502</v>
      </c>
      <c r="P28" s="244">
        <f t="shared" si="5"/>
        <v>182.2698</v>
      </c>
      <c r="Q28" s="257" t="s">
        <v>501</v>
      </c>
      <c r="R28" s="245"/>
    </row>
    <row r="29" spans="1:19" ht="15" customHeight="1">
      <c r="A29" s="201" t="s">
        <v>149</v>
      </c>
      <c r="B29" s="254">
        <f>IF(HomeSize="Med",VLOOKUP(Geometry!A29,Geometry!$I$5:$Q$40,2,FALSE),VLOOKUP(Geometry!A29,Geometry!$I29:$Q$40,6,FALSE))</f>
        <v>25750</v>
      </c>
      <c r="C29" s="257" t="s">
        <v>1322</v>
      </c>
      <c r="D29" s="264">
        <f>IF(HomeSize="Med",VLOOKUP(Geometry!A29,Geometry!$I$5:$Q$40,4,FALSE),VLOOKUP(Geometry!A29,Geometry!$I$5:$Q$40,8,FALSE))</f>
        <v>729.1581126273195</v>
      </c>
      <c r="E29" s="254" t="s">
        <v>150</v>
      </c>
      <c r="I29" s="87" t="s">
        <v>149</v>
      </c>
      <c r="J29" s="266">
        <v>18900</v>
      </c>
      <c r="K29" s="257" t="s">
        <v>1322</v>
      </c>
      <c r="L29" s="242">
        <f>J29/35.3147</f>
        <v>535.18789625849854</v>
      </c>
      <c r="M29" s="257" t="s">
        <v>150</v>
      </c>
      <c r="N29" s="266">
        <v>25750</v>
      </c>
      <c r="O29" s="257" t="s">
        <v>1322</v>
      </c>
      <c r="P29" s="242">
        <f>N29/35.3147</f>
        <v>729.1581126273195</v>
      </c>
      <c r="Q29" s="254" t="s">
        <v>150</v>
      </c>
      <c r="R29" s="122"/>
    </row>
    <row r="30" spans="1:19" ht="15" customHeight="1">
      <c r="B30" s="257"/>
      <c r="J30" s="257"/>
      <c r="L30" s="257"/>
      <c r="M30" s="257"/>
      <c r="N30" s="257"/>
      <c r="O30" s="257"/>
      <c r="P30" s="257"/>
      <c r="Q30" s="254"/>
    </row>
    <row r="31" spans="1:19" ht="15" customHeight="1">
      <c r="A31" s="99" t="s">
        <v>151</v>
      </c>
      <c r="B31" s="100" t="s">
        <v>129</v>
      </c>
      <c r="C31" s="100" t="s">
        <v>130</v>
      </c>
      <c r="D31" s="100" t="s">
        <v>131</v>
      </c>
      <c r="E31" s="100" t="s">
        <v>130</v>
      </c>
      <c r="I31" s="99" t="s">
        <v>151</v>
      </c>
      <c r="J31" s="100" t="s">
        <v>129</v>
      </c>
      <c r="K31" s="100" t="s">
        <v>130</v>
      </c>
      <c r="L31" s="494" t="s">
        <v>131</v>
      </c>
      <c r="M31" s="494" t="s">
        <v>130</v>
      </c>
      <c r="N31" s="494" t="s">
        <v>129</v>
      </c>
      <c r="O31" s="494" t="s">
        <v>130</v>
      </c>
      <c r="P31" s="494" t="s">
        <v>131</v>
      </c>
      <c r="Q31" s="100" t="s">
        <v>130</v>
      </c>
      <c r="R31" s="122"/>
    </row>
    <row r="32" spans="1:19" ht="15" customHeight="1">
      <c r="A32" s="201" t="s">
        <v>152</v>
      </c>
      <c r="B32" s="247">
        <v>0.17500000000000004</v>
      </c>
      <c r="C32" s="254" t="s">
        <v>11</v>
      </c>
      <c r="D32" s="264">
        <f>IF(HomeSize="Med",VLOOKUP(Geometry!A32,Geometry!$I$5:$Q$40,4,FALSE),VLOOKUP(Geometry!A32,Geometry!$I$5:$Q$40,8,FALSE))</f>
        <v>18.43494882292201</v>
      </c>
      <c r="E32" s="254" t="s">
        <v>153</v>
      </c>
      <c r="I32" s="87" t="s">
        <v>152</v>
      </c>
      <c r="J32" s="247">
        <v>0.17500000000000004</v>
      </c>
      <c r="K32" s="246" t="s">
        <v>11</v>
      </c>
      <c r="L32" s="244">
        <f>DEGREES(ATAN(4/12))</f>
        <v>18.43494882292201</v>
      </c>
      <c r="M32" s="257" t="s">
        <v>153</v>
      </c>
      <c r="N32" s="495">
        <v>0.17500000000000004</v>
      </c>
      <c r="O32" s="257" t="s">
        <v>11</v>
      </c>
      <c r="P32" s="244">
        <f>DEGREES(ATAN(4/12))</f>
        <v>18.43494882292201</v>
      </c>
      <c r="Q32" s="254" t="s">
        <v>153</v>
      </c>
      <c r="R32" s="123" t="s">
        <v>533</v>
      </c>
    </row>
    <row r="33" spans="1:19" ht="15" customHeight="1">
      <c r="A33" s="201" t="s">
        <v>154</v>
      </c>
      <c r="B33" s="245"/>
      <c r="C33" s="245"/>
      <c r="D33" s="254">
        <f>IF(HomeSize="Med",VLOOKUP(Geometry!A33,Geometry!$I$5:$Q$40,4,FALSE),VLOOKUP(Geometry!A33,Geometry!$I$5:$Q$40,8,FALSE))</f>
        <v>2.5399999187200022</v>
      </c>
      <c r="E33" s="254" t="s">
        <v>134</v>
      </c>
      <c r="I33" s="87" t="s">
        <v>154</v>
      </c>
      <c r="J33" s="245"/>
      <c r="K33" s="245"/>
      <c r="L33" s="57">
        <f>TAN(RADIANS(L32))*(L6/2)</f>
        <v>2.5399999187200022</v>
      </c>
      <c r="M33" s="257" t="s">
        <v>134</v>
      </c>
      <c r="N33" s="266"/>
      <c r="O33" s="266"/>
      <c r="P33" s="57">
        <f>TAN(RADIANS(P32))*(P6/2)</f>
        <v>2.5399999187200022</v>
      </c>
      <c r="Q33" s="254" t="s">
        <v>134</v>
      </c>
    </row>
    <row r="34" spans="1:19" ht="15" customHeight="1">
      <c r="A34" s="201" t="s">
        <v>155</v>
      </c>
      <c r="B34" s="245"/>
      <c r="C34" s="245"/>
      <c r="D34" s="264">
        <f>IF(HomeSize="Med",VLOOKUP(Geometry!A34,Geometry!$I$5:$Q$40,4,FALSE),VLOOKUP(Geometry!A34,Geometry!$I$5:$Q$40,8,FALSE))</f>
        <v>171.07534452558892</v>
      </c>
      <c r="E34" s="254" t="s">
        <v>503</v>
      </c>
      <c r="I34" s="87" t="s">
        <v>155</v>
      </c>
      <c r="J34" s="245"/>
      <c r="K34" s="245"/>
      <c r="L34" s="244">
        <f>0.5*L9*L33</f>
        <v>247.76429207154263</v>
      </c>
      <c r="M34" s="257" t="s">
        <v>503</v>
      </c>
      <c r="N34" s="266"/>
      <c r="O34" s="266"/>
      <c r="P34" s="244">
        <f>0.5*P10*P33</f>
        <v>171.07534452558892</v>
      </c>
      <c r="Q34" s="254" t="s">
        <v>503</v>
      </c>
    </row>
    <row r="35" spans="1:19" ht="15" customHeight="1">
      <c r="A35" s="201" t="s">
        <v>156</v>
      </c>
      <c r="B35" s="245"/>
      <c r="C35" s="245"/>
      <c r="D35" s="264">
        <f>IF(HomeSize="Med",VLOOKUP(Geometry!A35,Geometry!$I$5:$Q$40,4,FALSE),VLOOKUP(Geometry!A35,Geometry!$I$5:$Q$40,8,FALSE))</f>
        <v>8.6359997236480091</v>
      </c>
      <c r="E35" s="254" t="s">
        <v>134</v>
      </c>
      <c r="I35" s="87" t="s">
        <v>156</v>
      </c>
      <c r="J35" s="245"/>
      <c r="K35" s="245"/>
      <c r="L35" s="244">
        <f>L16+L33</f>
        <v>5.8927998114304057</v>
      </c>
      <c r="M35" s="257" t="s">
        <v>134</v>
      </c>
      <c r="N35" s="266"/>
      <c r="O35" s="266"/>
      <c r="P35" s="244">
        <f>P16+P33</f>
        <v>8.6359997236480091</v>
      </c>
      <c r="Q35" s="254" t="s">
        <v>134</v>
      </c>
    </row>
    <row r="36" spans="1:19" ht="15" customHeight="1">
      <c r="A36" s="201" t="s">
        <v>157</v>
      </c>
      <c r="B36" s="245"/>
      <c r="C36" s="245"/>
      <c r="D36" s="254">
        <f>IF(HomeSize="Med",VLOOKUP(Geometry!A36,Geometry!$I$5:$Q$40,4,FALSE),VLOOKUP(Geometry!A36,Geometry!$I$5:$Q$40,8,FALSE))</f>
        <v>7.3659997642880075</v>
      </c>
      <c r="E36" s="254" t="s">
        <v>134</v>
      </c>
      <c r="I36" s="87" t="s">
        <v>157</v>
      </c>
      <c r="J36" s="245"/>
      <c r="K36" s="245"/>
      <c r="L36" s="244">
        <f>L16+(0.5*L33)</f>
        <v>4.6227998520704041</v>
      </c>
      <c r="M36" s="257" t="s">
        <v>134</v>
      </c>
      <c r="N36" s="266"/>
      <c r="O36" s="266"/>
      <c r="P36" s="244">
        <f>P16+(0.5*P33)</f>
        <v>7.3659997642880075</v>
      </c>
      <c r="Q36" s="254" t="s">
        <v>134</v>
      </c>
      <c r="R36" s="5" t="s">
        <v>515</v>
      </c>
    </row>
    <row r="37" spans="1:19" ht="15" customHeight="1">
      <c r="A37" s="201" t="s">
        <v>158</v>
      </c>
      <c r="B37" s="245"/>
      <c r="C37" s="245"/>
      <c r="D37" s="254">
        <f>IF(HomeSize="Med",VLOOKUP(Geometry!A37,Geometry!$I$5:$Q$40,4,FALSE),VLOOKUP(Geometry!A37,Geometry!$I$5:$Q$40,8,FALSE))</f>
        <v>0.3</v>
      </c>
      <c r="E37" s="254" t="s">
        <v>134</v>
      </c>
      <c r="I37" s="87" t="s">
        <v>158</v>
      </c>
      <c r="J37" s="245"/>
      <c r="K37" s="245"/>
      <c r="L37" s="257">
        <v>0.3</v>
      </c>
      <c r="M37" s="257" t="s">
        <v>134</v>
      </c>
      <c r="N37" s="266"/>
      <c r="O37" s="266"/>
      <c r="P37" s="257">
        <v>0.3</v>
      </c>
      <c r="Q37" s="254" t="s">
        <v>134</v>
      </c>
      <c r="R37" s="5" t="s">
        <v>159</v>
      </c>
      <c r="S37" s="5" t="s">
        <v>160</v>
      </c>
    </row>
    <row r="38" spans="1:19" ht="15" customHeight="1">
      <c r="A38" s="201" t="s">
        <v>161</v>
      </c>
      <c r="B38" s="245"/>
      <c r="C38" s="245"/>
      <c r="D38" s="254">
        <f>IF(HomeSize="Med",VLOOKUP(Geometry!A38,Geometry!$I$5:$Q$40,4,FALSE),VLOOKUP(Geometry!A38,Geometry!$I$5:$Q$40,8,FALSE))</f>
        <v>8.6359997236480091</v>
      </c>
      <c r="E38" s="254" t="s">
        <v>134</v>
      </c>
      <c r="I38" s="87" t="s">
        <v>161</v>
      </c>
      <c r="J38" s="245"/>
      <c r="K38" s="245"/>
      <c r="L38" s="244">
        <f>L35</f>
        <v>5.8927998114304057</v>
      </c>
      <c r="M38" s="257" t="s">
        <v>134</v>
      </c>
      <c r="N38" s="266"/>
      <c r="O38" s="266"/>
      <c r="P38" s="244">
        <f>P35</f>
        <v>8.6359997236480091</v>
      </c>
      <c r="Q38" s="254" t="s">
        <v>134</v>
      </c>
      <c r="S38" s="5" t="s">
        <v>162</v>
      </c>
    </row>
    <row r="39" spans="1:19" ht="15" customHeight="1">
      <c r="A39" s="201" t="s">
        <v>399</v>
      </c>
      <c r="B39" s="245">
        <v>1</v>
      </c>
      <c r="C39" s="245"/>
      <c r="D39" s="254">
        <f>IF(HomeSize="Med",VLOOKUP(Geometry!A39,Geometry!$I$5:$Q$40,4,FALSE),VLOOKUP(Geometry!A39,Geometry!$I$5:$Q$40,8,FALSE))</f>
        <v>0.30479999024640031</v>
      </c>
      <c r="E39" s="254" t="s">
        <v>134</v>
      </c>
      <c r="I39" s="87" t="s">
        <v>399</v>
      </c>
      <c r="J39" s="245">
        <v>1</v>
      </c>
      <c r="K39" s="245"/>
      <c r="L39" s="257">
        <f>J39/3.28084</f>
        <v>0.30479999024640031</v>
      </c>
      <c r="M39" s="257" t="s">
        <v>134</v>
      </c>
      <c r="N39" s="266">
        <v>1</v>
      </c>
      <c r="O39" s="266"/>
      <c r="P39" s="257">
        <f>N39/3.28084</f>
        <v>0.30479999024640031</v>
      </c>
      <c r="Q39" s="254" t="s">
        <v>134</v>
      </c>
    </row>
    <row r="40" spans="1:19" ht="15" customHeight="1">
      <c r="A40" s="254" t="s">
        <v>535</v>
      </c>
      <c r="C40" s="245"/>
      <c r="D40" s="254">
        <f>IF(HomeSize="Med",VLOOKUP(Geometry!A40,Geometry!$I$5:$Q$40,4,FALSE),VLOOKUP(Geometry!A40,Geometry!$I$5:$Q$40,8,FALSE))</f>
        <v>170.031718482922</v>
      </c>
      <c r="E40" s="254" t="s">
        <v>501</v>
      </c>
      <c r="I40" s="123" t="s">
        <v>535</v>
      </c>
      <c r="J40" s="246"/>
      <c r="K40" s="245"/>
      <c r="L40" s="256">
        <f>(((L7/2+L39)^2+(L33^2))^0.5)*(L6+2*L39)*2</f>
        <v>245.46674876041138</v>
      </c>
      <c r="M40" s="120" t="s">
        <v>501</v>
      </c>
      <c r="N40" s="254"/>
      <c r="O40" s="245"/>
      <c r="P40" s="256">
        <f>(((P7/2+P39)^2+(P33^2))^0.5)*(P6+2*P39)*2</f>
        <v>170.031718482922</v>
      </c>
      <c r="Q40" s="254" t="s">
        <v>501</v>
      </c>
      <c r="R40" s="123" t="s">
        <v>534</v>
      </c>
      <c r="S40" s="254" t="s">
        <v>400</v>
      </c>
    </row>
    <row r="41" spans="1:19" ht="15" customHeight="1">
      <c r="I41" s="123"/>
      <c r="J41" s="123"/>
      <c r="N41" s="254"/>
      <c r="O41" s="254"/>
      <c r="P41" s="254"/>
      <c r="Q41" s="254"/>
    </row>
    <row r="42" spans="1:19" ht="15" customHeight="1">
      <c r="D42" s="256"/>
      <c r="I42" s="123"/>
      <c r="J42" s="123"/>
      <c r="L42" s="12"/>
      <c r="N42" s="254"/>
      <c r="O42" s="254"/>
      <c r="P42" s="254"/>
      <c r="Q42" s="254"/>
    </row>
    <row r="43" spans="1:19" ht="15" customHeight="1">
      <c r="N43" s="254"/>
      <c r="O43" s="254"/>
      <c r="P43" s="254"/>
      <c r="Q43" s="254"/>
    </row>
    <row r="44" spans="1:19" ht="15" customHeight="1">
      <c r="N44" s="254"/>
      <c r="O44" s="254"/>
      <c r="P44" s="254"/>
      <c r="Q44" s="254"/>
    </row>
    <row r="45" spans="1:19" ht="15" customHeight="1">
      <c r="A45" s="254" t="s">
        <v>504</v>
      </c>
      <c r="D45" s="254">
        <f>W_houseSI/(W_houseSI+L_houseSI)</f>
        <v>0.36708860759493678</v>
      </c>
      <c r="I45" s="5" t="s">
        <v>504</v>
      </c>
      <c r="L45" s="5">
        <f>W_houseSI/(W_houseSI+L_houseSI)</f>
        <v>0.36708860759493678</v>
      </c>
      <c r="N45" s="254"/>
      <c r="O45" s="254"/>
      <c r="P45" s="254"/>
      <c r="Q45" s="254"/>
    </row>
    <row r="46" spans="1:19" ht="15" customHeight="1">
      <c r="A46" s="254" t="s">
        <v>407</v>
      </c>
      <c r="I46" s="5" t="s">
        <v>407</v>
      </c>
      <c r="N46" s="254"/>
      <c r="O46" s="254"/>
      <c r="P46" s="254"/>
      <c r="Q46" s="254"/>
    </row>
    <row r="47" spans="1:19" ht="15" customHeight="1">
      <c r="N47" s="254"/>
      <c r="O47" s="254"/>
      <c r="P47" s="254"/>
      <c r="Q47" s="254"/>
    </row>
    <row r="48" spans="1:19" ht="15" customHeight="1">
      <c r="A48" s="124" t="s">
        <v>127</v>
      </c>
      <c r="I48" s="4" t="s">
        <v>127</v>
      </c>
      <c r="N48" s="254"/>
      <c r="O48" s="254"/>
      <c r="P48" s="254"/>
      <c r="Q48" s="254"/>
    </row>
    <row r="49" spans="1:17" ht="15" customHeight="1">
      <c r="N49" s="254"/>
      <c r="O49" s="254"/>
      <c r="P49" s="254"/>
      <c r="Q49" s="254"/>
    </row>
    <row r="50" spans="1:17" ht="15" customHeight="1">
      <c r="N50" s="254"/>
      <c r="O50" s="254"/>
      <c r="P50" s="254"/>
      <c r="Q50" s="254"/>
    </row>
    <row r="51" spans="1:17" ht="15" customHeight="1">
      <c r="A51" s="82"/>
      <c r="B51" s="100" t="s">
        <v>129</v>
      </c>
      <c r="C51" s="100" t="s">
        <v>130</v>
      </c>
      <c r="D51" s="100" t="s">
        <v>131</v>
      </c>
      <c r="E51" s="100" t="s">
        <v>130</v>
      </c>
      <c r="I51" s="82"/>
      <c r="J51" s="100" t="s">
        <v>129</v>
      </c>
      <c r="K51" s="100" t="s">
        <v>130</v>
      </c>
      <c r="L51" s="100" t="s">
        <v>131</v>
      </c>
      <c r="M51" s="100" t="s">
        <v>130</v>
      </c>
      <c r="N51" s="492"/>
      <c r="O51" s="492"/>
      <c r="P51" s="492"/>
      <c r="Q51" s="492"/>
    </row>
    <row r="52" spans="1:17" ht="15" customHeight="1">
      <c r="A52" s="129" t="s">
        <v>423</v>
      </c>
      <c r="B52" s="257">
        <v>200</v>
      </c>
      <c r="C52" s="257" t="s">
        <v>137</v>
      </c>
      <c r="D52" s="244">
        <f>B52*0.3048^2</f>
        <v>18.580608000000002</v>
      </c>
      <c r="E52" s="257" t="s">
        <v>501</v>
      </c>
      <c r="I52" s="129" t="s">
        <v>423</v>
      </c>
      <c r="J52" s="55">
        <v>200</v>
      </c>
      <c r="K52" s="55" t="s">
        <v>137</v>
      </c>
      <c r="L52" s="164">
        <f>J52*0.3048^2</f>
        <v>18.580608000000002</v>
      </c>
      <c r="M52" s="55" t="s">
        <v>501</v>
      </c>
      <c r="N52" s="257"/>
      <c r="O52" s="257"/>
      <c r="P52" s="257"/>
      <c r="Q52" s="257"/>
    </row>
    <row r="53" spans="1:17" ht="15" customHeight="1">
      <c r="A53" s="129" t="s">
        <v>424</v>
      </c>
      <c r="B53" s="257">
        <v>240</v>
      </c>
      <c r="C53" s="257" t="s">
        <v>137</v>
      </c>
      <c r="D53" s="244">
        <f>B53*0.3048^2</f>
        <v>22.296729600000003</v>
      </c>
      <c r="E53" s="257" t="s">
        <v>501</v>
      </c>
      <c r="I53" s="129" t="s">
        <v>424</v>
      </c>
      <c r="J53" s="55">
        <v>240</v>
      </c>
      <c r="K53" s="55" t="s">
        <v>137</v>
      </c>
      <c r="L53" s="164">
        <f>J53*0.3048^2</f>
        <v>22.296729600000003</v>
      </c>
      <c r="M53" s="55" t="s">
        <v>501</v>
      </c>
      <c r="N53" s="257"/>
      <c r="O53" s="257"/>
      <c r="P53" s="257"/>
      <c r="Q53" s="257"/>
    </row>
    <row r="54" spans="1:17" ht="15" customHeight="1">
      <c r="N54" s="254"/>
      <c r="O54" s="254"/>
      <c r="P54" s="254"/>
      <c r="Q54" s="254"/>
    </row>
  </sheetData>
  <mergeCells count="3">
    <mergeCell ref="J3:M3"/>
    <mergeCell ref="N3:Q3"/>
    <mergeCell ref="B3:E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5"/>
  <sheetViews>
    <sheetView zoomScale="85" zoomScaleNormal="85" zoomScalePageLayoutView="85" workbookViewId="0">
      <selection activeCell="B6" sqref="B6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7" ht="15" customHeight="1">
      <c r="A1" s="183" t="s">
        <v>578</v>
      </c>
      <c r="B1" s="245">
        <v>1</v>
      </c>
      <c r="C1" s="245">
        <v>2</v>
      </c>
      <c r="D1" s="245">
        <v>3</v>
      </c>
      <c r="E1" s="245">
        <v>4</v>
      </c>
      <c r="F1" s="245">
        <v>5</v>
      </c>
      <c r="G1" s="245">
        <v>6</v>
      </c>
      <c r="H1" s="245">
        <v>7</v>
      </c>
      <c r="I1" s="245">
        <v>8</v>
      </c>
      <c r="J1" s="245">
        <v>9</v>
      </c>
      <c r="K1" s="245">
        <v>10</v>
      </c>
      <c r="L1" s="245">
        <v>11</v>
      </c>
      <c r="M1" s="245">
        <v>12</v>
      </c>
      <c r="N1" s="245">
        <v>13</v>
      </c>
      <c r="O1" s="245">
        <v>14</v>
      </c>
      <c r="P1" s="245">
        <v>15</v>
      </c>
      <c r="Q1" s="245">
        <v>16</v>
      </c>
    </row>
    <row r="2" spans="1:17" ht="15" customHeight="1">
      <c r="A2" s="1" t="s">
        <v>783</v>
      </c>
      <c r="B2" s="1">
        <f t="shared" ref="B2:Q2" si="0">Airtightness</f>
        <v>0.6</v>
      </c>
      <c r="C2" s="1">
        <f t="shared" si="0"/>
        <v>0.6</v>
      </c>
      <c r="D2" s="1">
        <f t="shared" si="0"/>
        <v>0.6</v>
      </c>
      <c r="E2" s="1">
        <f t="shared" si="0"/>
        <v>0.6</v>
      </c>
      <c r="F2" s="1">
        <f t="shared" si="0"/>
        <v>0.6</v>
      </c>
      <c r="G2" s="1">
        <f t="shared" si="0"/>
        <v>0.6</v>
      </c>
      <c r="H2" s="1">
        <f t="shared" si="0"/>
        <v>0.6</v>
      </c>
      <c r="I2" s="1">
        <f t="shared" si="0"/>
        <v>0.6</v>
      </c>
      <c r="J2" s="1">
        <f t="shared" si="0"/>
        <v>0.6</v>
      </c>
      <c r="K2" s="1">
        <f t="shared" si="0"/>
        <v>0.6</v>
      </c>
      <c r="L2" s="1">
        <f t="shared" si="0"/>
        <v>0.6</v>
      </c>
      <c r="M2" s="1">
        <f t="shared" si="0"/>
        <v>0.6</v>
      </c>
      <c r="N2" s="1">
        <f t="shared" si="0"/>
        <v>0.6</v>
      </c>
      <c r="O2" s="1">
        <f t="shared" si="0"/>
        <v>0.6</v>
      </c>
      <c r="P2" s="1">
        <f t="shared" si="0"/>
        <v>0.6</v>
      </c>
      <c r="Q2" s="1">
        <f t="shared" si="0"/>
        <v>0.6</v>
      </c>
    </row>
    <row r="3" spans="1:17" ht="15" customHeight="1">
      <c r="A3" s="1" t="s">
        <v>800</v>
      </c>
      <c r="B3" s="1">
        <f>(V_houseSI*B2)/3600/14</f>
        <v>8.6804537217538037E-3</v>
      </c>
      <c r="C3" s="1">
        <f t="shared" ref="C3:P3" si="1">(V_houseSI*C2)/3600/14</f>
        <v>8.6804537217538037E-3</v>
      </c>
      <c r="D3" s="1">
        <f t="shared" si="1"/>
        <v>8.6804537217538037E-3</v>
      </c>
      <c r="E3" s="1">
        <f t="shared" si="1"/>
        <v>8.6804537217538037E-3</v>
      </c>
      <c r="F3" s="1">
        <f t="shared" si="1"/>
        <v>8.6804537217538037E-3</v>
      </c>
      <c r="G3" s="1">
        <f t="shared" si="1"/>
        <v>8.6804537217538037E-3</v>
      </c>
      <c r="H3" s="1">
        <f t="shared" si="1"/>
        <v>8.6804537217538037E-3</v>
      </c>
      <c r="I3" s="1">
        <f t="shared" si="1"/>
        <v>8.6804537217538037E-3</v>
      </c>
      <c r="J3" s="1">
        <f t="shared" si="1"/>
        <v>8.6804537217538037E-3</v>
      </c>
      <c r="K3" s="1">
        <f t="shared" si="1"/>
        <v>8.6804537217538037E-3</v>
      </c>
      <c r="L3" s="1">
        <f t="shared" si="1"/>
        <v>8.6804537217538037E-3</v>
      </c>
      <c r="M3" s="1">
        <f t="shared" si="1"/>
        <v>8.6804537217538037E-3</v>
      </c>
      <c r="N3" s="1">
        <f t="shared" si="1"/>
        <v>8.6804537217538037E-3</v>
      </c>
      <c r="O3" s="1">
        <f t="shared" si="1"/>
        <v>8.6804537217538037E-3</v>
      </c>
      <c r="P3" s="1">
        <f t="shared" si="1"/>
        <v>8.6804537217538037E-3</v>
      </c>
      <c r="Q3" s="1">
        <f>(V_houseSI*Q2)/3600/14</f>
        <v>8.6804537217538037E-3</v>
      </c>
    </row>
    <row r="4" spans="1:17" ht="15" customHeight="1">
      <c r="A4" s="1" t="s">
        <v>801</v>
      </c>
      <c r="B4" s="395">
        <f t="shared" ref="B4:Q4" si="2">B3/(SQRT(1.2/2)*4^(n-0.5))</f>
        <v>9.1024395236017248E-3</v>
      </c>
      <c r="C4" s="395">
        <f t="shared" si="2"/>
        <v>9.1024395236017248E-3</v>
      </c>
      <c r="D4" s="395">
        <f t="shared" si="2"/>
        <v>9.1024395236017248E-3</v>
      </c>
      <c r="E4" s="395">
        <f t="shared" si="2"/>
        <v>9.1024395236017248E-3</v>
      </c>
      <c r="F4" s="395">
        <f t="shared" si="2"/>
        <v>9.1024395236017248E-3</v>
      </c>
      <c r="G4" s="395">
        <f t="shared" si="2"/>
        <v>9.1024395236017248E-3</v>
      </c>
      <c r="H4" s="395">
        <f t="shared" si="2"/>
        <v>9.1024395236017248E-3</v>
      </c>
      <c r="I4" s="395">
        <f t="shared" si="2"/>
        <v>9.1024395236017248E-3</v>
      </c>
      <c r="J4" s="395">
        <f t="shared" si="2"/>
        <v>9.1024395236017248E-3</v>
      </c>
      <c r="K4" s="395">
        <f t="shared" si="2"/>
        <v>9.1024395236017248E-3</v>
      </c>
      <c r="L4" s="395">
        <f t="shared" si="2"/>
        <v>9.1024395236017248E-3</v>
      </c>
      <c r="M4" s="395">
        <f t="shared" si="2"/>
        <v>9.1024395236017248E-3</v>
      </c>
      <c r="N4" s="395">
        <f t="shared" si="2"/>
        <v>9.1024395236017248E-3</v>
      </c>
      <c r="O4" s="395">
        <f t="shared" si="2"/>
        <v>9.1024395236017248E-3</v>
      </c>
      <c r="P4" s="395">
        <f t="shared" si="2"/>
        <v>9.1024395236017248E-3</v>
      </c>
      <c r="Q4" s="395">
        <f t="shared" si="2"/>
        <v>9.1024395236017248E-3</v>
      </c>
    </row>
    <row r="5" spans="1:17" ht="15" customHeight="1">
      <c r="A5" s="1" t="s">
        <v>8</v>
      </c>
      <c r="B5" s="395">
        <f t="shared" ref="B5:Q5" si="3">n</f>
        <v>0.65</v>
      </c>
      <c r="C5" s="395">
        <f t="shared" si="3"/>
        <v>0.65</v>
      </c>
      <c r="D5" s="395">
        <f t="shared" si="3"/>
        <v>0.65</v>
      </c>
      <c r="E5" s="395">
        <f t="shared" si="3"/>
        <v>0.65</v>
      </c>
      <c r="F5" s="395">
        <f t="shared" si="3"/>
        <v>0.65</v>
      </c>
      <c r="G5" s="395">
        <f t="shared" si="3"/>
        <v>0.65</v>
      </c>
      <c r="H5" s="395">
        <f t="shared" si="3"/>
        <v>0.65</v>
      </c>
      <c r="I5" s="395">
        <f t="shared" si="3"/>
        <v>0.65</v>
      </c>
      <c r="J5" s="395">
        <f t="shared" si="3"/>
        <v>0.65</v>
      </c>
      <c r="K5" s="395">
        <f t="shared" si="3"/>
        <v>0.65</v>
      </c>
      <c r="L5" s="395">
        <f t="shared" si="3"/>
        <v>0.65</v>
      </c>
      <c r="M5" s="408">
        <f t="shared" si="3"/>
        <v>0.65</v>
      </c>
      <c r="N5" s="395">
        <f t="shared" si="3"/>
        <v>0.65</v>
      </c>
      <c r="O5" s="395">
        <f t="shared" si="3"/>
        <v>0.65</v>
      </c>
      <c r="P5" s="395">
        <f t="shared" si="3"/>
        <v>0.65</v>
      </c>
      <c r="Q5" s="395">
        <f t="shared" si="3"/>
        <v>0.65</v>
      </c>
    </row>
    <row r="6" spans="1:17" ht="15" customHeight="1">
      <c r="A6" s="1" t="s">
        <v>780</v>
      </c>
      <c r="B6" s="1">
        <f t="shared" ref="B6:Q6" si="4">1000*(B3/A_houseSI)*((H_soffitSI-H_ground)/2.5)^0.4</f>
        <v>4.8427758090791972E-2</v>
      </c>
      <c r="C6" s="1">
        <f t="shared" si="4"/>
        <v>4.8427758090791972E-2</v>
      </c>
      <c r="D6" s="1">
        <f t="shared" si="4"/>
        <v>4.8427758090791972E-2</v>
      </c>
      <c r="E6" s="1">
        <f t="shared" si="4"/>
        <v>4.8427758090791972E-2</v>
      </c>
      <c r="F6" s="1">
        <f t="shared" si="4"/>
        <v>4.8427758090791972E-2</v>
      </c>
      <c r="G6" s="1">
        <f t="shared" si="4"/>
        <v>4.8427758090791972E-2</v>
      </c>
      <c r="H6" s="1">
        <f t="shared" si="4"/>
        <v>4.8427758090791972E-2</v>
      </c>
      <c r="I6" s="1">
        <f t="shared" si="4"/>
        <v>4.8427758090791972E-2</v>
      </c>
      <c r="J6" s="1">
        <f t="shared" si="4"/>
        <v>4.8427758090791972E-2</v>
      </c>
      <c r="K6" s="1">
        <f t="shared" si="4"/>
        <v>4.8427758090791972E-2</v>
      </c>
      <c r="L6" s="1">
        <f t="shared" si="4"/>
        <v>4.8427758090791972E-2</v>
      </c>
      <c r="M6" s="1">
        <f t="shared" si="4"/>
        <v>4.8427758090791972E-2</v>
      </c>
      <c r="N6" s="1">
        <f t="shared" si="4"/>
        <v>4.8427758090791972E-2</v>
      </c>
      <c r="O6" s="1">
        <f t="shared" si="4"/>
        <v>4.8427758090791972E-2</v>
      </c>
      <c r="P6" s="1">
        <f t="shared" si="4"/>
        <v>4.8427758090791972E-2</v>
      </c>
      <c r="Q6" s="1">
        <f t="shared" si="4"/>
        <v>4.8427758090791972E-2</v>
      </c>
    </row>
    <row r="22" spans="24:24" ht="15.75" customHeight="1"/>
    <row r="31" spans="24:24" ht="15" customHeight="1">
      <c r="X31" s="395"/>
    </row>
    <row r="47" spans="1:1" ht="15" customHeight="1">
      <c r="A47" s="493" t="s">
        <v>1327</v>
      </c>
    </row>
    <row r="49" spans="1:37" ht="15" customHeight="1">
      <c r="A49" s="4" t="s">
        <v>163</v>
      </c>
      <c r="B49" s="4"/>
      <c r="C49" s="4"/>
      <c r="D49" s="4"/>
      <c r="E49" s="4"/>
      <c r="F49" s="4"/>
      <c r="G49" s="4" t="s">
        <v>164</v>
      </c>
      <c r="H49" s="4"/>
      <c r="I49" s="4"/>
      <c r="J49" s="4"/>
      <c r="K49" s="4"/>
      <c r="L49" s="393" t="s">
        <v>165</v>
      </c>
      <c r="M49" s="393"/>
      <c r="N49" s="393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</row>
    <row r="50" spans="1:37" ht="15" customHeight="1">
      <c r="A50" s="11" t="s">
        <v>6</v>
      </c>
      <c r="G50" s="11" t="s">
        <v>166</v>
      </c>
      <c r="L50" s="65" t="s">
        <v>422</v>
      </c>
      <c r="M50" s="65"/>
      <c r="N50" s="65"/>
    </row>
    <row r="51" spans="1:37" ht="15" customHeight="1">
      <c r="A51" s="11" t="s">
        <v>167</v>
      </c>
      <c r="L51" s="65"/>
      <c r="M51" s="65"/>
      <c r="N51" s="65"/>
    </row>
    <row r="52" spans="1:37" ht="15" customHeight="1">
      <c r="A52" s="11" t="s">
        <v>168</v>
      </c>
      <c r="G52" s="107"/>
      <c r="H52" s="100" t="s">
        <v>169</v>
      </c>
      <c r="I52" s="100" t="s">
        <v>170</v>
      </c>
      <c r="J52" s="85" t="s">
        <v>171</v>
      </c>
      <c r="L52" s="238"/>
      <c r="M52" s="65" t="s">
        <v>172</v>
      </c>
      <c r="N52" s="65" t="s">
        <v>130</v>
      </c>
      <c r="P52" s="115" t="s">
        <v>419</v>
      </c>
      <c r="Q52" s="114" t="s">
        <v>893</v>
      </c>
      <c r="R52" s="114"/>
      <c r="T52" s="115" t="s">
        <v>420</v>
      </c>
      <c r="U52" s="114"/>
      <c r="V52" s="114"/>
      <c r="X52" s="115" t="s">
        <v>421</v>
      </c>
      <c r="Y52" s="114"/>
      <c r="Z52" s="114"/>
      <c r="AB52" s="1" t="s">
        <v>650</v>
      </c>
      <c r="AD52" s="1" t="s">
        <v>651</v>
      </c>
      <c r="AE52" s="1" t="s">
        <v>652</v>
      </c>
      <c r="AF52" s="1" t="s">
        <v>653</v>
      </c>
      <c r="AG52" s="1" t="s">
        <v>654</v>
      </c>
    </row>
    <row r="53" spans="1:37" ht="15" customHeight="1">
      <c r="A53" s="11" t="s">
        <v>173</v>
      </c>
      <c r="G53" s="92" t="s">
        <v>15</v>
      </c>
      <c r="H53" s="1">
        <v>0.65</v>
      </c>
      <c r="I53" s="1">
        <v>0.60000000000000009</v>
      </c>
      <c r="J53" s="177">
        <v>0.5</v>
      </c>
      <c r="L53" s="65" t="s">
        <v>174</v>
      </c>
      <c r="M53" s="395">
        <f>H71</f>
        <v>0.31645569620253167</v>
      </c>
      <c r="N53" s="65" t="s">
        <v>11</v>
      </c>
      <c r="P53" s="116" t="s">
        <v>417</v>
      </c>
      <c r="Q53" s="68">
        <v>4.8</v>
      </c>
      <c r="R53" s="68"/>
      <c r="T53" s="116" t="s">
        <v>417</v>
      </c>
      <c r="U53" s="68">
        <v>5.2</v>
      </c>
      <c r="V53" s="68"/>
      <c r="X53" s="116" t="s">
        <v>417</v>
      </c>
      <c r="Y53" s="68">
        <v>8.6</v>
      </c>
      <c r="Z53" s="68"/>
      <c r="AA53" s="277" t="s">
        <v>417</v>
      </c>
      <c r="AB53" s="68">
        <v>10</v>
      </c>
      <c r="AC53" s="1">
        <v>7</v>
      </c>
      <c r="AD53" s="68">
        <v>5</v>
      </c>
      <c r="AE53" s="68">
        <v>3</v>
      </c>
      <c r="AF53" s="68">
        <v>1.5</v>
      </c>
      <c r="AG53" s="68">
        <v>0.6</v>
      </c>
    </row>
    <row r="54" spans="1:37" ht="15" customHeight="1">
      <c r="G54" s="92" t="s">
        <v>18</v>
      </c>
      <c r="H54" s="1">
        <v>0.35</v>
      </c>
      <c r="I54" s="1">
        <v>0.4</v>
      </c>
      <c r="J54" s="178">
        <v>0</v>
      </c>
      <c r="L54" s="65" t="s">
        <v>175</v>
      </c>
      <c r="M54" s="395">
        <f>H70</f>
        <v>0.18354430379746839</v>
      </c>
      <c r="N54" s="65" t="s">
        <v>11</v>
      </c>
      <c r="P54" s="111" t="s">
        <v>418</v>
      </c>
      <c r="Q54" s="69">
        <f>V_houseSI</f>
        <v>729.1581126273195</v>
      </c>
      <c r="R54" s="68" t="s">
        <v>150</v>
      </c>
      <c r="T54" s="111" t="s">
        <v>418</v>
      </c>
      <c r="U54" s="69">
        <f>V_houseSI</f>
        <v>729.1581126273195</v>
      </c>
      <c r="V54" s="68" t="s">
        <v>150</v>
      </c>
      <c r="X54" s="111" t="s">
        <v>418</v>
      </c>
      <c r="Y54" s="69">
        <f>V_houseSI</f>
        <v>729.1581126273195</v>
      </c>
      <c r="Z54" s="68" t="s">
        <v>150</v>
      </c>
      <c r="AA54" s="109" t="s">
        <v>418</v>
      </c>
      <c r="AB54" s="69">
        <f t="shared" ref="AB54:AG54" si="5">V_houseSI</f>
        <v>729.1581126273195</v>
      </c>
      <c r="AC54" s="69">
        <f t="shared" si="5"/>
        <v>729.1581126273195</v>
      </c>
      <c r="AD54" s="69">
        <f t="shared" si="5"/>
        <v>729.1581126273195</v>
      </c>
      <c r="AE54" s="69">
        <f t="shared" si="5"/>
        <v>729.1581126273195</v>
      </c>
      <c r="AF54" s="69">
        <f t="shared" si="5"/>
        <v>729.1581126273195</v>
      </c>
      <c r="AG54" s="69">
        <f t="shared" si="5"/>
        <v>729.1581126273195</v>
      </c>
    </row>
    <row r="55" spans="1:37" ht="15" customHeight="1">
      <c r="A55" s="107"/>
      <c r="B55" s="100" t="s">
        <v>129</v>
      </c>
      <c r="C55" s="100" t="s">
        <v>130</v>
      </c>
      <c r="D55" s="100" t="s">
        <v>131</v>
      </c>
      <c r="E55" s="100" t="s">
        <v>130</v>
      </c>
      <c r="L55" s="65" t="s">
        <v>176</v>
      </c>
      <c r="M55" s="65">
        <f>M53*2+M54*2</f>
        <v>1</v>
      </c>
      <c r="N55" s="65"/>
      <c r="P55" s="111" t="s">
        <v>195</v>
      </c>
      <c r="Q55" s="70">
        <f>(Q53*Q54)/3600/14</f>
        <v>6.944362977403043E-2</v>
      </c>
      <c r="R55" s="68" t="s">
        <v>138</v>
      </c>
      <c r="T55" s="111" t="s">
        <v>195</v>
      </c>
      <c r="U55" s="70">
        <f>(U53*U54)/3600/14</f>
        <v>7.5230598921866301E-2</v>
      </c>
      <c r="V55" s="68" t="s">
        <v>138</v>
      </c>
      <c r="X55" s="111" t="s">
        <v>195</v>
      </c>
      <c r="Y55" s="70">
        <f>(Y53*Y54)/3600/14</f>
        <v>0.12441983667847119</v>
      </c>
      <c r="Z55" s="68" t="s">
        <v>138</v>
      </c>
      <c r="AA55" s="109" t="s">
        <v>195</v>
      </c>
      <c r="AB55" s="70">
        <f t="shared" ref="AB55:AG55" si="6">(AB53*AB54)/3600/14</f>
        <v>0.14467422869589672</v>
      </c>
      <c r="AC55" s="70">
        <f t="shared" si="6"/>
        <v>0.1012719600871277</v>
      </c>
      <c r="AD55" s="70">
        <f t="shared" si="6"/>
        <v>7.2337114347948359E-2</v>
      </c>
      <c r="AE55" s="70">
        <f t="shared" si="6"/>
        <v>4.3402268608769015E-2</v>
      </c>
      <c r="AF55" s="70">
        <f t="shared" si="6"/>
        <v>2.1701134304384508E-2</v>
      </c>
      <c r="AG55" s="70">
        <f t="shared" si="6"/>
        <v>8.6804537217538037E-3</v>
      </c>
    </row>
    <row r="56" spans="1:37" ht="15" customHeight="1">
      <c r="A56" s="109" t="s">
        <v>177</v>
      </c>
      <c r="B56" s="196"/>
      <c r="C56" s="65"/>
      <c r="D56" s="65"/>
      <c r="E56" s="65"/>
      <c r="L56" s="65"/>
      <c r="M56" s="65"/>
      <c r="N56" s="65"/>
      <c r="P56" s="111" t="s">
        <v>177</v>
      </c>
      <c r="Q56" s="72">
        <f>10000*(Q55/A_houseSI)</f>
        <v>2.7685535930323502</v>
      </c>
      <c r="R56" s="71" t="s">
        <v>11</v>
      </c>
      <c r="T56" s="111" t="s">
        <v>177</v>
      </c>
      <c r="U56" s="72">
        <f>10000*(U55/A_houseSI)</f>
        <v>2.9992663924517124</v>
      </c>
      <c r="V56" s="71" t="s">
        <v>11</v>
      </c>
      <c r="X56" s="111" t="s">
        <v>177</v>
      </c>
      <c r="Y56" s="72">
        <f>10000*(Y55/A_houseSI)</f>
        <v>4.9603251875162941</v>
      </c>
      <c r="Z56" s="71" t="s">
        <v>11</v>
      </c>
      <c r="AA56" s="109" t="s">
        <v>177</v>
      </c>
      <c r="AB56" s="72">
        <f t="shared" ref="AB56:AG56" si="7">10000*(AB55/A_houseSI)</f>
        <v>5.7678199854840626</v>
      </c>
      <c r="AC56" s="72">
        <f t="shared" si="7"/>
        <v>4.0374739898388432</v>
      </c>
      <c r="AD56" s="72">
        <f t="shared" si="7"/>
        <v>2.8839099927420313</v>
      </c>
      <c r="AE56" s="72">
        <f t="shared" si="7"/>
        <v>1.7303459956452185</v>
      </c>
      <c r="AF56" s="72">
        <f t="shared" si="7"/>
        <v>0.86517299782260926</v>
      </c>
      <c r="AG56" s="72">
        <f t="shared" si="7"/>
        <v>0.34606919912904377</v>
      </c>
    </row>
    <row r="57" spans="1:37" ht="15" customHeight="1">
      <c r="A57" s="92" t="s">
        <v>178</v>
      </c>
      <c r="B57" s="15"/>
      <c r="D57" s="397">
        <f>VLOOKUP(Airtightness,Leakage!AB59:AF64,3,FALSE)</f>
        <v>8.6804537217538037E-3</v>
      </c>
      <c r="E57" s="1" t="s">
        <v>138</v>
      </c>
      <c r="G57" s="99" t="s">
        <v>7</v>
      </c>
      <c r="H57" s="100" t="s">
        <v>172</v>
      </c>
      <c r="I57" s="100" t="s">
        <v>130</v>
      </c>
      <c r="L57" s="394" t="s">
        <v>586</v>
      </c>
      <c r="M57" s="65"/>
      <c r="N57" s="65"/>
      <c r="P57" s="1" t="s">
        <v>780</v>
      </c>
      <c r="AA57" s="1" t="s">
        <v>780</v>
      </c>
      <c r="AB57" s="1">
        <f>1000*(AB55/A_houseSI)*(([0]!H_soffitSI-Geometry!L13)/2.5)^0.4</f>
        <v>0.8071293015131995</v>
      </c>
      <c r="AC57" s="1">
        <f>1000*(AC55/A_houseSI)*(([0]!H_soffitSI-Geometry!L13)/2.5)^0.4</f>
        <v>0.56499051105923959</v>
      </c>
      <c r="AD57" s="1">
        <f>1000*(AD55/A_houseSI)*(([0]!H_soffitSI-Geometry!L13)/2.5)^0.4</f>
        <v>0.40356465075659975</v>
      </c>
      <c r="AE57" s="1">
        <f>1000*(AE55/A_houseSI)*(([0]!H_soffitSI-Geometry!L13)/2.5)^0.4</f>
        <v>0.24213879045395981</v>
      </c>
      <c r="AF57" s="1">
        <f>1000*(AF55/A_houseSI)*(([0]!H_soffitSI-Geometry!L13)/2.5)^0.4</f>
        <v>0.1210693952269799</v>
      </c>
      <c r="AG57" s="1">
        <f>1000*(AG55/A_houseSI)*(([0]!H_soffitSI-Geometry!L13)/2.5)^0.4</f>
        <v>4.8427758090791972E-2</v>
      </c>
    </row>
    <row r="58" spans="1:37" ht="15" customHeight="1">
      <c r="A58" s="92" t="s">
        <v>179</v>
      </c>
      <c r="D58" s="1">
        <v>1</v>
      </c>
      <c r="E58" s="1" t="s">
        <v>11</v>
      </c>
      <c r="G58" s="92" t="s">
        <v>180</v>
      </c>
      <c r="H58" s="395">
        <v>0.5</v>
      </c>
      <c r="I58" s="1" t="s">
        <v>11</v>
      </c>
      <c r="L58" s="65" t="s">
        <v>174</v>
      </c>
      <c r="M58" s="65">
        <v>0.5</v>
      </c>
      <c r="N58" s="65"/>
      <c r="AB58" s="277" t="s">
        <v>417</v>
      </c>
      <c r="AC58" s="109" t="s">
        <v>418</v>
      </c>
      <c r="AD58" s="109" t="s">
        <v>195</v>
      </c>
      <c r="AE58" s="109" t="s">
        <v>177</v>
      </c>
      <c r="AF58" s="1" t="s">
        <v>780</v>
      </c>
    </row>
    <row r="59" spans="1:37" ht="15" customHeight="1">
      <c r="A59" s="92" t="s">
        <v>181</v>
      </c>
      <c r="D59" s="15">
        <v>1.2</v>
      </c>
      <c r="E59" s="1" t="s">
        <v>182</v>
      </c>
      <c r="G59" s="92" t="s">
        <v>183</v>
      </c>
      <c r="H59" s="395">
        <v>0</v>
      </c>
      <c r="I59" s="1" t="s">
        <v>11</v>
      </c>
      <c r="L59" s="65" t="s">
        <v>175</v>
      </c>
      <c r="M59" s="65">
        <v>0</v>
      </c>
      <c r="N59" s="65"/>
      <c r="AA59" s="1" t="s">
        <v>650</v>
      </c>
      <c r="AB59" s="68">
        <v>10</v>
      </c>
      <c r="AC59" s="69">
        <f t="shared" ref="AC59:AC64" si="8">V_houseSI</f>
        <v>729.1581126273195</v>
      </c>
      <c r="AD59" s="70">
        <f t="shared" ref="AD59:AD64" si="9">(AB59*AC59)/3600/14</f>
        <v>0.14467422869589672</v>
      </c>
      <c r="AE59" s="72">
        <f t="shared" ref="AE59:AE64" si="10">10000*(AD59/A_houseSI)</f>
        <v>5.7678199854840626</v>
      </c>
      <c r="AF59" s="1">
        <f>1000*(AD59/A_houseSI)*((H_soffitSI-Geometry!$L$13)/Geometry!$L$14)^0.4</f>
        <v>0.77770722590935659</v>
      </c>
    </row>
    <row r="60" spans="1:37" ht="15" customHeight="1">
      <c r="A60" s="109" t="s">
        <v>184</v>
      </c>
      <c r="B60" s="65"/>
      <c r="C60" s="65"/>
      <c r="D60" s="396">
        <v>4</v>
      </c>
      <c r="E60" s="65" t="s">
        <v>404</v>
      </c>
      <c r="G60" s="92"/>
      <c r="L60" s="65" t="s">
        <v>176</v>
      </c>
      <c r="M60" s="65">
        <f>M58*2+M59*2</f>
        <v>1</v>
      </c>
      <c r="N60" s="65"/>
      <c r="AB60" s="1">
        <v>7</v>
      </c>
      <c r="AC60" s="69">
        <f>V_houseSI</f>
        <v>729.1581126273195</v>
      </c>
      <c r="AD60" s="70">
        <f>(AB60*AC60)/3600/14</f>
        <v>0.1012719600871277</v>
      </c>
      <c r="AE60" s="72">
        <f t="shared" si="10"/>
        <v>4.0374739898388432</v>
      </c>
      <c r="AF60" s="1">
        <f>1000*(AD60/A_houseSI)*((H_soffitSI-Geometry!$L$13)/Geometry!$L$14)^0.4</f>
        <v>0.54439505813654954</v>
      </c>
    </row>
    <row r="61" spans="1:37" ht="15" customHeight="1">
      <c r="A61" s="109" t="s">
        <v>4</v>
      </c>
      <c r="B61" s="65"/>
      <c r="C61" s="65"/>
      <c r="D61" s="436">
        <f>D57*D58/(SQRT(rho_air/2)*D60^(n-0.5))</f>
        <v>9.1024395236017248E-3</v>
      </c>
      <c r="E61" s="65" t="s">
        <v>425</v>
      </c>
      <c r="G61" s="92" t="s">
        <v>185</v>
      </c>
      <c r="H61" s="17">
        <f>(H58-H59)/2</f>
        <v>0.25</v>
      </c>
      <c r="I61" s="1" t="s">
        <v>11</v>
      </c>
      <c r="L61" s="18"/>
      <c r="M61" s="18"/>
      <c r="N61" s="18"/>
      <c r="O61" s="18"/>
      <c r="AA61" s="1" t="s">
        <v>651</v>
      </c>
      <c r="AB61" s="68">
        <v>5</v>
      </c>
      <c r="AC61" s="69">
        <f t="shared" si="8"/>
        <v>729.1581126273195</v>
      </c>
      <c r="AD61" s="70">
        <f t="shared" si="9"/>
        <v>7.2337114347948359E-2</v>
      </c>
      <c r="AE61" s="72">
        <f t="shared" si="10"/>
        <v>2.8839099927420313</v>
      </c>
      <c r="AF61" s="1">
        <f>1000*(AD61/A_houseSI)*((H_soffitSI-Geometry!$L$13)/Geometry!$L$14)^0.4</f>
        <v>0.3888536129546783</v>
      </c>
    </row>
    <row r="62" spans="1:37" ht="15" customHeight="1">
      <c r="A62" s="109" t="s">
        <v>8</v>
      </c>
      <c r="B62" s="65"/>
      <c r="C62" s="65"/>
      <c r="D62" s="408">
        <v>0.65</v>
      </c>
      <c r="G62" s="92" t="s">
        <v>186</v>
      </c>
      <c r="H62" s="17">
        <f>1-H61-H63</f>
        <v>0.25</v>
      </c>
      <c r="I62" s="1" t="s">
        <v>11</v>
      </c>
      <c r="P62" s="20"/>
      <c r="T62" s="20"/>
      <c r="AA62" s="1" t="s">
        <v>652</v>
      </c>
      <c r="AB62" s="68">
        <v>3</v>
      </c>
      <c r="AC62" s="69">
        <f t="shared" si="8"/>
        <v>729.1581126273195</v>
      </c>
      <c r="AD62" s="70">
        <f t="shared" si="9"/>
        <v>4.3402268608769015E-2</v>
      </c>
      <c r="AE62" s="72">
        <f t="shared" si="10"/>
        <v>1.7303459956452185</v>
      </c>
      <c r="AF62" s="1">
        <f>1000*(AD62/A_houseSI)*((H_soffitSI-Geometry!$L$13)/Geometry!$L$14)^0.4</f>
        <v>0.23331216777280694</v>
      </c>
    </row>
    <row r="63" spans="1:37" ht="15" customHeight="1">
      <c r="A63" s="20" t="s">
        <v>187</v>
      </c>
      <c r="G63" s="112" t="s">
        <v>188</v>
      </c>
      <c r="H63" s="21">
        <f>1-H58</f>
        <v>0.5</v>
      </c>
      <c r="I63" s="108" t="s">
        <v>11</v>
      </c>
      <c r="Q63" s="18"/>
      <c r="AA63" s="1" t="s">
        <v>653</v>
      </c>
      <c r="AB63" s="68">
        <v>1.5</v>
      </c>
      <c r="AC63" s="69">
        <f t="shared" si="8"/>
        <v>729.1581126273195</v>
      </c>
      <c r="AD63" s="70">
        <f t="shared" si="9"/>
        <v>2.1701134304384508E-2</v>
      </c>
      <c r="AE63" s="72">
        <f t="shared" si="10"/>
        <v>0.86517299782260926</v>
      </c>
      <c r="AF63" s="1">
        <f>1000*(AD63/A_houseSI)*((H_soffitSI-Geometry!$L$13)/Geometry!$L$14)^0.4</f>
        <v>0.11665608388640347</v>
      </c>
    </row>
    <row r="64" spans="1:37" ht="15" customHeight="1">
      <c r="A64" s="99" t="s">
        <v>190</v>
      </c>
      <c r="B64" s="100" t="s">
        <v>191</v>
      </c>
      <c r="C64" s="100" t="s">
        <v>192</v>
      </c>
      <c r="D64" s="100" t="s">
        <v>193</v>
      </c>
      <c r="E64" s="100" t="s">
        <v>194</v>
      </c>
      <c r="G64" s="92" t="s">
        <v>176</v>
      </c>
      <c r="H64" s="1">
        <f>SUM(H61:H63)</f>
        <v>1</v>
      </c>
      <c r="I64" s="1" t="s">
        <v>11</v>
      </c>
      <c r="AA64" s="1" t="s">
        <v>654</v>
      </c>
      <c r="AB64" s="68">
        <v>0.6</v>
      </c>
      <c r="AC64" s="69">
        <f t="shared" si="8"/>
        <v>729.1581126273195</v>
      </c>
      <c r="AD64" s="70">
        <f t="shared" si="9"/>
        <v>8.6804537217538037E-3</v>
      </c>
      <c r="AE64" s="72">
        <f t="shared" si="10"/>
        <v>0.34606919912904377</v>
      </c>
      <c r="AF64" s="1">
        <f>1000*(AD64/A_houseSI)*((H_soffitSI-Geometry!$L$13)/Geometry!$L$14)^0.4</f>
        <v>4.66624335545614E-2</v>
      </c>
    </row>
    <row r="65" spans="1:20" ht="15" customHeight="1">
      <c r="A65" s="92">
        <v>1000</v>
      </c>
      <c r="B65" s="1">
        <v>3.8</v>
      </c>
      <c r="C65" s="15">
        <f>B65*A65*144/10000</f>
        <v>54.72</v>
      </c>
      <c r="D65" s="22">
        <f>C65*(0.3048/12)^2</f>
        <v>3.5303155200000005E-2</v>
      </c>
      <c r="E65" s="16">
        <f>D65/(SQRT(1.2/2)*4^(0.65-0.5))</f>
        <v>3.7019359298582966E-2</v>
      </c>
    </row>
    <row r="66" spans="1:20" ht="15" customHeight="1">
      <c r="A66" s="92">
        <v>2000</v>
      </c>
      <c r="B66" s="1">
        <v>3.8</v>
      </c>
      <c r="C66" s="15">
        <f>B66*A66*144/10000</f>
        <v>109.44</v>
      </c>
      <c r="D66" s="22">
        <f>C66*(0.3048/12)^2</f>
        <v>7.0606310400000011E-2</v>
      </c>
      <c r="E66" s="16">
        <f>D66/(SQRT(1.2/2)*4^(0.65-0.5))</f>
        <v>7.4038718597165931E-2</v>
      </c>
      <c r="Q66" s="18"/>
      <c r="T66" s="11"/>
    </row>
    <row r="67" spans="1:20" ht="15" customHeight="1">
      <c r="A67" s="92">
        <v>2700</v>
      </c>
      <c r="B67" s="1">
        <v>3.8</v>
      </c>
      <c r="C67" s="15">
        <f>B67*A67*144/10000</f>
        <v>147.744</v>
      </c>
      <c r="D67" s="22">
        <f>C67*(0.3048/12)^2</f>
        <v>9.5318519040000008E-2</v>
      </c>
      <c r="E67" s="16">
        <f>D67/(SQRT(1.2/2)*4^(0.65-0.5))</f>
        <v>9.9952270106173996E-2</v>
      </c>
      <c r="G67" s="20" t="s">
        <v>409</v>
      </c>
      <c r="Q67" s="19"/>
    </row>
    <row r="68" spans="1:20" ht="15" customHeight="1">
      <c r="A68" s="92">
        <v>4000</v>
      </c>
      <c r="B68" s="1">
        <v>3.8</v>
      </c>
      <c r="C68" s="15">
        <f>B68*A68*144/10000</f>
        <v>218.88</v>
      </c>
      <c r="D68" s="22">
        <f>C68*(0.3048/12)^2</f>
        <v>0.14121262080000002</v>
      </c>
      <c r="E68" s="16">
        <f>D68/(SQRT(1.2/2)*4^(0.65-0.5))</f>
        <v>0.14807743719433186</v>
      </c>
      <c r="G68" s="92" t="s">
        <v>426</v>
      </c>
      <c r="H68" s="22">
        <f>W_houseSI</f>
        <v>8.8391997171456094</v>
      </c>
    </row>
    <row r="69" spans="1:20" ht="15" customHeight="1">
      <c r="G69" s="92" t="s">
        <v>427</v>
      </c>
      <c r="H69" s="22">
        <f>L_houseSI</f>
        <v>15.239999512320015</v>
      </c>
      <c r="L69" s="18"/>
      <c r="M69" s="18"/>
      <c r="N69" s="18"/>
      <c r="O69" s="18"/>
      <c r="Q69" s="16"/>
    </row>
    <row r="70" spans="1:20" ht="15" customHeight="1">
      <c r="A70" s="20" t="s">
        <v>187</v>
      </c>
      <c r="B70" s="4"/>
      <c r="G70" s="92" t="s">
        <v>428</v>
      </c>
      <c r="H70" s="22">
        <f>H68/(2*H69+2*H68)</f>
        <v>0.18354430379746839</v>
      </c>
      <c r="Q70" s="23"/>
      <c r="S70" s="24"/>
    </row>
    <row r="71" spans="1:20" ht="15" customHeight="1">
      <c r="A71" s="99" t="s">
        <v>190</v>
      </c>
      <c r="B71" s="100" t="s">
        <v>191</v>
      </c>
      <c r="C71" s="100" t="s">
        <v>192</v>
      </c>
      <c r="D71" s="100" t="s">
        <v>193</v>
      </c>
      <c r="E71" s="100" t="s">
        <v>194</v>
      </c>
      <c r="G71" s="113" t="s">
        <v>429</v>
      </c>
      <c r="H71" s="22">
        <f>H69/(2*H68+2*H69)</f>
        <v>0.31645569620253167</v>
      </c>
      <c r="M71" s="22"/>
      <c r="N71" s="22"/>
      <c r="Q71" s="23"/>
      <c r="S71" s="24"/>
    </row>
    <row r="72" spans="1:20" ht="15" customHeight="1">
      <c r="A72" s="92">
        <v>1000</v>
      </c>
      <c r="B72" s="1">
        <v>2.7</v>
      </c>
      <c r="C72" s="15">
        <f>B72*A72*144/10000</f>
        <v>38.880000000000003</v>
      </c>
      <c r="D72" s="22">
        <f>C72*(0.3048/12)^2</f>
        <v>2.5083820800000003E-2</v>
      </c>
      <c r="E72" s="16">
        <f>D72/(SQRT(1.2/2)*4^(0.65-0.5))</f>
        <v>2.630322897530895E-2</v>
      </c>
      <c r="G72" s="17"/>
      <c r="H72" s="17"/>
    </row>
    <row r="73" spans="1:20" ht="15" customHeight="1">
      <c r="A73" s="92">
        <v>2100</v>
      </c>
      <c r="B73" s="1">
        <f>B72</f>
        <v>2.7</v>
      </c>
      <c r="C73" s="15">
        <f>B73*A73*144/10000</f>
        <v>81.647999999999996</v>
      </c>
      <c r="D73" s="22">
        <f>C73*(0.3048/12)^2</f>
        <v>5.2676023680000003E-2</v>
      </c>
      <c r="E73" s="16">
        <f>D73/(SQRT(1.2/2)*4^(0.65-0.5))</f>
        <v>5.5236780848148787E-2</v>
      </c>
      <c r="G73" s="17"/>
      <c r="H73" s="17"/>
      <c r="P73" s="11"/>
    </row>
    <row r="74" spans="1:20" ht="15" customHeight="1">
      <c r="A74" s="92">
        <v>2700</v>
      </c>
      <c r="B74" s="1">
        <f>B73</f>
        <v>2.7</v>
      </c>
      <c r="C74" s="15">
        <f>B74*A74*144/10000</f>
        <v>104.97600000000003</v>
      </c>
      <c r="D74" s="22">
        <f>C74*(0.3048/12)^2</f>
        <v>6.7726316160000022E-2</v>
      </c>
      <c r="E74" s="16">
        <f>D74/(SQRT(1.2/2)*4^(0.65-0.5))</f>
        <v>7.101871823333418E-2</v>
      </c>
      <c r="G74" s="17"/>
      <c r="H74" s="17"/>
    </row>
    <row r="75" spans="1:20" ht="15" customHeight="1">
      <c r="A75" s="92">
        <v>4000</v>
      </c>
      <c r="B75" s="1">
        <f>B74</f>
        <v>2.7</v>
      </c>
      <c r="C75" s="15">
        <f>B75*A75*144/10000</f>
        <v>155.52000000000001</v>
      </c>
      <c r="D75" s="22">
        <f>C75*(0.3048/12)^2</f>
        <v>0.10033528320000001</v>
      </c>
      <c r="E75" s="16">
        <f>D75/(SQRT(1.2/2)*4^(0.65-0.5))</f>
        <v>0.1052129159012358</v>
      </c>
      <c r="G75" s="17"/>
      <c r="H75" s="17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F5" sqref="F5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5" t="s">
        <v>196</v>
      </c>
      <c r="R1" s="25"/>
      <c r="S1" s="25"/>
    </row>
    <row r="2" spans="1:19" s="254" customFormat="1" ht="15" customHeight="1">
      <c r="A2" s="245" t="s">
        <v>912</v>
      </c>
      <c r="B2" s="423">
        <v>0</v>
      </c>
      <c r="Q2" s="25"/>
      <c r="R2" s="25"/>
      <c r="S2" s="25"/>
    </row>
    <row r="3" spans="1:19" s="254" customFormat="1" ht="15" customHeight="1">
      <c r="A3" s="245"/>
      <c r="B3" s="426"/>
      <c r="Q3" s="25"/>
      <c r="R3" s="25"/>
      <c r="S3" s="25"/>
    </row>
    <row r="4" spans="1:19" s="254" customFormat="1" ht="15" customHeight="1">
      <c r="A4" s="20" t="s">
        <v>197</v>
      </c>
      <c r="B4" s="426"/>
      <c r="Q4" s="25"/>
      <c r="R4" s="25"/>
      <c r="S4" s="25"/>
    </row>
    <row r="5" spans="1:19" ht="15" customHeight="1">
      <c r="A5" s="96"/>
      <c r="B5" s="96"/>
      <c r="C5" s="427" t="s">
        <v>1110</v>
      </c>
      <c r="D5" s="427" t="s">
        <v>1111</v>
      </c>
      <c r="E5" s="96"/>
      <c r="H5" s="100" t="s">
        <v>198</v>
      </c>
      <c r="I5" s="96"/>
      <c r="J5" s="96"/>
      <c r="K5" s="96"/>
      <c r="L5" s="96"/>
      <c r="M5" s="96"/>
      <c r="N5" s="96"/>
      <c r="Q5" s="25" t="s">
        <v>199</v>
      </c>
      <c r="R5" s="25"/>
      <c r="S5" s="25"/>
    </row>
    <row r="6" spans="1:19" ht="15" customHeight="1">
      <c r="A6" s="87" t="s">
        <v>200</v>
      </c>
      <c r="B6" s="14"/>
      <c r="C6" s="5">
        <v>3</v>
      </c>
      <c r="D6" s="254">
        <v>3</v>
      </c>
      <c r="E6" s="5" t="s">
        <v>134</v>
      </c>
      <c r="H6" s="87" t="s">
        <v>201</v>
      </c>
      <c r="I6" s="5">
        <v>6</v>
      </c>
      <c r="J6" s="5" t="s">
        <v>134</v>
      </c>
      <c r="K6"/>
      <c r="Q6" s="25" t="s">
        <v>200</v>
      </c>
      <c r="R6" s="25">
        <v>4.5</v>
      </c>
      <c r="S6" s="25" t="s">
        <v>134</v>
      </c>
    </row>
    <row r="7" spans="1:19" ht="15" customHeight="1">
      <c r="A7" s="87" t="s">
        <v>202</v>
      </c>
      <c r="B7" s="14"/>
      <c r="C7" s="26">
        <v>0.15</v>
      </c>
      <c r="D7" s="26">
        <v>0.15</v>
      </c>
      <c r="E7" s="5" t="s">
        <v>134</v>
      </c>
      <c r="H7" s="87" t="s">
        <v>204</v>
      </c>
      <c r="I7" s="26">
        <f>C7</f>
        <v>0.15</v>
      </c>
      <c r="J7" s="5" t="s">
        <v>134</v>
      </c>
      <c r="Q7" s="25" t="s">
        <v>202</v>
      </c>
      <c r="R7" s="25">
        <v>0.15</v>
      </c>
      <c r="S7" s="25" t="s">
        <v>134</v>
      </c>
    </row>
    <row r="8" spans="1:19" ht="15" customHeight="1">
      <c r="A8" s="87" t="s">
        <v>205</v>
      </c>
      <c r="C8" s="27">
        <f>PI()*(C7/2)^2</f>
        <v>1.7671458676442587E-2</v>
      </c>
      <c r="D8" s="27">
        <f>PI()*(D7/2)^2</f>
        <v>1.7671458676442587E-2</v>
      </c>
      <c r="E8" s="5" t="s">
        <v>138</v>
      </c>
      <c r="H8" s="87" t="s">
        <v>206</v>
      </c>
      <c r="I8" s="5">
        <v>1.3700000000000002E-2</v>
      </c>
      <c r="Q8" s="25" t="s">
        <v>207</v>
      </c>
      <c r="R8" s="25">
        <v>5.4000000000000006E-2</v>
      </c>
      <c r="S8" s="25"/>
    </row>
    <row r="9" spans="1:19" ht="15" customHeight="1">
      <c r="A9" s="87" t="s">
        <v>208</v>
      </c>
      <c r="C9" s="26">
        <f>I11</f>
        <v>2.0000406200209989E-2</v>
      </c>
      <c r="D9" s="26">
        <f>I11</f>
        <v>2.0000406200209989E-2</v>
      </c>
      <c r="E9" s="5" t="s">
        <v>11</v>
      </c>
      <c r="H9" s="87" t="s">
        <v>209</v>
      </c>
      <c r="I9" s="27">
        <f>PI()*(I7/2)^2</f>
        <v>1.7671458676442587E-2</v>
      </c>
      <c r="J9" s="5" t="s">
        <v>138</v>
      </c>
      <c r="L9" s="5" t="s">
        <v>626</v>
      </c>
      <c r="Q9" s="25" t="s">
        <v>205</v>
      </c>
      <c r="R9" s="25">
        <f>PI()*(R7/2)^2</f>
        <v>1.7671458676442587E-2</v>
      </c>
      <c r="S9" s="25" t="s">
        <v>138</v>
      </c>
    </row>
    <row r="10" spans="1:19" ht="15" customHeight="1">
      <c r="A10" s="421" t="s">
        <v>211</v>
      </c>
      <c r="B10" s="422"/>
      <c r="C10" s="420">
        <f>SQRT(2*C8^2/(1.2*(1+C9*C6/C7)))</f>
        <v>1.9281086206186945E-2</v>
      </c>
      <c r="D10" s="420">
        <f>SQRT(2*D8^2/(1.2*(1+D9*D6/D7)))</f>
        <v>1.9281086206186945E-2</v>
      </c>
      <c r="E10" s="422" t="s">
        <v>1092</v>
      </c>
      <c r="H10" s="87" t="s">
        <v>210</v>
      </c>
      <c r="I10" s="5">
        <v>1.9730000000000001</v>
      </c>
      <c r="J10" s="5" t="s">
        <v>11</v>
      </c>
      <c r="L10" s="5">
        <v>2</v>
      </c>
      <c r="Q10" s="25"/>
      <c r="R10" s="25">
        <f>(2/1.2*(R9/R8)^2-1)*R7/R6</f>
        <v>-2.7383774353124182E-2</v>
      </c>
      <c r="S10" s="25"/>
    </row>
    <row r="11" spans="1:19" ht="15" customHeight="1">
      <c r="A11" s="201" t="s">
        <v>1113</v>
      </c>
      <c r="C11" s="264">
        <v>-99</v>
      </c>
      <c r="D11" s="264">
        <v>-99</v>
      </c>
      <c r="E11" s="5" t="s">
        <v>1112</v>
      </c>
      <c r="H11" s="87" t="s">
        <v>212</v>
      </c>
      <c r="I11" s="26">
        <f>(2/1.2*(I9/I8)^2-I10)*I7/I6</f>
        <v>2.0000406200209989E-2</v>
      </c>
      <c r="L11" s="5">
        <v>0.02</v>
      </c>
      <c r="Q11" s="25"/>
      <c r="R11" s="25">
        <f>SQRT(2*R9^2/(1.2*(1+R10*R6/R7)))</f>
        <v>5.4000000000000006E-2</v>
      </c>
      <c r="S11" s="25"/>
    </row>
    <row r="12" spans="1:19" ht="15" customHeight="1">
      <c r="H12" s="106" t="s">
        <v>213</v>
      </c>
    </row>
    <row r="13" spans="1:19" ht="15" customHeight="1">
      <c r="H13" s="87" t="s">
        <v>4</v>
      </c>
      <c r="I13" s="5">
        <f>SQRT(2*I9^2/(1.2*(I10+I11*I6/I7)))</f>
        <v>1.37E-2</v>
      </c>
    </row>
    <row r="15" spans="1:19" ht="15" customHeight="1">
      <c r="A15" s="100" t="s">
        <v>214</v>
      </c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 t="s">
        <v>215</v>
      </c>
    </row>
    <row r="16" spans="1:19" ht="15" customHeight="1">
      <c r="A16" s="87" t="s">
        <v>216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8">
        <v>3</v>
      </c>
      <c r="I16" s="28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217</v>
      </c>
    </row>
    <row r="17" spans="1:16" ht="15" customHeight="1">
      <c r="A17" s="87" t="s">
        <v>218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8">
        <v>0.2</v>
      </c>
      <c r="I17" s="28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219</v>
      </c>
    </row>
    <row r="18" spans="1:16" ht="15" customHeight="1">
      <c r="A18" s="87" t="s">
        <v>220</v>
      </c>
      <c r="B18" s="121">
        <f>B16/B17</f>
        <v>40</v>
      </c>
      <c r="C18" s="121">
        <f t="shared" ref="C18:M18" si="0">C16/C17</f>
        <v>33.333333333333336</v>
      </c>
      <c r="D18" s="121">
        <f t="shared" si="0"/>
        <v>26.666666666666668</v>
      </c>
      <c r="E18" s="121">
        <f t="shared" si="0"/>
        <v>20</v>
      </c>
      <c r="F18" s="121">
        <f t="shared" si="0"/>
        <v>30</v>
      </c>
      <c r="G18" s="121">
        <f t="shared" si="0"/>
        <v>20</v>
      </c>
      <c r="H18" s="121">
        <f t="shared" si="0"/>
        <v>15</v>
      </c>
      <c r="I18" s="121">
        <f t="shared" si="0"/>
        <v>10</v>
      </c>
      <c r="J18" s="121">
        <f t="shared" si="0"/>
        <v>60</v>
      </c>
      <c r="K18" s="121">
        <f t="shared" si="0"/>
        <v>50</v>
      </c>
      <c r="L18" s="121">
        <f t="shared" si="0"/>
        <v>40</v>
      </c>
      <c r="M18" s="121">
        <f t="shared" si="0"/>
        <v>30</v>
      </c>
      <c r="N18" s="121">
        <f>N16/N17</f>
        <v>37.1875</v>
      </c>
      <c r="P18" s="5" t="s">
        <v>221</v>
      </c>
    </row>
    <row r="19" spans="1:16" ht="15" customHeight="1">
      <c r="A19" s="87" t="s">
        <v>222</v>
      </c>
      <c r="B19" s="26">
        <f>SQRT(1/($L$11*B18+$L$10))</f>
        <v>0.59761430466719678</v>
      </c>
      <c r="C19" s="26">
        <f t="shared" ref="C19:N19" si="1">SQRT(1/($L$11*C18+$L$10))</f>
        <v>0.61237243569579447</v>
      </c>
      <c r="D19" s="26">
        <f t="shared" si="1"/>
        <v>0.62828086243754322</v>
      </c>
      <c r="E19" s="26">
        <f t="shared" si="1"/>
        <v>0.6454972243679028</v>
      </c>
      <c r="F19" s="26">
        <f t="shared" si="1"/>
        <v>0.6201736729460422</v>
      </c>
      <c r="G19" s="26">
        <f t="shared" si="1"/>
        <v>0.6454972243679028</v>
      </c>
      <c r="H19" s="26">
        <f t="shared" si="1"/>
        <v>0.65938047339578709</v>
      </c>
      <c r="I19" s="26">
        <f t="shared" si="1"/>
        <v>0.67419986246324204</v>
      </c>
      <c r="J19" s="26">
        <f t="shared" si="1"/>
        <v>0.55901699437494745</v>
      </c>
      <c r="K19" s="26">
        <f t="shared" si="1"/>
        <v>0.57735026918962573</v>
      </c>
      <c r="L19" s="26">
        <f t="shared" si="1"/>
        <v>0.59761430466719678</v>
      </c>
      <c r="M19" s="26">
        <f t="shared" si="1"/>
        <v>0.6201736729460422</v>
      </c>
      <c r="N19" s="26">
        <f t="shared" si="1"/>
        <v>0.60370911247298209</v>
      </c>
    </row>
    <row r="20" spans="1:16" ht="15" customHeight="1">
      <c r="A20" s="87" t="s">
        <v>224</v>
      </c>
      <c r="B20" s="27">
        <f>B19*(PI()*(B17/2)^2)*(2/1.2)^0.5</f>
        <v>1.3633826362458829E-2</v>
      </c>
      <c r="C20" s="27">
        <f t="shared" ref="C20:M20" si="2">C19*(PI()*(C17/2)^2)*(2/1.2)^0.5</f>
        <v>1.3970514748775767E-2</v>
      </c>
      <c r="D20" s="27">
        <f t="shared" si="2"/>
        <v>1.4333445699730302E-2</v>
      </c>
      <c r="E20" s="27">
        <f>E19*(PI()*(E17/2)^2)*(2/1.2)^0.5</f>
        <v>1.4726215563702155E-2</v>
      </c>
      <c r="F20" s="27">
        <f t="shared" si="2"/>
        <v>2.5152871581347911E-2</v>
      </c>
      <c r="G20" s="27">
        <f t="shared" si="2"/>
        <v>2.6179938779914945E-2</v>
      </c>
      <c r="H20" s="27">
        <f t="shared" si="2"/>
        <v>2.6743012633520188E-2</v>
      </c>
      <c r="I20" s="27">
        <f t="shared" si="2"/>
        <v>2.7344054255227592E-2</v>
      </c>
      <c r="J20" s="27">
        <f t="shared" si="2"/>
        <v>5.6681230132319309E-3</v>
      </c>
      <c r="K20" s="27">
        <f t="shared" si="2"/>
        <v>5.8540122758672713E-3</v>
      </c>
      <c r="L20" s="27">
        <f t="shared" si="2"/>
        <v>6.059478383315036E-3</v>
      </c>
      <c r="M20" s="27">
        <f t="shared" si="2"/>
        <v>6.2882178953369778E-3</v>
      </c>
      <c r="N20" s="27">
        <f>N19*(PI()*(N17/2)^2)*(2/1.2)^0.5</f>
        <v>1.5670467487096804E-2</v>
      </c>
      <c r="P20" s="5" t="s">
        <v>223</v>
      </c>
    </row>
    <row r="21" spans="1:16" ht="15" customHeight="1">
      <c r="A21" s="87" t="s">
        <v>225</v>
      </c>
      <c r="B21" s="27">
        <f t="shared" ref="B21:N21" si="3">SQRT(2*(PI()*(B17/2)^2)^2/(1.2*($I$10+$C$9*B16/B17)))</f>
        <v>1.37E-2</v>
      </c>
      <c r="C21" s="27">
        <f t="shared" si="3"/>
        <v>1.4041746112196262E-2</v>
      </c>
      <c r="D21" s="27">
        <f t="shared" si="3"/>
        <v>1.4410412766318437E-2</v>
      </c>
      <c r="E21" s="27">
        <f t="shared" si="3"/>
        <v>1.4809730713123625E-2</v>
      </c>
      <c r="F21" s="27">
        <f t="shared" si="3"/>
        <v>2.5284439222750501E-2</v>
      </c>
      <c r="G21" s="27">
        <f t="shared" si="3"/>
        <v>2.6328410156664223E-2</v>
      </c>
      <c r="H21" s="27">
        <f t="shared" si="3"/>
        <v>2.6901342111746464E-2</v>
      </c>
      <c r="I21" s="27">
        <f t="shared" si="3"/>
        <v>2.7513382025945641E-2</v>
      </c>
      <c r="J21" s="27">
        <f t="shared" si="3"/>
        <v>5.6921659388000255E-3</v>
      </c>
      <c r="K21" s="27">
        <f t="shared" si="3"/>
        <v>5.8805144046425355E-3</v>
      </c>
      <c r="L21" s="27">
        <f t="shared" si="3"/>
        <v>6.0888888888888893E-3</v>
      </c>
      <c r="M21" s="27">
        <f t="shared" si="3"/>
        <v>6.3211098056876252E-3</v>
      </c>
      <c r="N21" s="27">
        <f t="shared" si="3"/>
        <v>1.5748100448352707E-2</v>
      </c>
    </row>
    <row r="23" spans="1:16" ht="15" customHeight="1">
      <c r="A23" s="11" t="s">
        <v>226</v>
      </c>
    </row>
    <row r="24" spans="1:16" ht="15" customHeight="1">
      <c r="A24" s="11" t="s">
        <v>227</v>
      </c>
    </row>
    <row r="25" spans="1:16" ht="15" customHeight="1">
      <c r="A25" s="11" t="s">
        <v>228</v>
      </c>
    </row>
    <row r="28" spans="1:16" ht="15" customHeight="1">
      <c r="A28" s="4" t="s">
        <v>387</v>
      </c>
    </row>
    <row r="29" spans="1:16" ht="15" customHeight="1">
      <c r="A29" s="99"/>
      <c r="B29" s="100" t="s">
        <v>388</v>
      </c>
      <c r="C29" s="100" t="s">
        <v>389</v>
      </c>
      <c r="D29" s="100" t="s">
        <v>386</v>
      </c>
      <c r="E29" s="100"/>
    </row>
    <row r="30" spans="1:16" ht="15" customHeight="1">
      <c r="A30" s="87" t="s">
        <v>384</v>
      </c>
      <c r="C30" s="26">
        <f>Leakage!D57</f>
        <v>8.6804537217538037E-3</v>
      </c>
    </row>
    <row r="31" spans="1:16" ht="15" customHeight="1">
      <c r="A31" s="87" t="s">
        <v>385</v>
      </c>
      <c r="B31" s="5">
        <v>0.1</v>
      </c>
      <c r="C31" s="26">
        <f>PI()*(B31/2)^2</f>
        <v>7.8539816339744835E-3</v>
      </c>
      <c r="D31" s="61">
        <f>C31/($C$30+C31)</f>
        <v>0.47500755030340386</v>
      </c>
    </row>
    <row r="32" spans="1:16" ht="15" customHeight="1">
      <c r="A32" s="87" t="s">
        <v>385</v>
      </c>
      <c r="B32" s="5">
        <v>0.2</v>
      </c>
      <c r="C32" s="26">
        <f>PI()*(B32/2)^2</f>
        <v>3.1415926535897934E-2</v>
      </c>
      <c r="D32" s="61">
        <f>C32/($C$30+C32)</f>
        <v>0.78351029030613606</v>
      </c>
    </row>
    <row r="33" spans="1:4" ht="15" customHeight="1">
      <c r="A33" s="87" t="s">
        <v>385</v>
      </c>
      <c r="B33" s="5">
        <v>0.3</v>
      </c>
      <c r="C33" s="26">
        <f>PI()*(B33/2)^2</f>
        <v>7.0685834705770348E-2</v>
      </c>
      <c r="D33" s="61">
        <f>C33/($C$30+C33)</f>
        <v>0.89062794930015365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Z1" zoomScale="125" zoomScaleNormal="125" zoomScalePageLayoutView="125" workbookViewId="0">
      <selection activeCell="Z15" sqref="Z15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54" customWidth="1"/>
    <col min="24" max="24" width="5.5" style="5" bestFit="1" customWidth="1"/>
    <col min="25" max="25" width="37.5" style="5" customWidth="1"/>
    <col min="26" max="26" width="37.5" style="254" customWidth="1"/>
    <col min="27" max="27" width="56.6640625" style="254" customWidth="1"/>
    <col min="28" max="28" width="13.33203125" style="254" customWidth="1"/>
    <col min="29" max="44" width="6.1640625" style="5" customWidth="1"/>
    <col min="45" max="16384" width="8.6640625" style="5"/>
  </cols>
  <sheetData>
    <row r="1" spans="1:44" ht="15" customHeight="1">
      <c r="A1" s="20" t="s">
        <v>229</v>
      </c>
      <c r="E1" s="275" t="s">
        <v>749</v>
      </c>
      <c r="Y1" s="5">
        <f>1/0.102</f>
        <v>9.8039215686274517</v>
      </c>
    </row>
    <row r="2" spans="1:44" ht="15" customHeight="1">
      <c r="A2" s="11" t="s">
        <v>437</v>
      </c>
      <c r="C2" s="5"/>
      <c r="F2" s="5"/>
      <c r="P2" s="2"/>
      <c r="AA2" s="493" t="s">
        <v>1388</v>
      </c>
    </row>
    <row r="3" spans="1:44" ht="15" customHeight="1">
      <c r="A3" s="11" t="s">
        <v>527</v>
      </c>
      <c r="C3" s="5"/>
      <c r="F3" s="29"/>
      <c r="P3" s="2"/>
      <c r="AC3" s="20" t="s">
        <v>1387</v>
      </c>
    </row>
    <row r="4" spans="1:44" ht="15" customHeight="1">
      <c r="A4" s="11"/>
      <c r="C4" s="5"/>
      <c r="F4" s="29" t="s">
        <v>233</v>
      </c>
      <c r="P4" s="2"/>
      <c r="AC4" s="29" t="s">
        <v>233</v>
      </c>
    </row>
    <row r="5" spans="1:44" s="11" customFormat="1" ht="15" customHeight="1">
      <c r="A5" s="85" t="s">
        <v>234</v>
      </c>
      <c r="B5" s="83" t="s">
        <v>416</v>
      </c>
      <c r="C5" s="84" t="s">
        <v>235</v>
      </c>
      <c r="D5" s="74" t="s">
        <v>236</v>
      </c>
      <c r="E5" s="75" t="s">
        <v>172</v>
      </c>
      <c r="F5" s="223" t="s">
        <v>640</v>
      </c>
      <c r="G5" s="73" t="s">
        <v>589</v>
      </c>
      <c r="H5" s="73" t="s">
        <v>590</v>
      </c>
      <c r="I5" s="73" t="s">
        <v>591</v>
      </c>
      <c r="J5" s="73" t="s">
        <v>592</v>
      </c>
      <c r="K5" s="73" t="s">
        <v>593</v>
      </c>
      <c r="L5" s="73" t="s">
        <v>594</v>
      </c>
      <c r="M5" s="73" t="s">
        <v>595</v>
      </c>
      <c r="N5" s="73" t="s">
        <v>596</v>
      </c>
      <c r="O5" s="73" t="s">
        <v>597</v>
      </c>
      <c r="P5" s="73" t="s">
        <v>598</v>
      </c>
      <c r="Q5" s="73" t="s">
        <v>599</v>
      </c>
      <c r="R5" s="73" t="s">
        <v>600</v>
      </c>
      <c r="S5" s="73">
        <v>7</v>
      </c>
      <c r="T5" s="223">
        <v>8</v>
      </c>
      <c r="U5" s="223" t="s">
        <v>819</v>
      </c>
      <c r="V5" s="223" t="s">
        <v>820</v>
      </c>
      <c r="W5" s="223"/>
      <c r="X5" s="223"/>
      <c r="Y5" s="20" t="s">
        <v>1</v>
      </c>
      <c r="Z5" s="20"/>
      <c r="AA5" s="20" t="s">
        <v>702</v>
      </c>
      <c r="AB5" s="20" t="s">
        <v>1341</v>
      </c>
      <c r="AC5" s="73">
        <v>1</v>
      </c>
      <c r="AD5" s="73">
        <v>2</v>
      </c>
      <c r="AE5" s="73">
        <v>3</v>
      </c>
      <c r="AF5" s="73">
        <v>4</v>
      </c>
      <c r="AG5" s="73">
        <v>5</v>
      </c>
      <c r="AH5" s="73">
        <v>6</v>
      </c>
      <c r="AI5" s="73">
        <v>7</v>
      </c>
      <c r="AJ5" s="73">
        <v>8</v>
      </c>
      <c r="AK5" s="73">
        <v>9</v>
      </c>
      <c r="AL5" s="73">
        <v>10</v>
      </c>
      <c r="AM5" s="73">
        <v>11</v>
      </c>
      <c r="AN5" s="73">
        <v>12</v>
      </c>
      <c r="AO5" s="73">
        <v>13</v>
      </c>
      <c r="AP5" s="73">
        <v>14</v>
      </c>
      <c r="AQ5" s="73">
        <v>15</v>
      </c>
      <c r="AR5" s="73">
        <v>16</v>
      </c>
    </row>
    <row r="6" spans="1:44" ht="15" customHeight="1">
      <c r="A6" s="86" t="s">
        <v>237</v>
      </c>
      <c r="B6" s="80">
        <f>IF(B10=1, 1.05, 1.19)</f>
        <v>1.05</v>
      </c>
      <c r="C6" s="81">
        <f>A_wall_net</f>
        <v>182.2698</v>
      </c>
      <c r="D6" s="253" t="s">
        <v>238</v>
      </c>
      <c r="E6" s="501" t="s">
        <v>239</v>
      </c>
      <c r="F6" s="239">
        <v>13</v>
      </c>
      <c r="G6" s="239">
        <v>13</v>
      </c>
      <c r="H6" s="239">
        <v>13</v>
      </c>
      <c r="I6" s="239">
        <v>20</v>
      </c>
      <c r="J6" s="239">
        <v>20</v>
      </c>
      <c r="K6" s="239">
        <v>20</v>
      </c>
      <c r="L6" s="239">
        <v>20</v>
      </c>
      <c r="M6" s="239">
        <v>20</v>
      </c>
      <c r="N6" s="239">
        <v>20</v>
      </c>
      <c r="O6" s="239">
        <v>20</v>
      </c>
      <c r="P6" s="239">
        <v>20</v>
      </c>
      <c r="Q6" s="239">
        <v>25</v>
      </c>
      <c r="R6" s="239">
        <v>25</v>
      </c>
      <c r="S6" s="239">
        <v>25</v>
      </c>
      <c r="T6" s="239">
        <v>25</v>
      </c>
      <c r="U6" s="229">
        <f>G6</f>
        <v>13</v>
      </c>
      <c r="V6" s="229">
        <f>I6</f>
        <v>20</v>
      </c>
      <c r="W6" s="239"/>
      <c r="X6" s="239"/>
      <c r="AA6" s="11" t="s">
        <v>1336</v>
      </c>
      <c r="AB6" s="76" t="s">
        <v>239</v>
      </c>
      <c r="AC6" s="31">
        <f>1/0.051</f>
        <v>19.607843137254903</v>
      </c>
      <c r="AD6" s="230">
        <f t="shared" ref="AD6:AR6" si="0">1/0.051</f>
        <v>19.607843137254903</v>
      </c>
      <c r="AE6" s="230">
        <f t="shared" si="0"/>
        <v>19.607843137254903</v>
      </c>
      <c r="AF6" s="230">
        <f t="shared" si="0"/>
        <v>19.607843137254903</v>
      </c>
      <c r="AG6" s="230">
        <f t="shared" si="0"/>
        <v>19.607843137254903</v>
      </c>
      <c r="AH6" s="230">
        <f>1/0.065</f>
        <v>15.384615384615383</v>
      </c>
      <c r="AI6" s="230">
        <f>1/0.065</f>
        <v>15.384615384615383</v>
      </c>
      <c r="AJ6" s="230">
        <f t="shared" si="0"/>
        <v>19.607843137254903</v>
      </c>
      <c r="AK6" s="230">
        <f t="shared" si="0"/>
        <v>19.607843137254903</v>
      </c>
      <c r="AL6" s="230">
        <f t="shared" si="0"/>
        <v>19.607843137254903</v>
      </c>
      <c r="AM6" s="230">
        <f t="shared" si="0"/>
        <v>19.607843137254903</v>
      </c>
      <c r="AN6" s="230">
        <f t="shared" si="0"/>
        <v>19.607843137254903</v>
      </c>
      <c r="AO6" s="230">
        <f t="shared" si="0"/>
        <v>19.607843137254903</v>
      </c>
      <c r="AP6" s="230">
        <f t="shared" si="0"/>
        <v>19.607843137254903</v>
      </c>
      <c r="AQ6" s="230">
        <f t="shared" si="0"/>
        <v>19.607843137254903</v>
      </c>
      <c r="AR6" s="230">
        <f t="shared" si="0"/>
        <v>19.607843137254903</v>
      </c>
    </row>
    <row r="7" spans="1:44" ht="15" customHeight="1">
      <c r="A7" s="86" t="s">
        <v>240</v>
      </c>
      <c r="B7" s="80">
        <v>1</v>
      </c>
      <c r="C7" s="81">
        <f>A_windowSI</f>
        <v>50.165999999999997</v>
      </c>
      <c r="D7" s="253" t="s">
        <v>241</v>
      </c>
      <c r="E7" s="501" t="s">
        <v>239</v>
      </c>
      <c r="F7" s="239">
        <f>1/F84</f>
        <v>2.5</v>
      </c>
      <c r="G7" s="239">
        <f t="shared" ref="G7:T7" si="1">1/G84</f>
        <v>2.5</v>
      </c>
      <c r="H7" s="239">
        <f t="shared" si="1"/>
        <v>2.5</v>
      </c>
      <c r="I7" s="239">
        <f t="shared" si="1"/>
        <v>3.3333333333333335</v>
      </c>
      <c r="J7" s="239">
        <f t="shared" si="1"/>
        <v>3.3333333333333335</v>
      </c>
      <c r="K7" s="239">
        <f t="shared" si="1"/>
        <v>3.3333333333333335</v>
      </c>
      <c r="L7" s="239">
        <f t="shared" si="1"/>
        <v>3.3333333333333335</v>
      </c>
      <c r="M7" s="239">
        <f t="shared" si="1"/>
        <v>3.3333333333333335</v>
      </c>
      <c r="N7" s="239">
        <f t="shared" si="1"/>
        <v>3.7037037037037033</v>
      </c>
      <c r="O7" s="239">
        <f t="shared" si="1"/>
        <v>3.7037037037037033</v>
      </c>
      <c r="P7" s="239">
        <f t="shared" si="1"/>
        <v>3.7037037037037033</v>
      </c>
      <c r="Q7" s="239">
        <f t="shared" si="1"/>
        <v>3.7037037037037033</v>
      </c>
      <c r="R7" s="239">
        <f t="shared" si="1"/>
        <v>3.7037037037037033</v>
      </c>
      <c r="S7" s="239">
        <f t="shared" si="1"/>
        <v>3.7037037037037033</v>
      </c>
      <c r="T7" s="239">
        <f t="shared" si="1"/>
        <v>3.7037037037037033</v>
      </c>
      <c r="U7" s="229">
        <f t="shared" ref="U7:U8" si="2">G7</f>
        <v>2.5</v>
      </c>
      <c r="V7" s="229">
        <f t="shared" ref="V7:V8" si="3">I7</f>
        <v>3.3333333333333335</v>
      </c>
      <c r="W7" s="239"/>
      <c r="X7" s="239"/>
      <c r="AA7" s="11" t="s">
        <v>1337</v>
      </c>
      <c r="AB7" s="76" t="s">
        <v>239</v>
      </c>
      <c r="AC7" s="32">
        <f>1/0.32</f>
        <v>3.125</v>
      </c>
      <c r="AD7" s="32">
        <f t="shared" ref="AD7:AR7" si="4">1/0.32</f>
        <v>3.125</v>
      </c>
      <c r="AE7" s="32">
        <f t="shared" si="4"/>
        <v>3.125</v>
      </c>
      <c r="AF7" s="32">
        <f t="shared" si="4"/>
        <v>3.125</v>
      </c>
      <c r="AG7" s="32">
        <f t="shared" si="4"/>
        <v>3.125</v>
      </c>
      <c r="AH7" s="32">
        <f t="shared" si="4"/>
        <v>3.125</v>
      </c>
      <c r="AI7" s="32">
        <f t="shared" si="4"/>
        <v>3.125</v>
      </c>
      <c r="AJ7" s="32">
        <f t="shared" si="4"/>
        <v>3.125</v>
      </c>
      <c r="AK7" s="32">
        <f t="shared" si="4"/>
        <v>3.125</v>
      </c>
      <c r="AL7" s="32">
        <f t="shared" si="4"/>
        <v>3.125</v>
      </c>
      <c r="AM7" s="32">
        <f t="shared" si="4"/>
        <v>3.125</v>
      </c>
      <c r="AN7" s="32">
        <f t="shared" si="4"/>
        <v>3.125</v>
      </c>
      <c r="AO7" s="32">
        <f t="shared" si="4"/>
        <v>3.125</v>
      </c>
      <c r="AP7" s="32">
        <f t="shared" si="4"/>
        <v>3.125</v>
      </c>
      <c r="AQ7" s="32">
        <f t="shared" si="4"/>
        <v>3.125</v>
      </c>
      <c r="AR7" s="32">
        <f t="shared" si="4"/>
        <v>3.125</v>
      </c>
    </row>
    <row r="8" spans="1:44" ht="15" customHeight="1">
      <c r="A8" s="86" t="s">
        <v>242</v>
      </c>
      <c r="B8" s="80">
        <v>1</v>
      </c>
      <c r="C8" s="81">
        <f>RaisedFloorSI</f>
        <v>18.579999999999998</v>
      </c>
      <c r="D8" s="253" t="s">
        <v>243</v>
      </c>
      <c r="E8" s="501" t="s">
        <v>239</v>
      </c>
      <c r="F8" s="239">
        <f>F76</f>
        <v>13</v>
      </c>
      <c r="G8" s="239">
        <f t="shared" ref="G8:T8" si="5">G76</f>
        <v>13</v>
      </c>
      <c r="H8" s="239">
        <f t="shared" si="5"/>
        <v>13</v>
      </c>
      <c r="I8" s="239">
        <f t="shared" si="5"/>
        <v>19</v>
      </c>
      <c r="J8" s="239">
        <f t="shared" si="5"/>
        <v>19</v>
      </c>
      <c r="K8" s="239">
        <f t="shared" si="5"/>
        <v>19</v>
      </c>
      <c r="L8" s="239">
        <f t="shared" si="5"/>
        <v>19</v>
      </c>
      <c r="M8" s="239">
        <f t="shared" si="5"/>
        <v>19</v>
      </c>
      <c r="N8" s="239">
        <f t="shared" si="5"/>
        <v>30</v>
      </c>
      <c r="O8" s="239">
        <f t="shared" si="5"/>
        <v>30</v>
      </c>
      <c r="P8" s="239">
        <f t="shared" si="5"/>
        <v>30</v>
      </c>
      <c r="Q8" s="239">
        <f t="shared" si="5"/>
        <v>30</v>
      </c>
      <c r="R8" s="239">
        <f t="shared" si="5"/>
        <v>30</v>
      </c>
      <c r="S8" s="239">
        <f t="shared" si="5"/>
        <v>38</v>
      </c>
      <c r="T8" s="239">
        <f t="shared" si="5"/>
        <v>38</v>
      </c>
      <c r="U8" s="229">
        <f t="shared" si="2"/>
        <v>13</v>
      </c>
      <c r="V8" s="229">
        <f t="shared" si="3"/>
        <v>19</v>
      </c>
      <c r="W8" s="239"/>
      <c r="X8" s="239"/>
      <c r="AA8" s="264" t="s">
        <v>1342</v>
      </c>
      <c r="AB8" s="264"/>
      <c r="AC8" s="264">
        <v>0.25</v>
      </c>
      <c r="AD8" s="264">
        <v>0.25</v>
      </c>
      <c r="AE8" s="264">
        <v>0.25</v>
      </c>
      <c r="AF8" s="264">
        <v>0.25</v>
      </c>
      <c r="AG8" s="264">
        <v>0.25</v>
      </c>
      <c r="AH8" s="264">
        <v>0.25</v>
      </c>
      <c r="AI8" s="264">
        <v>0.25</v>
      </c>
      <c r="AJ8" s="264">
        <v>0.25</v>
      </c>
      <c r="AK8" s="264">
        <v>0.25</v>
      </c>
      <c r="AL8" s="264">
        <v>0.25</v>
      </c>
      <c r="AM8" s="264">
        <v>0.25</v>
      </c>
      <c r="AN8" s="264">
        <v>0.25</v>
      </c>
      <c r="AO8" s="264">
        <v>0.25</v>
      </c>
      <c r="AP8" s="264">
        <v>0.25</v>
      </c>
      <c r="AQ8" s="264">
        <v>0.25</v>
      </c>
      <c r="AR8" s="264">
        <v>0.25</v>
      </c>
    </row>
    <row r="9" spans="1:44" ht="15" customHeight="1">
      <c r="A9" s="5" t="s">
        <v>890</v>
      </c>
      <c r="B9" s="5">
        <v>1</v>
      </c>
      <c r="C9" s="38">
        <f>A_doors_SI</f>
        <v>3.7159999999999997</v>
      </c>
      <c r="D9" s="253" t="s">
        <v>891</v>
      </c>
      <c r="E9" s="253" t="s">
        <v>239</v>
      </c>
      <c r="F9" s="253">
        <v>5</v>
      </c>
      <c r="G9" s="253">
        <v>5</v>
      </c>
      <c r="H9" s="253">
        <v>5</v>
      </c>
      <c r="I9" s="253">
        <v>5</v>
      </c>
      <c r="J9" s="253">
        <v>5</v>
      </c>
      <c r="K9" s="253">
        <v>5</v>
      </c>
      <c r="L9" s="253">
        <v>5</v>
      </c>
      <c r="M9" s="253">
        <v>5</v>
      </c>
      <c r="N9" s="253">
        <v>5</v>
      </c>
      <c r="O9" s="253">
        <v>5</v>
      </c>
      <c r="P9" s="253">
        <v>5</v>
      </c>
      <c r="Q9" s="253">
        <v>5</v>
      </c>
      <c r="R9" s="253">
        <v>5</v>
      </c>
      <c r="S9" s="253">
        <v>5</v>
      </c>
      <c r="T9" s="253">
        <v>5</v>
      </c>
      <c r="U9" s="253">
        <v>5</v>
      </c>
      <c r="V9" s="253">
        <v>5</v>
      </c>
      <c r="W9" s="257"/>
      <c r="X9" s="257"/>
      <c r="AA9" s="254" t="s">
        <v>1338</v>
      </c>
      <c r="AB9" s="76" t="s">
        <v>239</v>
      </c>
      <c r="AC9" s="5">
        <v>5</v>
      </c>
      <c r="AD9" s="254">
        <v>5</v>
      </c>
      <c r="AE9" s="254">
        <v>5</v>
      </c>
      <c r="AF9" s="254">
        <v>5</v>
      </c>
      <c r="AG9" s="254">
        <v>5</v>
      </c>
      <c r="AH9" s="254">
        <v>5</v>
      </c>
      <c r="AI9" s="254">
        <v>5</v>
      </c>
      <c r="AJ9" s="254">
        <v>5</v>
      </c>
      <c r="AK9" s="254">
        <v>5</v>
      </c>
      <c r="AL9" s="254">
        <v>5</v>
      </c>
      <c r="AM9" s="254">
        <v>5</v>
      </c>
      <c r="AN9" s="254">
        <v>5</v>
      </c>
      <c r="AO9" s="254">
        <v>5</v>
      </c>
      <c r="AP9" s="254">
        <v>5</v>
      </c>
      <c r="AQ9" s="254">
        <v>5</v>
      </c>
      <c r="AR9" s="254">
        <v>5</v>
      </c>
    </row>
    <row r="10" spans="1:44" ht="15" customHeight="1">
      <c r="A10" s="161" t="s">
        <v>430</v>
      </c>
      <c r="B10" s="118">
        <v>1</v>
      </c>
      <c r="C10" s="82"/>
      <c r="D10" s="253" t="s">
        <v>585</v>
      </c>
      <c r="E10" s="501" t="s">
        <v>245</v>
      </c>
      <c r="F10" s="224">
        <f>IF($B$12=0,0,$B$13*$K$59)</f>
        <v>69.829677765450313</v>
      </c>
      <c r="G10" s="224">
        <f t="shared" ref="G10:V10" si="6">IF($B$12=0,0,$B$13*$K$59)</f>
        <v>69.829677765450313</v>
      </c>
      <c r="H10" s="224">
        <f t="shared" si="6"/>
        <v>69.829677765450313</v>
      </c>
      <c r="I10" s="224">
        <f t="shared" si="6"/>
        <v>69.829677765450313</v>
      </c>
      <c r="J10" s="224">
        <f t="shared" si="6"/>
        <v>69.829677765450313</v>
      </c>
      <c r="K10" s="224">
        <f t="shared" si="6"/>
        <v>69.829677765450313</v>
      </c>
      <c r="L10" s="224">
        <f t="shared" si="6"/>
        <v>69.829677765450313</v>
      </c>
      <c r="M10" s="224">
        <f t="shared" si="6"/>
        <v>69.829677765450313</v>
      </c>
      <c r="N10" s="224">
        <f t="shared" si="6"/>
        <v>69.829677765450313</v>
      </c>
      <c r="O10" s="224">
        <f t="shared" si="6"/>
        <v>69.829677765450313</v>
      </c>
      <c r="P10" s="224">
        <f t="shared" si="6"/>
        <v>69.829677765450313</v>
      </c>
      <c r="Q10" s="224">
        <f t="shared" si="6"/>
        <v>69.829677765450313</v>
      </c>
      <c r="R10" s="224">
        <f t="shared" si="6"/>
        <v>69.829677765450313</v>
      </c>
      <c r="S10" s="224">
        <f t="shared" si="6"/>
        <v>69.829677765450313</v>
      </c>
      <c r="T10" s="224">
        <f t="shared" si="6"/>
        <v>69.829677765450313</v>
      </c>
      <c r="U10" s="224">
        <f t="shared" si="6"/>
        <v>69.829677765450313</v>
      </c>
      <c r="V10" s="224">
        <f t="shared" si="6"/>
        <v>69.829677765450313</v>
      </c>
      <c r="W10" s="224"/>
      <c r="X10" s="224"/>
      <c r="AA10" s="11" t="s">
        <v>1339</v>
      </c>
      <c r="AB10" s="214" t="s">
        <v>239</v>
      </c>
      <c r="AC10" s="31">
        <v>19</v>
      </c>
      <c r="AD10" s="230">
        <v>19</v>
      </c>
      <c r="AE10" s="230">
        <v>19</v>
      </c>
      <c r="AF10" s="230">
        <v>19</v>
      </c>
      <c r="AG10" s="230">
        <v>19</v>
      </c>
      <c r="AH10" s="230">
        <v>19</v>
      </c>
      <c r="AI10" s="230">
        <v>19</v>
      </c>
      <c r="AJ10" s="230">
        <v>19</v>
      </c>
      <c r="AK10" s="230">
        <v>19</v>
      </c>
      <c r="AL10" s="230">
        <v>19</v>
      </c>
      <c r="AM10" s="230">
        <v>19</v>
      </c>
      <c r="AN10" s="230">
        <v>19</v>
      </c>
      <c r="AO10" s="230">
        <v>19</v>
      </c>
      <c r="AP10" s="230">
        <v>19</v>
      </c>
      <c r="AQ10" s="230">
        <v>19</v>
      </c>
      <c r="AR10" s="230">
        <v>19</v>
      </c>
    </row>
    <row r="11" spans="1:44" ht="15" customHeight="1">
      <c r="A11" s="127" t="s">
        <v>727</v>
      </c>
      <c r="C11" s="5"/>
      <c r="D11" s="502" t="s">
        <v>244</v>
      </c>
      <c r="E11" s="503" t="s">
        <v>245</v>
      </c>
      <c r="F11" s="504">
        <f>((1/F6)*$B$6*5.6783*$C$6)+(1/F9*$B$9*5.678*$C$9)</f>
        <v>87.814638492846171</v>
      </c>
      <c r="G11" s="504">
        <f t="shared" ref="G11:V11" si="7">((1/G6)*$B$6*5.6783*$C$6)+(1/G9*$B$9*5.678*$C$9)</f>
        <v>87.814638492846171</v>
      </c>
      <c r="H11" s="504">
        <f t="shared" si="7"/>
        <v>87.814638492846171</v>
      </c>
      <c r="I11" s="504">
        <f t="shared" si="7"/>
        <v>58.556476380350013</v>
      </c>
      <c r="J11" s="504">
        <f t="shared" si="7"/>
        <v>58.556476380350013</v>
      </c>
      <c r="K11" s="504">
        <f t="shared" si="7"/>
        <v>58.556476380350013</v>
      </c>
      <c r="L11" s="504">
        <f t="shared" si="7"/>
        <v>58.556476380350013</v>
      </c>
      <c r="M11" s="504">
        <f t="shared" si="7"/>
        <v>58.556476380350013</v>
      </c>
      <c r="N11" s="504">
        <f t="shared" si="7"/>
        <v>58.556476380350013</v>
      </c>
      <c r="O11" s="504">
        <f t="shared" si="7"/>
        <v>58.556476380350013</v>
      </c>
      <c r="P11" s="504">
        <f t="shared" si="7"/>
        <v>58.556476380350013</v>
      </c>
      <c r="Q11" s="504">
        <f t="shared" si="7"/>
        <v>47.689159024280009</v>
      </c>
      <c r="R11" s="504">
        <f t="shared" si="7"/>
        <v>47.689159024280009</v>
      </c>
      <c r="S11" s="504">
        <f t="shared" si="7"/>
        <v>47.689159024280009</v>
      </c>
      <c r="T11" s="504">
        <f t="shared" si="7"/>
        <v>47.689159024280009</v>
      </c>
      <c r="U11" s="504">
        <f t="shared" si="7"/>
        <v>87.814638492846171</v>
      </c>
      <c r="V11" s="504">
        <f t="shared" si="7"/>
        <v>58.556476380350013</v>
      </c>
      <c r="W11" s="229"/>
      <c r="X11" s="229"/>
      <c r="Y11"/>
      <c r="Z11" s="245"/>
      <c r="AA11" s="127" t="s">
        <v>1340</v>
      </c>
      <c r="AB11" s="214" t="s">
        <v>239</v>
      </c>
      <c r="AC11" s="5">
        <v>0</v>
      </c>
      <c r="AD11" s="5">
        <v>0</v>
      </c>
      <c r="AE11" s="254">
        <v>0</v>
      </c>
      <c r="AF11" s="254">
        <v>0</v>
      </c>
      <c r="AG11" s="254">
        <v>0</v>
      </c>
      <c r="AH11" s="254">
        <v>0</v>
      </c>
      <c r="AI11" s="254">
        <v>0</v>
      </c>
      <c r="AJ11" s="254">
        <v>0</v>
      </c>
      <c r="AK11" s="254">
        <v>0</v>
      </c>
      <c r="AL11" s="254">
        <v>0</v>
      </c>
      <c r="AM11" s="254">
        <v>0</v>
      </c>
      <c r="AN11" s="254">
        <v>0</v>
      </c>
      <c r="AO11" s="254">
        <v>0</v>
      </c>
      <c r="AP11" s="254">
        <v>0</v>
      </c>
      <c r="AQ11" s="254">
        <v>0</v>
      </c>
      <c r="AR11" s="5">
        <v>7</v>
      </c>
    </row>
    <row r="12" spans="1:44" ht="15" customHeight="1">
      <c r="A12" s="132" t="s">
        <v>536</v>
      </c>
      <c r="B12" s="133">
        <v>1</v>
      </c>
      <c r="C12" s="5"/>
      <c r="D12" s="502" t="s">
        <v>246</v>
      </c>
      <c r="E12" s="503" t="s">
        <v>245</v>
      </c>
      <c r="F12" s="504">
        <f>1/F7*$B$7*5.678*$C$7</f>
        <v>113.93701919999998</v>
      </c>
      <c r="G12" s="504">
        <f t="shared" ref="G12:T12" si="8">1/G7*$B$7*5.678*$C$7</f>
        <v>113.93701919999998</v>
      </c>
      <c r="H12" s="504">
        <f t="shared" si="8"/>
        <v>113.93701919999998</v>
      </c>
      <c r="I12" s="504">
        <f t="shared" si="8"/>
        <v>85.452764399999992</v>
      </c>
      <c r="J12" s="504">
        <f t="shared" si="8"/>
        <v>85.452764399999992</v>
      </c>
      <c r="K12" s="504">
        <f t="shared" si="8"/>
        <v>85.452764399999992</v>
      </c>
      <c r="L12" s="504">
        <f t="shared" si="8"/>
        <v>85.452764399999992</v>
      </c>
      <c r="M12" s="504">
        <f t="shared" si="8"/>
        <v>85.452764399999992</v>
      </c>
      <c r="N12" s="504">
        <f t="shared" si="8"/>
        <v>76.907487959999997</v>
      </c>
      <c r="O12" s="504">
        <f t="shared" si="8"/>
        <v>76.907487959999997</v>
      </c>
      <c r="P12" s="504">
        <f t="shared" si="8"/>
        <v>76.907487959999997</v>
      </c>
      <c r="Q12" s="504">
        <f t="shared" si="8"/>
        <v>76.907487959999997</v>
      </c>
      <c r="R12" s="504">
        <f t="shared" si="8"/>
        <v>76.907487959999997</v>
      </c>
      <c r="S12" s="504">
        <f t="shared" si="8"/>
        <v>76.907487959999997</v>
      </c>
      <c r="T12" s="504">
        <f t="shared" si="8"/>
        <v>76.907487959999997</v>
      </c>
      <c r="U12" s="504">
        <f>G12</f>
        <v>113.93701919999998</v>
      </c>
      <c r="V12" s="504">
        <f>I12</f>
        <v>85.452764399999992</v>
      </c>
      <c r="W12" s="229"/>
      <c r="X12" s="229"/>
      <c r="Y12" s="11" t="s">
        <v>250</v>
      </c>
      <c r="Z12" s="127"/>
      <c r="AA12" s="127" t="s">
        <v>937</v>
      </c>
      <c r="AB12" s="76" t="s">
        <v>245</v>
      </c>
      <c r="AC12" s="539">
        <f>(1/AC6*$B$6*5.678*$C$6) + (1/AC9*$B$9*5.678*$C$9)</f>
        <v>59.640279951620009</v>
      </c>
      <c r="AD12" s="539">
        <f>(1/AD6*$B$6*5.678*$C$6) + (1/AD9*$B$9*5.678*$C$9)</f>
        <v>59.640279951620009</v>
      </c>
      <c r="AE12" s="539">
        <f t="shared" ref="AE12:AR12" si="9">(1/AE6*$B$6*5.678*$C$6) + (1/AE9*$B$9*5.678*$C$9)</f>
        <v>59.640279951620009</v>
      </c>
      <c r="AF12" s="539">
        <f t="shared" si="9"/>
        <v>59.640279951620009</v>
      </c>
      <c r="AG12" s="539">
        <f t="shared" si="9"/>
        <v>59.640279951620009</v>
      </c>
      <c r="AH12" s="539">
        <f t="shared" si="9"/>
        <v>74.853720440300009</v>
      </c>
      <c r="AI12" s="539">
        <f t="shared" si="9"/>
        <v>74.853720440300009</v>
      </c>
      <c r="AJ12" s="539">
        <f t="shared" si="9"/>
        <v>59.640279951620009</v>
      </c>
      <c r="AK12" s="539">
        <f t="shared" si="9"/>
        <v>59.640279951620009</v>
      </c>
      <c r="AL12" s="539">
        <f t="shared" si="9"/>
        <v>59.640279951620009</v>
      </c>
      <c r="AM12" s="539">
        <f t="shared" si="9"/>
        <v>59.640279951620009</v>
      </c>
      <c r="AN12" s="539">
        <f t="shared" si="9"/>
        <v>59.640279951620009</v>
      </c>
      <c r="AO12" s="539">
        <f t="shared" si="9"/>
        <v>59.640279951620009</v>
      </c>
      <c r="AP12" s="539">
        <f t="shared" si="9"/>
        <v>59.640279951620009</v>
      </c>
      <c r="AQ12" s="539">
        <f t="shared" si="9"/>
        <v>59.640279951620009</v>
      </c>
      <c r="AR12" s="539">
        <f t="shared" si="9"/>
        <v>59.640279951620009</v>
      </c>
    </row>
    <row r="13" spans="1:44" ht="15" customHeight="1">
      <c r="A13" s="133" t="s">
        <v>564</v>
      </c>
      <c r="B13" s="149">
        <f>IF(B12=1,Geometry!D11,0)</f>
        <v>48.158398458931252</v>
      </c>
      <c r="C13" s="5" t="s">
        <v>134</v>
      </c>
      <c r="D13" s="502" t="s">
        <v>247</v>
      </c>
      <c r="E13" s="503" t="s">
        <v>245</v>
      </c>
      <c r="F13" s="504">
        <f>IF($B$12=0, 1/F8*$B$8*5.678*$C$8, $B$13*$K$59)</f>
        <v>69.829677765450313</v>
      </c>
      <c r="G13" s="504">
        <f t="shared" ref="G13:V13" si="10">IF($B$12=0, 1/G8*$B$8*5.678*$C$8, $B$13*$K$59)</f>
        <v>69.829677765450313</v>
      </c>
      <c r="H13" s="504">
        <f t="shared" si="10"/>
        <v>69.829677765450313</v>
      </c>
      <c r="I13" s="504">
        <f t="shared" si="10"/>
        <v>69.829677765450313</v>
      </c>
      <c r="J13" s="504">
        <f t="shared" si="10"/>
        <v>69.829677765450313</v>
      </c>
      <c r="K13" s="504">
        <f t="shared" si="10"/>
        <v>69.829677765450313</v>
      </c>
      <c r="L13" s="504">
        <f t="shared" si="10"/>
        <v>69.829677765450313</v>
      </c>
      <c r="M13" s="504">
        <f t="shared" si="10"/>
        <v>69.829677765450313</v>
      </c>
      <c r="N13" s="504">
        <f t="shared" si="10"/>
        <v>69.829677765450313</v>
      </c>
      <c r="O13" s="504">
        <f>IF($B$12=0, 1/O8*$B$8*5.678*$C$8, $B$13*$K$59)</f>
        <v>69.829677765450313</v>
      </c>
      <c r="P13" s="504">
        <f t="shared" si="10"/>
        <v>69.829677765450313</v>
      </c>
      <c r="Q13" s="504">
        <f t="shared" si="10"/>
        <v>69.829677765450313</v>
      </c>
      <c r="R13" s="504">
        <f t="shared" si="10"/>
        <v>69.829677765450313</v>
      </c>
      <c r="S13" s="504">
        <f t="shared" si="10"/>
        <v>69.829677765450313</v>
      </c>
      <c r="T13" s="504">
        <f t="shared" si="10"/>
        <v>69.829677765450313</v>
      </c>
      <c r="U13" s="504">
        <f t="shared" si="10"/>
        <v>69.829677765450313</v>
      </c>
      <c r="V13" s="504">
        <f t="shared" si="10"/>
        <v>69.829677765450313</v>
      </c>
      <c r="W13" s="229"/>
      <c r="X13" s="229"/>
      <c r="Y13" s="11" t="s">
        <v>574</v>
      </c>
      <c r="Z13" s="127"/>
      <c r="AA13" s="238" t="s">
        <v>939</v>
      </c>
      <c r="AB13" s="76" t="s">
        <v>245</v>
      </c>
      <c r="AC13" s="539">
        <f t="shared" ref="AC13:AR13" si="11">1/AC7*$B$7*5.678*$C$7</f>
        <v>91.149615359999984</v>
      </c>
      <c r="AD13" s="539">
        <f t="shared" si="11"/>
        <v>91.149615359999984</v>
      </c>
      <c r="AE13" s="539">
        <f t="shared" si="11"/>
        <v>91.149615359999984</v>
      </c>
      <c r="AF13" s="539">
        <f t="shared" si="11"/>
        <v>91.149615359999984</v>
      </c>
      <c r="AG13" s="539">
        <f t="shared" si="11"/>
        <v>91.149615359999984</v>
      </c>
      <c r="AH13" s="539">
        <f t="shared" si="11"/>
        <v>91.149615359999984</v>
      </c>
      <c r="AI13" s="539">
        <f t="shared" si="11"/>
        <v>91.149615359999984</v>
      </c>
      <c r="AJ13" s="539">
        <f t="shared" si="11"/>
        <v>91.149615359999984</v>
      </c>
      <c r="AK13" s="539">
        <f t="shared" si="11"/>
        <v>91.149615359999984</v>
      </c>
      <c r="AL13" s="539">
        <f t="shared" si="11"/>
        <v>91.149615359999984</v>
      </c>
      <c r="AM13" s="539">
        <f t="shared" si="11"/>
        <v>91.149615359999984</v>
      </c>
      <c r="AN13" s="539">
        <f t="shared" si="11"/>
        <v>91.149615359999984</v>
      </c>
      <c r="AO13" s="539">
        <f t="shared" si="11"/>
        <v>91.149615359999984</v>
      </c>
      <c r="AP13" s="539">
        <f t="shared" si="11"/>
        <v>91.149615359999984</v>
      </c>
      <c r="AQ13" s="539">
        <f t="shared" si="11"/>
        <v>91.149615359999984</v>
      </c>
      <c r="AR13" s="539">
        <f t="shared" si="11"/>
        <v>91.149615359999984</v>
      </c>
    </row>
    <row r="14" spans="1:44" ht="15" customHeight="1">
      <c r="A14" s="80"/>
      <c r="B14" s="80"/>
      <c r="D14" s="253" t="s">
        <v>248</v>
      </c>
      <c r="E14" s="505" t="s">
        <v>245</v>
      </c>
      <c r="F14" s="229">
        <f>1/F9*$B$9*5.678*$C$9</f>
        <v>4.2198895999999992</v>
      </c>
      <c r="G14" s="229">
        <f t="shared" ref="G14:V14" si="12">1/G9*$B$9*5.678*$C$9</f>
        <v>4.2198895999999992</v>
      </c>
      <c r="H14" s="229">
        <f t="shared" si="12"/>
        <v>4.2198895999999992</v>
      </c>
      <c r="I14" s="229">
        <f t="shared" si="12"/>
        <v>4.2198895999999992</v>
      </c>
      <c r="J14" s="229">
        <f t="shared" si="12"/>
        <v>4.2198895999999992</v>
      </c>
      <c r="K14" s="229">
        <f t="shared" si="12"/>
        <v>4.2198895999999992</v>
      </c>
      <c r="L14" s="229">
        <f t="shared" si="12"/>
        <v>4.2198895999999992</v>
      </c>
      <c r="M14" s="229">
        <f t="shared" si="12"/>
        <v>4.2198895999999992</v>
      </c>
      <c r="N14" s="229">
        <f t="shared" si="12"/>
        <v>4.2198895999999992</v>
      </c>
      <c r="O14" s="229">
        <f t="shared" si="12"/>
        <v>4.2198895999999992</v>
      </c>
      <c r="P14" s="229">
        <f t="shared" si="12"/>
        <v>4.2198895999999992</v>
      </c>
      <c r="Q14" s="229">
        <f t="shared" si="12"/>
        <v>4.2198895999999992</v>
      </c>
      <c r="R14" s="229">
        <f t="shared" si="12"/>
        <v>4.2198895999999992</v>
      </c>
      <c r="S14" s="229">
        <f t="shared" si="12"/>
        <v>4.2198895999999992</v>
      </c>
      <c r="T14" s="229">
        <f t="shared" si="12"/>
        <v>4.2198895999999992</v>
      </c>
      <c r="U14" s="229">
        <f t="shared" si="12"/>
        <v>4.2198895999999992</v>
      </c>
      <c r="V14" s="229">
        <f t="shared" si="12"/>
        <v>4.2198895999999992</v>
      </c>
      <c r="W14" s="229"/>
      <c r="X14" s="229"/>
      <c r="Y14" s="20" t="s">
        <v>759</v>
      </c>
      <c r="Z14" s="20"/>
      <c r="AA14" s="127" t="s">
        <v>938</v>
      </c>
      <c r="AB14" s="76" t="s">
        <v>245</v>
      </c>
      <c r="AC14" s="539">
        <f>(1/AC10*$B$8*5.678*$C$8) + IF($B$12=0,0,$B$13*$K$59)</f>
        <v>75.382164081239779</v>
      </c>
      <c r="AD14" s="539">
        <f t="shared" ref="AD14:AQ14" si="13">(1/AD10*$B$8*5.678*$C$8) + IF($B$12=0,0,$B$13*$K$59)</f>
        <v>75.382164081239779</v>
      </c>
      <c r="AE14" s="539">
        <f t="shared" si="13"/>
        <v>75.382164081239779</v>
      </c>
      <c r="AF14" s="539">
        <f t="shared" si="13"/>
        <v>75.382164081239779</v>
      </c>
      <c r="AG14" s="539">
        <f t="shared" si="13"/>
        <v>75.382164081239779</v>
      </c>
      <c r="AH14" s="539">
        <f t="shared" si="13"/>
        <v>75.382164081239779</v>
      </c>
      <c r="AI14" s="539">
        <f t="shared" si="13"/>
        <v>75.382164081239779</v>
      </c>
      <c r="AJ14" s="539">
        <f t="shared" si="13"/>
        <v>75.382164081239779</v>
      </c>
      <c r="AK14" s="539">
        <f t="shared" si="13"/>
        <v>75.382164081239779</v>
      </c>
      <c r="AL14" s="539">
        <f t="shared" si="13"/>
        <v>75.382164081239779</v>
      </c>
      <c r="AM14" s="539">
        <f t="shared" si="13"/>
        <v>75.382164081239779</v>
      </c>
      <c r="AN14" s="539">
        <f t="shared" si="13"/>
        <v>75.382164081239779</v>
      </c>
      <c r="AO14" s="539">
        <f t="shared" si="13"/>
        <v>75.382164081239779</v>
      </c>
      <c r="AP14" s="539">
        <f t="shared" si="13"/>
        <v>75.382164081239779</v>
      </c>
      <c r="AQ14" s="539">
        <f t="shared" si="13"/>
        <v>75.382164081239779</v>
      </c>
      <c r="AR14" s="539">
        <f>(1/AR10*$B$8*5.678*$C$8) + IF($B$12=0,0,$B$13*$K$60)</f>
        <v>46.487125005881033</v>
      </c>
    </row>
    <row r="15" spans="1:44" ht="15" customHeight="1">
      <c r="C15" s="5"/>
      <c r="D15" s="290" t="s">
        <v>249</v>
      </c>
      <c r="E15" s="291" t="s">
        <v>245</v>
      </c>
      <c r="F15" s="292">
        <f>IF($B$12=0,SUM(F11:F14),SUM(F10,F11,F12,F14))</f>
        <v>275.8012250582965</v>
      </c>
      <c r="G15" s="292">
        <f>IF($B$12=0,SUM(G11:G14),SUM(G10,G11,G12,G14))</f>
        <v>275.8012250582965</v>
      </c>
      <c r="H15" s="292">
        <f t="shared" ref="H15:V15" si="14">IF($B$12=0,SUM(H11:H14),SUM(H10,H11,H12,H14))</f>
        <v>275.8012250582965</v>
      </c>
      <c r="I15" s="292">
        <f t="shared" si="14"/>
        <v>218.0588081458003</v>
      </c>
      <c r="J15" s="292">
        <f t="shared" si="14"/>
        <v>218.0588081458003</v>
      </c>
      <c r="K15" s="292">
        <f t="shared" si="14"/>
        <v>218.0588081458003</v>
      </c>
      <c r="L15" s="292">
        <f t="shared" si="14"/>
        <v>218.0588081458003</v>
      </c>
      <c r="M15" s="292">
        <f t="shared" si="14"/>
        <v>218.0588081458003</v>
      </c>
      <c r="N15" s="292">
        <f t="shared" si="14"/>
        <v>209.51353170580032</v>
      </c>
      <c r="O15" s="292">
        <f t="shared" si="14"/>
        <v>209.51353170580032</v>
      </c>
      <c r="P15" s="292">
        <f t="shared" si="14"/>
        <v>209.51353170580032</v>
      </c>
      <c r="Q15" s="292">
        <f t="shared" si="14"/>
        <v>198.64621434973031</v>
      </c>
      <c r="R15" s="292">
        <f t="shared" si="14"/>
        <v>198.64621434973031</v>
      </c>
      <c r="S15" s="292">
        <f t="shared" si="14"/>
        <v>198.64621434973031</v>
      </c>
      <c r="T15" s="292">
        <f t="shared" si="14"/>
        <v>198.64621434973031</v>
      </c>
      <c r="U15" s="292">
        <f t="shared" si="14"/>
        <v>275.8012250582965</v>
      </c>
      <c r="V15" s="292">
        <f t="shared" si="14"/>
        <v>218.0588081458003</v>
      </c>
      <c r="W15" s="292"/>
      <c r="X15" s="292"/>
      <c r="Y15" s="20" t="s">
        <v>759</v>
      </c>
      <c r="Z15" s="20"/>
      <c r="AC15" s="29" t="s">
        <v>233</v>
      </c>
      <c r="AD15" s="2"/>
      <c r="AE15" s="2"/>
      <c r="AF15" s="2"/>
      <c r="AG15" s="2"/>
      <c r="AH15" s="2"/>
      <c r="AI15" s="2"/>
      <c r="AJ15" s="2"/>
      <c r="AK15" s="2"/>
      <c r="AL15" s="2"/>
    </row>
    <row r="16" spans="1:44" ht="15" customHeight="1">
      <c r="A16" s="20" t="s">
        <v>252</v>
      </c>
      <c r="C16" s="5"/>
      <c r="D16" s="290" t="s">
        <v>251</v>
      </c>
      <c r="E16" s="291" t="s">
        <v>245</v>
      </c>
      <c r="F16" s="292">
        <f>SUM(F11,F12,F14)</f>
        <v>205.97154729284614</v>
      </c>
      <c r="G16" s="292">
        <f t="shared" ref="G16:V16" si="15">SUM(G11,G12,G14)</f>
        <v>205.97154729284614</v>
      </c>
      <c r="H16" s="292">
        <f t="shared" si="15"/>
        <v>205.97154729284614</v>
      </c>
      <c r="I16" s="292">
        <f t="shared" si="15"/>
        <v>148.22913038035</v>
      </c>
      <c r="J16" s="292">
        <f t="shared" si="15"/>
        <v>148.22913038035</v>
      </c>
      <c r="K16" s="292">
        <f t="shared" si="15"/>
        <v>148.22913038035</v>
      </c>
      <c r="L16" s="292">
        <f t="shared" si="15"/>
        <v>148.22913038035</v>
      </c>
      <c r="M16" s="292">
        <f t="shared" si="15"/>
        <v>148.22913038035</v>
      </c>
      <c r="N16" s="292">
        <f t="shared" si="15"/>
        <v>139.68385394034999</v>
      </c>
      <c r="O16" s="292">
        <f t="shared" si="15"/>
        <v>139.68385394034999</v>
      </c>
      <c r="P16" s="292">
        <f t="shared" si="15"/>
        <v>139.68385394034999</v>
      </c>
      <c r="Q16" s="292">
        <f t="shared" si="15"/>
        <v>128.81653658427999</v>
      </c>
      <c r="R16" s="292">
        <f t="shared" si="15"/>
        <v>128.81653658427999</v>
      </c>
      <c r="S16" s="292">
        <f t="shared" si="15"/>
        <v>128.81653658427999</v>
      </c>
      <c r="T16" s="292">
        <f t="shared" si="15"/>
        <v>128.81653658427999</v>
      </c>
      <c r="U16" s="292">
        <f t="shared" si="15"/>
        <v>205.97154729284614</v>
      </c>
      <c r="V16" s="292">
        <f t="shared" si="15"/>
        <v>148.22913038035</v>
      </c>
      <c r="W16" s="292"/>
      <c r="X16" s="292"/>
      <c r="AC16" s="74">
        <v>1</v>
      </c>
      <c r="AD16" s="74">
        <v>2</v>
      </c>
      <c r="AE16" s="74">
        <v>3</v>
      </c>
      <c r="AF16" s="74">
        <v>4</v>
      </c>
      <c r="AG16" s="74">
        <v>5</v>
      </c>
      <c r="AH16" s="74">
        <v>6</v>
      </c>
      <c r="AI16" s="74">
        <v>7</v>
      </c>
      <c r="AJ16" s="74">
        <v>8</v>
      </c>
      <c r="AK16" s="74">
        <v>9</v>
      </c>
      <c r="AL16" s="74">
        <v>10</v>
      </c>
      <c r="AM16" s="74">
        <v>11</v>
      </c>
      <c r="AN16" s="74">
        <v>12</v>
      </c>
      <c r="AO16" s="74">
        <v>13</v>
      </c>
      <c r="AP16" s="74">
        <v>14</v>
      </c>
      <c r="AQ16" s="74">
        <v>15</v>
      </c>
      <c r="AR16" s="74">
        <v>16</v>
      </c>
    </row>
    <row r="17" spans="1:46" ht="15" customHeight="1">
      <c r="A17" s="11" t="s">
        <v>230</v>
      </c>
      <c r="C17" s="5"/>
      <c r="D17" s="253"/>
      <c r="E17" s="253"/>
      <c r="F17" s="253">
        <f>1/F20</f>
        <v>3.3333333333333333E-2</v>
      </c>
      <c r="G17" s="253">
        <f t="shared" ref="G17:T17" si="16">1/G7</f>
        <v>0.4</v>
      </c>
      <c r="H17" s="253">
        <f t="shared" si="16"/>
        <v>0.4</v>
      </c>
      <c r="I17" s="253">
        <f t="shared" si="16"/>
        <v>0.3</v>
      </c>
      <c r="J17" s="253">
        <f t="shared" si="16"/>
        <v>0.3</v>
      </c>
      <c r="K17" s="253">
        <f t="shared" si="16"/>
        <v>0.3</v>
      </c>
      <c r="L17" s="253">
        <f t="shared" si="16"/>
        <v>0.3</v>
      </c>
      <c r="M17" s="253">
        <f t="shared" si="16"/>
        <v>0.3</v>
      </c>
      <c r="N17" s="253">
        <f t="shared" si="16"/>
        <v>0.27</v>
      </c>
      <c r="O17" s="253">
        <f t="shared" si="16"/>
        <v>0.27</v>
      </c>
      <c r="P17" s="253">
        <f t="shared" si="16"/>
        <v>0.27</v>
      </c>
      <c r="Q17" s="253">
        <f t="shared" si="16"/>
        <v>0.27</v>
      </c>
      <c r="R17" s="253">
        <f t="shared" si="16"/>
        <v>0.27</v>
      </c>
      <c r="S17" s="253">
        <f t="shared" si="16"/>
        <v>0.27</v>
      </c>
      <c r="T17" s="253">
        <f t="shared" si="16"/>
        <v>0.27</v>
      </c>
      <c r="U17" s="253"/>
      <c r="V17" s="253"/>
      <c r="W17" s="253"/>
      <c r="X17" s="253"/>
      <c r="AA17" s="215" t="s">
        <v>257</v>
      </c>
      <c r="AB17" s="76" t="s">
        <v>239</v>
      </c>
      <c r="AC17" s="2">
        <v>38</v>
      </c>
      <c r="AD17" s="2">
        <v>38</v>
      </c>
      <c r="AE17" s="2">
        <v>30</v>
      </c>
      <c r="AF17" s="2">
        <v>38</v>
      </c>
      <c r="AG17" s="2">
        <v>30</v>
      </c>
      <c r="AH17" s="214">
        <v>30</v>
      </c>
      <c r="AI17" s="214">
        <v>30</v>
      </c>
      <c r="AJ17" s="214">
        <v>38</v>
      </c>
      <c r="AK17" s="214">
        <v>38</v>
      </c>
      <c r="AL17" s="214">
        <v>38</v>
      </c>
      <c r="AM17" s="214">
        <v>38</v>
      </c>
      <c r="AN17" s="214">
        <v>38</v>
      </c>
      <c r="AO17" s="214">
        <v>38</v>
      </c>
      <c r="AP17" s="214">
        <v>38</v>
      </c>
      <c r="AQ17" s="214">
        <v>38</v>
      </c>
      <c r="AR17" s="214">
        <v>38</v>
      </c>
    </row>
    <row r="18" spans="1:46" ht="15" customHeight="1">
      <c r="A18" s="85" t="s">
        <v>253</v>
      </c>
      <c r="B18" s="83" t="s">
        <v>254</v>
      </c>
      <c r="C18" s="84" t="s">
        <v>255</v>
      </c>
      <c r="D18" s="253"/>
      <c r="E18" s="253"/>
      <c r="F18" s="225" t="s">
        <v>233</v>
      </c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AA18" s="498" t="s">
        <v>258</v>
      </c>
      <c r="AB18" s="499" t="s">
        <v>528</v>
      </c>
      <c r="AC18" s="500">
        <f t="shared" ref="AC18:AR18" si="17">(1/AC17+$B$20)^-1/5.678</f>
        <v>3.8025553171731401</v>
      </c>
      <c r="AD18" s="500">
        <f t="shared" si="17"/>
        <v>3.8025553171731401</v>
      </c>
      <c r="AE18" s="500">
        <f t="shared" si="17"/>
        <v>3.3022190912293063</v>
      </c>
      <c r="AF18" s="500">
        <f t="shared" si="17"/>
        <v>3.8025553171731401</v>
      </c>
      <c r="AG18" s="500">
        <f t="shared" si="17"/>
        <v>3.3022190912293063</v>
      </c>
      <c r="AH18" s="500">
        <f t="shared" si="17"/>
        <v>3.3022190912293063</v>
      </c>
      <c r="AI18" s="500">
        <f t="shared" si="17"/>
        <v>3.3022190912293063</v>
      </c>
      <c r="AJ18" s="500">
        <f t="shared" si="17"/>
        <v>3.8025553171731401</v>
      </c>
      <c r="AK18" s="500">
        <f t="shared" si="17"/>
        <v>3.8025553171731401</v>
      </c>
      <c r="AL18" s="500">
        <f t="shared" si="17"/>
        <v>3.8025553171731401</v>
      </c>
      <c r="AM18" s="500">
        <f t="shared" si="17"/>
        <v>3.8025553171731401</v>
      </c>
      <c r="AN18" s="500">
        <f t="shared" si="17"/>
        <v>3.8025553171731401</v>
      </c>
      <c r="AO18" s="500">
        <f t="shared" si="17"/>
        <v>3.8025553171731401</v>
      </c>
      <c r="AP18" s="500">
        <f t="shared" si="17"/>
        <v>3.8025553171731401</v>
      </c>
      <c r="AQ18" s="500">
        <f t="shared" si="17"/>
        <v>3.8025553171731401</v>
      </c>
      <c r="AR18" s="500">
        <f t="shared" si="17"/>
        <v>3.8025553171731401</v>
      </c>
    </row>
    <row r="19" spans="1:46" ht="15" customHeight="1">
      <c r="A19" s="86" t="s">
        <v>256</v>
      </c>
      <c r="B19" s="80" t="s">
        <v>11</v>
      </c>
      <c r="C19" s="76" t="s">
        <v>11</v>
      </c>
      <c r="D19" s="506" t="s">
        <v>236</v>
      </c>
      <c r="E19" s="507" t="s">
        <v>172</v>
      </c>
      <c r="F19" s="223" t="s">
        <v>640</v>
      </c>
      <c r="G19" s="223" t="s">
        <v>589</v>
      </c>
      <c r="H19" s="223" t="s">
        <v>590</v>
      </c>
      <c r="I19" s="223" t="s">
        <v>591</v>
      </c>
      <c r="J19" s="223" t="s">
        <v>592</v>
      </c>
      <c r="K19" s="223" t="s">
        <v>593</v>
      </c>
      <c r="L19" s="223" t="s">
        <v>594</v>
      </c>
      <c r="M19" s="223" t="s">
        <v>595</v>
      </c>
      <c r="N19" s="223" t="s">
        <v>596</v>
      </c>
      <c r="O19" s="223" t="s">
        <v>597</v>
      </c>
      <c r="P19" s="223" t="s">
        <v>598</v>
      </c>
      <c r="Q19" s="223" t="s">
        <v>599</v>
      </c>
      <c r="R19" s="223" t="s">
        <v>600</v>
      </c>
      <c r="S19" s="223">
        <v>7</v>
      </c>
      <c r="T19" s="223">
        <v>8</v>
      </c>
      <c r="U19" s="223" t="s">
        <v>819</v>
      </c>
      <c r="V19" s="223" t="s">
        <v>820</v>
      </c>
      <c r="W19" s="223"/>
      <c r="X19" s="223"/>
      <c r="AA19" s="498" t="s">
        <v>259</v>
      </c>
      <c r="AB19" s="499" t="s">
        <v>528</v>
      </c>
      <c r="AC19" s="500">
        <f t="shared" ref="AC19:AR19" si="18">(1/AC17+$B$21)^-1/5.678</f>
        <v>5.6239473598527123</v>
      </c>
      <c r="AD19" s="500">
        <f t="shared" si="18"/>
        <v>5.6239473598527123</v>
      </c>
      <c r="AE19" s="500">
        <f t="shared" si="18"/>
        <v>4.5943917791016435</v>
      </c>
      <c r="AF19" s="500">
        <f t="shared" si="18"/>
        <v>5.6239473598527123</v>
      </c>
      <c r="AG19" s="500">
        <f t="shared" si="18"/>
        <v>4.5943917791016435</v>
      </c>
      <c r="AH19" s="500">
        <f t="shared" si="18"/>
        <v>4.5943917791016435</v>
      </c>
      <c r="AI19" s="500">
        <f t="shared" si="18"/>
        <v>4.5943917791016435</v>
      </c>
      <c r="AJ19" s="500">
        <f t="shared" si="18"/>
        <v>5.6239473598527123</v>
      </c>
      <c r="AK19" s="500">
        <f t="shared" si="18"/>
        <v>5.6239473598527123</v>
      </c>
      <c r="AL19" s="500">
        <f t="shared" si="18"/>
        <v>5.6239473598527123</v>
      </c>
      <c r="AM19" s="500">
        <f t="shared" si="18"/>
        <v>5.6239473598527123</v>
      </c>
      <c r="AN19" s="500">
        <f t="shared" si="18"/>
        <v>5.6239473598527123</v>
      </c>
      <c r="AO19" s="500">
        <f t="shared" si="18"/>
        <v>5.6239473598527123</v>
      </c>
      <c r="AP19" s="500">
        <f t="shared" si="18"/>
        <v>5.6239473598527123</v>
      </c>
      <c r="AQ19" s="500">
        <f t="shared" si="18"/>
        <v>5.6239473598527123</v>
      </c>
      <c r="AR19" s="500">
        <f t="shared" si="18"/>
        <v>5.6239473598527123</v>
      </c>
    </row>
    <row r="20" spans="1:46" ht="15" customHeight="1">
      <c r="A20" s="162">
        <v>0</v>
      </c>
      <c r="B20" s="119">
        <f>IF(A20=1,0.01,0.02)</f>
        <v>0.02</v>
      </c>
      <c r="C20" s="87"/>
      <c r="D20" s="508" t="s">
        <v>257</v>
      </c>
      <c r="E20" s="501" t="s">
        <v>239</v>
      </c>
      <c r="F20" s="163">
        <f>F74</f>
        <v>30</v>
      </c>
      <c r="G20" s="163">
        <f t="shared" ref="G20:T20" si="19">G74</f>
        <v>38</v>
      </c>
      <c r="H20" s="163">
        <f t="shared" si="19"/>
        <v>38</v>
      </c>
      <c r="I20" s="163">
        <f t="shared" si="19"/>
        <v>38</v>
      </c>
      <c r="J20" s="163">
        <f t="shared" si="19"/>
        <v>38</v>
      </c>
      <c r="K20" s="163">
        <f t="shared" si="19"/>
        <v>38</v>
      </c>
      <c r="L20" s="163">
        <f t="shared" si="19"/>
        <v>49</v>
      </c>
      <c r="M20" s="163">
        <f t="shared" si="19"/>
        <v>49</v>
      </c>
      <c r="N20" s="163">
        <f t="shared" si="19"/>
        <v>49</v>
      </c>
      <c r="O20" s="163">
        <f t="shared" si="19"/>
        <v>49</v>
      </c>
      <c r="P20" s="163">
        <f t="shared" si="19"/>
        <v>49</v>
      </c>
      <c r="Q20" s="163">
        <f t="shared" si="19"/>
        <v>49</v>
      </c>
      <c r="R20" s="163">
        <f t="shared" si="19"/>
        <v>49</v>
      </c>
      <c r="S20" s="163">
        <f t="shared" si="19"/>
        <v>49</v>
      </c>
      <c r="T20" s="163">
        <f t="shared" si="19"/>
        <v>49</v>
      </c>
      <c r="U20" s="229">
        <f>G20</f>
        <v>38</v>
      </c>
      <c r="V20" s="229">
        <f>I20</f>
        <v>38</v>
      </c>
      <c r="W20" s="163"/>
      <c r="X20" s="163"/>
      <c r="AC20" s="2"/>
      <c r="AD20" s="2"/>
      <c r="AE20" s="2"/>
      <c r="AF20" s="2"/>
      <c r="AG20" s="2"/>
      <c r="AH20" s="2"/>
      <c r="AI20" s="2"/>
      <c r="AJ20" s="11"/>
      <c r="AK20" s="2"/>
      <c r="AL20" s="2"/>
      <c r="AM20" s="2"/>
      <c r="AN20" s="2"/>
      <c r="AO20" s="2"/>
      <c r="AP20" s="2"/>
      <c r="AQ20" s="2"/>
    </row>
    <row r="21" spans="1:46" ht="15" customHeight="1">
      <c r="A21" s="161">
        <v>0</v>
      </c>
      <c r="B21" s="118">
        <f>IF(A21=1,0.02,0.005)</f>
        <v>5.0000000000000001E-3</v>
      </c>
      <c r="C21" s="82"/>
      <c r="D21" s="290" t="s">
        <v>258</v>
      </c>
      <c r="E21" s="509" t="s">
        <v>528</v>
      </c>
      <c r="F21" s="510">
        <f>(1/F20+$B$20)^-1/5.678</f>
        <v>3.3022190912293063</v>
      </c>
      <c r="G21" s="511">
        <f t="shared" ref="G21:T21" si="20">(1/G20+$B$20)^-1/5.678</f>
        <v>3.8025553171731401</v>
      </c>
      <c r="H21" s="511">
        <f t="shared" si="20"/>
        <v>3.8025553171731401</v>
      </c>
      <c r="I21" s="511">
        <f t="shared" si="20"/>
        <v>3.8025553171731401</v>
      </c>
      <c r="J21" s="511">
        <f t="shared" si="20"/>
        <v>3.8025553171731401</v>
      </c>
      <c r="K21" s="511">
        <f t="shared" si="20"/>
        <v>3.8025553171731401</v>
      </c>
      <c r="L21" s="511">
        <f t="shared" si="20"/>
        <v>4.358484457110734</v>
      </c>
      <c r="M21" s="511">
        <f t="shared" si="20"/>
        <v>4.358484457110734</v>
      </c>
      <c r="N21" s="511">
        <f t="shared" si="20"/>
        <v>4.358484457110734</v>
      </c>
      <c r="O21" s="511">
        <f t="shared" si="20"/>
        <v>4.358484457110734</v>
      </c>
      <c r="P21" s="511">
        <f t="shared" si="20"/>
        <v>4.358484457110734</v>
      </c>
      <c r="Q21" s="511">
        <f t="shared" si="20"/>
        <v>4.358484457110734</v>
      </c>
      <c r="R21" s="511">
        <f t="shared" si="20"/>
        <v>4.358484457110734</v>
      </c>
      <c r="S21" s="511">
        <f t="shared" si="20"/>
        <v>4.358484457110734</v>
      </c>
      <c r="T21" s="511">
        <f t="shared" si="20"/>
        <v>4.358484457110734</v>
      </c>
      <c r="U21" s="512">
        <f>G21</f>
        <v>3.8025553171731401</v>
      </c>
      <c r="V21" s="512">
        <f>I21</f>
        <v>3.8025553171731401</v>
      </c>
      <c r="W21" s="511"/>
      <c r="X21" s="511"/>
      <c r="AA21" s="254" t="s">
        <v>1371</v>
      </c>
      <c r="AB21" s="76" t="s">
        <v>239</v>
      </c>
      <c r="AC21" s="214">
        <v>0</v>
      </c>
      <c r="AD21" s="214">
        <v>0</v>
      </c>
      <c r="AE21" s="214">
        <v>0</v>
      </c>
      <c r="AF21" s="2">
        <v>13</v>
      </c>
      <c r="AG21" s="2">
        <v>0</v>
      </c>
      <c r="AH21" s="2">
        <v>0</v>
      </c>
      <c r="AI21" s="2">
        <v>0</v>
      </c>
      <c r="AJ21" s="2">
        <v>13</v>
      </c>
      <c r="AK21" s="214">
        <v>13</v>
      </c>
      <c r="AL21" s="214">
        <v>13</v>
      </c>
      <c r="AM21" s="214">
        <v>13</v>
      </c>
      <c r="AN21" s="214">
        <v>13</v>
      </c>
      <c r="AO21" s="214">
        <v>13</v>
      </c>
      <c r="AP21" s="214">
        <v>13</v>
      </c>
      <c r="AQ21" s="214">
        <v>13</v>
      </c>
      <c r="AR21" s="214">
        <v>13</v>
      </c>
    </row>
    <row r="22" spans="1:46" ht="15" customHeight="1">
      <c r="C22" s="5"/>
      <c r="D22" s="290" t="s">
        <v>259</v>
      </c>
      <c r="E22" s="509" t="s">
        <v>528</v>
      </c>
      <c r="F22" s="510">
        <f>(1/F20+$B$21)^-1/5.678</f>
        <v>4.5943917791016435</v>
      </c>
      <c r="G22" s="511">
        <f t="shared" ref="G22:T22" si="21">(1/G20+$B$21)^-1/5.678</f>
        <v>5.6239473598527123</v>
      </c>
      <c r="H22" s="511">
        <f t="shared" si="21"/>
        <v>5.6239473598527123</v>
      </c>
      <c r="I22" s="511">
        <f t="shared" si="21"/>
        <v>5.6239473598527123</v>
      </c>
      <c r="J22" s="511">
        <f t="shared" si="21"/>
        <v>5.6239473598527123</v>
      </c>
      <c r="K22" s="511">
        <f t="shared" si="21"/>
        <v>5.6239473598527123</v>
      </c>
      <c r="L22" s="511">
        <f t="shared" si="21"/>
        <v>6.931565642633938</v>
      </c>
      <c r="M22" s="511">
        <f t="shared" si="21"/>
        <v>6.931565642633938</v>
      </c>
      <c r="N22" s="511">
        <f t="shared" si="21"/>
        <v>6.931565642633938</v>
      </c>
      <c r="O22" s="511">
        <f t="shared" si="21"/>
        <v>6.931565642633938</v>
      </c>
      <c r="P22" s="511">
        <f t="shared" si="21"/>
        <v>6.931565642633938</v>
      </c>
      <c r="Q22" s="511">
        <f t="shared" si="21"/>
        <v>6.931565642633938</v>
      </c>
      <c r="R22" s="511">
        <f t="shared" si="21"/>
        <v>6.931565642633938</v>
      </c>
      <c r="S22" s="511">
        <f t="shared" si="21"/>
        <v>6.931565642633938</v>
      </c>
      <c r="T22" s="511">
        <f t="shared" si="21"/>
        <v>6.931565642633938</v>
      </c>
      <c r="U22" s="512">
        <f>G22</f>
        <v>5.6239473598527123</v>
      </c>
      <c r="V22" s="512">
        <f>I22</f>
        <v>5.6239473598527123</v>
      </c>
      <c r="W22" s="511"/>
      <c r="X22" s="511"/>
      <c r="AA22" s="254" t="s">
        <v>1372</v>
      </c>
      <c r="AB22" s="76" t="s">
        <v>239</v>
      </c>
      <c r="AC22" s="214">
        <v>0</v>
      </c>
      <c r="AD22" s="214">
        <v>0</v>
      </c>
      <c r="AE22" s="214">
        <v>0</v>
      </c>
      <c r="AF22" s="2">
        <v>18</v>
      </c>
      <c r="AG22" s="214">
        <v>0</v>
      </c>
      <c r="AH22" s="214">
        <v>0</v>
      </c>
      <c r="AI22" s="214">
        <v>0</v>
      </c>
      <c r="AJ22" s="2">
        <v>18</v>
      </c>
      <c r="AK22" s="214">
        <v>18</v>
      </c>
      <c r="AL22" s="214">
        <v>18</v>
      </c>
      <c r="AM22" s="214">
        <v>18</v>
      </c>
      <c r="AN22" s="214">
        <v>18</v>
      </c>
      <c r="AO22" s="214">
        <v>18</v>
      </c>
      <c r="AP22" s="214">
        <v>18</v>
      </c>
      <c r="AQ22" s="214">
        <v>18</v>
      </c>
      <c r="AR22" s="214">
        <v>18</v>
      </c>
    </row>
    <row r="23" spans="1:46" ht="15" customHeight="1">
      <c r="A23" s="11" t="s">
        <v>260</v>
      </c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AA23" s="254" t="s">
        <v>1369</v>
      </c>
      <c r="AB23" s="76" t="s">
        <v>239</v>
      </c>
      <c r="AC23" s="214">
        <v>0</v>
      </c>
      <c r="AD23" s="214">
        <v>0</v>
      </c>
      <c r="AE23" s="214">
        <v>0</v>
      </c>
      <c r="AF23" s="5">
        <v>6</v>
      </c>
      <c r="AG23" s="214">
        <v>0</v>
      </c>
      <c r="AH23" s="214">
        <v>0</v>
      </c>
      <c r="AI23" s="214">
        <v>0</v>
      </c>
      <c r="AJ23" s="5">
        <v>6</v>
      </c>
      <c r="AK23" s="254">
        <v>6</v>
      </c>
      <c r="AL23" s="254">
        <v>6</v>
      </c>
      <c r="AM23" s="254">
        <v>6</v>
      </c>
      <c r="AN23" s="254">
        <v>6</v>
      </c>
      <c r="AO23" s="254">
        <v>6</v>
      </c>
      <c r="AP23" s="254">
        <v>6</v>
      </c>
      <c r="AQ23" s="254">
        <v>6</v>
      </c>
      <c r="AR23" s="254">
        <v>6</v>
      </c>
    </row>
    <row r="24" spans="1:46" ht="15" customHeight="1">
      <c r="A24" s="36" t="s">
        <v>261</v>
      </c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AA24" s="254" t="s">
        <v>1370</v>
      </c>
      <c r="AB24" s="76" t="s">
        <v>239</v>
      </c>
      <c r="AC24" s="214">
        <v>0</v>
      </c>
      <c r="AD24" s="214">
        <v>0</v>
      </c>
      <c r="AE24" s="214">
        <v>0</v>
      </c>
      <c r="AF24" s="5">
        <v>8</v>
      </c>
      <c r="AG24" s="214">
        <v>0</v>
      </c>
      <c r="AH24" s="214">
        <v>0</v>
      </c>
      <c r="AI24" s="214">
        <v>0</v>
      </c>
      <c r="AJ24" s="5">
        <v>8</v>
      </c>
      <c r="AK24" s="254">
        <v>8</v>
      </c>
      <c r="AL24" s="254">
        <v>8</v>
      </c>
      <c r="AM24" s="254">
        <v>8</v>
      </c>
      <c r="AN24" s="254">
        <v>8</v>
      </c>
      <c r="AO24" s="254">
        <v>8</v>
      </c>
      <c r="AP24" s="254">
        <v>8</v>
      </c>
      <c r="AQ24" s="254">
        <v>8</v>
      </c>
      <c r="AR24" s="254">
        <v>8</v>
      </c>
    </row>
    <row r="25" spans="1:46" ht="15" customHeight="1"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AA25" s="254" t="s">
        <v>1373</v>
      </c>
      <c r="AB25" s="76" t="s">
        <v>239</v>
      </c>
      <c r="AC25" s="5">
        <v>0</v>
      </c>
      <c r="AD25" s="254">
        <v>0</v>
      </c>
      <c r="AE25" s="254">
        <v>0</v>
      </c>
      <c r="AF25" s="254">
        <v>0</v>
      </c>
      <c r="AG25" s="254">
        <v>0</v>
      </c>
      <c r="AH25" s="254">
        <v>0</v>
      </c>
      <c r="AI25" s="254">
        <v>0</v>
      </c>
      <c r="AJ25" s="254">
        <v>0</v>
      </c>
      <c r="AK25" s="254">
        <v>0</v>
      </c>
      <c r="AL25" s="254">
        <v>0</v>
      </c>
      <c r="AM25" s="254">
        <v>0</v>
      </c>
      <c r="AN25" s="254">
        <v>0</v>
      </c>
      <c r="AO25" s="254">
        <v>0</v>
      </c>
      <c r="AP25" s="254">
        <v>0</v>
      </c>
      <c r="AQ25" s="254">
        <v>0</v>
      </c>
      <c r="AR25" s="254">
        <v>0</v>
      </c>
      <c r="AT25" s="5" t="s">
        <v>1377</v>
      </c>
    </row>
    <row r="26" spans="1:46" ht="15" customHeight="1">
      <c r="A26" s="4" t="s">
        <v>262</v>
      </c>
      <c r="D26" s="253"/>
      <c r="E26" s="253"/>
      <c r="F26" s="225" t="s">
        <v>233</v>
      </c>
      <c r="G26" s="253"/>
      <c r="H26" s="253"/>
      <c r="I26" s="253"/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</row>
    <row r="27" spans="1:46" ht="15" customHeight="1">
      <c r="A27" s="87"/>
      <c r="B27" s="20" t="s">
        <v>567</v>
      </c>
      <c r="D27" s="506" t="s">
        <v>236</v>
      </c>
      <c r="E27" s="507"/>
      <c r="F27" s="223" t="s">
        <v>640</v>
      </c>
      <c r="G27" s="223" t="s">
        <v>589</v>
      </c>
      <c r="H27" s="223" t="s">
        <v>590</v>
      </c>
      <c r="I27" s="223" t="s">
        <v>591</v>
      </c>
      <c r="J27" s="223" t="s">
        <v>592</v>
      </c>
      <c r="K27" s="223" t="s">
        <v>593</v>
      </c>
      <c r="L27" s="223" t="s">
        <v>594</v>
      </c>
      <c r="M27" s="223" t="s">
        <v>595</v>
      </c>
      <c r="N27" s="223" t="s">
        <v>596</v>
      </c>
      <c r="O27" s="223" t="s">
        <v>597</v>
      </c>
      <c r="P27" s="223" t="s">
        <v>598</v>
      </c>
      <c r="Q27" s="223" t="s">
        <v>599</v>
      </c>
      <c r="R27" s="223" t="s">
        <v>600</v>
      </c>
      <c r="S27" s="223">
        <v>7</v>
      </c>
      <c r="T27" s="223">
        <v>8</v>
      </c>
      <c r="U27" s="223" t="s">
        <v>819</v>
      </c>
      <c r="V27" s="223" t="s">
        <v>820</v>
      </c>
      <c r="W27" s="223"/>
      <c r="X27" s="506"/>
      <c r="AA27" s="254" t="s">
        <v>1374</v>
      </c>
      <c r="AC27" s="5">
        <v>0</v>
      </c>
      <c r="AD27" s="5">
        <v>1</v>
      </c>
      <c r="AE27" s="254">
        <v>1</v>
      </c>
      <c r="AF27" s="254">
        <v>1</v>
      </c>
      <c r="AG27" s="254">
        <v>1</v>
      </c>
      <c r="AH27" s="254">
        <v>1</v>
      </c>
      <c r="AI27" s="254">
        <v>1</v>
      </c>
      <c r="AJ27" s="254">
        <v>1</v>
      </c>
      <c r="AK27" s="254">
        <v>1</v>
      </c>
      <c r="AL27" s="254">
        <v>1</v>
      </c>
      <c r="AM27" s="254">
        <v>1</v>
      </c>
      <c r="AN27" s="254">
        <v>1</v>
      </c>
      <c r="AO27" s="254">
        <v>1</v>
      </c>
      <c r="AP27" s="254">
        <v>1</v>
      </c>
      <c r="AQ27" s="254">
        <v>1</v>
      </c>
      <c r="AR27" s="5">
        <v>0</v>
      </c>
    </row>
    <row r="28" spans="1:46" ht="15" customHeight="1">
      <c r="A28" s="151" t="s">
        <v>565</v>
      </c>
      <c r="B28" s="152">
        <v>25.6</v>
      </c>
      <c r="C28" s="5"/>
      <c r="D28" s="253" t="s">
        <v>263</v>
      </c>
      <c r="E28" s="513" t="s">
        <v>11</v>
      </c>
      <c r="F28" s="514">
        <f>F85</f>
        <v>0.25</v>
      </c>
      <c r="G28" s="514">
        <f t="shared" ref="G28:M28" si="22">G85</f>
        <v>0.25</v>
      </c>
      <c r="H28" s="514">
        <f t="shared" si="22"/>
        <v>0.25</v>
      </c>
      <c r="I28" s="514">
        <f t="shared" si="22"/>
        <v>0.27</v>
      </c>
      <c r="J28" s="514">
        <f t="shared" si="22"/>
        <v>0.27</v>
      </c>
      <c r="K28" s="514">
        <f t="shared" si="22"/>
        <v>0.27</v>
      </c>
      <c r="L28" s="514">
        <f t="shared" si="22"/>
        <v>0.27</v>
      </c>
      <c r="M28" s="514">
        <f t="shared" si="22"/>
        <v>0.27</v>
      </c>
      <c r="N28" s="515">
        <v>0.3</v>
      </c>
      <c r="O28" s="515">
        <v>0.3</v>
      </c>
      <c r="P28" s="515">
        <v>0.3</v>
      </c>
      <c r="Q28" s="515">
        <v>0.3</v>
      </c>
      <c r="R28" s="515">
        <v>0.3</v>
      </c>
      <c r="S28" s="515">
        <v>0.3</v>
      </c>
      <c r="T28" s="220">
        <v>0.35</v>
      </c>
      <c r="U28" s="514">
        <f>G28</f>
        <v>0.25</v>
      </c>
      <c r="V28" s="514">
        <f>I28</f>
        <v>0.27</v>
      </c>
      <c r="W28" s="220"/>
      <c r="X28" s="220"/>
      <c r="AA28" s="254" t="s">
        <v>1375</v>
      </c>
      <c r="AC28" s="123">
        <v>0</v>
      </c>
      <c r="AD28" s="123">
        <v>1</v>
      </c>
      <c r="AE28" s="123">
        <v>1</v>
      </c>
      <c r="AF28" s="123">
        <v>0</v>
      </c>
      <c r="AG28" s="123">
        <v>1</v>
      </c>
      <c r="AH28" s="123">
        <v>1</v>
      </c>
      <c r="AI28" s="123">
        <v>1</v>
      </c>
      <c r="AJ28" s="123">
        <v>0</v>
      </c>
      <c r="AK28" s="254">
        <v>0</v>
      </c>
      <c r="AL28" s="254">
        <v>0</v>
      </c>
      <c r="AM28" s="254">
        <v>0</v>
      </c>
      <c r="AN28" s="254">
        <v>0</v>
      </c>
      <c r="AO28" s="254">
        <v>0</v>
      </c>
      <c r="AP28" s="254">
        <v>0</v>
      </c>
      <c r="AQ28" s="254">
        <v>0</v>
      </c>
      <c r="AR28" s="254">
        <v>0</v>
      </c>
    </row>
    <row r="29" spans="1:46" ht="15" customHeight="1">
      <c r="A29" s="87" t="s">
        <v>566</v>
      </c>
      <c r="B29" s="38">
        <v>20.7</v>
      </c>
      <c r="D29" s="154" t="s">
        <v>568</v>
      </c>
      <c r="E29" s="76"/>
      <c r="F29" s="226">
        <v>47</v>
      </c>
      <c r="G29" s="234">
        <v>32</v>
      </c>
      <c r="H29" s="234">
        <v>40</v>
      </c>
      <c r="I29" s="234">
        <v>21</v>
      </c>
      <c r="J29" s="234">
        <v>26</v>
      </c>
      <c r="K29" s="234">
        <v>40</v>
      </c>
      <c r="L29" s="234">
        <v>17</v>
      </c>
      <c r="M29" s="234">
        <v>20</v>
      </c>
      <c r="N29" s="234">
        <v>25</v>
      </c>
      <c r="O29" s="234">
        <v>1</v>
      </c>
      <c r="P29" s="234">
        <v>9</v>
      </c>
      <c r="Q29" s="234">
        <v>-4</v>
      </c>
      <c r="R29" s="234">
        <v>-10</v>
      </c>
      <c r="S29" s="234">
        <v>-15</v>
      </c>
      <c r="T29" s="226">
        <v>-47</v>
      </c>
      <c r="U29" s="226"/>
      <c r="V29" s="226"/>
      <c r="W29" s="226"/>
      <c r="X29" s="226"/>
      <c r="AA29" s="254" t="s">
        <v>1376</v>
      </c>
      <c r="AC29" s="254">
        <v>0</v>
      </c>
      <c r="AD29" s="254">
        <v>1</v>
      </c>
      <c r="AE29" s="254">
        <v>1</v>
      </c>
      <c r="AF29" s="254">
        <v>1</v>
      </c>
      <c r="AG29" s="254">
        <v>1</v>
      </c>
      <c r="AH29" s="254">
        <v>1</v>
      </c>
      <c r="AI29" s="254">
        <v>1</v>
      </c>
      <c r="AJ29" s="254">
        <v>1</v>
      </c>
      <c r="AK29" s="254">
        <v>1</v>
      </c>
      <c r="AL29" s="254">
        <v>1</v>
      </c>
      <c r="AM29" s="254">
        <v>1</v>
      </c>
      <c r="AN29" s="254">
        <v>1</v>
      </c>
      <c r="AO29" s="254">
        <v>1</v>
      </c>
      <c r="AP29" s="254">
        <v>1</v>
      </c>
      <c r="AQ29" s="254">
        <v>1</v>
      </c>
      <c r="AR29" s="254">
        <v>0</v>
      </c>
    </row>
    <row r="30" spans="1:46" s="123" customFormat="1" ht="15" customHeight="1">
      <c r="A30" s="80"/>
      <c r="B30" s="38"/>
      <c r="C30" s="2"/>
      <c r="D30" s="154" t="s">
        <v>569</v>
      </c>
      <c r="E30" s="155"/>
      <c r="F30" s="222">
        <f>(5/9)*(F29-32)</f>
        <v>8.3333333333333339</v>
      </c>
      <c r="G30" s="233">
        <v>0</v>
      </c>
      <c r="H30" s="233">
        <v>4.4444444444444446</v>
      </c>
      <c r="I30" s="237">
        <v>-6.1111111111111116</v>
      </c>
      <c r="J30" s="237">
        <v>-3.3333333333333335</v>
      </c>
      <c r="K30" s="237">
        <v>4.4444444444444446</v>
      </c>
      <c r="L30" s="237">
        <v>-8.3333333333333339</v>
      </c>
      <c r="M30" s="237">
        <v>-6.666666666666667</v>
      </c>
      <c r="N30" s="237">
        <v>-3.8888888888888893</v>
      </c>
      <c r="O30" s="237">
        <v>-17.222222222222221</v>
      </c>
      <c r="P30" s="237">
        <v>-12.777777777777779</v>
      </c>
      <c r="Q30" s="237">
        <v>-20</v>
      </c>
      <c r="R30" s="237">
        <v>-23.333333333333336</v>
      </c>
      <c r="S30" s="237">
        <v>-26.111111111111111</v>
      </c>
      <c r="T30" s="222">
        <f>(5/9)*(T29-32)</f>
        <v>-43.888888888888893</v>
      </c>
      <c r="U30" s="222"/>
      <c r="V30" s="222"/>
      <c r="W30" s="222"/>
      <c r="X30" s="222"/>
      <c r="Z30" s="254"/>
      <c r="AA30" s="254"/>
      <c r="AB30" s="254"/>
    </row>
    <row r="31" spans="1:46" ht="15" customHeight="1">
      <c r="A31" s="150"/>
      <c r="B31" s="2"/>
      <c r="D31" s="157" t="s">
        <v>570</v>
      </c>
      <c r="E31" s="158"/>
      <c r="F31" s="227">
        <f>$B$29-F30</f>
        <v>12.366666666666665</v>
      </c>
      <c r="G31" s="236">
        <v>20.740738888888892</v>
      </c>
      <c r="H31" s="236">
        <v>16.296294444444449</v>
      </c>
      <c r="I31" s="236">
        <v>26.851850000000002</v>
      </c>
      <c r="J31" s="236">
        <v>24.074072222222224</v>
      </c>
      <c r="K31" s="236">
        <v>16.296294444444449</v>
      </c>
      <c r="L31" s="236">
        <v>29.074072222222227</v>
      </c>
      <c r="M31" s="236">
        <v>27.40740555555556</v>
      </c>
      <c r="N31" s="236">
        <v>24.629627777777781</v>
      </c>
      <c r="O31" s="236">
        <v>37.962961111111113</v>
      </c>
      <c r="P31" s="236">
        <v>33.51851666666667</v>
      </c>
      <c r="Q31" s="236">
        <v>40.740738888888892</v>
      </c>
      <c r="R31" s="236">
        <v>44.074072222222227</v>
      </c>
      <c r="S31" s="236">
        <v>46.851849999999999</v>
      </c>
      <c r="T31" s="227">
        <f>$B$29-T30</f>
        <v>64.588888888888889</v>
      </c>
      <c r="U31" s="227"/>
      <c r="V31" s="227"/>
      <c r="W31" s="227"/>
      <c r="X31" s="227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6" s="123" customFormat="1" ht="15" customHeight="1">
      <c r="A32" s="150" t="s">
        <v>253</v>
      </c>
      <c r="B32" s="214" t="s">
        <v>700</v>
      </c>
      <c r="C32" s="214" t="s">
        <v>255</v>
      </c>
      <c r="D32" s="154" t="s">
        <v>571</v>
      </c>
      <c r="E32" s="159"/>
      <c r="F32" s="221">
        <v>90</v>
      </c>
      <c r="G32" s="235">
        <v>95</v>
      </c>
      <c r="H32" s="235">
        <v>108</v>
      </c>
      <c r="I32" s="235">
        <v>94</v>
      </c>
      <c r="J32" s="235">
        <v>99</v>
      </c>
      <c r="K32" s="235">
        <v>78</v>
      </c>
      <c r="L32" s="235">
        <v>91</v>
      </c>
      <c r="M32" s="235">
        <v>94</v>
      </c>
      <c r="N32" s="235">
        <v>87</v>
      </c>
      <c r="O32" s="235">
        <v>89</v>
      </c>
      <c r="P32" s="235">
        <v>94</v>
      </c>
      <c r="Q32" s="235">
        <v>85</v>
      </c>
      <c r="R32" s="235">
        <v>88</v>
      </c>
      <c r="S32" s="235">
        <v>81</v>
      </c>
      <c r="T32" s="221">
        <v>78</v>
      </c>
      <c r="U32" s="221"/>
      <c r="V32" s="221"/>
      <c r="W32" s="221"/>
      <c r="X32" s="221"/>
      <c r="Z32" s="254"/>
      <c r="AA32" s="254"/>
      <c r="AB32" s="254"/>
    </row>
    <row r="33" spans="1:44" ht="15" customHeight="1">
      <c r="A33" s="254" t="s">
        <v>729</v>
      </c>
      <c r="D33" s="154" t="s">
        <v>572</v>
      </c>
      <c r="E33" s="87"/>
      <c r="F33" s="222">
        <f>(5/9)*(F32-32)</f>
        <v>32.222222222222221</v>
      </c>
      <c r="G33" s="233">
        <v>35</v>
      </c>
      <c r="H33" s="233">
        <v>42.222222222222221</v>
      </c>
      <c r="I33" s="233">
        <v>34.444444444444443</v>
      </c>
      <c r="J33" s="233">
        <v>37.222222222222221</v>
      </c>
      <c r="K33" s="233">
        <v>25.555555555555557</v>
      </c>
      <c r="L33" s="233">
        <v>32.777777777777779</v>
      </c>
      <c r="M33" s="233">
        <v>34.444444444444443</v>
      </c>
      <c r="N33" s="233">
        <v>30.555555555555557</v>
      </c>
      <c r="O33" s="233">
        <v>31.666666666666668</v>
      </c>
      <c r="P33" s="233">
        <v>34.444444444444443</v>
      </c>
      <c r="Q33" s="233">
        <v>29.444444444444446</v>
      </c>
      <c r="R33" s="233">
        <v>31.111111111111114</v>
      </c>
      <c r="S33" s="233">
        <v>27.222222222222225</v>
      </c>
      <c r="T33" s="222">
        <f>(5/9)*(T32-32)</f>
        <v>25.555555555555557</v>
      </c>
      <c r="U33" s="222"/>
      <c r="V33" s="222"/>
      <c r="W33" s="222"/>
      <c r="X33" s="222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:44" s="123" customFormat="1" ht="15" customHeight="1">
      <c r="C34" s="2"/>
      <c r="D34" s="157" t="s">
        <v>570</v>
      </c>
      <c r="E34" s="82"/>
      <c r="F34" s="227">
        <f>ABS($B$28-F33)</f>
        <v>6.62222222222222</v>
      </c>
      <c r="G34" s="236">
        <v>9.375</v>
      </c>
      <c r="H34" s="236">
        <v>16.597222222222221</v>
      </c>
      <c r="I34" s="236">
        <v>8.8194444444444429</v>
      </c>
      <c r="J34" s="236">
        <v>11.597222222222221</v>
      </c>
      <c r="K34" s="236">
        <v>6.9444444444442865E-2</v>
      </c>
      <c r="L34" s="236">
        <v>7.1527777777777786</v>
      </c>
      <c r="M34" s="236">
        <v>8.8194444444444429</v>
      </c>
      <c r="N34" s="236">
        <v>4.9305555555555571</v>
      </c>
      <c r="O34" s="236">
        <v>6.0416666666666679</v>
      </c>
      <c r="P34" s="236">
        <v>8.8194444444444429</v>
      </c>
      <c r="Q34" s="236">
        <v>3.8194444444444464</v>
      </c>
      <c r="R34" s="236">
        <v>5.4861111111111143</v>
      </c>
      <c r="S34" s="236">
        <v>1.597222222222225</v>
      </c>
      <c r="T34" s="227">
        <f>ABS($B$28-T33)</f>
        <v>4.4444444444444287E-2</v>
      </c>
      <c r="U34" s="227"/>
      <c r="V34" s="227"/>
      <c r="W34" s="227"/>
      <c r="X34" s="227"/>
      <c r="Z34" s="254"/>
      <c r="AA34" s="254"/>
      <c r="AB34" s="254"/>
      <c r="AC34" s="29" t="s">
        <v>233</v>
      </c>
      <c r="AD34" s="2"/>
      <c r="AE34" s="2"/>
      <c r="AF34" s="2"/>
      <c r="AG34" s="2"/>
      <c r="AH34" s="2"/>
      <c r="AI34" s="2"/>
      <c r="AJ34" s="2"/>
      <c r="AK34" s="2"/>
      <c r="AL34" s="2"/>
      <c r="AM34" s="5"/>
      <c r="AN34" s="5"/>
      <c r="AO34" s="5"/>
      <c r="AP34" s="5"/>
      <c r="AQ34" s="5"/>
      <c r="AR34" s="5"/>
    </row>
    <row r="35" spans="1:44" s="123" customFormat="1" ht="15" customHeight="1">
      <c r="C35" s="2"/>
      <c r="D35" s="154" t="s">
        <v>573</v>
      </c>
      <c r="E35" s="76"/>
      <c r="F35" s="228">
        <f t="shared" ref="F35:T35" si="23">$B$13*$K$59*F31</f>
        <v>863.56034836606875</v>
      </c>
      <c r="G35" s="160">
        <f t="shared" si="23"/>
        <v>1448.3191132284553</v>
      </c>
      <c r="H35" s="160">
        <f t="shared" si="23"/>
        <v>1137.964989826454</v>
      </c>
      <c r="I35" s="160">
        <f t="shared" si="23"/>
        <v>1875.0560329062071</v>
      </c>
      <c r="J35" s="160">
        <f t="shared" si="23"/>
        <v>1681.0847057799563</v>
      </c>
      <c r="K35" s="160">
        <f t="shared" si="23"/>
        <v>1137.964989826454</v>
      </c>
      <c r="L35" s="160">
        <f t="shared" si="23"/>
        <v>2030.2330946072082</v>
      </c>
      <c r="M35" s="160">
        <f t="shared" si="23"/>
        <v>1913.8502983314575</v>
      </c>
      <c r="N35" s="160">
        <f t="shared" si="23"/>
        <v>1719.8789712052064</v>
      </c>
      <c r="O35" s="160">
        <f t="shared" si="23"/>
        <v>2650.9413414112105</v>
      </c>
      <c r="P35" s="160">
        <f t="shared" si="23"/>
        <v>2340.5872180092092</v>
      </c>
      <c r="Q35" s="160">
        <f t="shared" si="23"/>
        <v>2844.9126685374617</v>
      </c>
      <c r="R35" s="160">
        <f t="shared" si="23"/>
        <v>3077.6782610889627</v>
      </c>
      <c r="S35" s="160">
        <f t="shared" si="23"/>
        <v>3271.649588215213</v>
      </c>
      <c r="T35" s="228">
        <f t="shared" si="23"/>
        <v>4510.2212983395848</v>
      </c>
      <c r="U35" s="228"/>
      <c r="V35" s="228"/>
      <c r="W35" s="228"/>
      <c r="X35" s="228"/>
      <c r="Z35" s="254"/>
      <c r="AA35" s="254"/>
      <c r="AB35" s="254"/>
      <c r="AC35" s="74">
        <v>1</v>
      </c>
      <c r="AD35" s="74">
        <v>2</v>
      </c>
      <c r="AE35" s="74">
        <v>3</v>
      </c>
      <c r="AF35" s="74">
        <v>4</v>
      </c>
      <c r="AG35" s="74">
        <v>5</v>
      </c>
      <c r="AH35" s="74">
        <v>6</v>
      </c>
      <c r="AI35" s="74">
        <v>7</v>
      </c>
      <c r="AJ35" s="74">
        <v>8</v>
      </c>
      <c r="AK35" s="74">
        <v>9</v>
      </c>
      <c r="AL35" s="74">
        <v>10</v>
      </c>
      <c r="AM35" s="74">
        <v>11</v>
      </c>
      <c r="AN35" s="74">
        <v>12</v>
      </c>
      <c r="AO35" s="74">
        <v>13</v>
      </c>
      <c r="AP35" s="74">
        <v>14</v>
      </c>
      <c r="AQ35" s="74">
        <v>15</v>
      </c>
      <c r="AR35" s="74">
        <v>16</v>
      </c>
    </row>
    <row r="36" spans="1:44" s="123" customFormat="1" ht="15" customHeight="1">
      <c r="C36" s="2"/>
      <c r="D36" s="154"/>
      <c r="E36" s="7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33"/>
      <c r="V36" s="233"/>
      <c r="W36" s="233"/>
      <c r="X36" s="8"/>
      <c r="Z36" s="254"/>
      <c r="AA36" s="254"/>
      <c r="AB36" s="254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</row>
    <row r="37" spans="1:44" s="123" customFormat="1" ht="15" customHeight="1">
      <c r="A37" s="123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33"/>
      <c r="V37" s="233"/>
      <c r="W37" s="233"/>
      <c r="X37" s="8"/>
      <c r="Z37" s="254"/>
      <c r="AA37" s="254"/>
      <c r="AB37" s="254"/>
      <c r="AC37" s="39">
        <v>0.4</v>
      </c>
      <c r="AD37" s="39">
        <v>0.4</v>
      </c>
      <c r="AE37" s="39">
        <v>0.4</v>
      </c>
      <c r="AF37" s="39">
        <v>0.4</v>
      </c>
      <c r="AG37" s="39">
        <v>0.4</v>
      </c>
      <c r="AH37" s="39">
        <v>0.4</v>
      </c>
      <c r="AI37" s="39">
        <v>0.4</v>
      </c>
      <c r="AJ37" s="39">
        <v>0.4</v>
      </c>
      <c r="AK37" s="39">
        <v>0.4</v>
      </c>
      <c r="AL37" s="39">
        <v>0.4</v>
      </c>
      <c r="AM37" s="39">
        <v>0.4</v>
      </c>
      <c r="AN37" s="39">
        <v>0.4</v>
      </c>
      <c r="AO37" s="39">
        <v>0.4</v>
      </c>
      <c r="AP37" s="39">
        <v>0.4</v>
      </c>
      <c r="AQ37" s="39">
        <v>0.4</v>
      </c>
      <c r="AR37" s="39">
        <v>0.4</v>
      </c>
    </row>
    <row r="38" spans="1:44" ht="15" customHeight="1"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ht="15" customHeight="1">
      <c r="D39" s="252" t="s">
        <v>236</v>
      </c>
      <c r="E39" s="75" t="s">
        <v>172</v>
      </c>
      <c r="F39" s="223" t="s">
        <v>640</v>
      </c>
      <c r="G39" s="258" t="s">
        <v>589</v>
      </c>
      <c r="H39" s="258" t="s">
        <v>590</v>
      </c>
      <c r="I39" s="258" t="s">
        <v>591</v>
      </c>
      <c r="J39" s="258" t="s">
        <v>592</v>
      </c>
      <c r="K39" s="258" t="s">
        <v>593</v>
      </c>
      <c r="L39" s="258" t="s">
        <v>594</v>
      </c>
      <c r="M39" s="258" t="s">
        <v>595</v>
      </c>
      <c r="N39" s="258" t="s">
        <v>596</v>
      </c>
      <c r="O39" s="258" t="s">
        <v>597</v>
      </c>
      <c r="P39" s="258" t="s">
        <v>598</v>
      </c>
      <c r="Q39" s="258" t="s">
        <v>599</v>
      </c>
      <c r="R39" s="258" t="s">
        <v>600</v>
      </c>
      <c r="S39" s="258">
        <v>7</v>
      </c>
      <c r="T39" s="223">
        <v>8</v>
      </c>
      <c r="U39" s="286"/>
      <c r="V39" s="286"/>
      <c r="W39" s="286"/>
    </row>
    <row r="40" spans="1:44" ht="15" customHeight="1">
      <c r="D40" s="214" t="s">
        <v>238</v>
      </c>
      <c r="E40" s="76" t="s">
        <v>239</v>
      </c>
      <c r="F40" s="239">
        <v>13</v>
      </c>
      <c r="G40" s="230">
        <v>13</v>
      </c>
      <c r="H40" s="230">
        <v>13</v>
      </c>
      <c r="I40" s="230">
        <v>13</v>
      </c>
      <c r="J40" s="230">
        <v>13</v>
      </c>
      <c r="K40" s="230">
        <v>13</v>
      </c>
      <c r="L40" s="230">
        <v>13</v>
      </c>
      <c r="M40" s="230">
        <v>13</v>
      </c>
      <c r="N40" s="230">
        <v>20</v>
      </c>
      <c r="O40" s="230">
        <v>20</v>
      </c>
      <c r="P40" s="230">
        <v>20</v>
      </c>
      <c r="Q40" s="230">
        <v>20</v>
      </c>
      <c r="R40" s="230">
        <v>20</v>
      </c>
      <c r="S40" s="230">
        <v>21</v>
      </c>
      <c r="T40" s="239">
        <v>21</v>
      </c>
      <c r="U40" s="239"/>
      <c r="V40" s="239"/>
      <c r="W40" s="239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:44" ht="15" customHeight="1">
      <c r="D41" s="214" t="s">
        <v>241</v>
      </c>
      <c r="E41" s="76" t="s">
        <v>239</v>
      </c>
      <c r="F41" s="239">
        <v>1.5</v>
      </c>
      <c r="G41" s="231">
        <v>1.5384615384615383</v>
      </c>
      <c r="H41" s="231">
        <v>1.5384615384615383</v>
      </c>
      <c r="I41" s="231">
        <v>2</v>
      </c>
      <c r="J41" s="231">
        <v>2</v>
      </c>
      <c r="K41" s="231">
        <v>2</v>
      </c>
      <c r="L41" s="231">
        <v>2.8571428571428572</v>
      </c>
      <c r="M41" s="231">
        <v>2.8571428571428572</v>
      </c>
      <c r="N41" s="231">
        <v>2.8571428571428572</v>
      </c>
      <c r="O41" s="231">
        <v>2.8571428571428572</v>
      </c>
      <c r="P41" s="231">
        <v>2.8571428571428572</v>
      </c>
      <c r="Q41" s="231">
        <v>2.8571428571428572</v>
      </c>
      <c r="R41" s="231">
        <v>2.8571428571428572</v>
      </c>
      <c r="S41" s="231">
        <v>2.8571428571428572</v>
      </c>
      <c r="T41" s="239">
        <v>2.9</v>
      </c>
      <c r="U41" s="239"/>
      <c r="V41" s="239"/>
      <c r="W41" s="239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:44" ht="15" customHeight="1">
      <c r="D42" s="214" t="s">
        <v>243</v>
      </c>
      <c r="E42" s="76" t="s">
        <v>239</v>
      </c>
      <c r="F42" s="239">
        <v>13</v>
      </c>
      <c r="G42" s="230">
        <v>13</v>
      </c>
      <c r="H42" s="230">
        <v>13</v>
      </c>
      <c r="I42" s="230">
        <v>19</v>
      </c>
      <c r="J42" s="230">
        <v>19</v>
      </c>
      <c r="K42" s="230">
        <v>19</v>
      </c>
      <c r="L42" s="230">
        <v>19</v>
      </c>
      <c r="M42" s="230">
        <v>19</v>
      </c>
      <c r="N42" s="230">
        <v>19</v>
      </c>
      <c r="O42" s="230">
        <v>30</v>
      </c>
      <c r="P42" s="230">
        <v>30</v>
      </c>
      <c r="Q42" s="230">
        <v>30</v>
      </c>
      <c r="R42" s="230">
        <v>30</v>
      </c>
      <c r="S42" s="230">
        <v>38</v>
      </c>
      <c r="T42" s="239">
        <v>38</v>
      </c>
      <c r="U42" s="239"/>
      <c r="V42" s="239"/>
      <c r="W42" s="239"/>
    </row>
    <row r="43" spans="1:44" ht="15" customHeight="1">
      <c r="D43" s="214" t="s">
        <v>585</v>
      </c>
      <c r="E43" s="76" t="s">
        <v>245</v>
      </c>
      <c r="F43" s="224">
        <f t="shared" ref="F43:T43" si="24">$B$13*$K$59</f>
        <v>69.829677765450313</v>
      </c>
      <c r="G43" s="128">
        <f t="shared" si="24"/>
        <v>69.829677765450313</v>
      </c>
      <c r="H43" s="128">
        <f t="shared" si="24"/>
        <v>69.829677765450313</v>
      </c>
      <c r="I43" s="128">
        <f t="shared" si="24"/>
        <v>69.829677765450313</v>
      </c>
      <c r="J43" s="128">
        <f t="shared" si="24"/>
        <v>69.829677765450313</v>
      </c>
      <c r="K43" s="128">
        <f t="shared" si="24"/>
        <v>69.829677765450313</v>
      </c>
      <c r="L43" s="128">
        <f t="shared" si="24"/>
        <v>69.829677765450313</v>
      </c>
      <c r="M43" s="128">
        <f t="shared" si="24"/>
        <v>69.829677765450313</v>
      </c>
      <c r="N43" s="128">
        <f t="shared" si="24"/>
        <v>69.829677765450313</v>
      </c>
      <c r="O43" s="128">
        <f t="shared" si="24"/>
        <v>69.829677765450313</v>
      </c>
      <c r="P43" s="128">
        <f t="shared" si="24"/>
        <v>69.829677765450313</v>
      </c>
      <c r="Q43" s="128">
        <f t="shared" si="24"/>
        <v>69.829677765450313</v>
      </c>
      <c r="R43" s="128">
        <f t="shared" si="24"/>
        <v>69.829677765450313</v>
      </c>
      <c r="S43" s="128">
        <f t="shared" si="24"/>
        <v>69.829677765450313</v>
      </c>
      <c r="T43" s="224">
        <f t="shared" si="24"/>
        <v>69.829677765450313</v>
      </c>
      <c r="U43" s="224"/>
      <c r="V43" s="224"/>
      <c r="W43" s="224"/>
    </row>
    <row r="44" spans="1:44" ht="15" customHeight="1">
      <c r="D44" s="214" t="s">
        <v>244</v>
      </c>
      <c r="E44" s="77" t="s">
        <v>245</v>
      </c>
      <c r="F44" s="229">
        <f>(1/F40)*$B$6*5.6783*$C$6</f>
        <v>83.594748892846169</v>
      </c>
      <c r="G44" s="33">
        <f>1/G40*$B$6*5.678*$C$6</f>
        <v>83.590332355384618</v>
      </c>
      <c r="H44" s="33">
        <f>1/H40*$B$6*5.678*$C$6</f>
        <v>83.590332355384618</v>
      </c>
      <c r="I44" s="33">
        <f t="shared" ref="I44:T44" si="25">1/I40*$B$6*5.678*$C$6</f>
        <v>83.590332355384618</v>
      </c>
      <c r="J44" s="33">
        <f t="shared" si="25"/>
        <v>83.590332355384618</v>
      </c>
      <c r="K44" s="33">
        <f t="shared" si="25"/>
        <v>83.590332355384618</v>
      </c>
      <c r="L44" s="33">
        <f t="shared" si="25"/>
        <v>83.590332355384618</v>
      </c>
      <c r="M44" s="33">
        <f t="shared" si="25"/>
        <v>83.590332355384618</v>
      </c>
      <c r="N44" s="33">
        <f t="shared" si="25"/>
        <v>54.333716031000002</v>
      </c>
      <c r="O44" s="33">
        <f t="shared" si="25"/>
        <v>54.333716031000002</v>
      </c>
      <c r="P44" s="33">
        <f t="shared" si="25"/>
        <v>54.333716031000002</v>
      </c>
      <c r="Q44" s="33">
        <f t="shared" si="25"/>
        <v>54.333716031000002</v>
      </c>
      <c r="R44" s="33">
        <f t="shared" si="25"/>
        <v>54.333716031000002</v>
      </c>
      <c r="S44" s="33">
        <f t="shared" si="25"/>
        <v>51.746396220000001</v>
      </c>
      <c r="T44" s="229">
        <f t="shared" si="25"/>
        <v>51.746396220000001</v>
      </c>
      <c r="U44" s="229"/>
      <c r="V44" s="229"/>
      <c r="W44" s="229"/>
    </row>
    <row r="45" spans="1:44" ht="15" customHeight="1">
      <c r="D45" s="214" t="s">
        <v>246</v>
      </c>
      <c r="E45" s="77" t="s">
        <v>245</v>
      </c>
      <c r="F45" s="229">
        <f t="shared" ref="F45:T45" si="26">1/F41*$B$7*5.678*$C$7</f>
        <v>189.89503199999996</v>
      </c>
      <c r="G45" s="33">
        <f t="shared" si="26"/>
        <v>185.1476562</v>
      </c>
      <c r="H45" s="33">
        <f t="shared" si="26"/>
        <v>185.1476562</v>
      </c>
      <c r="I45" s="33">
        <f t="shared" si="26"/>
        <v>142.42127399999998</v>
      </c>
      <c r="J45" s="33">
        <f t="shared" si="26"/>
        <v>142.42127399999998</v>
      </c>
      <c r="K45" s="33">
        <f t="shared" si="26"/>
        <v>142.42127399999998</v>
      </c>
      <c r="L45" s="33">
        <f t="shared" si="26"/>
        <v>99.694891799999979</v>
      </c>
      <c r="M45" s="33">
        <f t="shared" si="26"/>
        <v>99.694891799999979</v>
      </c>
      <c r="N45" s="33">
        <f t="shared" si="26"/>
        <v>99.694891799999979</v>
      </c>
      <c r="O45" s="33">
        <f t="shared" si="26"/>
        <v>99.694891799999979</v>
      </c>
      <c r="P45" s="33">
        <f t="shared" si="26"/>
        <v>99.694891799999979</v>
      </c>
      <c r="Q45" s="33">
        <f t="shared" si="26"/>
        <v>99.694891799999979</v>
      </c>
      <c r="R45" s="33">
        <f t="shared" si="26"/>
        <v>99.694891799999979</v>
      </c>
      <c r="S45" s="33">
        <f t="shared" si="26"/>
        <v>99.694891799999979</v>
      </c>
      <c r="T45" s="229">
        <f t="shared" si="26"/>
        <v>98.221568275862069</v>
      </c>
      <c r="U45" s="229"/>
      <c r="V45" s="229"/>
      <c r="W45" s="229"/>
    </row>
    <row r="46" spans="1:44" ht="15" customHeight="1">
      <c r="D46" s="214" t="s">
        <v>247</v>
      </c>
      <c r="E46" s="77" t="s">
        <v>245</v>
      </c>
      <c r="F46" s="229">
        <f t="shared" ref="F46:T46" si="27">1/F42*$B$8*5.678*$C$8</f>
        <v>8.1151723076923084</v>
      </c>
      <c r="G46" s="33">
        <f t="shared" si="27"/>
        <v>8.1151723076923084</v>
      </c>
      <c r="H46" s="33">
        <f t="shared" si="27"/>
        <v>8.1151723076923084</v>
      </c>
      <c r="I46" s="33">
        <f t="shared" si="27"/>
        <v>5.5524863157894728</v>
      </c>
      <c r="J46" s="33">
        <f t="shared" si="27"/>
        <v>5.5524863157894728</v>
      </c>
      <c r="K46" s="33">
        <f t="shared" si="27"/>
        <v>5.5524863157894728</v>
      </c>
      <c r="L46" s="33">
        <f t="shared" si="27"/>
        <v>5.5524863157894728</v>
      </c>
      <c r="M46" s="33">
        <f t="shared" si="27"/>
        <v>5.5524863157894728</v>
      </c>
      <c r="N46" s="33">
        <f t="shared" si="27"/>
        <v>5.5524863157894728</v>
      </c>
      <c r="O46" s="33">
        <f t="shared" si="27"/>
        <v>3.5165746666666662</v>
      </c>
      <c r="P46" s="33">
        <f t="shared" si="27"/>
        <v>3.5165746666666662</v>
      </c>
      <c r="Q46" s="33">
        <f t="shared" si="27"/>
        <v>3.5165746666666662</v>
      </c>
      <c r="R46" s="33">
        <f t="shared" si="27"/>
        <v>3.5165746666666662</v>
      </c>
      <c r="S46" s="33">
        <f t="shared" si="27"/>
        <v>2.7762431578947364</v>
      </c>
      <c r="T46" s="229">
        <f t="shared" si="27"/>
        <v>2.7762431578947364</v>
      </c>
      <c r="U46" s="229"/>
      <c r="V46" s="229"/>
      <c r="W46" s="229"/>
    </row>
    <row r="47" spans="1:44" ht="15" customHeight="1">
      <c r="D47" s="214" t="s">
        <v>248</v>
      </c>
      <c r="E47" s="77" t="s">
        <v>245</v>
      </c>
      <c r="F47" s="229">
        <f>20*5.678*0.3048^2</f>
        <v>10.550069222400001</v>
      </c>
      <c r="G47" s="33">
        <f t="shared" ref="G47:T47" si="28">20*5.678*0.3048^2</f>
        <v>10.550069222400001</v>
      </c>
      <c r="H47" s="33">
        <f t="shared" si="28"/>
        <v>10.550069222400001</v>
      </c>
      <c r="I47" s="33">
        <f t="shared" si="28"/>
        <v>10.550069222400001</v>
      </c>
      <c r="J47" s="33">
        <f t="shared" si="28"/>
        <v>10.550069222400001</v>
      </c>
      <c r="K47" s="33">
        <f t="shared" si="28"/>
        <v>10.550069222400001</v>
      </c>
      <c r="L47" s="33">
        <f t="shared" si="28"/>
        <v>10.550069222400001</v>
      </c>
      <c r="M47" s="33">
        <f t="shared" si="28"/>
        <v>10.550069222400001</v>
      </c>
      <c r="N47" s="33">
        <f t="shared" si="28"/>
        <v>10.550069222400001</v>
      </c>
      <c r="O47" s="33">
        <f t="shared" si="28"/>
        <v>10.550069222400001</v>
      </c>
      <c r="P47" s="33">
        <f t="shared" si="28"/>
        <v>10.550069222400001</v>
      </c>
      <c r="Q47" s="33">
        <f t="shared" si="28"/>
        <v>10.550069222400001</v>
      </c>
      <c r="R47" s="33">
        <f t="shared" si="28"/>
        <v>10.550069222400001</v>
      </c>
      <c r="S47" s="33">
        <f t="shared" si="28"/>
        <v>10.550069222400001</v>
      </c>
      <c r="T47" s="229">
        <f t="shared" si="28"/>
        <v>10.550069222400001</v>
      </c>
      <c r="U47" s="229"/>
      <c r="V47" s="229"/>
      <c r="W47" s="229"/>
    </row>
    <row r="48" spans="1:44" ht="15" customHeight="1">
      <c r="D48" s="34" t="s">
        <v>249</v>
      </c>
      <c r="E48" s="78" t="s">
        <v>245</v>
      </c>
      <c r="F48" s="249">
        <f>IF($B$12=0,SUM(F44:F47),SUM(F43,F44,F45,F47))</f>
        <v>353.86952788069641</v>
      </c>
      <c r="G48" s="249">
        <f t="shared" ref="G48:T48" si="29">IF($B$12=0,SUM(G44:G47),SUM(G43,G44,G45,G47))</f>
        <v>349.11773554323497</v>
      </c>
      <c r="H48" s="249">
        <f t="shared" si="29"/>
        <v>349.11773554323497</v>
      </c>
      <c r="I48" s="249">
        <f t="shared" si="29"/>
        <v>306.39135334323493</v>
      </c>
      <c r="J48" s="249">
        <f t="shared" si="29"/>
        <v>306.39135334323493</v>
      </c>
      <c r="K48" s="249">
        <f t="shared" si="29"/>
        <v>306.39135334323493</v>
      </c>
      <c r="L48" s="249">
        <f t="shared" si="29"/>
        <v>263.66497114323494</v>
      </c>
      <c r="M48" s="249">
        <f t="shared" si="29"/>
        <v>263.66497114323494</v>
      </c>
      <c r="N48" s="249">
        <f t="shared" si="29"/>
        <v>234.40835481885028</v>
      </c>
      <c r="O48" s="249">
        <f t="shared" si="29"/>
        <v>234.40835481885028</v>
      </c>
      <c r="P48" s="249">
        <f t="shared" si="29"/>
        <v>234.40835481885028</v>
      </c>
      <c r="Q48" s="249">
        <f t="shared" si="29"/>
        <v>234.40835481885028</v>
      </c>
      <c r="R48" s="249">
        <f t="shared" si="29"/>
        <v>234.40835481885028</v>
      </c>
      <c r="S48" s="249">
        <f t="shared" si="29"/>
        <v>231.8210350078503</v>
      </c>
      <c r="T48" s="249">
        <f t="shared" si="29"/>
        <v>230.34771148371237</v>
      </c>
      <c r="U48" s="249"/>
      <c r="V48" s="249"/>
      <c r="W48" s="249"/>
    </row>
    <row r="49" spans="2:24" ht="15" customHeight="1">
      <c r="D49" s="34" t="s">
        <v>251</v>
      </c>
      <c r="E49" s="78" t="s">
        <v>245</v>
      </c>
      <c r="F49" s="249">
        <f>SUM(F44,F45,F47)</f>
        <v>284.03985011524611</v>
      </c>
      <c r="G49" s="249">
        <f t="shared" ref="G49:T49" si="30">SUM(G44,G45,G47)</f>
        <v>279.28805777778462</v>
      </c>
      <c r="H49" s="249">
        <f t="shared" si="30"/>
        <v>279.28805777778462</v>
      </c>
      <c r="I49" s="249">
        <f t="shared" si="30"/>
        <v>236.5616755777846</v>
      </c>
      <c r="J49" s="249">
        <f t="shared" si="30"/>
        <v>236.5616755777846</v>
      </c>
      <c r="K49" s="249">
        <f t="shared" si="30"/>
        <v>236.5616755777846</v>
      </c>
      <c r="L49" s="249">
        <f t="shared" si="30"/>
        <v>193.83529337778458</v>
      </c>
      <c r="M49" s="249">
        <f t="shared" si="30"/>
        <v>193.83529337778458</v>
      </c>
      <c r="N49" s="249">
        <f t="shared" si="30"/>
        <v>164.57867705339999</v>
      </c>
      <c r="O49" s="249">
        <f t="shared" si="30"/>
        <v>164.57867705339999</v>
      </c>
      <c r="P49" s="249">
        <f t="shared" si="30"/>
        <v>164.57867705339999</v>
      </c>
      <c r="Q49" s="249">
        <f t="shared" si="30"/>
        <v>164.57867705339999</v>
      </c>
      <c r="R49" s="249">
        <f t="shared" si="30"/>
        <v>164.57867705339999</v>
      </c>
      <c r="S49" s="249">
        <f t="shared" si="30"/>
        <v>161.99135724239997</v>
      </c>
      <c r="T49" s="249">
        <f t="shared" si="30"/>
        <v>160.51803371826207</v>
      </c>
      <c r="U49" s="249"/>
      <c r="V49" s="249"/>
      <c r="W49" s="249"/>
    </row>
    <row r="55" spans="2:24" ht="15" customHeight="1">
      <c r="H55" s="145"/>
      <c r="I55" s="145"/>
      <c r="J55" s="145"/>
      <c r="S55" s="14"/>
      <c r="T55" s="14"/>
      <c r="U55" s="14"/>
      <c r="V55" s="14"/>
      <c r="W55" s="14"/>
    </row>
    <row r="56" spans="2:24" ht="15" customHeight="1">
      <c r="D56" s="522" t="s">
        <v>562</v>
      </c>
      <c r="E56" s="523"/>
      <c r="F56" s="524"/>
      <c r="G56" s="528" t="s">
        <v>556</v>
      </c>
      <c r="H56" s="523"/>
      <c r="I56" s="529"/>
      <c r="J56" s="530"/>
      <c r="K56" s="146" t="s">
        <v>554</v>
      </c>
      <c r="L56" s="147"/>
      <c r="M56" s="2" t="s">
        <v>1382</v>
      </c>
      <c r="N56" s="173" t="s">
        <v>579</v>
      </c>
      <c r="O56" s="74"/>
      <c r="P56" s="100"/>
      <c r="Q56" s="99"/>
      <c r="R56" s="176" t="s">
        <v>580</v>
      </c>
      <c r="S56" s="175"/>
      <c r="T56" s="175"/>
      <c r="U56" s="175"/>
      <c r="V56" s="175"/>
      <c r="W56" s="175"/>
      <c r="X56" s="100" t="s">
        <v>584</v>
      </c>
    </row>
    <row r="57" spans="2:24" ht="15" customHeight="1">
      <c r="D57" s="525" t="s">
        <v>555</v>
      </c>
      <c r="E57" s="526"/>
      <c r="F57" s="527"/>
      <c r="G57" s="531" t="s">
        <v>557</v>
      </c>
      <c r="H57" s="526"/>
      <c r="I57" s="532"/>
      <c r="J57" s="527"/>
      <c r="K57" s="533">
        <v>1.17</v>
      </c>
      <c r="L57" s="533"/>
      <c r="M57" s="2">
        <v>0.68</v>
      </c>
      <c r="N57" s="154" t="s">
        <v>581</v>
      </c>
      <c r="Q57" s="87"/>
      <c r="R57" s="5">
        <v>0.1</v>
      </c>
      <c r="S57" s="14" t="s">
        <v>583</v>
      </c>
      <c r="T57" s="14"/>
      <c r="U57" s="14"/>
      <c r="V57" s="14"/>
      <c r="W57" s="14"/>
      <c r="X57" s="5">
        <f>1/(R57+0.12)</f>
        <v>4.5454545454545459</v>
      </c>
    </row>
    <row r="58" spans="2:24" ht="15" customHeight="1">
      <c r="D58" s="525"/>
      <c r="E58" s="526"/>
      <c r="F58" s="527"/>
      <c r="G58" s="531" t="s">
        <v>1335</v>
      </c>
      <c r="H58" s="526"/>
      <c r="I58" s="532"/>
      <c r="J58" s="527"/>
      <c r="K58" s="533">
        <v>0.86</v>
      </c>
      <c r="L58" s="533"/>
      <c r="M58" s="2">
        <v>0.5</v>
      </c>
      <c r="N58" s="174" t="s">
        <v>582</v>
      </c>
      <c r="S58" s="14"/>
      <c r="T58" s="14"/>
      <c r="U58" s="14"/>
      <c r="V58" s="14"/>
      <c r="W58" s="14"/>
    </row>
    <row r="59" spans="2:24" ht="15" customHeight="1">
      <c r="D59" s="525" t="s">
        <v>558</v>
      </c>
      <c r="E59" s="526"/>
      <c r="F59" s="527"/>
      <c r="G59" s="531" t="s">
        <v>557</v>
      </c>
      <c r="H59" s="526"/>
      <c r="I59" s="532"/>
      <c r="J59" s="527"/>
      <c r="K59" s="533">
        <v>1.45</v>
      </c>
      <c r="L59" s="533"/>
      <c r="M59" s="2">
        <v>0.84</v>
      </c>
      <c r="S59" s="14"/>
      <c r="T59" s="14"/>
      <c r="U59" s="14"/>
      <c r="V59" s="14"/>
      <c r="W59" s="14"/>
    </row>
    <row r="60" spans="2:24" ht="15" customHeight="1">
      <c r="D60" s="525"/>
      <c r="E60" s="526"/>
      <c r="F60" s="527"/>
      <c r="G60" s="531" t="s">
        <v>1335</v>
      </c>
      <c r="H60" s="526"/>
      <c r="I60" s="532"/>
      <c r="J60" s="527"/>
      <c r="K60" s="533">
        <v>0.85</v>
      </c>
      <c r="L60" s="533"/>
      <c r="M60" s="2">
        <v>0.49</v>
      </c>
      <c r="S60" s="14"/>
      <c r="T60" s="14"/>
      <c r="U60" s="14"/>
      <c r="V60" s="14"/>
      <c r="W60" s="14"/>
    </row>
    <row r="61" spans="2:24" ht="15" customHeight="1">
      <c r="D61" s="525" t="s">
        <v>559</v>
      </c>
      <c r="E61" s="526"/>
      <c r="F61" s="527"/>
      <c r="G61" s="531" t="s">
        <v>557</v>
      </c>
      <c r="H61" s="526"/>
      <c r="I61" s="532"/>
      <c r="J61" s="527"/>
      <c r="K61" s="533">
        <v>2.0699999999999998</v>
      </c>
      <c r="L61" s="533"/>
      <c r="M61" s="2">
        <v>1.2</v>
      </c>
      <c r="S61" s="14"/>
      <c r="T61" s="14"/>
      <c r="U61" s="14"/>
      <c r="V61" s="14"/>
      <c r="W61" s="14"/>
    </row>
    <row r="62" spans="2:24" ht="15" customHeight="1">
      <c r="B62" s="2"/>
      <c r="D62" s="525"/>
      <c r="E62" s="526"/>
      <c r="F62" s="527"/>
      <c r="G62" s="531" t="s">
        <v>1335</v>
      </c>
      <c r="H62" s="526"/>
      <c r="I62" s="532"/>
      <c r="J62" s="527"/>
      <c r="K62" s="533">
        <v>0.92</v>
      </c>
      <c r="L62" s="533"/>
      <c r="M62" s="2">
        <v>0.53</v>
      </c>
      <c r="S62" s="14"/>
      <c r="T62" s="14"/>
      <c r="U62" s="14"/>
      <c r="V62" s="14"/>
      <c r="W62" s="14"/>
    </row>
    <row r="63" spans="2:24" ht="15" customHeight="1">
      <c r="D63" s="525" t="s">
        <v>560</v>
      </c>
      <c r="E63" s="526"/>
      <c r="F63" s="527"/>
      <c r="G63" s="531" t="s">
        <v>557</v>
      </c>
      <c r="H63" s="526"/>
      <c r="I63" s="532"/>
      <c r="J63" s="527"/>
      <c r="K63" s="533">
        <v>3.67</v>
      </c>
      <c r="L63" s="533"/>
      <c r="M63" s="2">
        <v>2.12</v>
      </c>
      <c r="S63" s="14"/>
      <c r="T63" s="14"/>
      <c r="U63" s="14"/>
      <c r="V63" s="14"/>
      <c r="W63" s="14"/>
    </row>
    <row r="64" spans="2:24" ht="15" customHeight="1">
      <c r="D64" s="525" t="s">
        <v>561</v>
      </c>
      <c r="E64" s="526"/>
      <c r="F64" s="527"/>
      <c r="G64" s="531" t="s">
        <v>1335</v>
      </c>
      <c r="H64" s="526"/>
      <c r="I64" s="532"/>
      <c r="J64" s="527"/>
      <c r="K64" s="533">
        <v>1.24</v>
      </c>
      <c r="L64" s="533"/>
      <c r="M64" s="2">
        <v>0.72</v>
      </c>
    </row>
    <row r="65" spans="4:25" ht="15" customHeight="1">
      <c r="D65" s="148" t="s">
        <v>563</v>
      </c>
    </row>
    <row r="66" spans="4:25" ht="15" customHeight="1">
      <c r="D66" s="2" t="s">
        <v>1383</v>
      </c>
      <c r="E66" s="214" t="s">
        <v>1384</v>
      </c>
    </row>
    <row r="69" spans="4:25" ht="15" customHeight="1">
      <c r="Y69" s="254" t="s">
        <v>688</v>
      </c>
    </row>
    <row r="71" spans="4:25" ht="15" customHeight="1">
      <c r="D71" s="268" t="s">
        <v>655</v>
      </c>
      <c r="F71" s="223" t="s">
        <v>640</v>
      </c>
      <c r="G71" s="258" t="s">
        <v>589</v>
      </c>
      <c r="H71" s="258" t="s">
        <v>590</v>
      </c>
      <c r="I71" s="258" t="s">
        <v>591</v>
      </c>
      <c r="J71" s="258" t="s">
        <v>592</v>
      </c>
      <c r="K71" s="258" t="s">
        <v>593</v>
      </c>
      <c r="L71" s="258" t="s">
        <v>594</v>
      </c>
      <c r="M71" s="258" t="s">
        <v>595</v>
      </c>
      <c r="N71" s="258" t="s">
        <v>596</v>
      </c>
      <c r="O71" s="258" t="s">
        <v>597</v>
      </c>
      <c r="P71" s="258" t="s">
        <v>598</v>
      </c>
      <c r="Q71" s="258" t="s">
        <v>599</v>
      </c>
      <c r="R71" s="258" t="s">
        <v>600</v>
      </c>
      <c r="S71" s="258">
        <v>7</v>
      </c>
      <c r="T71" s="223">
        <v>8</v>
      </c>
      <c r="U71" s="286"/>
      <c r="V71" s="286"/>
      <c r="W71" s="286"/>
      <c r="Y71" s="254" t="s">
        <v>680</v>
      </c>
    </row>
    <row r="72" spans="4:25" ht="15" customHeight="1">
      <c r="E72" s="214" t="s">
        <v>656</v>
      </c>
      <c r="F72" s="2">
        <v>0.65</v>
      </c>
      <c r="G72" s="2">
        <v>0.4</v>
      </c>
      <c r="H72" s="2">
        <v>0.35</v>
      </c>
      <c r="I72" s="214">
        <v>0.35</v>
      </c>
      <c r="J72" s="214">
        <v>0.35</v>
      </c>
      <c r="K72" s="214">
        <v>0.35</v>
      </c>
      <c r="L72" s="214">
        <v>0.35</v>
      </c>
      <c r="M72" s="214">
        <v>0.35</v>
      </c>
      <c r="N72" s="2">
        <v>0.32</v>
      </c>
      <c r="O72" s="2">
        <v>0.32</v>
      </c>
      <c r="P72" s="214">
        <v>0.32</v>
      </c>
      <c r="Q72" s="214">
        <v>0.32</v>
      </c>
      <c r="R72" s="214">
        <v>0.32</v>
      </c>
      <c r="S72" s="214">
        <v>0.32</v>
      </c>
      <c r="T72" s="214">
        <v>0.32</v>
      </c>
      <c r="U72" s="214"/>
      <c r="V72" s="214"/>
      <c r="W72" s="214"/>
    </row>
    <row r="73" spans="4:25" ht="15" customHeight="1">
      <c r="E73" s="214" t="s">
        <v>657</v>
      </c>
      <c r="F73" s="2">
        <v>0.25</v>
      </c>
      <c r="G73" s="214">
        <v>0.25</v>
      </c>
      <c r="H73" s="214">
        <v>0.25</v>
      </c>
      <c r="I73" s="214">
        <v>0.25</v>
      </c>
      <c r="J73" s="214">
        <v>0.25</v>
      </c>
      <c r="K73" s="214">
        <v>0.25</v>
      </c>
      <c r="L73" s="2">
        <v>0.4</v>
      </c>
      <c r="M73" s="214">
        <v>0.4</v>
      </c>
      <c r="N73" s="214" t="s">
        <v>658</v>
      </c>
      <c r="O73" s="214" t="s">
        <v>658</v>
      </c>
      <c r="P73" s="214" t="s">
        <v>658</v>
      </c>
      <c r="Q73" s="214" t="s">
        <v>658</v>
      </c>
      <c r="R73" s="214" t="s">
        <v>658</v>
      </c>
      <c r="S73" s="214" t="s">
        <v>658</v>
      </c>
      <c r="T73" s="214" t="s">
        <v>658</v>
      </c>
      <c r="U73" s="214"/>
      <c r="V73" s="214"/>
      <c r="W73" s="214"/>
    </row>
    <row r="74" spans="4:25" ht="15" customHeight="1">
      <c r="E74" s="214" t="s">
        <v>256</v>
      </c>
      <c r="F74" s="2">
        <v>30</v>
      </c>
      <c r="G74" s="2">
        <v>38</v>
      </c>
      <c r="H74" s="214">
        <v>38</v>
      </c>
      <c r="I74" s="214">
        <v>38</v>
      </c>
      <c r="J74" s="214">
        <v>38</v>
      </c>
      <c r="K74" s="214">
        <v>38</v>
      </c>
      <c r="L74" s="2">
        <v>49</v>
      </c>
      <c r="M74" s="214">
        <v>49</v>
      </c>
      <c r="N74" s="214">
        <v>49</v>
      </c>
      <c r="O74" s="214">
        <v>49</v>
      </c>
      <c r="P74" s="214">
        <v>49</v>
      </c>
      <c r="Q74" s="214">
        <v>49</v>
      </c>
      <c r="R74" s="214">
        <v>49</v>
      </c>
      <c r="S74" s="214">
        <v>49</v>
      </c>
      <c r="T74" s="214">
        <v>49</v>
      </c>
      <c r="U74" s="214"/>
      <c r="V74" s="214"/>
      <c r="W74" s="214"/>
    </row>
    <row r="75" spans="4:25" ht="15" customHeight="1">
      <c r="E75" s="214" t="s">
        <v>659</v>
      </c>
      <c r="F75" s="2">
        <v>13</v>
      </c>
      <c r="G75" s="2">
        <v>13</v>
      </c>
      <c r="H75" s="2">
        <v>13</v>
      </c>
      <c r="I75" s="214" t="s">
        <v>660</v>
      </c>
      <c r="J75" s="214" t="s">
        <v>660</v>
      </c>
      <c r="K75" s="214" t="s">
        <v>660</v>
      </c>
      <c r="L75" s="214" t="s">
        <v>660</v>
      </c>
      <c r="M75" s="214" t="s">
        <v>660</v>
      </c>
      <c r="N75" s="214" t="s">
        <v>660</v>
      </c>
      <c r="O75" s="214" t="s">
        <v>660</v>
      </c>
      <c r="P75" s="214" t="s">
        <v>660</v>
      </c>
      <c r="Q75" s="254" t="s">
        <v>661</v>
      </c>
      <c r="R75" s="254" t="s">
        <v>661</v>
      </c>
      <c r="S75" s="254" t="s">
        <v>661</v>
      </c>
      <c r="T75" s="254" t="s">
        <v>661</v>
      </c>
    </row>
    <row r="76" spans="4:25" ht="15" customHeight="1">
      <c r="E76" s="214" t="s">
        <v>242</v>
      </c>
      <c r="F76" s="2">
        <v>13</v>
      </c>
      <c r="G76" s="2">
        <v>13</v>
      </c>
      <c r="H76" s="2">
        <v>13</v>
      </c>
      <c r="I76" s="2">
        <v>19</v>
      </c>
      <c r="J76" s="214">
        <v>19</v>
      </c>
      <c r="K76" s="214">
        <v>19</v>
      </c>
      <c r="L76" s="214">
        <v>19</v>
      </c>
      <c r="M76" s="214">
        <v>19</v>
      </c>
      <c r="N76" s="2">
        <v>30</v>
      </c>
      <c r="O76" s="214">
        <v>30</v>
      </c>
      <c r="P76" s="214">
        <v>30</v>
      </c>
      <c r="Q76" s="214">
        <v>30</v>
      </c>
      <c r="R76" s="214">
        <v>30</v>
      </c>
      <c r="S76" s="5">
        <v>38</v>
      </c>
      <c r="T76" s="254">
        <v>38</v>
      </c>
    </row>
    <row r="77" spans="4:25" ht="15" customHeight="1">
      <c r="E77" s="214" t="s">
        <v>662</v>
      </c>
      <c r="F77" s="2">
        <v>0</v>
      </c>
      <c r="G77" s="214">
        <v>0</v>
      </c>
      <c r="H77" s="214">
        <v>0</v>
      </c>
      <c r="I77" s="214">
        <v>0</v>
      </c>
      <c r="J77" s="214">
        <v>0</v>
      </c>
      <c r="K77" s="214">
        <v>0</v>
      </c>
      <c r="L77" s="214" t="s">
        <v>663</v>
      </c>
      <c r="M77" s="214" t="s">
        <v>663</v>
      </c>
      <c r="N77" s="214" t="s">
        <v>663</v>
      </c>
      <c r="O77" s="214" t="s">
        <v>663</v>
      </c>
      <c r="P77" s="214" t="s">
        <v>663</v>
      </c>
      <c r="Q77" s="254" t="s">
        <v>664</v>
      </c>
      <c r="R77" s="254" t="s">
        <v>664</v>
      </c>
      <c r="S77" s="254" t="s">
        <v>664</v>
      </c>
      <c r="T77" s="254" t="s">
        <v>664</v>
      </c>
    </row>
    <row r="78" spans="4:25" ht="15" customHeight="1">
      <c r="E78" s="214" t="s">
        <v>665</v>
      </c>
      <c r="F78" s="2">
        <v>0</v>
      </c>
      <c r="G78" s="2">
        <v>0</v>
      </c>
      <c r="H78" s="2">
        <v>0</v>
      </c>
      <c r="I78" s="267" t="s">
        <v>666</v>
      </c>
      <c r="J78" s="267" t="s">
        <v>667</v>
      </c>
      <c r="K78" s="267" t="s">
        <v>668</v>
      </c>
      <c r="L78" s="214" t="s">
        <v>669</v>
      </c>
      <c r="M78" s="214" t="s">
        <v>670</v>
      </c>
      <c r="N78" s="214" t="s">
        <v>671</v>
      </c>
      <c r="O78" s="214" t="s">
        <v>672</v>
      </c>
      <c r="P78" s="214" t="s">
        <v>673</v>
      </c>
      <c r="Q78" s="214" t="s">
        <v>674</v>
      </c>
      <c r="R78" s="214" t="s">
        <v>675</v>
      </c>
      <c r="S78" s="214" t="s">
        <v>676</v>
      </c>
      <c r="T78" s="214" t="s">
        <v>677</v>
      </c>
      <c r="U78" s="214"/>
      <c r="V78" s="214"/>
      <c r="W78" s="214"/>
    </row>
    <row r="79" spans="4:25" ht="15" customHeight="1">
      <c r="E79" s="214" t="s">
        <v>678</v>
      </c>
      <c r="F79" s="2">
        <v>4</v>
      </c>
      <c r="G79" s="214">
        <v>4</v>
      </c>
      <c r="H79" s="214">
        <v>4</v>
      </c>
      <c r="I79" s="214">
        <v>4</v>
      </c>
      <c r="J79" s="214">
        <v>4</v>
      </c>
      <c r="K79" s="214">
        <v>4</v>
      </c>
      <c r="L79" s="214">
        <v>4</v>
      </c>
      <c r="M79" s="214">
        <v>4</v>
      </c>
      <c r="N79" s="214">
        <v>4</v>
      </c>
      <c r="O79" s="214">
        <v>4</v>
      </c>
      <c r="P79" s="214">
        <v>4</v>
      </c>
      <c r="Q79" s="214">
        <v>4</v>
      </c>
      <c r="R79" s="214">
        <v>4</v>
      </c>
      <c r="S79" s="214">
        <v>4</v>
      </c>
      <c r="T79" s="214">
        <v>4</v>
      </c>
      <c r="U79" s="214"/>
      <c r="V79" s="214"/>
      <c r="W79" s="214"/>
    </row>
    <row r="80" spans="4:25" ht="15" customHeight="1">
      <c r="E80" s="214" t="s">
        <v>679</v>
      </c>
      <c r="F80" s="2">
        <v>5</v>
      </c>
      <c r="G80" s="2">
        <v>5</v>
      </c>
      <c r="H80" s="2">
        <v>5</v>
      </c>
      <c r="I80" s="2">
        <v>3</v>
      </c>
      <c r="J80" s="214">
        <v>3</v>
      </c>
      <c r="K80" s="214">
        <v>3</v>
      </c>
      <c r="L80" s="214">
        <v>3</v>
      </c>
      <c r="M80" s="214">
        <v>3</v>
      </c>
      <c r="N80" s="214">
        <v>3</v>
      </c>
      <c r="O80" s="214">
        <v>3</v>
      </c>
      <c r="P80" s="214">
        <v>3</v>
      </c>
      <c r="Q80" s="214">
        <v>3</v>
      </c>
      <c r="R80" s="214">
        <v>3</v>
      </c>
      <c r="S80" s="214">
        <v>3</v>
      </c>
      <c r="T80" s="214">
        <v>3</v>
      </c>
      <c r="U80" s="214"/>
      <c r="V80" s="214"/>
      <c r="W80" s="214"/>
    </row>
    <row r="82" spans="4:28" ht="15" customHeight="1">
      <c r="D82" s="268" t="s">
        <v>685</v>
      </c>
      <c r="E82" s="214" t="s">
        <v>684</v>
      </c>
      <c r="F82" s="2">
        <v>1.4</v>
      </c>
      <c r="G82" s="214">
        <v>1.4</v>
      </c>
      <c r="H82" s="214">
        <v>1.4</v>
      </c>
      <c r="I82" s="214">
        <v>1.4</v>
      </c>
      <c r="J82" s="214">
        <v>1.4</v>
      </c>
      <c r="K82" s="214">
        <v>1.4</v>
      </c>
      <c r="L82" s="214">
        <v>1.4</v>
      </c>
      <c r="M82" s="214">
        <v>1.4</v>
      </c>
      <c r="N82" s="2">
        <v>1.2</v>
      </c>
      <c r="O82" s="214">
        <v>1.2</v>
      </c>
      <c r="P82" s="214">
        <v>1.2</v>
      </c>
      <c r="Q82" s="214">
        <v>1.2</v>
      </c>
      <c r="R82" s="214">
        <v>1.2</v>
      </c>
      <c r="S82" s="214">
        <v>1.2</v>
      </c>
      <c r="T82" s="214">
        <v>1.2</v>
      </c>
      <c r="U82" s="214"/>
      <c r="V82" s="214"/>
      <c r="W82" s="214"/>
      <c r="Y82" s="254" t="s">
        <v>687</v>
      </c>
    </row>
    <row r="83" spans="4:28" ht="15" customHeight="1">
      <c r="E83" s="214" t="s">
        <v>679</v>
      </c>
      <c r="F83" s="2">
        <v>3</v>
      </c>
      <c r="G83" s="214">
        <v>3</v>
      </c>
      <c r="H83" s="214">
        <v>3</v>
      </c>
      <c r="I83" s="2">
        <v>2.5</v>
      </c>
      <c r="J83" s="214">
        <v>2.5</v>
      </c>
      <c r="K83" s="214">
        <v>2.5</v>
      </c>
      <c r="L83" s="214">
        <v>2.5</v>
      </c>
      <c r="M83" s="214">
        <v>2.5</v>
      </c>
      <c r="N83" s="214">
        <v>2.5</v>
      </c>
      <c r="O83" s="2">
        <v>2</v>
      </c>
      <c r="P83" s="214">
        <v>2</v>
      </c>
      <c r="Q83" s="214">
        <v>2</v>
      </c>
      <c r="R83" s="214">
        <v>2</v>
      </c>
      <c r="S83" s="214">
        <v>2</v>
      </c>
      <c r="T83" s="5">
        <v>1.5</v>
      </c>
    </row>
    <row r="84" spans="4:28" ht="15" customHeight="1">
      <c r="E84" s="214" t="s">
        <v>656</v>
      </c>
      <c r="F84" s="2">
        <v>0.4</v>
      </c>
      <c r="G84" s="214">
        <v>0.4</v>
      </c>
      <c r="H84" s="214">
        <v>0.4</v>
      </c>
      <c r="I84" s="2">
        <v>0.3</v>
      </c>
      <c r="J84" s="214">
        <v>0.3</v>
      </c>
      <c r="K84" s="214">
        <v>0.3</v>
      </c>
      <c r="L84" s="214">
        <v>0.3</v>
      </c>
      <c r="M84" s="214">
        <v>0.3</v>
      </c>
      <c r="N84" s="2">
        <v>0.27</v>
      </c>
      <c r="O84" s="214">
        <v>0.27</v>
      </c>
      <c r="P84" s="214">
        <v>0.27</v>
      </c>
      <c r="Q84" s="214">
        <v>0.27</v>
      </c>
      <c r="R84" s="214">
        <v>0.27</v>
      </c>
      <c r="S84" s="214">
        <v>0.27</v>
      </c>
      <c r="T84" s="214">
        <v>0.27</v>
      </c>
      <c r="U84" s="214"/>
      <c r="V84" s="214"/>
      <c r="W84" s="214"/>
    </row>
    <row r="85" spans="4:28" ht="15" customHeight="1">
      <c r="E85" s="214" t="s">
        <v>657</v>
      </c>
      <c r="F85" s="2">
        <v>0.25</v>
      </c>
      <c r="G85" s="214">
        <v>0.25</v>
      </c>
      <c r="H85" s="214">
        <v>0.25</v>
      </c>
      <c r="I85" s="2">
        <v>0.27</v>
      </c>
      <c r="J85" s="214">
        <v>0.27</v>
      </c>
      <c r="K85" s="214">
        <v>0.27</v>
      </c>
      <c r="L85" s="214">
        <v>0.27</v>
      </c>
      <c r="M85" s="214">
        <v>0.27</v>
      </c>
      <c r="N85" s="214" t="s">
        <v>658</v>
      </c>
      <c r="O85" s="214" t="s">
        <v>658</v>
      </c>
      <c r="P85" s="214" t="s">
        <v>658</v>
      </c>
      <c r="Q85" s="214" t="s">
        <v>658</v>
      </c>
      <c r="R85" s="214" t="s">
        <v>658</v>
      </c>
      <c r="S85" s="214" t="s">
        <v>658</v>
      </c>
      <c r="T85" s="214" t="s">
        <v>658</v>
      </c>
      <c r="U85" s="214"/>
      <c r="V85" s="214"/>
      <c r="W85" s="214"/>
    </row>
    <row r="86" spans="4:28" ht="15" customHeight="1">
      <c r="E86" s="214" t="s">
        <v>686</v>
      </c>
      <c r="F86" s="2">
        <v>15</v>
      </c>
      <c r="G86" s="214">
        <v>15</v>
      </c>
      <c r="H86" s="214">
        <v>15</v>
      </c>
      <c r="I86" s="214">
        <v>15</v>
      </c>
      <c r="J86" s="214">
        <v>15</v>
      </c>
      <c r="K86" s="214">
        <v>15</v>
      </c>
      <c r="L86" s="214">
        <v>15</v>
      </c>
      <c r="M86" s="214">
        <v>15</v>
      </c>
      <c r="N86" s="214">
        <v>15</v>
      </c>
      <c r="O86" s="214">
        <v>15</v>
      </c>
      <c r="P86" s="214">
        <v>15</v>
      </c>
      <c r="Q86" s="214">
        <v>15</v>
      </c>
      <c r="R86" s="214">
        <v>15</v>
      </c>
      <c r="S86" s="214">
        <v>15</v>
      </c>
      <c r="T86" s="214">
        <v>15</v>
      </c>
      <c r="U86" s="214"/>
      <c r="V86" s="214"/>
      <c r="W86" s="214"/>
    </row>
    <row r="87" spans="4:28" ht="15" customHeight="1">
      <c r="E87" s="214" t="s">
        <v>689</v>
      </c>
    </row>
    <row r="89" spans="4:28" ht="15" customHeight="1">
      <c r="F89" s="2">
        <f>1/F84</f>
        <v>2.5</v>
      </c>
      <c r="G89" s="214">
        <f t="shared" ref="G89:T89" si="31">1/G84</f>
        <v>2.5</v>
      </c>
      <c r="H89" s="214">
        <f t="shared" si="31"/>
        <v>2.5</v>
      </c>
      <c r="I89" s="214">
        <f t="shared" si="31"/>
        <v>3.3333333333333335</v>
      </c>
      <c r="J89" s="214">
        <f t="shared" si="31"/>
        <v>3.3333333333333335</v>
      </c>
      <c r="K89" s="214">
        <f t="shared" si="31"/>
        <v>3.3333333333333335</v>
      </c>
      <c r="L89" s="214">
        <f t="shared" si="31"/>
        <v>3.3333333333333335</v>
      </c>
      <c r="M89" s="214">
        <f t="shared" si="31"/>
        <v>3.3333333333333335</v>
      </c>
      <c r="N89" s="214">
        <f t="shared" si="31"/>
        <v>3.7037037037037033</v>
      </c>
      <c r="O89" s="214">
        <f t="shared" si="31"/>
        <v>3.7037037037037033</v>
      </c>
      <c r="P89" s="214">
        <f t="shared" si="31"/>
        <v>3.7037037037037033</v>
      </c>
      <c r="Q89" s="214">
        <f t="shared" si="31"/>
        <v>3.7037037037037033</v>
      </c>
      <c r="R89" s="214">
        <f t="shared" si="31"/>
        <v>3.7037037037037033</v>
      </c>
      <c r="S89" s="214">
        <f t="shared" si="31"/>
        <v>3.7037037037037033</v>
      </c>
      <c r="T89" s="214">
        <f t="shared" si="31"/>
        <v>3.7037037037037033</v>
      </c>
      <c r="U89" s="214"/>
      <c r="V89" s="214"/>
      <c r="W89" s="214"/>
      <c r="AA89" s="214"/>
      <c r="AB89" s="214"/>
    </row>
    <row r="92" spans="4:28" ht="15" customHeight="1">
      <c r="D92" s="268" t="s">
        <v>690</v>
      </c>
    </row>
    <row r="93" spans="4:28" ht="15" customHeight="1">
      <c r="D93" s="268" t="s">
        <v>692</v>
      </c>
      <c r="Y93" s="214" t="s">
        <v>691</v>
      </c>
      <c r="Z93" s="214"/>
    </row>
    <row r="94" spans="4:28" ht="15" customHeight="1">
      <c r="E94" s="214" t="s">
        <v>693</v>
      </c>
      <c r="F94" s="2">
        <v>0</v>
      </c>
      <c r="G94" s="214">
        <v>0</v>
      </c>
      <c r="H94" s="214">
        <v>0</v>
      </c>
      <c r="I94" s="214">
        <v>0</v>
      </c>
      <c r="J94" s="214">
        <v>0</v>
      </c>
      <c r="K94" s="214">
        <v>0</v>
      </c>
      <c r="L94" s="214">
        <v>0</v>
      </c>
      <c r="M94" s="214">
        <v>0</v>
      </c>
      <c r="N94" s="214">
        <v>0</v>
      </c>
      <c r="O94" s="214">
        <v>0</v>
      </c>
      <c r="P94" s="214">
        <v>0</v>
      </c>
      <c r="Q94" s="214">
        <v>0</v>
      </c>
      <c r="R94" s="214">
        <v>0</v>
      </c>
      <c r="S94" s="214">
        <v>0</v>
      </c>
      <c r="T94" s="214">
        <v>0</v>
      </c>
      <c r="U94" s="214"/>
      <c r="V94" s="214"/>
      <c r="W94" s="214"/>
    </row>
    <row r="95" spans="4:28" ht="15" customHeight="1">
      <c r="E95" s="214" t="s">
        <v>694</v>
      </c>
      <c r="F95" s="2">
        <v>0.91</v>
      </c>
      <c r="G95" s="214">
        <v>0.91</v>
      </c>
      <c r="H95" s="214">
        <v>0.91</v>
      </c>
      <c r="I95" s="214">
        <v>0.91</v>
      </c>
      <c r="J95" s="214">
        <v>0.91</v>
      </c>
      <c r="K95" s="214">
        <v>0.91</v>
      </c>
      <c r="L95" s="214">
        <v>0.91</v>
      </c>
      <c r="M95" s="214">
        <v>0.91</v>
      </c>
      <c r="N95" s="214">
        <v>0.91</v>
      </c>
      <c r="O95" s="214">
        <v>0.91</v>
      </c>
      <c r="P95" s="214">
        <v>0.91</v>
      </c>
      <c r="Q95" s="214">
        <v>0.91</v>
      </c>
      <c r="R95" s="214">
        <v>0.91</v>
      </c>
      <c r="S95" s="214">
        <v>0.91</v>
      </c>
      <c r="T95" s="214">
        <v>0.91</v>
      </c>
      <c r="U95" s="214"/>
      <c r="V95" s="214"/>
      <c r="W95" s="214"/>
    </row>
    <row r="96" spans="4:28" ht="15" customHeight="1">
      <c r="E96" s="214" t="s">
        <v>695</v>
      </c>
      <c r="F96" s="2">
        <v>0.7</v>
      </c>
      <c r="G96" s="214">
        <v>0.7</v>
      </c>
      <c r="H96" s="214">
        <v>0.7</v>
      </c>
      <c r="I96" s="214">
        <v>0.7</v>
      </c>
      <c r="J96" s="214">
        <v>0.7</v>
      </c>
      <c r="K96" s="214">
        <v>0.7</v>
      </c>
      <c r="L96" s="214">
        <v>0.7</v>
      </c>
      <c r="M96" s="214">
        <v>0.7</v>
      </c>
      <c r="N96" s="214">
        <v>0.7</v>
      </c>
      <c r="O96" s="214">
        <v>0.7</v>
      </c>
      <c r="P96" s="214">
        <v>0.7</v>
      </c>
      <c r="Q96" s="214">
        <v>0.7</v>
      </c>
      <c r="R96" s="214">
        <v>0.7</v>
      </c>
      <c r="S96" s="214">
        <v>0.7</v>
      </c>
      <c r="T96" s="214">
        <v>0.7</v>
      </c>
      <c r="U96" s="214"/>
      <c r="V96" s="214"/>
      <c r="W96" s="214"/>
    </row>
    <row r="101" spans="1:44" ht="15" customHeight="1">
      <c r="D101" s="214" t="s">
        <v>703</v>
      </c>
      <c r="E101" s="268" t="s">
        <v>702</v>
      </c>
      <c r="F101" s="214" t="s">
        <v>701</v>
      </c>
      <c r="G101" s="214" t="s">
        <v>700</v>
      </c>
      <c r="Y101" s="254" t="s">
        <v>691</v>
      </c>
    </row>
    <row r="102" spans="1:44" ht="15" customHeight="1">
      <c r="E102" s="214" t="s">
        <v>696</v>
      </c>
      <c r="F102" s="2">
        <v>16</v>
      </c>
      <c r="G102" s="2">
        <v>0.23</v>
      </c>
    </row>
    <row r="103" spans="1:44" ht="15" customHeight="1">
      <c r="E103" s="214" t="s">
        <v>697</v>
      </c>
      <c r="F103" s="214">
        <v>16</v>
      </c>
      <c r="G103" s="2">
        <v>0.18</v>
      </c>
      <c r="AO103" s="254"/>
      <c r="AP103" s="254"/>
      <c r="AQ103" s="254"/>
      <c r="AR103" s="254"/>
    </row>
    <row r="104" spans="1:44" ht="15" customHeight="1">
      <c r="E104" s="214" t="s">
        <v>698</v>
      </c>
      <c r="F104" s="214">
        <v>16</v>
      </c>
      <c r="G104" s="2">
        <v>0.13</v>
      </c>
    </row>
    <row r="105" spans="1:44" ht="15" customHeight="1">
      <c r="E105" s="214" t="s">
        <v>699</v>
      </c>
      <c r="F105" s="2">
        <v>24</v>
      </c>
      <c r="G105" s="2">
        <v>0.11</v>
      </c>
    </row>
    <row r="106" spans="1:44" ht="15" customHeight="1">
      <c r="AO106" s="254"/>
      <c r="AP106" s="254"/>
      <c r="AQ106" s="254"/>
      <c r="AR106" s="254"/>
    </row>
    <row r="107" spans="1:44" s="254" customFormat="1" ht="15" customHeight="1">
      <c r="A107" s="5"/>
      <c r="B107" s="5"/>
      <c r="C107" s="2"/>
      <c r="D107" s="214" t="s">
        <v>712</v>
      </c>
      <c r="E107" s="268" t="s">
        <v>704</v>
      </c>
      <c r="F107" s="214" t="s">
        <v>378</v>
      </c>
      <c r="G107" s="214" t="s">
        <v>710</v>
      </c>
      <c r="H107" s="214" t="s">
        <v>711</v>
      </c>
      <c r="I107" s="2"/>
      <c r="J107" s="230" t="s">
        <v>720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</row>
    <row r="108" spans="1:44" ht="15" customHeight="1">
      <c r="E108" s="214" t="s">
        <v>705</v>
      </c>
      <c r="F108" s="2">
        <v>90</v>
      </c>
      <c r="G108" s="270">
        <v>5.0000000000000001E-3</v>
      </c>
      <c r="H108" s="270">
        <v>1.4999999999999999E-2</v>
      </c>
    </row>
    <row r="109" spans="1:44" ht="15" customHeight="1">
      <c r="E109" s="214" t="s">
        <v>706</v>
      </c>
      <c r="F109" s="2">
        <v>80</v>
      </c>
      <c r="G109" s="270">
        <v>5.0000000000000001E-3</v>
      </c>
      <c r="H109" s="270">
        <v>1.4999999999999999E-2</v>
      </c>
    </row>
    <row r="110" spans="1:44" s="254" customFormat="1" ht="15" customHeight="1">
      <c r="A110" s="5"/>
      <c r="B110" s="5"/>
      <c r="C110" s="2"/>
      <c r="D110" s="2"/>
      <c r="E110" s="214" t="s">
        <v>707</v>
      </c>
      <c r="F110" s="2">
        <v>78</v>
      </c>
      <c r="G110" s="270">
        <v>5.0000000000000001E-3</v>
      </c>
      <c r="H110" s="270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</row>
    <row r="111" spans="1:44" ht="15" customHeight="1">
      <c r="E111" s="269" t="s">
        <v>708</v>
      </c>
      <c r="F111" s="2">
        <v>75</v>
      </c>
      <c r="G111" s="270">
        <v>5.0000000000000001E-3</v>
      </c>
      <c r="H111" s="270">
        <v>1.4999999999999999E-2</v>
      </c>
      <c r="AO111" s="254"/>
      <c r="AP111" s="254"/>
      <c r="AQ111" s="254"/>
      <c r="AR111" s="254"/>
    </row>
    <row r="112" spans="1:44" ht="15" customHeight="1">
      <c r="E112" s="269" t="s">
        <v>709</v>
      </c>
      <c r="F112" s="2">
        <v>64</v>
      </c>
      <c r="G112" s="270">
        <v>5.0000000000000001E-3</v>
      </c>
      <c r="H112" s="270">
        <v>1.4999999999999999E-2</v>
      </c>
    </row>
    <row r="113" spans="1:44" ht="15" customHeight="1">
      <c r="E113" s="269"/>
    </row>
    <row r="114" spans="1:44" ht="15" customHeight="1">
      <c r="D114" s="214" t="s">
        <v>719</v>
      </c>
      <c r="E114" s="271" t="s">
        <v>713</v>
      </c>
      <c r="F114" s="214" t="s">
        <v>714</v>
      </c>
      <c r="G114" s="214" t="s">
        <v>715</v>
      </c>
      <c r="H114" s="214" t="s">
        <v>716</v>
      </c>
      <c r="I114" s="214" t="s">
        <v>710</v>
      </c>
      <c r="J114" s="214" t="s">
        <v>711</v>
      </c>
      <c r="AO114" s="254"/>
      <c r="AP114" s="254"/>
      <c r="AQ114" s="254"/>
      <c r="AR114" s="254"/>
    </row>
    <row r="115" spans="1:44" s="254" customFormat="1" ht="15" customHeight="1">
      <c r="A115" s="5"/>
      <c r="B115" s="5"/>
      <c r="C115" s="2"/>
      <c r="D115" s="2"/>
      <c r="E115" s="269" t="s">
        <v>717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</row>
    <row r="116" spans="1:44" ht="15" customHeight="1">
      <c r="E116" s="269" t="s">
        <v>718</v>
      </c>
      <c r="F116" s="2">
        <v>6.5</v>
      </c>
      <c r="G116" s="2">
        <v>6.4</v>
      </c>
      <c r="H116" s="2">
        <v>6</v>
      </c>
      <c r="I116" s="214">
        <v>0.01</v>
      </c>
      <c r="J116" s="214">
        <v>0.03</v>
      </c>
    </row>
    <row r="118" spans="1:44" s="254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</row>
    <row r="119" spans="1:44" ht="15" customHeight="1">
      <c r="E119" s="269"/>
      <c r="F119" s="223" t="s">
        <v>640</v>
      </c>
      <c r="G119" s="258" t="s">
        <v>589</v>
      </c>
      <c r="H119" s="258" t="s">
        <v>590</v>
      </c>
      <c r="I119" s="258" t="s">
        <v>591</v>
      </c>
      <c r="J119" s="258" t="s">
        <v>592</v>
      </c>
      <c r="K119" s="258" t="s">
        <v>593</v>
      </c>
      <c r="L119" s="258" t="s">
        <v>594</v>
      </c>
      <c r="M119" s="258" t="s">
        <v>595</v>
      </c>
      <c r="N119" s="258" t="s">
        <v>596</v>
      </c>
      <c r="O119" s="258" t="s">
        <v>597</v>
      </c>
      <c r="P119" s="258" t="s">
        <v>598</v>
      </c>
      <c r="Q119" s="258" t="s">
        <v>599</v>
      </c>
      <c r="R119" s="258" t="s">
        <v>600</v>
      </c>
      <c r="S119" s="258">
        <v>7</v>
      </c>
      <c r="T119" s="223">
        <v>8</v>
      </c>
      <c r="U119" s="286"/>
      <c r="V119" s="286"/>
      <c r="W119" s="286"/>
      <c r="Y119" s="254" t="s">
        <v>721</v>
      </c>
    </row>
    <row r="120" spans="1:44" ht="15" customHeight="1">
      <c r="E120" s="269" t="s">
        <v>722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  <c r="AC120" s="254"/>
      <c r="AD120" s="254"/>
      <c r="AE120" s="254"/>
      <c r="AF120" s="254"/>
      <c r="AG120" s="254"/>
      <c r="AH120" s="254"/>
      <c r="AI120" s="254"/>
      <c r="AJ120" s="254"/>
      <c r="AK120" s="254"/>
      <c r="AL120" s="254"/>
      <c r="AM120" s="254"/>
      <c r="AN120" s="254"/>
    </row>
    <row r="121" spans="1:44" ht="15" customHeight="1">
      <c r="E121" s="269"/>
    </row>
    <row r="122" spans="1:44" ht="15" customHeight="1">
      <c r="A122" s="254" t="s">
        <v>746</v>
      </c>
      <c r="B122" s="5">
        <v>0</v>
      </c>
      <c r="E122" s="274" t="s">
        <v>745</v>
      </c>
    </row>
    <row r="123" spans="1:44" ht="15" customHeight="1">
      <c r="B123" s="254" t="s">
        <v>740</v>
      </c>
      <c r="C123" s="5"/>
      <c r="D123" s="254" t="s">
        <v>700</v>
      </c>
      <c r="E123" s="269"/>
      <c r="AC123" s="254"/>
      <c r="AD123" s="254"/>
      <c r="AE123" s="254"/>
      <c r="AF123" s="254"/>
      <c r="AG123" s="254"/>
      <c r="AH123" s="254"/>
      <c r="AI123" s="254"/>
      <c r="AJ123" s="254"/>
      <c r="AK123" s="254"/>
      <c r="AL123" s="254"/>
      <c r="AM123" s="254"/>
      <c r="AN123" s="254"/>
    </row>
    <row r="124" spans="1:44" ht="15" customHeight="1">
      <c r="A124" s="254"/>
      <c r="B124" s="76" t="s">
        <v>239</v>
      </c>
      <c r="C124" s="254"/>
      <c r="D124" s="76" t="s">
        <v>239</v>
      </c>
      <c r="E124" s="269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54"/>
      <c r="Q124" s="254"/>
      <c r="R124" s="254"/>
      <c r="S124" s="254"/>
      <c r="T124" s="254"/>
      <c r="X124" s="254"/>
      <c r="Y124" s="254"/>
    </row>
    <row r="125" spans="1:44" ht="15" customHeight="1">
      <c r="A125" s="254" t="s">
        <v>743</v>
      </c>
      <c r="B125" s="5">
        <v>0.17</v>
      </c>
      <c r="C125" s="254" t="s">
        <v>739</v>
      </c>
      <c r="D125" s="5">
        <f>B125</f>
        <v>0.17</v>
      </c>
      <c r="E125" s="269"/>
    </row>
    <row r="126" spans="1:44" ht="15" customHeight="1">
      <c r="A126" s="254" t="s">
        <v>730</v>
      </c>
      <c r="B126" s="5">
        <v>0.67</v>
      </c>
      <c r="C126" s="254" t="s">
        <v>736</v>
      </c>
      <c r="D126" s="254">
        <f>B126</f>
        <v>0.67</v>
      </c>
      <c r="E126" s="76"/>
    </row>
    <row r="127" spans="1:44" ht="15" customHeight="1">
      <c r="A127" s="254" t="s">
        <v>741</v>
      </c>
      <c r="B127" s="254">
        <v>5</v>
      </c>
      <c r="C127" s="254" t="s">
        <v>741</v>
      </c>
      <c r="D127" s="254">
        <f>B127</f>
        <v>5</v>
      </c>
      <c r="E127" s="269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54"/>
      <c r="Q127" s="254"/>
      <c r="R127" s="254"/>
      <c r="S127" s="254"/>
      <c r="T127" s="254"/>
      <c r="X127" s="254"/>
      <c r="Y127" s="254"/>
    </row>
    <row r="128" spans="1:44" ht="15" customHeight="1">
      <c r="A128" s="254" t="s">
        <v>731</v>
      </c>
      <c r="B128" s="5">
        <v>0.79</v>
      </c>
      <c r="C128" s="254" t="s">
        <v>734</v>
      </c>
      <c r="D128" s="254">
        <f>B128</f>
        <v>0.79</v>
      </c>
      <c r="E128" s="269"/>
      <c r="AC128" s="254"/>
      <c r="AD128" s="254"/>
      <c r="AE128" s="254"/>
      <c r="AF128" s="254"/>
      <c r="AG128" s="254"/>
      <c r="AH128" s="254"/>
      <c r="AI128" s="254"/>
      <c r="AJ128" s="254"/>
      <c r="AK128" s="254"/>
      <c r="AL128" s="254"/>
      <c r="AM128" s="254"/>
      <c r="AN128" s="254"/>
    </row>
    <row r="129" spans="1:44" ht="15" customHeight="1">
      <c r="A129" s="254" t="s">
        <v>732</v>
      </c>
      <c r="B129" s="5">
        <v>20</v>
      </c>
      <c r="C129" s="254" t="s">
        <v>737</v>
      </c>
      <c r="D129" s="5">
        <f>0.95*5.5</f>
        <v>5.2249999999999996</v>
      </c>
      <c r="E129" s="269"/>
    </row>
    <row r="130" spans="1:44" ht="15" customHeight="1">
      <c r="A130" s="254" t="s">
        <v>733</v>
      </c>
      <c r="B130" s="5">
        <v>0.55000000000000004</v>
      </c>
      <c r="C130" s="254" t="s">
        <v>735</v>
      </c>
      <c r="D130" s="254">
        <v>0.55000000000000004</v>
      </c>
      <c r="E130" s="269"/>
    </row>
    <row r="131" spans="1:44" ht="15" customHeight="1">
      <c r="A131" s="254" t="s">
        <v>742</v>
      </c>
      <c r="B131" s="5">
        <v>0.68</v>
      </c>
      <c r="C131" s="254" t="s">
        <v>738</v>
      </c>
      <c r="D131" s="254">
        <v>0.68</v>
      </c>
      <c r="E131" s="269"/>
      <c r="AC131" s="254"/>
      <c r="AD131" s="254"/>
      <c r="AE131" s="254"/>
      <c r="AF131" s="254"/>
      <c r="AG131" s="254"/>
      <c r="AH131" s="254"/>
      <c r="AI131" s="254"/>
      <c r="AJ131" s="254"/>
      <c r="AK131" s="254"/>
      <c r="AL131" s="254"/>
      <c r="AM131" s="254"/>
      <c r="AN131" s="254"/>
    </row>
    <row r="132" spans="1:44" ht="15" customHeight="1">
      <c r="A132" s="254"/>
      <c r="B132" s="254"/>
      <c r="C132" s="254"/>
      <c r="D132" s="254"/>
      <c r="E132" s="269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54"/>
      <c r="Q132" s="254"/>
      <c r="R132" s="254"/>
      <c r="S132" s="254"/>
      <c r="T132" s="254"/>
      <c r="X132" s="254"/>
      <c r="Y132" s="254"/>
    </row>
    <row r="133" spans="1:44" ht="15" customHeight="1">
      <c r="A133" s="254" t="s">
        <v>368</v>
      </c>
      <c r="B133" s="5">
        <f>IF(B122=0,SUM(B125:B131),((1-0.19)*B129)+SUM(B125:B128,B130:B131))</f>
        <v>27.86</v>
      </c>
      <c r="D133" s="254">
        <f>SUM(D125:D131)</f>
        <v>13.085000000000001</v>
      </c>
      <c r="E133" s="269"/>
    </row>
    <row r="134" spans="1:44" ht="15" customHeight="1">
      <c r="A134" s="254" t="s">
        <v>744</v>
      </c>
      <c r="B134" s="5">
        <f>1/B133</f>
        <v>3.5893754486719311E-2</v>
      </c>
      <c r="D134" s="254">
        <f>1/D133</f>
        <v>7.642338555598012E-2</v>
      </c>
      <c r="E134" s="269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</row>
    <row r="135" spans="1:44" ht="15" customHeight="1">
      <c r="A135" s="254"/>
      <c r="C135" s="214"/>
      <c r="D135" s="254"/>
      <c r="E135" s="269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54"/>
      <c r="Q135" s="254"/>
      <c r="R135" s="254"/>
      <c r="S135" s="254"/>
      <c r="T135" s="254"/>
      <c r="X135" s="254"/>
      <c r="Y135" s="254"/>
      <c r="AC135" s="254"/>
      <c r="AD135" s="254"/>
      <c r="AE135" s="254"/>
      <c r="AF135" s="254"/>
      <c r="AG135" s="254"/>
      <c r="AH135" s="254"/>
      <c r="AI135" s="254"/>
      <c r="AJ135" s="254"/>
      <c r="AK135" s="254"/>
      <c r="AL135" s="254"/>
      <c r="AM135" s="254"/>
      <c r="AN135" s="254"/>
      <c r="AO135" s="254"/>
      <c r="AP135" s="254"/>
      <c r="AQ135" s="254"/>
      <c r="AR135" s="254"/>
    </row>
    <row r="136" spans="1:44" ht="15" customHeight="1">
      <c r="A136" s="254" t="s">
        <v>700</v>
      </c>
      <c r="B136" s="5">
        <v>0.23</v>
      </c>
      <c r="E136" s="269"/>
    </row>
    <row r="137" spans="1:44" ht="15" customHeight="1">
      <c r="A137" s="254" t="s">
        <v>752</v>
      </c>
      <c r="B137" s="254">
        <f>(B134*(1-B136))+(D134*B136)</f>
        <v>4.5215569632649298E-2</v>
      </c>
      <c r="E137" s="269"/>
    </row>
    <row r="138" spans="1:44" s="254" customFormat="1" ht="15" customHeight="1">
      <c r="C138" s="214"/>
      <c r="D138" s="214"/>
      <c r="E138" s="269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</row>
    <row r="139" spans="1:44" s="254" customFormat="1" ht="15" customHeight="1">
      <c r="A139" s="254" t="s">
        <v>747</v>
      </c>
      <c r="B139" s="5">
        <v>261.39999999999998</v>
      </c>
      <c r="C139" s="214"/>
      <c r="D139" s="214"/>
      <c r="E139" s="269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</row>
    <row r="140" spans="1:44" ht="15" customHeight="1">
      <c r="A140" s="254" t="s">
        <v>748</v>
      </c>
      <c r="B140" s="2">
        <f>B137*B139*5.6783</f>
        <v>67.113814548381953</v>
      </c>
      <c r="E140" s="269"/>
    </row>
    <row r="141" spans="1:44" ht="15" customHeight="1">
      <c r="E141" s="269"/>
    </row>
    <row r="142" spans="1:44" ht="15" customHeight="1">
      <c r="E142" s="269"/>
    </row>
    <row r="143" spans="1:44" ht="15" customHeight="1">
      <c r="E143" s="269"/>
    </row>
    <row r="144" spans="1:44" ht="15" customHeight="1">
      <c r="A144" s="254" t="s">
        <v>756</v>
      </c>
      <c r="B144" s="254" t="s">
        <v>757</v>
      </c>
      <c r="C144" s="254" t="s">
        <v>758</v>
      </c>
      <c r="E144" s="269"/>
    </row>
    <row r="145" spans="1:5" ht="15" customHeight="1">
      <c r="A145" s="254" t="s">
        <v>753</v>
      </c>
      <c r="B145" s="254">
        <v>8.5736552962920293E-2</v>
      </c>
      <c r="E145" s="269"/>
    </row>
    <row r="146" spans="1:5" ht="15" customHeight="1">
      <c r="A146" s="254" t="s">
        <v>750</v>
      </c>
      <c r="B146" s="5">
        <v>5.7476006036368224E-2</v>
      </c>
      <c r="E146" s="269"/>
    </row>
    <row r="147" spans="1:5" ht="15" customHeight="1">
      <c r="A147" s="254" t="s">
        <v>751</v>
      </c>
      <c r="B147" s="5">
        <v>6.2131032322258431E-2</v>
      </c>
      <c r="E147" s="269"/>
    </row>
    <row r="148" spans="1:5" ht="15" customHeight="1">
      <c r="A148" s="254" t="s">
        <v>754</v>
      </c>
      <c r="B148" s="5">
        <v>3.5893754486719311E-2</v>
      </c>
      <c r="E148" s="269"/>
    </row>
    <row r="149" spans="1:5" ht="15" customHeight="1">
      <c r="A149" s="254" t="s">
        <v>755</v>
      </c>
      <c r="B149" s="5">
        <v>4.3986404300048673E-2</v>
      </c>
      <c r="E149" s="269"/>
    </row>
    <row r="150" spans="1:5" ht="15" customHeight="1">
      <c r="E150" s="269"/>
    </row>
    <row r="151" spans="1:5" ht="15" customHeight="1">
      <c r="E151" s="269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>
      <selection activeCell="L24" sqref="L24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199" customWidth="1"/>
    <col min="4" max="4" width="8" style="7" customWidth="1"/>
    <col min="5" max="5" width="6.33203125" style="7" customWidth="1"/>
    <col min="6" max="6" width="11.6640625" style="7" customWidth="1"/>
    <col min="7" max="7" width="16.332031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F1" s="7" t="s">
        <v>1349</v>
      </c>
      <c r="H1" s="165" t="s">
        <v>1351</v>
      </c>
      <c r="I1" s="74">
        <v>25</v>
      </c>
      <c r="J1" s="74">
        <v>50</v>
      </c>
      <c r="K1" s="74">
        <v>75</v>
      </c>
      <c r="L1" s="74">
        <v>100</v>
      </c>
      <c r="M1" s="252">
        <v>125</v>
      </c>
      <c r="N1" s="74">
        <v>200</v>
      </c>
      <c r="O1" s="74">
        <v>300</v>
      </c>
      <c r="R1" s="303" t="s">
        <v>823</v>
      </c>
      <c r="S1" s="324" t="s">
        <v>831</v>
      </c>
      <c r="T1" s="316" t="s">
        <v>444</v>
      </c>
      <c r="U1" s="317" t="s">
        <v>445</v>
      </c>
      <c r="V1" s="318" t="s">
        <v>446</v>
      </c>
    </row>
    <row r="2" spans="1:22" ht="15" customHeight="1" thickBot="1">
      <c r="A2" s="11" t="s">
        <v>431</v>
      </c>
      <c r="F2" s="517" t="s">
        <v>1350</v>
      </c>
      <c r="G2" s="215" t="s">
        <v>778</v>
      </c>
      <c r="H2" s="77" t="s">
        <v>576</v>
      </c>
      <c r="I2" s="44">
        <f>L2*0.25</f>
        <v>12.906124999999999</v>
      </c>
      <c r="J2" s="44">
        <f>L2*0.5</f>
        <v>25.812249999999999</v>
      </c>
      <c r="K2" s="44">
        <f>L2*0.75</f>
        <v>38.718374999999995</v>
      </c>
      <c r="L2" s="490">
        <f>IF(Age="existing",0.15*A_houseSI+3.5*(Nbedrooms+1)+(65/4),0.15*A_houseSI+3.5*(Nbedrooms+1))</f>
        <v>51.624499999999998</v>
      </c>
      <c r="M2" s="251">
        <f>1.25*L2</f>
        <v>64.530625000000001</v>
      </c>
      <c r="N2" s="44">
        <f>L2*2</f>
        <v>103.249</v>
      </c>
      <c r="O2" s="44">
        <f>L2*3</f>
        <v>154.87349999999998</v>
      </c>
      <c r="R2" s="325" t="s">
        <v>821</v>
      </c>
      <c r="S2" s="294">
        <v>13</v>
      </c>
      <c r="T2" s="319" t="s">
        <v>447</v>
      </c>
      <c r="U2" s="130" t="s">
        <v>448</v>
      </c>
      <c r="V2" s="320" t="s">
        <v>449</v>
      </c>
    </row>
    <row r="3" spans="1:22" ht="15" customHeight="1" thickBot="1">
      <c r="A3" s="11" t="s">
        <v>264</v>
      </c>
      <c r="B3" s="40"/>
      <c r="C3" s="200"/>
      <c r="F3" s="517" t="s">
        <v>1350</v>
      </c>
      <c r="G3" s="215" t="s">
        <v>779</v>
      </c>
      <c r="H3" s="2" t="s">
        <v>608</v>
      </c>
      <c r="I3" s="189">
        <f>L3*0.25</f>
        <v>27.75</v>
      </c>
      <c r="J3" s="44">
        <f>L3*0.5</f>
        <v>55.5</v>
      </c>
      <c r="K3" s="44">
        <f>L3*0.75</f>
        <v>83.25</v>
      </c>
      <c r="L3" s="289">
        <f>IF(Age="existing",0.03*A_houseFT+7.5*(Nbedrooms+1)+(130/4), 0.03*A_houseFT+7.5*(Nbedrooms+1))</f>
        <v>111</v>
      </c>
      <c r="M3" s="251">
        <f>1.25*L3</f>
        <v>138.75</v>
      </c>
      <c r="N3" s="44">
        <f>L3*2</f>
        <v>222</v>
      </c>
      <c r="O3" s="44">
        <f>L3*3</f>
        <v>333</v>
      </c>
      <c r="R3" s="455" t="s">
        <v>822</v>
      </c>
      <c r="S3" s="456">
        <v>17</v>
      </c>
      <c r="T3" s="319" t="s">
        <v>450</v>
      </c>
      <c r="U3" s="130" t="s">
        <v>451</v>
      </c>
      <c r="V3" s="320" t="s">
        <v>452</v>
      </c>
    </row>
    <row r="4" spans="1:22" ht="15" customHeight="1" thickBot="1">
      <c r="A4" s="11"/>
      <c r="B4" s="40"/>
      <c r="C4" s="200"/>
      <c r="F4" s="518">
        <v>2010</v>
      </c>
      <c r="G4" s="215" t="s">
        <v>778</v>
      </c>
      <c r="H4" s="77" t="s">
        <v>576</v>
      </c>
      <c r="I4" s="251">
        <f>L4*0.25</f>
        <v>6.6353749999999998</v>
      </c>
      <c r="J4" s="251">
        <f>L4*0.5</f>
        <v>13.27075</v>
      </c>
      <c r="K4" s="251">
        <f>L4*0.75</f>
        <v>19.906124999999999</v>
      </c>
      <c r="L4" s="490">
        <f>0.05*A_houseSI+3.5*(Nbedrooms+1)</f>
        <v>26.541499999999999</v>
      </c>
      <c r="M4" s="251">
        <f>1.25*L4</f>
        <v>33.176874999999995</v>
      </c>
      <c r="N4" s="251">
        <f>L4*2</f>
        <v>53.082999999999998</v>
      </c>
      <c r="O4" s="251">
        <f>L4*3</f>
        <v>79.624499999999998</v>
      </c>
      <c r="R4" s="326" t="s">
        <v>1185</v>
      </c>
      <c r="S4" s="296">
        <v>1</v>
      </c>
      <c r="T4" s="319" t="s">
        <v>453</v>
      </c>
      <c r="U4" s="130" t="s">
        <v>451</v>
      </c>
      <c r="V4" s="320" t="s">
        <v>452</v>
      </c>
    </row>
    <row r="5" spans="1:22" ht="15" customHeight="1">
      <c r="A5" s="11" t="s">
        <v>526</v>
      </c>
      <c r="B5" s="288">
        <f>Nbedrooms</f>
        <v>3</v>
      </c>
      <c r="C5" s="200"/>
      <c r="F5" s="518">
        <v>2010</v>
      </c>
      <c r="G5" s="215" t="s">
        <v>779</v>
      </c>
      <c r="H5" s="214" t="s">
        <v>608</v>
      </c>
      <c r="I5" s="189">
        <f>L5*0.25</f>
        <v>14.25</v>
      </c>
      <c r="J5" s="251">
        <f>L5*0.5</f>
        <v>28.5</v>
      </c>
      <c r="K5" s="251">
        <f>L5*0.75</f>
        <v>42.75</v>
      </c>
      <c r="L5" s="289">
        <f>0.01*A_houseFT+7.5*(Nbedrooms+1)</f>
        <v>57</v>
      </c>
      <c r="M5" s="251">
        <f>1.25*L5</f>
        <v>71.25</v>
      </c>
      <c r="N5" s="251">
        <f>L5*2</f>
        <v>114</v>
      </c>
      <c r="O5" s="251">
        <f>L5*3</f>
        <v>171</v>
      </c>
      <c r="T5" s="319" t="s">
        <v>454</v>
      </c>
      <c r="U5" s="130">
        <v>3</v>
      </c>
      <c r="V5" s="320" t="s">
        <v>452</v>
      </c>
    </row>
    <row r="6" spans="1:22" ht="15" customHeight="1">
      <c r="A6" s="127" t="s">
        <v>815</v>
      </c>
      <c r="B6" s="288">
        <f>VLOOKUP(CONCATENATE(OccDensity,HomeSize),'Internal gains'!C28:F37,2,FALSE)</f>
        <v>2</v>
      </c>
      <c r="D6" s="215"/>
      <c r="E6" s="215"/>
      <c r="F6" s="215"/>
      <c r="G6" s="200"/>
      <c r="H6" s="214"/>
      <c r="I6" s="215"/>
      <c r="J6" s="215"/>
      <c r="K6" s="215" t="s">
        <v>1347</v>
      </c>
      <c r="L6" s="215">
        <f>IF(ASHRAEver=2010,L4,Qtot)</f>
        <v>51.624499999999998</v>
      </c>
      <c r="M6" s="215"/>
      <c r="N6" s="215"/>
      <c r="O6" s="215"/>
      <c r="P6" s="215"/>
      <c r="Q6" s="215"/>
      <c r="T6" s="319" t="s">
        <v>455</v>
      </c>
      <c r="U6" s="130"/>
      <c r="V6" s="320"/>
    </row>
    <row r="7" spans="1:22" ht="15" customHeight="1"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T7" s="319" t="s">
        <v>456</v>
      </c>
      <c r="U7" s="130" t="s">
        <v>457</v>
      </c>
      <c r="V7" s="320" t="s">
        <v>458</v>
      </c>
    </row>
    <row r="8" spans="1:22" ht="15" customHeight="1">
      <c r="A8" s="1" t="s">
        <v>805</v>
      </c>
      <c r="B8" s="64">
        <v>1</v>
      </c>
      <c r="C8" s="64">
        <v>2</v>
      </c>
      <c r="D8" s="64">
        <v>3</v>
      </c>
      <c r="E8" s="64">
        <v>4</v>
      </c>
      <c r="F8" s="64">
        <v>5</v>
      </c>
      <c r="G8" s="64">
        <v>6</v>
      </c>
      <c r="H8" s="64">
        <v>7</v>
      </c>
      <c r="I8" s="64">
        <v>8</v>
      </c>
      <c r="J8" s="64">
        <v>9</v>
      </c>
      <c r="K8" s="64">
        <v>10</v>
      </c>
      <c r="L8" s="64">
        <v>11</v>
      </c>
      <c r="M8" s="64">
        <v>12</v>
      </c>
      <c r="N8" s="64">
        <v>13</v>
      </c>
      <c r="O8" s="64">
        <v>14</v>
      </c>
      <c r="P8" s="64">
        <v>15</v>
      </c>
      <c r="Q8" s="64">
        <v>16</v>
      </c>
      <c r="T8" s="319" t="s">
        <v>459</v>
      </c>
      <c r="U8" s="130">
        <v>7</v>
      </c>
      <c r="V8" s="320" t="s">
        <v>460</v>
      </c>
    </row>
    <row r="9" spans="1:22" ht="15" customHeight="1">
      <c r="A9" s="127" t="s">
        <v>786</v>
      </c>
      <c r="B9" s="200">
        <f>IF(ASHRAEver="None", (Leakage!B6*A_houseSI*Weather!B44)/1.44, IF((Leakage!B6*A_houseSI*Weather!B44)/1.44&gt;0.66666*Aeq,0.66666*Aeq,(Leakage!B6*A_houseSI*Weather!B44)/1.44))</f>
        <v>4.7238856629663033</v>
      </c>
      <c r="C9" s="200">
        <f>IF(ASHRAEver="None", (Leakage!C6*A_houseSI*Weather!C44)/1.44, IF((Leakage!C6*A_houseSI*Weather!C44)/1.44&gt;0.66666*Aeq,0.66666*Aeq,(Leakage!C6*A_houseSI*Weather!C44)/1.44))</f>
        <v>4.1333999550955145</v>
      </c>
      <c r="D9" s="200">
        <f>IF(ASHRAEver="None", (Leakage!D6*A_houseSI*Weather!D44)/1.44, IF((Leakage!D6*A_houseSI*Weather!D44)/1.44&gt;0.66666*Aeq,0.66666*Aeq,(Leakage!D6*A_houseSI*Weather!D44)/1.44))</f>
        <v>4.5551754607175061</v>
      </c>
      <c r="E9" s="200">
        <f>IF(ASHRAEver="None", (Leakage!E6*A_houseSI*Weather!E44)/1.44, IF((Leakage!E6*A_houseSI*Weather!E44)/1.44&gt;0.66666*Aeq,0.66666*Aeq,(Leakage!E6*A_houseSI*Weather!E44)/1.44))</f>
        <v>4.0490448539711164</v>
      </c>
      <c r="F9" s="200">
        <f>IF(ASHRAEver="None", (Leakage!F6*A_houseSI*Weather!F44)/1.44, IF((Leakage!F6*A_houseSI*Weather!F44)/1.44&gt;0.66666*Aeq,0.66666*Aeq,(Leakage!F6*A_houseSI*Weather!F44)/1.44))</f>
        <v>4.3864652584687098</v>
      </c>
      <c r="G9" s="200">
        <f>IF(ASHRAEver="None", (Leakage!G6*A_houseSI*Weather!G44)/1.44, IF((Leakage!G6*A_houseSI*Weather!G44)/1.44&gt;0.66666*Aeq,0.66666*Aeq,(Leakage!G6*A_houseSI*Weather!G44)/1.44))</f>
        <v>3.5429142472247266</v>
      </c>
      <c r="H9" s="200">
        <f>IF(ASHRAEver="None", (Leakage!H6*A_houseSI*Weather!H44)/1.44, IF((Leakage!H6*A_houseSI*Weather!H44)/1.44&gt;0.66666*Aeq,0.66666*Aeq,(Leakage!H6*A_houseSI*Weather!H44)/1.44))</f>
        <v>3.205493842727134</v>
      </c>
      <c r="I9" s="200">
        <f>IF(ASHRAEver="None", (Leakage!I6*A_houseSI*Weather!I44)/1.44, IF((Leakage!I6*A_houseSI*Weather!I44)/1.44&gt;0.66666*Aeq,0.66666*Aeq,(Leakage!I6*A_houseSI*Weather!I44)/1.44))</f>
        <v>2.868073438229541</v>
      </c>
      <c r="J9" s="200">
        <f>IF(ASHRAEver="None", (Leakage!J6*A_houseSI*Weather!J44)/1.44, IF((Leakage!J6*A_houseSI*Weather!J44)/1.44&gt;0.66666*Aeq,0.66666*Aeq,(Leakage!J6*A_houseSI*Weather!J44)/1.44))</f>
        <v>3.2898489438515326</v>
      </c>
      <c r="K9" s="200">
        <f>IF(ASHRAEver="None", (Leakage!K6*A_houseSI*Weather!K44)/1.44, IF((Leakage!K6*A_houseSI*Weather!K44)/1.44&gt;0.66666*Aeq,0.66666*Aeq,(Leakage!K6*A_houseSI*Weather!K44)/1.44))</f>
        <v>3.5429142472247266</v>
      </c>
      <c r="L9" s="200">
        <f>IF(ASHRAEver="None", (Leakage!L6*A_houseSI*Weather!L44)/1.44, IF((Leakage!L6*A_houseSI*Weather!L44)/1.44&gt;0.66666*Aeq,0.66666*Aeq,(Leakage!L6*A_houseSI*Weather!L44)/1.44))</f>
        <v>4.2177550562199126</v>
      </c>
      <c r="M9" s="200">
        <f>IF(ASHRAEver="None", (Leakage!M6*A_houseSI*Weather!M44)/1.44, IF((Leakage!M6*A_houseSI*Weather!M44)/1.44&gt;0.66666*Aeq,0.66666*Aeq,(Leakage!M6*A_houseSI*Weather!M44)/1.44))</f>
        <v>4.3021101573443117</v>
      </c>
      <c r="N9" s="200">
        <f>IF(ASHRAEver="None", (Leakage!N6*A_houseSI*Weather!N44)/1.44, IF((Leakage!N6*A_houseSI*Weather!N44)/1.44&gt;0.66666*Aeq,0.66666*Aeq,(Leakage!N6*A_houseSI*Weather!N44)/1.44))</f>
        <v>3.7959795505979215</v>
      </c>
      <c r="O9" s="200">
        <f>IF(ASHRAEver="None", (Leakage!O6*A_houseSI*Weather!O44)/1.44, IF((Leakage!O6*A_houseSI*Weather!O44)/1.44&gt;0.66666*Aeq,0.66666*Aeq,(Leakage!O6*A_houseSI*Weather!O44)/1.44))</f>
        <v>4.8082407640907006</v>
      </c>
      <c r="P9" s="200">
        <f>IF(ASHRAEver="None", (Leakage!P6*A_houseSI*Weather!P44)/1.44, IF((Leakage!P6*A_houseSI*Weather!P44)/1.44&gt;0.66666*Aeq,0.66666*Aeq,(Leakage!P6*A_houseSI*Weather!P44)/1.44))</f>
        <v>3.8803346517223201</v>
      </c>
      <c r="Q9" s="200">
        <f>IF(ASHRAEver="None", (Leakage!Q6*A_houseSI*Weather!Q44)/1.44, IF((Leakage!Q6*A_houseSI*Weather!Q44)/1.44&gt;0.66666*Aeq,0.66666*Aeq,(Leakage!Q6*A_houseSI*Weather!Q44)/1.44))</f>
        <v>3.7116244494735238</v>
      </c>
      <c r="R9" s="200"/>
      <c r="T9" s="319" t="s">
        <v>461</v>
      </c>
      <c r="U9" s="130">
        <v>8</v>
      </c>
      <c r="V9" s="320" t="s">
        <v>462</v>
      </c>
    </row>
    <row r="10" spans="1:22" ht="15" customHeight="1">
      <c r="A10" s="1" t="s">
        <v>785</v>
      </c>
      <c r="B10" s="283">
        <f>IF(ASHRAEver="2013Inf",Aeq-B9,IF(ASHRAEver="2016InfPhi", Aeq-(B9/Aeq)*B9,IF(ASHRAEver="None",0,Aeq)))</f>
        <v>0</v>
      </c>
      <c r="C10" s="283">
        <f>IF(ASHRAEver="2013Inf",Aeq-C9,IF(ASHRAEver="2016InfPhi", Aeq-(C9/Aeq)*C9,IF(ASHRAEver="None",0,Aeq)))</f>
        <v>0</v>
      </c>
      <c r="D10" s="283">
        <f>IF(ASHRAEver="2013Inf",Aeq-D9,IF(ASHRAEver="2016InfPhi", Aeq-(D9/Aeq)*D9,IF(ASHRAEver="None",0,Aeq)))</f>
        <v>0</v>
      </c>
      <c r="E10" s="283">
        <f>IF(ASHRAEver="2013Inf",Aeq-E9,IF(ASHRAEver="2016InfPhi", Aeq-(E9/Aeq)*E9,IF(ASHRAEver="None",0,Aeq)))</f>
        <v>0</v>
      </c>
      <c r="F10" s="283">
        <f>IF(ASHRAEver="2013Inf",Aeq-F9,IF(ASHRAEver="2016InfPhi", Aeq-(F9/Aeq)*F9,IF(ASHRAEver="None",0,Aeq)))</f>
        <v>0</v>
      </c>
      <c r="G10" s="283">
        <f>IF(ASHRAEver="2013Inf",Aeq-G9,IF(ASHRAEver="2016InfPhi", Aeq-(G9/Aeq)*G9,IF(ASHRAEver="None",0,Aeq)))</f>
        <v>0</v>
      </c>
      <c r="H10" s="283">
        <f>IF(ASHRAEver="2013Inf",Aeq-H9,IF(ASHRAEver="2016InfPhi", Aeq-(H9/Aeq)*H9,IF(ASHRAEver="None",0,Aeq)))</f>
        <v>0</v>
      </c>
      <c r="I10" s="283">
        <f>IF(ASHRAEver="2013Inf",Aeq-I9,IF(ASHRAEver="2016InfPhi", Aeq-(I9/Aeq)*I9,IF(ASHRAEver="None",0,Aeq)))</f>
        <v>0</v>
      </c>
      <c r="J10" s="283">
        <f>IF(ASHRAEver="2013Inf",Aeq-J9,IF(ASHRAEver="2016InfPhi", Aeq-(J9/Aeq)*J9,IF(ASHRAEver="None",0,Aeq)))</f>
        <v>0</v>
      </c>
      <c r="K10" s="283">
        <f>IF(ASHRAEver="2013Inf",Aeq-K9,IF(ASHRAEver="2016InfPhi", Aeq-(K9/Aeq)*K9,IF(ASHRAEver="None",0,Aeq)))</f>
        <v>0</v>
      </c>
      <c r="L10" s="283">
        <f>IF(ASHRAEver="2013Inf",Aeq-L9,IF(ASHRAEver="2016InfPhi", Aeq-(L9/Aeq)*L9,IF(ASHRAEver="None",0,Aeq)))</f>
        <v>0</v>
      </c>
      <c r="M10" s="283">
        <f>IF(ASHRAEver="2013Inf",Aeq-M9,IF(ASHRAEver="2016InfPhi", Aeq-(M9/Aeq)*M9,IF(ASHRAEver="None",0,Aeq)))</f>
        <v>0</v>
      </c>
      <c r="N10" s="283">
        <f>IF(ASHRAEver="2013Inf",Aeq-N9,IF(ASHRAEver="2016InfPhi", Aeq-(N9/Aeq)*N9,IF(ASHRAEver="None",0,Aeq)))</f>
        <v>0</v>
      </c>
      <c r="O10" s="283">
        <f>IF(ASHRAEver="2013Inf",Aeq-O9,IF(ASHRAEver="2016InfPhi", Aeq-(O9/Aeq)*O9,IF(ASHRAEver="None",0,Aeq)))</f>
        <v>0</v>
      </c>
      <c r="P10" s="283">
        <f>IF(ASHRAEver="2013Inf",Aeq-P9,IF(ASHRAEver="2016InfPhi", Aeq-(P9/Aeq)*P9,IF(ASHRAEver="None",0,Aeq)))</f>
        <v>0</v>
      </c>
      <c r="Q10" s="283">
        <f>IF(ASHRAEver="2013Inf",Aeq-Q9,IF(ASHRAEver="2016InfPhi", Aeq-(Q9/Aeq)*Q9,IF(ASHRAEver="None",0,Aeq)))</f>
        <v>0</v>
      </c>
      <c r="R10" s="283"/>
      <c r="T10" s="319" t="s">
        <v>463</v>
      </c>
      <c r="U10" s="130"/>
      <c r="V10" s="320"/>
    </row>
    <row r="11" spans="1:22" ht="15" customHeight="1"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T11" s="319" t="s">
        <v>464</v>
      </c>
      <c r="U11" s="130">
        <v>5</v>
      </c>
      <c r="V11" s="320" t="s">
        <v>465</v>
      </c>
    </row>
    <row r="12" spans="1:22" ht="15" customHeight="1">
      <c r="A12" s="80" t="s">
        <v>907</v>
      </c>
      <c r="B12" s="327">
        <f t="shared" ref="B12:Q12" si="0">IF(VentSystem="CFIS",0,0.4361*B13*-1000)</f>
        <v>0</v>
      </c>
      <c r="C12" s="327">
        <f t="shared" si="0"/>
        <v>0</v>
      </c>
      <c r="D12" s="327">
        <f t="shared" si="0"/>
        <v>0</v>
      </c>
      <c r="E12" s="327">
        <f t="shared" si="0"/>
        <v>0</v>
      </c>
      <c r="F12" s="327">
        <f t="shared" si="0"/>
        <v>0</v>
      </c>
      <c r="G12" s="327">
        <f t="shared" si="0"/>
        <v>0</v>
      </c>
      <c r="H12" s="327">
        <f t="shared" si="0"/>
        <v>0</v>
      </c>
      <c r="I12" s="327">
        <f t="shared" si="0"/>
        <v>0</v>
      </c>
      <c r="J12" s="327">
        <f t="shared" si="0"/>
        <v>0</v>
      </c>
      <c r="K12" s="327">
        <f t="shared" si="0"/>
        <v>0</v>
      </c>
      <c r="L12" s="327">
        <f t="shared" si="0"/>
        <v>0</v>
      </c>
      <c r="M12" s="327">
        <f t="shared" si="0"/>
        <v>0</v>
      </c>
      <c r="N12" s="327">
        <f t="shared" si="0"/>
        <v>0</v>
      </c>
      <c r="O12" s="327">
        <f t="shared" si="0"/>
        <v>0</v>
      </c>
      <c r="P12" s="327">
        <f t="shared" si="0"/>
        <v>0</v>
      </c>
      <c r="Q12" s="327">
        <f t="shared" si="0"/>
        <v>0</v>
      </c>
      <c r="R12" s="327"/>
      <c r="T12" s="319" t="s">
        <v>466</v>
      </c>
      <c r="U12" s="130" t="s">
        <v>467</v>
      </c>
      <c r="V12" s="320" t="s">
        <v>452</v>
      </c>
    </row>
    <row r="13" spans="1:22" ht="15" customHeight="1">
      <c r="A13" s="80" t="s">
        <v>908</v>
      </c>
      <c r="B13" s="327">
        <f>B10/-1000</f>
        <v>0</v>
      </c>
      <c r="C13" s="327">
        <f t="shared" ref="C13:Q13" si="1">C10/-1000</f>
        <v>0</v>
      </c>
      <c r="D13" s="327">
        <f t="shared" si="1"/>
        <v>0</v>
      </c>
      <c r="E13" s="327">
        <f t="shared" si="1"/>
        <v>0</v>
      </c>
      <c r="F13" s="327">
        <f t="shared" si="1"/>
        <v>0</v>
      </c>
      <c r="G13" s="327">
        <f t="shared" si="1"/>
        <v>0</v>
      </c>
      <c r="H13" s="327">
        <f t="shared" si="1"/>
        <v>0</v>
      </c>
      <c r="I13" s="327">
        <f t="shared" si="1"/>
        <v>0</v>
      </c>
      <c r="J13" s="327">
        <f t="shared" si="1"/>
        <v>0</v>
      </c>
      <c r="K13" s="327">
        <f t="shared" si="1"/>
        <v>0</v>
      </c>
      <c r="L13" s="327">
        <f t="shared" si="1"/>
        <v>0</v>
      </c>
      <c r="M13" s="327">
        <f t="shared" si="1"/>
        <v>0</v>
      </c>
      <c r="N13" s="327">
        <f t="shared" si="1"/>
        <v>0</v>
      </c>
      <c r="O13" s="327">
        <f t="shared" si="1"/>
        <v>0</v>
      </c>
      <c r="P13" s="327">
        <f t="shared" si="1"/>
        <v>0</v>
      </c>
      <c r="Q13" s="327">
        <f t="shared" si="1"/>
        <v>0</v>
      </c>
      <c r="R13" s="327"/>
      <c r="T13" s="319" t="s">
        <v>468</v>
      </c>
      <c r="U13" s="130" t="s">
        <v>469</v>
      </c>
      <c r="V13" s="320" t="s">
        <v>452</v>
      </c>
    </row>
    <row r="14" spans="1:22" ht="15" customHeight="1">
      <c r="A14" s="80" t="s">
        <v>909</v>
      </c>
      <c r="B14" s="328">
        <f t="shared" ref="B14:Q14" si="2">VLOOKUP(VentSystem,$R$2:$S$4,2,FALSE)</f>
        <v>1</v>
      </c>
      <c r="C14" s="328">
        <f t="shared" si="2"/>
        <v>1</v>
      </c>
      <c r="D14" s="328">
        <f t="shared" si="2"/>
        <v>1</v>
      </c>
      <c r="E14" s="328">
        <f t="shared" si="2"/>
        <v>1</v>
      </c>
      <c r="F14" s="328">
        <f t="shared" si="2"/>
        <v>1</v>
      </c>
      <c r="G14" s="328">
        <f t="shared" si="2"/>
        <v>1</v>
      </c>
      <c r="H14" s="328">
        <f t="shared" si="2"/>
        <v>1</v>
      </c>
      <c r="I14" s="328">
        <f t="shared" si="2"/>
        <v>1</v>
      </c>
      <c r="J14" s="328">
        <f t="shared" si="2"/>
        <v>1</v>
      </c>
      <c r="K14" s="328">
        <f t="shared" si="2"/>
        <v>1</v>
      </c>
      <c r="L14" s="328">
        <f t="shared" si="2"/>
        <v>1</v>
      </c>
      <c r="M14" s="328">
        <f t="shared" si="2"/>
        <v>1</v>
      </c>
      <c r="N14" s="328">
        <f t="shared" si="2"/>
        <v>1</v>
      </c>
      <c r="O14" s="328">
        <f t="shared" si="2"/>
        <v>1</v>
      </c>
      <c r="P14" s="328">
        <f t="shared" si="2"/>
        <v>1</v>
      </c>
      <c r="Q14" s="328">
        <f t="shared" si="2"/>
        <v>1</v>
      </c>
      <c r="R14" s="328"/>
      <c r="T14" s="319" t="s">
        <v>470</v>
      </c>
      <c r="U14" s="130" t="s">
        <v>471</v>
      </c>
      <c r="V14" s="320" t="s">
        <v>458</v>
      </c>
    </row>
    <row r="15" spans="1:22" ht="15" customHeight="1">
      <c r="B15" s="215"/>
      <c r="C15" s="215"/>
      <c r="D15" s="215"/>
      <c r="E15" s="215"/>
      <c r="F15" s="215"/>
      <c r="G15" s="215"/>
      <c r="H15" s="214"/>
      <c r="I15" s="215"/>
      <c r="J15" s="215"/>
      <c r="K15" s="200"/>
      <c r="L15" s="215"/>
      <c r="M15" s="215"/>
      <c r="N15" s="215"/>
      <c r="O15" s="215"/>
      <c r="P15" s="215"/>
      <c r="Q15" s="215"/>
      <c r="T15" s="319" t="s">
        <v>472</v>
      </c>
      <c r="U15" s="130">
        <v>7</v>
      </c>
      <c r="V15" s="320" t="s">
        <v>458</v>
      </c>
    </row>
    <row r="16" spans="1:22" ht="15" customHeight="1">
      <c r="T16" s="319" t="s">
        <v>473</v>
      </c>
      <c r="U16" s="130" t="s">
        <v>474</v>
      </c>
      <c r="V16" s="320" t="s">
        <v>458</v>
      </c>
    </row>
    <row r="17" spans="20:22" ht="15" customHeight="1">
      <c r="T17" s="319" t="s">
        <v>475</v>
      </c>
      <c r="U17" s="130">
        <v>4</v>
      </c>
      <c r="V17" s="320" t="s">
        <v>476</v>
      </c>
    </row>
    <row r="18" spans="20:22" ht="15" customHeight="1">
      <c r="T18" s="319" t="s">
        <v>477</v>
      </c>
      <c r="U18" s="130">
        <v>4</v>
      </c>
      <c r="V18" s="320" t="s">
        <v>476</v>
      </c>
    </row>
    <row r="19" spans="20:22" ht="15" customHeight="1">
      <c r="T19" s="319" t="s">
        <v>478</v>
      </c>
      <c r="U19" s="130">
        <v>6</v>
      </c>
      <c r="V19" s="320" t="s">
        <v>452</v>
      </c>
    </row>
    <row r="20" spans="20:22" ht="15" customHeight="1">
      <c r="T20" s="319" t="s">
        <v>485</v>
      </c>
      <c r="U20" s="130"/>
      <c r="V20" s="320"/>
    </row>
    <row r="21" spans="20:22" ht="15" customHeight="1">
      <c r="T21" s="319" t="s">
        <v>479</v>
      </c>
      <c r="U21" s="130" t="s">
        <v>480</v>
      </c>
      <c r="V21" s="320" t="s">
        <v>481</v>
      </c>
    </row>
    <row r="22" spans="20:22" ht="15" customHeight="1">
      <c r="T22" s="319" t="s">
        <v>482</v>
      </c>
      <c r="U22" s="130" t="s">
        <v>379</v>
      </c>
      <c r="V22" s="320" t="s">
        <v>483</v>
      </c>
    </row>
    <row r="23" spans="20:22" ht="15" customHeight="1" thickBot="1">
      <c r="T23" s="321" t="s">
        <v>484</v>
      </c>
      <c r="U23" s="322"/>
      <c r="V23" s="323"/>
    </row>
    <row r="48" spans="1:1" ht="15" customHeight="1">
      <c r="A48" s="493" t="s">
        <v>1348</v>
      </c>
    </row>
    <row r="50" spans="1:18" ht="15" customHeight="1">
      <c r="A50" s="84" t="s">
        <v>265</v>
      </c>
      <c r="B50" s="217" t="s">
        <v>638</v>
      </c>
      <c r="C50" s="217" t="s">
        <v>639</v>
      </c>
      <c r="D50" s="88" t="s">
        <v>130</v>
      </c>
      <c r="E50" s="88" t="s">
        <v>267</v>
      </c>
      <c r="F50" s="88" t="s">
        <v>130</v>
      </c>
      <c r="G50" s="88" t="s">
        <v>268</v>
      </c>
      <c r="H50" s="88" t="s">
        <v>514</v>
      </c>
      <c r="I50" s="88" t="s">
        <v>269</v>
      </c>
      <c r="J50" s="88"/>
      <c r="K50" s="88" t="s">
        <v>402</v>
      </c>
      <c r="L50" s="88" t="s">
        <v>403</v>
      </c>
      <c r="M50" s="88" t="s">
        <v>270</v>
      </c>
      <c r="N50" s="88"/>
      <c r="O50" s="88" t="s">
        <v>271</v>
      </c>
      <c r="P50" s="88" t="s">
        <v>272</v>
      </c>
      <c r="Q50" s="88" t="s">
        <v>273</v>
      </c>
      <c r="R50" s="88" t="s">
        <v>0</v>
      </c>
    </row>
    <row r="51" spans="1:18" ht="15" customHeight="1">
      <c r="A51" s="92" t="s">
        <v>274</v>
      </c>
      <c r="B51" s="215">
        <v>50</v>
      </c>
      <c r="C51" s="400">
        <f>E51/1000*-1</f>
        <v>-2.3596035865974516E-2</v>
      </c>
      <c r="D51" s="7" t="s">
        <v>275</v>
      </c>
      <c r="E51" s="44">
        <f>B51/2.119</f>
        <v>23.596035865974514</v>
      </c>
      <c r="F51" s="7" t="s">
        <v>189</v>
      </c>
      <c r="G51" s="7">
        <v>1</v>
      </c>
      <c r="H51" s="44">
        <f>E51*G51</f>
        <v>23.596035865974514</v>
      </c>
      <c r="I51" s="398">
        <f>F63*G51</f>
        <v>10.199999999999999</v>
      </c>
      <c r="K51" s="37">
        <f>E51*10^-3*3600/V_houseSI</f>
        <v>0.11649836660450752</v>
      </c>
      <c r="L51" s="39">
        <f>E51*10^-3*3600/V_houseSI+10/100*A_houseSI*3600/1000/V_houseSI</f>
        <v>0.24033817368644925</v>
      </c>
      <c r="M51" s="41">
        <v>31</v>
      </c>
      <c r="N51" s="42">
        <v>0.25</v>
      </c>
      <c r="O51" s="43">
        <f t="shared" ref="O51:O57" si="3">$H$53*(1+N51)</f>
        <v>41.293062765455403</v>
      </c>
      <c r="P51" s="43">
        <f t="shared" ref="P51:P57" si="4">O51*10^-3/(0.3048^3)*60</f>
        <v>87.495044968294053</v>
      </c>
      <c r="Q51" s="43">
        <f t="shared" ref="Q51:Q57" si="5">$F$84</f>
        <v>16.2</v>
      </c>
    </row>
    <row r="52" spans="1:18" ht="15" customHeight="1">
      <c r="A52" s="92" t="s">
        <v>276</v>
      </c>
      <c r="B52" s="215">
        <v>100</v>
      </c>
      <c r="C52" s="400">
        <f>E52/1000*-1</f>
        <v>-4.7192071731949031E-2</v>
      </c>
      <c r="D52" s="7" t="s">
        <v>275</v>
      </c>
      <c r="E52" s="44">
        <f>B52/2.119</f>
        <v>47.192071731949028</v>
      </c>
      <c r="F52" s="7" t="s">
        <v>189</v>
      </c>
      <c r="G52" s="7">
        <v>1</v>
      </c>
      <c r="H52" s="44">
        <f>E52*G52</f>
        <v>47.192071731949028</v>
      </c>
      <c r="I52" s="398">
        <f>F58*G52</f>
        <v>37.200000000000003</v>
      </c>
      <c r="K52" s="37">
        <f>E52*10^-3*3600/V_houseSI</f>
        <v>0.23299673320901504</v>
      </c>
      <c r="L52" s="39">
        <f>E52*10^-3*3600/V_houseSI+10/100*A_houseSI*3600/1000/V_houseSI</f>
        <v>0.35683654029095679</v>
      </c>
      <c r="M52" s="41">
        <v>32</v>
      </c>
      <c r="N52" s="42">
        <v>0.25</v>
      </c>
      <c r="O52" s="43">
        <f t="shared" si="3"/>
        <v>41.293062765455403</v>
      </c>
      <c r="P52" s="43">
        <f t="shared" si="4"/>
        <v>87.495044968294053</v>
      </c>
      <c r="Q52" s="43">
        <f t="shared" si="5"/>
        <v>16.2</v>
      </c>
    </row>
    <row r="53" spans="1:18" ht="15" customHeight="1">
      <c r="A53" s="92" t="s">
        <v>277</v>
      </c>
      <c r="B53" s="214">
        <v>70</v>
      </c>
      <c r="C53" s="401">
        <f>E53/1000*-1</f>
        <v>-3.303445021236432E-2</v>
      </c>
      <c r="D53" s="2" t="s">
        <v>275</v>
      </c>
      <c r="E53" s="44">
        <f>B53/2.119</f>
        <v>33.03445021236432</v>
      </c>
      <c r="F53" s="7" t="s">
        <v>189</v>
      </c>
      <c r="G53" s="7">
        <v>1</v>
      </c>
      <c r="H53" s="44">
        <f>E53*G53</f>
        <v>33.03445021236432</v>
      </c>
      <c r="I53" s="398">
        <f>F76</f>
        <v>11.8</v>
      </c>
      <c r="K53" s="37">
        <f>E53*10^-3*3600/V_houseSI</f>
        <v>0.16309771324631053</v>
      </c>
      <c r="L53" s="39">
        <f>E53*10^-3*3600/V_houseSI+10/100*A_houseSI*3600/1000/V_houseSI</f>
        <v>0.28693752032825226</v>
      </c>
      <c r="M53" s="41">
        <v>33</v>
      </c>
      <c r="N53" s="42">
        <v>0.25</v>
      </c>
      <c r="O53" s="43">
        <f t="shared" si="3"/>
        <v>41.293062765455403</v>
      </c>
      <c r="P53" s="43">
        <f t="shared" si="4"/>
        <v>87.495044968294053</v>
      </c>
      <c r="Q53" s="43">
        <f t="shared" si="5"/>
        <v>16.2</v>
      </c>
    </row>
    <row r="54" spans="1:18" ht="15" customHeight="1">
      <c r="A54" s="92" t="s">
        <v>55</v>
      </c>
      <c r="B54" s="215">
        <v>150</v>
      </c>
      <c r="C54" s="400">
        <f>E54/1000*-1</f>
        <v>-7.0788107597923547E-2</v>
      </c>
      <c r="D54" s="7" t="s">
        <v>275</v>
      </c>
      <c r="E54" s="44">
        <f>B54/2.119</f>
        <v>70.788107597923542</v>
      </c>
      <c r="F54" s="7" t="s">
        <v>189</v>
      </c>
      <c r="G54" s="7">
        <v>1</v>
      </c>
      <c r="H54" s="44">
        <f>E54*G54</f>
        <v>70.788107597923542</v>
      </c>
      <c r="I54" s="399">
        <v>0</v>
      </c>
      <c r="K54" s="37">
        <f>E54*10^-3*3600/V_houseSI</f>
        <v>0.34949509981352261</v>
      </c>
      <c r="L54" s="39">
        <f>E54*10^-3*3600/V_houseSI+10/100*A_houseSI*3600/1000/V_houseSI</f>
        <v>0.47333490689546431</v>
      </c>
      <c r="M54" s="41">
        <v>34</v>
      </c>
      <c r="N54" s="42">
        <v>0.25</v>
      </c>
      <c r="O54" s="43">
        <f t="shared" si="3"/>
        <v>41.293062765455403</v>
      </c>
      <c r="P54" s="43">
        <f t="shared" si="4"/>
        <v>87.495044968294053</v>
      </c>
      <c r="Q54" s="43">
        <f t="shared" si="5"/>
        <v>16.2</v>
      </c>
    </row>
    <row r="55" spans="1:18" ht="15" customHeight="1">
      <c r="M55" s="41">
        <v>35</v>
      </c>
      <c r="N55" s="42">
        <v>0.25</v>
      </c>
      <c r="O55" s="43">
        <f t="shared" si="3"/>
        <v>41.293062765455403</v>
      </c>
      <c r="P55" s="43">
        <f t="shared" si="4"/>
        <v>87.495044968294053</v>
      </c>
      <c r="Q55" s="43">
        <f t="shared" si="5"/>
        <v>16.2</v>
      </c>
    </row>
    <row r="56" spans="1:18" ht="15" customHeight="1">
      <c r="A56" s="4" t="s">
        <v>278</v>
      </c>
      <c r="M56" s="41">
        <v>36</v>
      </c>
      <c r="N56" s="42">
        <v>0.25</v>
      </c>
      <c r="O56" s="43">
        <f t="shared" si="3"/>
        <v>41.293062765455403</v>
      </c>
      <c r="P56" s="43">
        <f t="shared" si="4"/>
        <v>87.495044968294053</v>
      </c>
      <c r="Q56" s="41">
        <f t="shared" si="5"/>
        <v>16.2</v>
      </c>
    </row>
    <row r="57" spans="1:18" ht="15" customHeight="1">
      <c r="A57" s="89" t="s">
        <v>279</v>
      </c>
      <c r="B57" s="212" t="s">
        <v>638</v>
      </c>
      <c r="C57" s="213" t="s">
        <v>639</v>
      </c>
      <c r="D57" s="30" t="s">
        <v>280</v>
      </c>
      <c r="E57" s="30" t="s">
        <v>281</v>
      </c>
      <c r="F57" s="30" t="s">
        <v>32</v>
      </c>
      <c r="G57" s="74" t="s">
        <v>282</v>
      </c>
      <c r="H57" s="204" t="s">
        <v>189</v>
      </c>
      <c r="M57" s="41">
        <v>37</v>
      </c>
      <c r="N57" s="42">
        <v>0.25</v>
      </c>
      <c r="O57" s="43">
        <f t="shared" si="3"/>
        <v>41.293062765455403</v>
      </c>
      <c r="P57" s="43">
        <f t="shared" si="4"/>
        <v>87.495044968294053</v>
      </c>
      <c r="Q57" s="41">
        <f t="shared" si="5"/>
        <v>16.2</v>
      </c>
    </row>
    <row r="58" spans="1:18" ht="15" customHeight="1">
      <c r="A58" s="90" t="s">
        <v>283</v>
      </c>
      <c r="B58" s="45">
        <v>100</v>
      </c>
      <c r="C58" s="202">
        <f>H58/1000*-1</f>
        <v>-4.7192071731949031E-2</v>
      </c>
      <c r="D58" s="45">
        <v>0.8</v>
      </c>
      <c r="E58" s="45">
        <v>0.02</v>
      </c>
      <c r="F58" s="45">
        <v>37.200000000000003</v>
      </c>
      <c r="G58" s="95" t="s">
        <v>434</v>
      </c>
      <c r="H58" s="203">
        <f>B58/2.119</f>
        <v>47.192071731949028</v>
      </c>
      <c r="M58" s="41">
        <v>38</v>
      </c>
      <c r="N58" s="42"/>
      <c r="O58" s="43"/>
      <c r="P58" s="43"/>
      <c r="Q58" s="41"/>
    </row>
    <row r="59" spans="1:18" ht="15" customHeight="1">
      <c r="A59" s="92" t="s">
        <v>284</v>
      </c>
      <c r="B59" s="46">
        <v>100</v>
      </c>
      <c r="C59" s="202">
        <f>H59/1000*-1</f>
        <v>-4.7192071731949031E-2</v>
      </c>
      <c r="D59" s="46">
        <v>0.9</v>
      </c>
      <c r="E59" s="46">
        <v>0.02</v>
      </c>
      <c r="F59" s="46">
        <v>36.700000000000003</v>
      </c>
      <c r="G59" s="95" t="s">
        <v>285</v>
      </c>
      <c r="H59" s="203">
        <f>B59/2.119</f>
        <v>47.192071731949028</v>
      </c>
      <c r="M59" s="41">
        <v>39</v>
      </c>
      <c r="N59" s="42"/>
      <c r="O59" s="43"/>
      <c r="P59" s="43"/>
      <c r="Q59" s="41"/>
    </row>
    <row r="60" spans="1:18" ht="15" customHeight="1">
      <c r="M60" s="41">
        <v>40</v>
      </c>
      <c r="N60" s="42">
        <v>0.25</v>
      </c>
      <c r="O60" s="43">
        <f>$H$53*(1+N60)</f>
        <v>41.293062765455403</v>
      </c>
      <c r="P60" s="43">
        <f>O60*10^-3/(0.3048^3)*60</f>
        <v>87.495044968294053</v>
      </c>
      <c r="Q60" s="41">
        <f>$F$84</f>
        <v>16.2</v>
      </c>
    </row>
    <row r="61" spans="1:18" ht="15" customHeight="1">
      <c r="M61" s="41">
        <v>41</v>
      </c>
      <c r="N61" s="42">
        <v>0.25</v>
      </c>
      <c r="O61" s="43">
        <f>$H$53*(1+N61)</f>
        <v>41.293062765455403</v>
      </c>
      <c r="P61" s="43">
        <f>O61*10^-3/(0.3048^3)*60</f>
        <v>87.495044968294053</v>
      </c>
      <c r="Q61" s="41">
        <f>$F$84</f>
        <v>16.2</v>
      </c>
    </row>
    <row r="62" spans="1:18" ht="15" customHeight="1">
      <c r="A62" s="89" t="s">
        <v>286</v>
      </c>
      <c r="B62" s="210" t="s">
        <v>638</v>
      </c>
      <c r="C62" s="211" t="s">
        <v>639</v>
      </c>
      <c r="D62" s="30" t="s">
        <v>280</v>
      </c>
      <c r="E62" s="30" t="s">
        <v>281</v>
      </c>
      <c r="F62" s="30" t="s">
        <v>32</v>
      </c>
      <c r="G62" s="30" t="s">
        <v>282</v>
      </c>
      <c r="H62" s="204" t="s">
        <v>189</v>
      </c>
      <c r="M62" s="41">
        <v>42</v>
      </c>
      <c r="N62" s="42"/>
      <c r="O62" s="43"/>
      <c r="P62" s="43"/>
      <c r="Q62" s="41"/>
    </row>
    <row r="63" spans="1:18" ht="15" customHeight="1">
      <c r="A63" s="90" t="s">
        <v>287</v>
      </c>
      <c r="B63" s="45">
        <v>50</v>
      </c>
      <c r="C63" s="202">
        <f t="shared" ref="C63:C68" si="6">H63/1000*-1</f>
        <v>-2.3596035865974516E-2</v>
      </c>
      <c r="D63" s="45" t="s">
        <v>288</v>
      </c>
      <c r="E63" s="45">
        <v>0.25</v>
      </c>
      <c r="F63" s="45">
        <v>10.199999999999999</v>
      </c>
      <c r="G63" s="45" t="s">
        <v>289</v>
      </c>
      <c r="H63" s="203">
        <f t="shared" ref="H63:H68" si="7">B63/2.119</f>
        <v>23.596035865974514</v>
      </c>
      <c r="I63" s="44"/>
      <c r="J63" s="215">
        <f>F63/H63</f>
        <v>0.43227599999999999</v>
      </c>
      <c r="K63" s="44"/>
      <c r="M63" s="41">
        <v>43</v>
      </c>
      <c r="N63" s="42"/>
      <c r="O63" s="43"/>
      <c r="P63" s="43"/>
      <c r="Q63" s="41"/>
    </row>
    <row r="64" spans="1:18" ht="15" customHeight="1">
      <c r="A64" s="92" t="s">
        <v>290</v>
      </c>
      <c r="B64" s="46">
        <v>50</v>
      </c>
      <c r="C64" s="202">
        <f t="shared" si="6"/>
        <v>-2.3596035865974516E-2</v>
      </c>
      <c r="D64" s="46" t="s">
        <v>288</v>
      </c>
      <c r="E64" s="46">
        <v>0.25</v>
      </c>
      <c r="F64" s="46">
        <v>10.199999999999999</v>
      </c>
      <c r="G64" s="46" t="s">
        <v>291</v>
      </c>
      <c r="H64" s="203">
        <f t="shared" si="7"/>
        <v>23.596035865974514</v>
      </c>
      <c r="I64" s="44"/>
      <c r="J64" s="215">
        <f>F64/H64</f>
        <v>0.43227599999999999</v>
      </c>
      <c r="K64" s="44"/>
      <c r="M64" s="41">
        <v>44</v>
      </c>
      <c r="N64" s="42"/>
      <c r="O64" s="43"/>
      <c r="P64" s="43"/>
      <c r="Q64" s="41"/>
    </row>
    <row r="65" spans="1:17" ht="15" customHeight="1">
      <c r="A65" s="92" t="s">
        <v>292</v>
      </c>
      <c r="B65" s="7">
        <v>50</v>
      </c>
      <c r="C65" s="202">
        <f t="shared" si="6"/>
        <v>-2.3596035865974516E-2</v>
      </c>
      <c r="D65" s="7" t="s">
        <v>288</v>
      </c>
      <c r="E65" s="7">
        <v>0.25</v>
      </c>
      <c r="F65" s="7">
        <v>11.2</v>
      </c>
      <c r="G65" s="7" t="s">
        <v>289</v>
      </c>
      <c r="H65" s="203">
        <f t="shared" si="7"/>
        <v>23.596035865974514</v>
      </c>
      <c r="I65" s="44"/>
      <c r="J65" s="215">
        <f>F65/H65</f>
        <v>0.47465600000000002</v>
      </c>
      <c r="K65" s="44"/>
      <c r="M65" s="41">
        <v>45</v>
      </c>
      <c r="N65" s="42"/>
      <c r="O65" s="43"/>
      <c r="P65" s="43"/>
      <c r="Q65" s="41"/>
    </row>
    <row r="66" spans="1:17" ht="15" customHeight="1">
      <c r="A66" s="94" t="s">
        <v>293</v>
      </c>
      <c r="B66" s="7">
        <v>50</v>
      </c>
      <c r="C66" s="202">
        <f t="shared" si="6"/>
        <v>-2.3596035865974516E-2</v>
      </c>
      <c r="D66" s="2" t="s">
        <v>288</v>
      </c>
      <c r="E66" s="7">
        <v>0.1</v>
      </c>
      <c r="F66" s="7">
        <v>19.7</v>
      </c>
      <c r="G66" s="2" t="s">
        <v>294</v>
      </c>
      <c r="H66" s="203">
        <f t="shared" si="7"/>
        <v>23.596035865974514</v>
      </c>
      <c r="M66" s="41">
        <v>46</v>
      </c>
      <c r="N66" s="42"/>
      <c r="O66" s="43"/>
      <c r="P66" s="43"/>
      <c r="Q66" s="41"/>
    </row>
    <row r="67" spans="1:17" ht="15" customHeight="1">
      <c r="A67" s="92" t="s">
        <v>295</v>
      </c>
      <c r="B67" s="47">
        <v>50</v>
      </c>
      <c r="C67" s="202">
        <f t="shared" si="6"/>
        <v>-2.3596035865974516E-2</v>
      </c>
      <c r="D67" s="2" t="s">
        <v>288</v>
      </c>
      <c r="E67" s="7">
        <v>0.25</v>
      </c>
      <c r="F67" s="7">
        <v>11.8</v>
      </c>
      <c r="G67" s="2" t="s">
        <v>296</v>
      </c>
      <c r="H67" s="203">
        <f t="shared" si="7"/>
        <v>23.596035865974514</v>
      </c>
      <c r="M67" s="41">
        <v>47</v>
      </c>
      <c r="N67" s="42"/>
      <c r="O67" s="43"/>
      <c r="P67" s="43"/>
      <c r="Q67" s="41"/>
    </row>
    <row r="68" spans="1:17" ht="15" customHeight="1">
      <c r="A68" s="92" t="s">
        <v>433</v>
      </c>
      <c r="B68" s="7">
        <v>50</v>
      </c>
      <c r="C68" s="202">
        <f t="shared" si="6"/>
        <v>-2.3596035865974516E-2</v>
      </c>
      <c r="F68" s="7">
        <v>55</v>
      </c>
      <c r="G68" s="7" t="s">
        <v>432</v>
      </c>
      <c r="H68" s="203">
        <f t="shared" si="7"/>
        <v>23.596035865974514</v>
      </c>
      <c r="M68" s="41">
        <v>48</v>
      </c>
      <c r="N68" s="42"/>
      <c r="O68" s="43"/>
      <c r="P68" s="43"/>
      <c r="Q68" s="41"/>
    </row>
    <row r="69" spans="1:17" ht="15" customHeight="1">
      <c r="M69" s="41">
        <v>49</v>
      </c>
      <c r="N69" s="42"/>
      <c r="O69" s="43"/>
      <c r="P69" s="43"/>
      <c r="Q69" s="41"/>
    </row>
    <row r="70" spans="1:17" ht="15" customHeight="1">
      <c r="A70" s="89" t="s">
        <v>297</v>
      </c>
      <c r="B70" s="209" t="s">
        <v>638</v>
      </c>
      <c r="C70" s="216" t="s">
        <v>639</v>
      </c>
      <c r="D70" s="30" t="s">
        <v>280</v>
      </c>
      <c r="E70" s="30" t="s">
        <v>281</v>
      </c>
      <c r="F70" s="30" t="s">
        <v>32</v>
      </c>
      <c r="G70" s="30" t="s">
        <v>282</v>
      </c>
      <c r="H70" s="204" t="s">
        <v>189</v>
      </c>
      <c r="M70" s="41">
        <v>50</v>
      </c>
      <c r="N70" s="42">
        <v>0.25</v>
      </c>
      <c r="O70" s="43">
        <f>$H$53*(1+N70)</f>
        <v>41.293062765455403</v>
      </c>
      <c r="P70" s="43">
        <f>O70*10^-3/(0.3048^3)*60</f>
        <v>87.495044968294053</v>
      </c>
      <c r="Q70" s="41">
        <f>$F$84</f>
        <v>16.2</v>
      </c>
    </row>
    <row r="71" spans="1:17" ht="15" customHeight="1">
      <c r="A71" s="93" t="s">
        <v>298</v>
      </c>
      <c r="B71" s="48">
        <v>70</v>
      </c>
      <c r="C71" s="202">
        <f t="shared" ref="C71:C76" si="8">H71/1000*-1</f>
        <v>-3.303445021236432E-2</v>
      </c>
      <c r="D71" s="48">
        <v>0.60000000000000009</v>
      </c>
      <c r="E71" s="48" t="s">
        <v>299</v>
      </c>
      <c r="F71" s="48">
        <v>19.399999999999999</v>
      </c>
      <c r="G71" s="48" t="s">
        <v>300</v>
      </c>
      <c r="H71" s="203">
        <f t="shared" ref="H71:H76" si="9">B71/2.119</f>
        <v>33.03445021236432</v>
      </c>
    </row>
    <row r="72" spans="1:17" ht="15" customHeight="1">
      <c r="A72" s="91" t="s">
        <v>301</v>
      </c>
      <c r="B72" s="49">
        <v>72</v>
      </c>
      <c r="C72" s="202">
        <f t="shared" si="8"/>
        <v>-3.3978291647003306E-2</v>
      </c>
      <c r="D72" s="49">
        <v>0.64</v>
      </c>
      <c r="E72" s="49" t="s">
        <v>299</v>
      </c>
      <c r="F72" s="49">
        <v>20</v>
      </c>
      <c r="G72" s="49" t="s">
        <v>302</v>
      </c>
      <c r="H72" s="203">
        <f t="shared" si="9"/>
        <v>33.978291647003303</v>
      </c>
    </row>
    <row r="73" spans="1:17" ht="15" customHeight="1">
      <c r="A73" s="91" t="s">
        <v>303</v>
      </c>
      <c r="B73" s="49">
        <v>68</v>
      </c>
      <c r="C73" s="202">
        <f t="shared" si="8"/>
        <v>-3.2090608777725335E-2</v>
      </c>
      <c r="D73" s="49">
        <v>0.9</v>
      </c>
      <c r="E73" s="49" t="s">
        <v>299</v>
      </c>
      <c r="F73" s="49">
        <v>28.3</v>
      </c>
      <c r="G73" s="49" t="s">
        <v>304</v>
      </c>
      <c r="H73" s="203">
        <f t="shared" si="9"/>
        <v>32.090608777725336</v>
      </c>
    </row>
    <row r="74" spans="1:17" ht="15" customHeight="1">
      <c r="A74" s="91" t="s">
        <v>305</v>
      </c>
      <c r="B74" s="49">
        <v>70</v>
      </c>
      <c r="C74" s="202">
        <f t="shared" si="8"/>
        <v>-3.303445021236432E-2</v>
      </c>
      <c r="D74" s="49">
        <v>0.25</v>
      </c>
      <c r="E74" s="49" t="s">
        <v>299</v>
      </c>
      <c r="F74" s="49">
        <v>24.5</v>
      </c>
      <c r="G74" s="49" t="s">
        <v>306</v>
      </c>
      <c r="H74" s="203">
        <f t="shared" si="9"/>
        <v>33.03445021236432</v>
      </c>
    </row>
    <row r="75" spans="1:17" ht="15" customHeight="1">
      <c r="A75" s="92" t="s">
        <v>307</v>
      </c>
      <c r="B75" s="2">
        <v>70</v>
      </c>
      <c r="C75" s="202">
        <f t="shared" si="8"/>
        <v>-3.303445021236432E-2</v>
      </c>
      <c r="D75" s="2">
        <v>0.30000000000000004</v>
      </c>
      <c r="E75" s="2">
        <v>0.25</v>
      </c>
      <c r="F75" s="2">
        <v>14</v>
      </c>
      <c r="G75" s="2" t="s">
        <v>308</v>
      </c>
      <c r="H75" s="203">
        <f t="shared" si="9"/>
        <v>33.03445021236432</v>
      </c>
      <c r="J75" s="7">
        <f>F75/H75</f>
        <v>0.42380000000000007</v>
      </c>
    </row>
    <row r="76" spans="1:17" ht="15" customHeight="1">
      <c r="A76" s="92" t="s">
        <v>307</v>
      </c>
      <c r="B76" s="7">
        <v>60</v>
      </c>
      <c r="C76" s="202">
        <f t="shared" si="8"/>
        <v>-2.8315243039169418E-2</v>
      </c>
      <c r="D76" s="7">
        <v>0.30000000000000004</v>
      </c>
      <c r="E76" s="7">
        <v>0.25</v>
      </c>
      <c r="F76" s="7">
        <v>11.8</v>
      </c>
      <c r="G76" s="2" t="s">
        <v>308</v>
      </c>
      <c r="H76" s="203">
        <f t="shared" si="9"/>
        <v>28.315243039169417</v>
      </c>
      <c r="J76" s="215">
        <f>F76/H76</f>
        <v>0.41673666666666676</v>
      </c>
    </row>
    <row r="78" spans="1:17" ht="15" customHeight="1">
      <c r="A78" s="89" t="s">
        <v>309</v>
      </c>
      <c r="B78" s="206" t="s">
        <v>638</v>
      </c>
      <c r="C78" s="207" t="s">
        <v>639</v>
      </c>
      <c r="D78" s="30" t="s">
        <v>280</v>
      </c>
      <c r="E78" s="30" t="s">
        <v>281</v>
      </c>
      <c r="F78" s="30" t="s">
        <v>32</v>
      </c>
      <c r="G78" s="30" t="s">
        <v>282</v>
      </c>
      <c r="H78" s="204" t="s">
        <v>189</v>
      </c>
    </row>
    <row r="79" spans="1:17" ht="15" customHeight="1">
      <c r="A79" s="90" t="s">
        <v>310</v>
      </c>
      <c r="B79" s="50">
        <v>83</v>
      </c>
      <c r="C79" s="198">
        <f>H79/1000*-1</f>
        <v>-3.9169419537517687E-2</v>
      </c>
      <c r="D79" s="51">
        <v>0.30000000000000004</v>
      </c>
      <c r="E79" s="45">
        <v>0.25</v>
      </c>
      <c r="F79" s="45">
        <v>16.3</v>
      </c>
      <c r="G79" s="51" t="s">
        <v>311</v>
      </c>
      <c r="H79" s="203">
        <f>B79/2.119</f>
        <v>39.16941953751769</v>
      </c>
    </row>
    <row r="80" spans="1:17" ht="15" customHeight="1">
      <c r="A80" s="91" t="s">
        <v>312</v>
      </c>
      <c r="B80" s="49">
        <v>80</v>
      </c>
      <c r="C80" s="198">
        <f t="shared" ref="C80:C86" si="10">H80/1000*-1</f>
        <v>-3.7753657385559219E-2</v>
      </c>
      <c r="D80" s="49">
        <v>0.7</v>
      </c>
      <c r="E80" s="49" t="s">
        <v>299</v>
      </c>
      <c r="F80" s="49">
        <v>23.6</v>
      </c>
      <c r="G80" s="49" t="s">
        <v>313</v>
      </c>
      <c r="H80" s="203">
        <f t="shared" ref="H80:H86" si="11">B80/2.119</f>
        <v>37.753657385559222</v>
      </c>
    </row>
    <row r="81" spans="1:10" ht="15" customHeight="1">
      <c r="A81" s="91" t="s">
        <v>314</v>
      </c>
      <c r="B81" s="49">
        <v>80</v>
      </c>
      <c r="C81" s="198">
        <f t="shared" si="10"/>
        <v>-3.7753657385559219E-2</v>
      </c>
      <c r="D81" s="49">
        <v>1</v>
      </c>
      <c r="E81" s="49" t="s">
        <v>299</v>
      </c>
      <c r="F81" s="49">
        <v>27.2</v>
      </c>
      <c r="G81" s="49" t="s">
        <v>315</v>
      </c>
      <c r="H81" s="203">
        <f t="shared" si="11"/>
        <v>37.753657385559222</v>
      </c>
    </row>
    <row r="82" spans="1:10" ht="15" customHeight="1">
      <c r="A82" s="92" t="s">
        <v>316</v>
      </c>
      <c r="B82" s="7">
        <v>83</v>
      </c>
      <c r="C82" s="198">
        <f t="shared" si="10"/>
        <v>-3.9169419537517687E-2</v>
      </c>
      <c r="D82" s="7">
        <v>0.7</v>
      </c>
      <c r="E82" s="2" t="s">
        <v>317</v>
      </c>
      <c r="F82" s="7">
        <v>24.11</v>
      </c>
      <c r="G82" s="2" t="s">
        <v>318</v>
      </c>
      <c r="H82" s="203">
        <f t="shared" si="11"/>
        <v>39.16941953751769</v>
      </c>
    </row>
    <row r="83" spans="1:10" ht="15" customHeight="1">
      <c r="A83" s="92" t="s">
        <v>319</v>
      </c>
      <c r="B83" s="7">
        <v>80</v>
      </c>
      <c r="C83" s="198">
        <f t="shared" si="10"/>
        <v>-3.7753657385559219E-2</v>
      </c>
      <c r="D83" s="7">
        <v>0.8</v>
      </c>
      <c r="E83" s="2" t="s">
        <v>317</v>
      </c>
      <c r="F83" s="7">
        <v>28.6</v>
      </c>
      <c r="G83" s="2" t="s">
        <v>320</v>
      </c>
      <c r="H83" s="203">
        <f t="shared" si="11"/>
        <v>37.753657385559222</v>
      </c>
    </row>
    <row r="84" spans="1:10" ht="15" customHeight="1">
      <c r="A84" s="92" t="s">
        <v>307</v>
      </c>
      <c r="B84" s="7">
        <v>80</v>
      </c>
      <c r="C84" s="198">
        <f t="shared" si="10"/>
        <v>-3.7753657385559219E-2</v>
      </c>
      <c r="D84" s="7">
        <v>0.30000000000000004</v>
      </c>
      <c r="E84" s="7">
        <v>0.25</v>
      </c>
      <c r="F84" s="7">
        <v>16.2</v>
      </c>
      <c r="G84" s="2" t="s">
        <v>321</v>
      </c>
      <c r="H84" s="203">
        <f t="shared" si="11"/>
        <v>37.753657385559222</v>
      </c>
      <c r="J84" s="215">
        <f>F84/H84</f>
        <v>0.42909750000000002</v>
      </c>
    </row>
    <row r="85" spans="1:10" ht="15" customHeight="1">
      <c r="A85" s="64" t="s">
        <v>611</v>
      </c>
      <c r="B85" s="192">
        <v>100</v>
      </c>
      <c r="C85" s="205">
        <f t="shared" si="10"/>
        <v>-4.7192071731949031E-2</v>
      </c>
      <c r="D85" s="192">
        <v>0.9</v>
      </c>
      <c r="E85" s="192">
        <v>0.25</v>
      </c>
      <c r="F85" s="192">
        <v>27.3</v>
      </c>
      <c r="G85" s="192" t="s">
        <v>612</v>
      </c>
      <c r="H85" s="203">
        <f t="shared" si="11"/>
        <v>47.192071731949028</v>
      </c>
    </row>
    <row r="86" spans="1:10" ht="15" customHeight="1">
      <c r="A86" s="64" t="s">
        <v>609</v>
      </c>
      <c r="B86" s="192">
        <v>150</v>
      </c>
      <c r="C86" s="205">
        <f t="shared" si="10"/>
        <v>-7.0788107597923547E-2</v>
      </c>
      <c r="D86" s="192">
        <v>0.6</v>
      </c>
      <c r="E86" s="192">
        <v>0.25</v>
      </c>
      <c r="F86" s="192">
        <v>31.4</v>
      </c>
      <c r="G86" s="192" t="s">
        <v>610</v>
      </c>
      <c r="H86" s="203">
        <f t="shared" si="11"/>
        <v>70.788107597923542</v>
      </c>
      <c r="J86" s="215">
        <f>F86/H86</f>
        <v>0.44357733333333338</v>
      </c>
    </row>
    <row r="88" spans="1:10" ht="15" customHeight="1">
      <c r="A88" s="89" t="s">
        <v>613</v>
      </c>
      <c r="B88" s="208" t="s">
        <v>638</v>
      </c>
      <c r="C88" s="216" t="s">
        <v>639</v>
      </c>
      <c r="D88" s="30" t="s">
        <v>614</v>
      </c>
      <c r="E88" s="30" t="s">
        <v>615</v>
      </c>
      <c r="F88" s="30" t="s">
        <v>32</v>
      </c>
      <c r="G88" s="30" t="s">
        <v>282</v>
      </c>
      <c r="H88" s="74" t="s">
        <v>189</v>
      </c>
      <c r="J88" s="7">
        <f>AVERAGE(J63:J65,J75:J76,J84,J86)</f>
        <v>0.43605992857142867</v>
      </c>
    </row>
    <row r="89" spans="1:10" ht="15" customHeight="1">
      <c r="A89" s="90" t="s">
        <v>616</v>
      </c>
      <c r="B89" s="193">
        <v>89</v>
      </c>
      <c r="C89" s="198">
        <f t="shared" ref="C89:C94" si="12">H89/1000*-1</f>
        <v>-4.2000943841434636E-2</v>
      </c>
      <c r="D89" s="51">
        <v>73</v>
      </c>
      <c r="E89" s="45">
        <v>84</v>
      </c>
      <c r="F89" s="45">
        <v>89</v>
      </c>
      <c r="G89" s="51" t="s">
        <v>617</v>
      </c>
      <c r="H89" s="44">
        <f>B89/2.119</f>
        <v>42.000943841434633</v>
      </c>
    </row>
    <row r="90" spans="1:10" ht="15" customHeight="1">
      <c r="A90" s="92" t="s">
        <v>618</v>
      </c>
      <c r="B90" s="7">
        <v>114</v>
      </c>
      <c r="C90" s="198">
        <f t="shared" si="12"/>
        <v>-5.3798961774421887E-2</v>
      </c>
      <c r="D90" s="7">
        <v>78</v>
      </c>
      <c r="E90" s="7">
        <v>86</v>
      </c>
      <c r="F90" s="7">
        <v>98</v>
      </c>
      <c r="G90" s="117" t="s">
        <v>619</v>
      </c>
      <c r="H90" s="44">
        <f>B90/2.119</f>
        <v>53.79896177442189</v>
      </c>
    </row>
    <row r="91" spans="1:10" ht="15" customHeight="1">
      <c r="A91" s="1" t="s">
        <v>620</v>
      </c>
      <c r="B91" s="7">
        <v>155</v>
      </c>
      <c r="C91" s="198">
        <f t="shared" si="12"/>
        <v>-7.3147711184520986E-2</v>
      </c>
      <c r="D91" s="7">
        <v>75</v>
      </c>
      <c r="E91" s="7">
        <v>82</v>
      </c>
      <c r="F91" s="7">
        <v>123</v>
      </c>
      <c r="G91" s="117" t="s">
        <v>621</v>
      </c>
      <c r="H91" s="44">
        <f>B91/2.119</f>
        <v>73.147711184520986</v>
      </c>
    </row>
    <row r="92" spans="1:10" ht="15" customHeight="1">
      <c r="A92" s="110" t="s">
        <v>622</v>
      </c>
      <c r="B92" s="194">
        <f>H92*2.119</f>
        <v>84.76</v>
      </c>
      <c r="C92" s="218">
        <f t="shared" si="12"/>
        <v>-0.04</v>
      </c>
      <c r="D92" s="192">
        <v>68</v>
      </c>
      <c r="E92" s="192">
        <v>75</v>
      </c>
      <c r="F92" s="192">
        <v>64</v>
      </c>
      <c r="G92" s="192" t="s">
        <v>623</v>
      </c>
      <c r="H92" s="194">
        <v>40</v>
      </c>
      <c r="I92" s="195">
        <v>1200</v>
      </c>
    </row>
    <row r="93" spans="1:10" ht="15" customHeight="1">
      <c r="A93" s="110" t="s">
        <v>624</v>
      </c>
      <c r="B93" s="194">
        <f>H93*2.119</f>
        <v>118.66400000000002</v>
      </c>
      <c r="C93" s="218">
        <f t="shared" si="12"/>
        <v>-5.6000000000000001E-2</v>
      </c>
      <c r="D93" s="192">
        <v>65</v>
      </c>
      <c r="E93" s="192">
        <v>75</v>
      </c>
      <c r="F93" s="192">
        <v>114</v>
      </c>
      <c r="G93" s="192" t="s">
        <v>623</v>
      </c>
      <c r="H93" s="194">
        <v>56</v>
      </c>
      <c r="I93" s="195">
        <v>2100</v>
      </c>
    </row>
    <row r="94" spans="1:10" ht="15" customHeight="1">
      <c r="A94" s="110" t="s">
        <v>625</v>
      </c>
      <c r="B94" s="194">
        <f>H94*2.119</f>
        <v>137.73500000000001</v>
      </c>
      <c r="C94" s="218">
        <f t="shared" si="12"/>
        <v>-6.5000000000000002E-2</v>
      </c>
      <c r="D94" s="192">
        <v>64</v>
      </c>
      <c r="E94" s="192">
        <v>72</v>
      </c>
      <c r="F94" s="192">
        <v>124</v>
      </c>
      <c r="G94" s="192" t="s">
        <v>623</v>
      </c>
      <c r="H94" s="194">
        <v>65</v>
      </c>
      <c r="I94" s="195">
        <v>2700</v>
      </c>
    </row>
    <row r="97" spans="1:19" ht="15" customHeight="1">
      <c r="A97" s="1" t="s">
        <v>843</v>
      </c>
    </row>
    <row r="98" spans="1:19" ht="15" customHeight="1">
      <c r="A98" s="64" t="s">
        <v>781</v>
      </c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</row>
    <row r="99" spans="1:19" ht="15" customHeight="1">
      <c r="A99" s="64" t="s">
        <v>786</v>
      </c>
      <c r="B99" s="64"/>
      <c r="C99" s="64" t="s">
        <v>578</v>
      </c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</row>
    <row r="100" spans="1:19" ht="15" customHeight="1">
      <c r="A100" s="64" t="s">
        <v>783</v>
      </c>
      <c r="B100" s="64" t="s">
        <v>782</v>
      </c>
      <c r="C100" s="64" t="s">
        <v>640</v>
      </c>
      <c r="D100" s="64" t="s">
        <v>589</v>
      </c>
      <c r="E100" s="64" t="s">
        <v>590</v>
      </c>
      <c r="F100" s="64" t="s">
        <v>591</v>
      </c>
      <c r="G100" s="64" t="s">
        <v>592</v>
      </c>
      <c r="H100" s="64" t="s">
        <v>593</v>
      </c>
      <c r="I100" s="64" t="s">
        <v>594</v>
      </c>
      <c r="J100" s="64" t="s">
        <v>595</v>
      </c>
      <c r="K100" s="64" t="s">
        <v>596</v>
      </c>
      <c r="L100" s="64" t="s">
        <v>597</v>
      </c>
      <c r="M100" s="64" t="s">
        <v>598</v>
      </c>
      <c r="N100" s="64" t="s">
        <v>599</v>
      </c>
      <c r="O100" s="64" t="s">
        <v>600</v>
      </c>
      <c r="P100" s="64">
        <v>7</v>
      </c>
      <c r="Q100" s="64">
        <v>8</v>
      </c>
    </row>
    <row r="101" spans="1:19" ht="15" customHeight="1">
      <c r="A101" s="64">
        <v>10</v>
      </c>
      <c r="B101" s="64">
        <f>Leakage!AF59</f>
        <v>0.77770722590935659</v>
      </c>
      <c r="C101" s="64">
        <f>($B$101*A_houseSI*Weather!B25)/1.44</f>
        <v>55.541419739365267</v>
      </c>
      <c r="D101" s="64">
        <f>($B$101*A_houseSI*Weather!C25)/1.44</f>
        <v>56.896088513496139</v>
      </c>
      <c r="E101" s="64">
        <f>($B$101*A_houseSI*Weather!D25)/1.44</f>
        <v>58.250757287626996</v>
      </c>
      <c r="F101" s="64">
        <f>($B$101*A_houseSI*Weather!E25)/1.44</f>
        <v>62.314763610019583</v>
      </c>
      <c r="G101" s="64">
        <f>($B$101*A_houseSI*Weather!F25)/1.44</f>
        <v>65.024101158281297</v>
      </c>
      <c r="H101" s="64">
        <f>($B$101*A_houseSI*Weather!G25)/1.44</f>
        <v>81.280126447851615</v>
      </c>
      <c r="I101" s="64">
        <f>($B$101*A_houseSI*Weather!H25)/1.44</f>
        <v>67.733438706543026</v>
      </c>
      <c r="J101" s="64">
        <f>($B$101*A_houseSI*Weather!I25)/1.44</f>
        <v>73.15211380306647</v>
      </c>
      <c r="K101" s="64">
        <f>($B$101*A_houseSI*Weather!J25)/1.44</f>
        <v>74.506782577197328</v>
      </c>
      <c r="L101" s="64">
        <f>($B$101*A_houseSI*Weather!K25)/1.44</f>
        <v>81.280126447851615</v>
      </c>
      <c r="M101" s="64">
        <f>($B$101*A_houseSI*Weather!L25)/1.44</f>
        <v>75.861451351328185</v>
      </c>
      <c r="N101" s="64">
        <f>($B$101*A_houseSI*Weather!M25)/1.44</f>
        <v>82.634795221982486</v>
      </c>
      <c r="O101" s="64">
        <f>($B$101*A_houseSI*Weather!N25)/1.44</f>
        <v>85.344132770244201</v>
      </c>
      <c r="P101" s="64">
        <f>($B$101*A_houseSI*Weather!O25)/1.44</f>
        <v>94.826814189160231</v>
      </c>
      <c r="Q101" s="64">
        <f>($B$101*A_houseSI*Weather!P25)/1.44</f>
        <v>94.826814189160231</v>
      </c>
    </row>
    <row r="102" spans="1:19" ht="15" customHeight="1">
      <c r="A102" s="64">
        <v>7</v>
      </c>
      <c r="B102" s="64">
        <f>Leakage!AF60</f>
        <v>0.54439505813654954</v>
      </c>
      <c r="C102" s="64">
        <f>($B$102*A_houseSI*Weather!B25)/1.44</f>
        <v>38.878993817555688</v>
      </c>
      <c r="D102" s="64">
        <f>($B$102*A_houseSI*Weather!C25)/1.44</f>
        <v>39.827261959447291</v>
      </c>
      <c r="E102" s="64">
        <f>($B$102*A_houseSI*Weather!D25)/1.44</f>
        <v>40.775530101338894</v>
      </c>
      <c r="F102" s="64">
        <f>($B$102*A_houseSI*Weather!E25)/1.44</f>
        <v>43.620334527013711</v>
      </c>
      <c r="G102" s="64">
        <f>($B$102*A_houseSI*Weather!F25)/1.44</f>
        <v>45.51687081079691</v>
      </c>
      <c r="H102" s="64">
        <f>($B$102*A_houseSI*Weather!G25)/1.44</f>
        <v>56.896088513496139</v>
      </c>
      <c r="I102" s="64">
        <f>($B$102*A_houseSI*Weather!H25)/1.44</f>
        <v>47.413407094580116</v>
      </c>
      <c r="J102" s="64">
        <f>($B$102*A_houseSI*Weather!I25)/1.44</f>
        <v>51.206479662146521</v>
      </c>
      <c r="K102" s="64">
        <f>($B$102*A_houseSI*Weather!J25)/1.44</f>
        <v>52.154747804038131</v>
      </c>
      <c r="L102" s="64">
        <f>($B$102*A_houseSI*Weather!K25)/1.44</f>
        <v>56.896088513496139</v>
      </c>
      <c r="M102" s="64">
        <f>($B$102*A_houseSI*Weather!L25)/1.44</f>
        <v>53.103015945929727</v>
      </c>
      <c r="N102" s="64">
        <f>($B$102*A_houseSI*Weather!M25)/1.44</f>
        <v>57.844356655387735</v>
      </c>
      <c r="O102" s="64">
        <f>($B$102*A_houseSI*Weather!N25)/1.44</f>
        <v>59.740892939170941</v>
      </c>
      <c r="P102" s="64">
        <f>($B$102*A_houseSI*Weather!O25)/1.44</f>
        <v>66.378769932412155</v>
      </c>
      <c r="Q102" s="64">
        <f>($B$102*A_houseSI*Weather!P25)/1.44</f>
        <v>66.378769932412155</v>
      </c>
    </row>
    <row r="103" spans="1:19" ht="15" customHeight="1">
      <c r="A103" s="64">
        <v>5</v>
      </c>
      <c r="B103" s="64">
        <f>Leakage!AF61</f>
        <v>0.3888536129546783</v>
      </c>
      <c r="C103" s="64">
        <f>($B$103*A_houseSI*Weather!B25)/1.44</f>
        <v>27.770709869682634</v>
      </c>
      <c r="D103" s="64">
        <f>($B$103*A_houseSI*Weather!C25)/1.44</f>
        <v>28.448044256748069</v>
      </c>
      <c r="E103" s="64">
        <f>($B$103*A_houseSI*Weather!D25)/1.44</f>
        <v>29.125378643813498</v>
      </c>
      <c r="F103" s="64">
        <f>($B$103*A_houseSI*Weather!E25)/1.44</f>
        <v>31.157381805009791</v>
      </c>
      <c r="G103" s="64">
        <f>($B$103*A_houseSI*Weather!F25)/1.44</f>
        <v>32.512050579140649</v>
      </c>
      <c r="H103" s="64">
        <f>($B$103*A_houseSI*Weather!G25)/1.44</f>
        <v>40.640063223925807</v>
      </c>
      <c r="I103" s="64">
        <f>($B$103*A_houseSI*Weather!H25)/1.44</f>
        <v>33.866719353271513</v>
      </c>
      <c r="J103" s="64">
        <f>($B$103*A_houseSI*Weather!I25)/1.44</f>
        <v>36.576056901533235</v>
      </c>
      <c r="K103" s="64">
        <f>($B$103*A_houseSI*Weather!J25)/1.44</f>
        <v>37.253391288598664</v>
      </c>
      <c r="L103" s="64">
        <f>($B$103*A_houseSI*Weather!K25)/1.44</f>
        <v>40.640063223925807</v>
      </c>
      <c r="M103" s="64">
        <f>($B$103*A_houseSI*Weather!L25)/1.44</f>
        <v>37.930725675664092</v>
      </c>
      <c r="N103" s="64">
        <f>($B$103*A_houseSI*Weather!M25)/1.44</f>
        <v>41.317397610991243</v>
      </c>
      <c r="O103" s="64">
        <f>($B$103*A_houseSI*Weather!N25)/1.44</f>
        <v>42.6720663851221</v>
      </c>
      <c r="P103" s="64">
        <f>($B$103*A_houseSI*Weather!O25)/1.44</f>
        <v>47.413407094580116</v>
      </c>
      <c r="Q103" s="64">
        <f>($B$103*A_houseSI*Weather!P25)/1.44</f>
        <v>47.413407094580116</v>
      </c>
    </row>
    <row r="104" spans="1:19" ht="15" customHeight="1">
      <c r="A104" s="64">
        <v>3</v>
      </c>
      <c r="B104" s="64">
        <f>Leakage!AF62</f>
        <v>0.23331216777280694</v>
      </c>
      <c r="C104" s="64">
        <f>($B$104*A_houseSI*Weather!B25)/1.44</f>
        <v>16.662425921809582</v>
      </c>
      <c r="D104" s="64">
        <f>($B$104*A_houseSI*Weather!C25)/1.44</f>
        <v>17.06882655404884</v>
      </c>
      <c r="E104" s="64">
        <f>($B$104*A_houseSI*Weather!D25)/1.44</f>
        <v>17.475227186288098</v>
      </c>
      <c r="F104" s="64">
        <f>($B$104*A_houseSI*Weather!E25)/1.44</f>
        <v>18.694429083005872</v>
      </c>
      <c r="G104" s="64">
        <f>($B$104*A_houseSI*Weather!F25)/1.44</f>
        <v>19.507230347484388</v>
      </c>
      <c r="H104" s="64">
        <f>($B$104*A_houseSI*Weather!G25)/1.44</f>
        <v>24.384037934355486</v>
      </c>
      <c r="I104" s="64">
        <f>($B$104*A_houseSI*Weather!H25)/1.44</f>
        <v>20.320031611962904</v>
      </c>
      <c r="J104" s="64">
        <f>($B$104*A_houseSI*Weather!I25)/1.44</f>
        <v>21.945634140919939</v>
      </c>
      <c r="K104" s="64">
        <f>($B$104*A_houseSI*Weather!J25)/1.44</f>
        <v>22.3520347731592</v>
      </c>
      <c r="L104" s="64">
        <f>($B$104*A_houseSI*Weather!K25)/1.44</f>
        <v>24.384037934355486</v>
      </c>
      <c r="M104" s="64">
        <f>($B$104*A_houseSI*Weather!L25)/1.44</f>
        <v>22.758435405398455</v>
      </c>
      <c r="N104" s="64">
        <f>($B$104*A_houseSI*Weather!M25)/1.44</f>
        <v>24.790438566594741</v>
      </c>
      <c r="O104" s="64">
        <f>($B$104*A_houseSI*Weather!N25)/1.44</f>
        <v>25.60323983107326</v>
      </c>
      <c r="P104" s="64">
        <f>($B$104*A_houseSI*Weather!O25)/1.44</f>
        <v>28.448044256748066</v>
      </c>
      <c r="Q104" s="64">
        <f>($B$104*A_houseSI*Weather!P25)/1.44</f>
        <v>28.448044256748066</v>
      </c>
    </row>
    <row r="105" spans="1:19" ht="15" customHeight="1">
      <c r="A105" s="64">
        <v>1.5</v>
      </c>
      <c r="B105" s="64">
        <f>Leakage!AF63</f>
        <v>0.11665608388640347</v>
      </c>
      <c r="C105" s="64">
        <f>($B$105*A_houseSI*Weather!B25)/1.44</f>
        <v>8.3312129609047911</v>
      </c>
      <c r="D105" s="64">
        <f>($B$105*A_houseSI*Weather!C25)/1.44</f>
        <v>8.5344132770244201</v>
      </c>
      <c r="E105" s="64">
        <f>($B$105*A_houseSI*Weather!D25)/1.44</f>
        <v>8.7376135931440491</v>
      </c>
      <c r="F105" s="64">
        <f>($B$105*A_houseSI*Weather!E25)/1.44</f>
        <v>9.347214541502936</v>
      </c>
      <c r="G105" s="64">
        <f>($B$105*A_houseSI*Weather!F25)/1.44</f>
        <v>9.7536151737421939</v>
      </c>
      <c r="H105" s="64">
        <f>($B$105*A_houseSI*Weather!G25)/1.44</f>
        <v>12.192018967177743</v>
      </c>
      <c r="I105" s="64">
        <f>($B$105*A_houseSI*Weather!H25)/1.44</f>
        <v>10.160015805981452</v>
      </c>
      <c r="J105" s="64">
        <f>($B$105*A_houseSI*Weather!I25)/1.44</f>
        <v>10.972817070459969</v>
      </c>
      <c r="K105" s="64">
        <f>($B$105*A_houseSI*Weather!J25)/1.44</f>
        <v>11.1760173865796</v>
      </c>
      <c r="L105" s="64">
        <f>($B$105*A_houseSI*Weather!K25)/1.44</f>
        <v>12.192018967177743</v>
      </c>
      <c r="M105" s="64">
        <f>($B$105*A_houseSI*Weather!L25)/1.44</f>
        <v>11.379217702699227</v>
      </c>
      <c r="N105" s="64">
        <f>($B$105*A_houseSI*Weather!M25)/1.44</f>
        <v>12.39521928329737</v>
      </c>
      <c r="O105" s="64">
        <f>($B$105*A_houseSI*Weather!N25)/1.44</f>
        <v>12.80161991553663</v>
      </c>
      <c r="P105" s="64">
        <f>($B$105*A_houseSI*Weather!O25)/1.44</f>
        <v>14.224022128374033</v>
      </c>
      <c r="Q105" s="64">
        <f>($B$105*A_houseSI*Weather!P25)/1.44</f>
        <v>14.224022128374033</v>
      </c>
    </row>
    <row r="106" spans="1:19" ht="15" customHeight="1">
      <c r="A106" s="64">
        <v>0.6</v>
      </c>
      <c r="B106" s="64">
        <f>Leakage!AF64</f>
        <v>4.66624335545614E-2</v>
      </c>
      <c r="C106" s="64">
        <f>($B$106*A_houseSI*Weather!B25)/1.44</f>
        <v>3.3324851843619165</v>
      </c>
      <c r="D106" s="64">
        <f>($B$106*A_houseSI*Weather!C25)/1.44</f>
        <v>3.4137653108097683</v>
      </c>
      <c r="E106" s="64">
        <f>($B$106*A_houseSI*Weather!D25)/1.44</f>
        <v>3.4950454372576201</v>
      </c>
      <c r="F106" s="64">
        <f>($B$106*A_houseSI*Weather!E25)/1.44</f>
        <v>3.7388858166011749</v>
      </c>
      <c r="G106" s="64">
        <f>($B$106*A_houseSI*Weather!F25)/1.44</f>
        <v>3.901446069496878</v>
      </c>
      <c r="H106" s="64">
        <f>($B$106*A_houseSI*Weather!G25)/1.44</f>
        <v>4.8768075868710978</v>
      </c>
      <c r="I106" s="64">
        <f>($B$106*A_houseSI*Weather!H25)/1.44</f>
        <v>4.064006322392582</v>
      </c>
      <c r="J106" s="64">
        <f>($B$106*A_houseSI*Weather!I25)/1.44</f>
        <v>4.3891268281839881</v>
      </c>
      <c r="K106" s="64">
        <f>($B$106*A_houseSI*Weather!J25)/1.44</f>
        <v>4.4704069546318399</v>
      </c>
      <c r="L106" s="64">
        <f>($B$106*A_houseSI*Weather!K25)/1.44</f>
        <v>4.8768075868710978</v>
      </c>
      <c r="M106" s="64">
        <f>($B$106*A_houseSI*Weather!L25)/1.44</f>
        <v>4.5516870810796917</v>
      </c>
      <c r="N106" s="64">
        <f>($B$106*A_houseSI*Weather!M25)/1.44</f>
        <v>4.9580877133189496</v>
      </c>
      <c r="O106" s="64">
        <f>($B$106*A_houseSI*Weather!N25)/1.44</f>
        <v>5.1206479662146531</v>
      </c>
      <c r="P106" s="64">
        <f>($B$106*A_houseSI*Weather!O25)/1.44</f>
        <v>5.6896088513496137</v>
      </c>
      <c r="Q106" s="64">
        <f>($B$106*A_houseSI*Weather!P25)/1.44</f>
        <v>5.6896088513496137</v>
      </c>
    </row>
    <row r="107" spans="1:19" ht="15" customHeight="1">
      <c r="A107" s="64" t="s">
        <v>795</v>
      </c>
      <c r="B107" s="64" t="s">
        <v>658</v>
      </c>
      <c r="C107" s="64">
        <v>0</v>
      </c>
      <c r="D107" s="64">
        <v>0</v>
      </c>
      <c r="E107" s="64">
        <v>0</v>
      </c>
      <c r="F107" s="64">
        <v>0</v>
      </c>
      <c r="G107" s="64">
        <v>0</v>
      </c>
      <c r="H107" s="64">
        <v>0</v>
      </c>
      <c r="I107" s="64">
        <v>0</v>
      </c>
      <c r="J107" s="64">
        <v>0</v>
      </c>
      <c r="K107" s="64">
        <v>0</v>
      </c>
      <c r="L107" s="64">
        <v>0</v>
      </c>
      <c r="M107" s="64">
        <v>0</v>
      </c>
      <c r="N107" s="64">
        <v>0</v>
      </c>
      <c r="O107" s="64">
        <v>0</v>
      </c>
      <c r="P107" s="64">
        <v>0</v>
      </c>
      <c r="Q107" s="64">
        <v>0</v>
      </c>
    </row>
    <row r="108" spans="1:19" ht="15" customHeight="1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</row>
    <row r="109" spans="1:19" ht="15" customHeight="1">
      <c r="A109" s="280" t="s">
        <v>784</v>
      </c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</row>
    <row r="110" spans="1:19" ht="15" customHeight="1">
      <c r="A110" s="280" t="s">
        <v>785</v>
      </c>
      <c r="B110" s="280"/>
      <c r="C110" s="280" t="s">
        <v>578</v>
      </c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  <c r="P110" s="280"/>
      <c r="Q110" s="280"/>
    </row>
    <row r="111" spans="1:19" ht="15" customHeight="1">
      <c r="A111" s="280" t="s">
        <v>783</v>
      </c>
      <c r="B111" s="280" t="s">
        <v>782</v>
      </c>
      <c r="C111" s="280" t="s">
        <v>640</v>
      </c>
      <c r="D111" s="280" t="s">
        <v>589</v>
      </c>
      <c r="E111" s="280" t="s">
        <v>590</v>
      </c>
      <c r="F111" s="280" t="s">
        <v>591</v>
      </c>
      <c r="G111" s="280" t="s">
        <v>592</v>
      </c>
      <c r="H111" s="280" t="s">
        <v>593</v>
      </c>
      <c r="I111" s="280" t="s">
        <v>594</v>
      </c>
      <c r="J111" s="280" t="s">
        <v>595</v>
      </c>
      <c r="K111" s="280" t="s">
        <v>596</v>
      </c>
      <c r="L111" s="280" t="s">
        <v>597</v>
      </c>
      <c r="M111" s="280" t="s">
        <v>598</v>
      </c>
      <c r="N111" s="280" t="s">
        <v>599</v>
      </c>
      <c r="O111" s="280" t="s">
        <v>600</v>
      </c>
      <c r="P111" s="280">
        <v>7</v>
      </c>
      <c r="Q111" s="280">
        <v>8</v>
      </c>
      <c r="R111" s="1" t="s">
        <v>788</v>
      </c>
      <c r="S111" s="1" t="s">
        <v>787</v>
      </c>
    </row>
    <row r="112" spans="1:19" ht="15" customHeight="1">
      <c r="A112" s="280">
        <v>10</v>
      </c>
      <c r="B112" s="280">
        <f>Leakage!AF59</f>
        <v>0.77770722590935659</v>
      </c>
      <c r="C112" s="280">
        <f>IF(Age="existing",IF(Fans!$L$2-Fans!C101&lt;=0,0,Fans!$L$2-Fans!C101),IF(C101&lt;(2/3)*Fans!$L$2,Fans!$L$2-Fans!C101,(1/3)*Fans!$L$2))</f>
        <v>17.208166666666664</v>
      </c>
      <c r="D112" s="280">
        <f>IF(Age="existing",IF(Fans!$L$2-Fans!D101&lt;=0,0,Fans!$L$2-Fans!D101),IF(D101&lt;(2/3)*Fans!$L$2,Fans!$L$2-Fans!D101,(1/3)*Fans!$L$2))</f>
        <v>17.208166666666664</v>
      </c>
      <c r="E112" s="280">
        <f>IF(Age="existing",IF(Fans!$L$2-Fans!E101&lt;=0,0,Fans!$L$2-Fans!E101),IF(E101&lt;(2/3)*Fans!$L$2,Fans!$L$2-Fans!E101,(1/3)*Fans!$L$2))</f>
        <v>17.208166666666664</v>
      </c>
      <c r="F112" s="280">
        <f>IF(Age="existing",IF(Fans!$L$2-Fans!F101&lt;=0,0,Fans!$L$2-Fans!F101),IF(F101&lt;(2/3)*Fans!$L$2,Fans!$L$2-Fans!F101,(1/3)*Fans!$L$2))</f>
        <v>17.208166666666664</v>
      </c>
      <c r="G112" s="280">
        <f>IF(Age="existing",IF(Fans!$L$2-Fans!G101&lt;=0,0,Fans!$L$2-Fans!G101),IF(G101&lt;(2/3)*Fans!$L$2,Fans!$L$2-Fans!G101,(1/3)*Fans!$L$2))</f>
        <v>17.208166666666664</v>
      </c>
      <c r="H112" s="280">
        <f>IF(Age="existing",IF(Fans!$L$2-Fans!H101&lt;=0,0,Fans!$L$2-Fans!H101),IF(H101&lt;(2/3)*Fans!$L$2,Fans!$L$2-Fans!H101,(1/3)*Fans!$L$2))</f>
        <v>17.208166666666664</v>
      </c>
      <c r="I112" s="280">
        <f>IF(Age="existing",IF(Fans!$L$2-Fans!I101&lt;=0,0,Fans!$L$2-Fans!I101),IF(I101&lt;(2/3)*Fans!$L$2,Fans!$L$2-Fans!I101,(1/3)*Fans!$L$2))</f>
        <v>17.208166666666664</v>
      </c>
      <c r="J112" s="280">
        <f>IF(Age="existing",IF(Fans!$L$2-Fans!J101&lt;=0,0,Fans!$L$2-Fans!J101),IF(J101&lt;(2/3)*Fans!$L$2,Fans!$L$2-Fans!J101,(1/3)*Fans!$L$2))</f>
        <v>17.208166666666664</v>
      </c>
      <c r="K112" s="280">
        <f>IF(Age="existing",IF(Fans!$L$2-Fans!K101&lt;=0,0,Fans!$L$2-Fans!K101),IF(K101&lt;(2/3)*Fans!$L$2,Fans!$L$2-Fans!K101,(1/3)*Fans!$L$2))</f>
        <v>17.208166666666664</v>
      </c>
      <c r="L112" s="280">
        <f>IF(Age="existing",IF(Fans!$L$2-Fans!L101&lt;=0,0,Fans!$L$2-Fans!L101),IF(L101&lt;(2/3)*Fans!$L$2,Fans!$L$2-Fans!L101,(1/3)*Fans!$L$2))</f>
        <v>17.208166666666664</v>
      </c>
      <c r="M112" s="280">
        <f>IF(Age="existing",IF(Fans!$L$2-Fans!M101&lt;=0,0,Fans!$L$2-Fans!M101),IF(M101&lt;(2/3)*Fans!$L$2,Fans!$L$2-Fans!M101,(1/3)*Fans!$L$2))</f>
        <v>17.208166666666664</v>
      </c>
      <c r="N112" s="280">
        <f>IF(Age="existing",IF(Fans!$L$2-Fans!N101&lt;=0,0,Fans!$L$2-Fans!N101),IF(N101&lt;(2/3)*Fans!$L$2,Fans!$L$2-Fans!N101,(1/3)*Fans!$L$2))</f>
        <v>17.208166666666664</v>
      </c>
      <c r="O112" s="280">
        <f>IF(Age="existing",IF(Fans!$L$2-Fans!O101&lt;=0,0,Fans!$L$2-Fans!O101),IF(O101&lt;(2/3)*Fans!$L$2,Fans!$L$2-Fans!O101,(1/3)*Fans!$L$2))</f>
        <v>17.208166666666664</v>
      </c>
      <c r="P112" s="280">
        <f>IF(Age="existing",IF(Fans!$L$2-Fans!P101&lt;=0,0,Fans!$L$2-Fans!P101),IF(P101&lt;(2/3)*Fans!$L$2,Fans!$L$2-Fans!P101,(1/3)*Fans!$L$2))</f>
        <v>17.208166666666664</v>
      </c>
      <c r="Q112" s="280">
        <f>IF(Age="existing",IF(Fans!$L$2-Fans!Q101&lt;=0,0,Fans!$L$2-Fans!Q101),IF(Q101&lt;(2/3)*Fans!$L$2,Fans!$L$2-Fans!Q101,(1/3)*Fans!$L$2))</f>
        <v>17.208166666666664</v>
      </c>
      <c r="R112" s="90" t="s">
        <v>287</v>
      </c>
      <c r="S112" s="1">
        <v>50</v>
      </c>
    </row>
    <row r="113" spans="1:19" ht="15" customHeight="1">
      <c r="A113" s="280">
        <v>7</v>
      </c>
      <c r="B113" s="280">
        <f>Leakage!AF60</f>
        <v>0.54439505813654954</v>
      </c>
      <c r="C113" s="280">
        <f>IF(Age="existing",IF(Fans!$L$2-Fans!C102&lt;=0,0,Fans!$L$2-Fans!C102),IF(C102&lt;(2/3)*Fans!$L$2,Fans!$L$2-Fans!C102,(1/3)*Fans!$L$2))</f>
        <v>17.208166666666664</v>
      </c>
      <c r="D113" s="280">
        <f>IF(Age="existing",IF(Fans!$L$2-Fans!D102&lt;=0,0,Fans!$L$2-Fans!D102),IF(D102&lt;(2/3)*Fans!$L$2,Fans!$L$2-Fans!D102,(1/3)*Fans!$L$2))</f>
        <v>17.208166666666664</v>
      </c>
      <c r="E113" s="280">
        <f>IF(Age="existing",IF(Fans!$L$2-Fans!E102&lt;=0,0,Fans!$L$2-Fans!E102),IF(E102&lt;(2/3)*Fans!$L$2,Fans!$L$2-Fans!E102,(1/3)*Fans!$L$2))</f>
        <v>17.208166666666664</v>
      </c>
      <c r="F113" s="280">
        <f>IF(Age="existing",IF(Fans!$L$2-Fans!F102&lt;=0,0,Fans!$L$2-Fans!F102),IF(F102&lt;(2/3)*Fans!$L$2,Fans!$L$2-Fans!F102,(1/3)*Fans!$L$2))</f>
        <v>17.208166666666664</v>
      </c>
      <c r="G113" s="280">
        <f>IF(Age="existing",IF(Fans!$L$2-Fans!G102&lt;=0,0,Fans!$L$2-Fans!G102),IF(G102&lt;(2/3)*Fans!$L$2,Fans!$L$2-Fans!G102,(1/3)*Fans!$L$2))</f>
        <v>17.208166666666664</v>
      </c>
      <c r="H113" s="280">
        <f>IF(Age="existing",IF(Fans!$L$2-Fans!H102&lt;=0,0,Fans!$L$2-Fans!H102),IF(H102&lt;(2/3)*Fans!$L$2,Fans!$L$2-Fans!H102,(1/3)*Fans!$L$2))</f>
        <v>17.208166666666664</v>
      </c>
      <c r="I113" s="280">
        <f>IF(Age="existing",IF(Fans!$L$2-Fans!I102&lt;=0,0,Fans!$L$2-Fans!I102),IF(I102&lt;(2/3)*Fans!$L$2,Fans!$L$2-Fans!I102,(1/3)*Fans!$L$2))</f>
        <v>17.208166666666664</v>
      </c>
      <c r="J113" s="280">
        <f>IF(Age="existing",IF(Fans!$L$2-Fans!J102&lt;=0,0,Fans!$L$2-Fans!J102),IF(J102&lt;(2/3)*Fans!$L$2,Fans!$L$2-Fans!J102,(1/3)*Fans!$L$2))</f>
        <v>17.208166666666664</v>
      </c>
      <c r="K113" s="280">
        <f>IF(Age="existing",IF(Fans!$L$2-Fans!K102&lt;=0,0,Fans!$L$2-Fans!K102),IF(K102&lt;(2/3)*Fans!$L$2,Fans!$L$2-Fans!K102,(1/3)*Fans!$L$2))</f>
        <v>17.208166666666664</v>
      </c>
      <c r="L113" s="280">
        <f>IF(Age="existing",IF(Fans!$L$2-Fans!L102&lt;=0,0,Fans!$L$2-Fans!L102),IF(L102&lt;(2/3)*Fans!$L$2,Fans!$L$2-Fans!L102,(1/3)*Fans!$L$2))</f>
        <v>17.208166666666664</v>
      </c>
      <c r="M113" s="280">
        <f>IF(Age="existing",IF(Fans!$L$2-Fans!M102&lt;=0,0,Fans!$L$2-Fans!M102),IF(M102&lt;(2/3)*Fans!$L$2,Fans!$L$2-Fans!M102,(1/3)*Fans!$L$2))</f>
        <v>17.208166666666664</v>
      </c>
      <c r="N113" s="280">
        <f>IF(Age="existing",IF(Fans!$L$2-Fans!N102&lt;=0,0,Fans!$L$2-Fans!N102),IF(N102&lt;(2/3)*Fans!$L$2,Fans!$L$2-Fans!N102,(1/3)*Fans!$L$2))</f>
        <v>17.208166666666664</v>
      </c>
      <c r="O113" s="280">
        <f>IF(Age="existing",IF(Fans!$L$2-Fans!O102&lt;=0,0,Fans!$L$2-Fans!O102),IF(O102&lt;(2/3)*Fans!$L$2,Fans!$L$2-Fans!O102,(1/3)*Fans!$L$2))</f>
        <v>17.208166666666664</v>
      </c>
      <c r="P113" s="280">
        <f>IF(Age="existing",IF(Fans!$L$2-Fans!P102&lt;=0,0,Fans!$L$2-Fans!P102),IF(P102&lt;(2/3)*Fans!$L$2,Fans!$L$2-Fans!P102,(1/3)*Fans!$L$2))</f>
        <v>17.208166666666664</v>
      </c>
      <c r="Q113" s="280">
        <f>IF(Age="existing",IF(Fans!$L$2-Fans!Q102&lt;=0,0,Fans!$L$2-Fans!Q102),IF(Q102&lt;(2/3)*Fans!$L$2,Fans!$L$2-Fans!Q102,(1/3)*Fans!$L$2))</f>
        <v>17.208166666666664</v>
      </c>
      <c r="R113" s="90" t="s">
        <v>287</v>
      </c>
      <c r="S113" s="1">
        <v>50</v>
      </c>
    </row>
    <row r="114" spans="1:19" ht="15" customHeight="1">
      <c r="A114" s="280">
        <v>5</v>
      </c>
      <c r="B114" s="280">
        <f>Leakage!AF61</f>
        <v>0.3888536129546783</v>
      </c>
      <c r="C114" s="280">
        <f>IF(Age="existing",IF(Fans!$L$2-Fans!C103&lt;=0,0,Fans!$L$2-Fans!C103),IF(C103&lt;(2/3)*Fans!$L$2,Fans!$L$2-Fans!C103,(1/3)*Fans!$L$2))</f>
        <v>23.853790130317364</v>
      </c>
      <c r="D114" s="280">
        <f>IF(Age="existing",IF(Fans!$L$2-Fans!D103&lt;=0,0,Fans!$L$2-Fans!D103),IF(D103&lt;(2/3)*Fans!$L$2,Fans!$L$2-Fans!D103,(1/3)*Fans!$L$2))</f>
        <v>23.176455743251928</v>
      </c>
      <c r="E114" s="280">
        <f>IF(Age="existing",IF(Fans!$L$2-Fans!E103&lt;=0,0,Fans!$L$2-Fans!E103),IF(E103&lt;(2/3)*Fans!$L$2,Fans!$L$2-Fans!E103,(1/3)*Fans!$L$2))</f>
        <v>22.4991213561865</v>
      </c>
      <c r="F114" s="280">
        <f>IF(Age="existing",IF(Fans!$L$2-Fans!F103&lt;=0,0,Fans!$L$2-Fans!F103),IF(F103&lt;(2/3)*Fans!$L$2,Fans!$L$2-Fans!F103,(1/3)*Fans!$L$2))</f>
        <v>20.467118194990206</v>
      </c>
      <c r="G114" s="280">
        <f>IF(Age="existing",IF(Fans!$L$2-Fans!G103&lt;=0,0,Fans!$L$2-Fans!G103),IF(G103&lt;(2/3)*Fans!$L$2,Fans!$L$2-Fans!G103,(1/3)*Fans!$L$2))</f>
        <v>19.112449420859349</v>
      </c>
      <c r="H114" s="280">
        <f>IF(Age="existing",IF(Fans!$L$2-Fans!H103&lt;=0,0,Fans!$L$2-Fans!H103),IF(H103&lt;(2/3)*Fans!$L$2,Fans!$L$2-Fans!H103,(1/3)*Fans!$L$2))</f>
        <v>17.208166666666664</v>
      </c>
      <c r="I114" s="280">
        <f>IF(Age="existing",IF(Fans!$L$2-Fans!I103&lt;=0,0,Fans!$L$2-Fans!I103),IF(I103&lt;(2/3)*Fans!$L$2,Fans!$L$2-Fans!I103,(1/3)*Fans!$L$2))</f>
        <v>17.757780646728484</v>
      </c>
      <c r="J114" s="280">
        <f>IF(Age="existing",IF(Fans!$L$2-Fans!J103&lt;=0,0,Fans!$L$2-Fans!J103),IF(J103&lt;(2/3)*Fans!$L$2,Fans!$L$2-Fans!J103,(1/3)*Fans!$L$2))</f>
        <v>17.208166666666664</v>
      </c>
      <c r="K114" s="280">
        <f>IF(Age="existing",IF(Fans!$L$2-Fans!K103&lt;=0,0,Fans!$L$2-Fans!K103),IF(K103&lt;(2/3)*Fans!$L$2,Fans!$L$2-Fans!K103,(1/3)*Fans!$L$2))</f>
        <v>17.208166666666664</v>
      </c>
      <c r="L114" s="280">
        <f>IF(Age="existing",IF(Fans!$L$2-Fans!L103&lt;=0,0,Fans!$L$2-Fans!L103),IF(L103&lt;(2/3)*Fans!$L$2,Fans!$L$2-Fans!L103,(1/3)*Fans!$L$2))</f>
        <v>17.208166666666664</v>
      </c>
      <c r="M114" s="280">
        <f>IF(Age="existing",IF(Fans!$L$2-Fans!M103&lt;=0,0,Fans!$L$2-Fans!M103),IF(M103&lt;(2/3)*Fans!$L$2,Fans!$L$2-Fans!M103,(1/3)*Fans!$L$2))</f>
        <v>17.208166666666664</v>
      </c>
      <c r="N114" s="280">
        <f>IF(Age="existing",IF(Fans!$L$2-Fans!N103&lt;=0,0,Fans!$L$2-Fans!N103),IF(N103&lt;(2/3)*Fans!$L$2,Fans!$L$2-Fans!N103,(1/3)*Fans!$L$2))</f>
        <v>17.208166666666664</v>
      </c>
      <c r="O114" s="280">
        <f>IF(Age="existing",IF(Fans!$L$2-Fans!O103&lt;=0,0,Fans!$L$2-Fans!O103),IF(O103&lt;(2/3)*Fans!$L$2,Fans!$L$2-Fans!O103,(1/3)*Fans!$L$2))</f>
        <v>17.208166666666664</v>
      </c>
      <c r="P114" s="280">
        <f>IF(Age="existing",IF(Fans!$L$2-Fans!P103&lt;=0,0,Fans!$L$2-Fans!P103),IF(P103&lt;(2/3)*Fans!$L$2,Fans!$L$2-Fans!P103,(1/3)*Fans!$L$2))</f>
        <v>17.208166666666664</v>
      </c>
      <c r="Q114" s="280">
        <f>IF(Age="existing",IF(Fans!$L$2-Fans!Q103&lt;=0,0,Fans!$L$2-Fans!Q103),IF(Q103&lt;(2/3)*Fans!$L$2,Fans!$L$2-Fans!Q103,(1/3)*Fans!$L$2))</f>
        <v>17.208166666666664</v>
      </c>
      <c r="R114" s="90" t="s">
        <v>287</v>
      </c>
      <c r="S114" s="1">
        <v>50</v>
      </c>
    </row>
    <row r="115" spans="1:19" ht="15" customHeight="1">
      <c r="A115" s="280">
        <v>3</v>
      </c>
      <c r="B115" s="280">
        <f>Leakage!AF62</f>
        <v>0.23331216777280694</v>
      </c>
      <c r="C115" s="280">
        <f>IF(Age="existing",IF(Fans!$L$2-Fans!C104&lt;=0,0,Fans!$L$2-Fans!C104),IF(C104&lt;(2/3)*Fans!$L$2,Fans!$L$2-Fans!C104,(1/3)*Fans!$L$2))</f>
        <v>34.962074078190412</v>
      </c>
      <c r="D115" s="280">
        <f>IF(Age="existing",IF(Fans!$L$2-Fans!D104&lt;=0,0,Fans!$L$2-Fans!D104),IF(D104&lt;(2/3)*Fans!$L$2,Fans!$L$2-Fans!D104,(1/3)*Fans!$L$2))</f>
        <v>34.555673445951157</v>
      </c>
      <c r="E115" s="280">
        <f>IF(Age="existing",IF(Fans!$L$2-Fans!E104&lt;=0,0,Fans!$L$2-Fans!E104),IF(E104&lt;(2/3)*Fans!$L$2,Fans!$L$2-Fans!E104,(1/3)*Fans!$L$2))</f>
        <v>34.149272813711903</v>
      </c>
      <c r="F115" s="280">
        <f>IF(Age="existing",IF(Fans!$L$2-Fans!F104&lt;=0,0,Fans!$L$2-Fans!F104),IF(F104&lt;(2/3)*Fans!$L$2,Fans!$L$2-Fans!F104,(1/3)*Fans!$L$2))</f>
        <v>32.930070916994126</v>
      </c>
      <c r="G115" s="280">
        <f>IF(Age="existing",IF(Fans!$L$2-Fans!G104&lt;=0,0,Fans!$L$2-Fans!G104),IF(G104&lt;(2/3)*Fans!$L$2,Fans!$L$2-Fans!G104,(1/3)*Fans!$L$2))</f>
        <v>32.11726965251561</v>
      </c>
      <c r="H115" s="280">
        <f>IF(Age="existing",IF(Fans!$L$2-Fans!H104&lt;=0,0,Fans!$L$2-Fans!H104),IF(H104&lt;(2/3)*Fans!$L$2,Fans!$L$2-Fans!H104,(1/3)*Fans!$L$2))</f>
        <v>27.240462065644511</v>
      </c>
      <c r="I115" s="280">
        <f>IF(Age="existing",IF(Fans!$L$2-Fans!I104&lt;=0,0,Fans!$L$2-Fans!I104),IF(I104&lt;(2/3)*Fans!$L$2,Fans!$L$2-Fans!I104,(1/3)*Fans!$L$2))</f>
        <v>31.304468388037094</v>
      </c>
      <c r="J115" s="280">
        <f>IF(Age="existing",IF(Fans!$L$2-Fans!J104&lt;=0,0,Fans!$L$2-Fans!J104),IF(J104&lt;(2/3)*Fans!$L$2,Fans!$L$2-Fans!J104,(1/3)*Fans!$L$2))</f>
        <v>29.678865859080059</v>
      </c>
      <c r="K115" s="280">
        <f>IF(Age="existing",IF(Fans!$L$2-Fans!K104&lt;=0,0,Fans!$L$2-Fans!K104),IF(K104&lt;(2/3)*Fans!$L$2,Fans!$L$2-Fans!K104,(1/3)*Fans!$L$2))</f>
        <v>29.272465226840797</v>
      </c>
      <c r="L115" s="280">
        <f>IF(Age="existing",IF(Fans!$L$2-Fans!L104&lt;=0,0,Fans!$L$2-Fans!L104),IF(L104&lt;(2/3)*Fans!$L$2,Fans!$L$2-Fans!L104,(1/3)*Fans!$L$2))</f>
        <v>27.240462065644511</v>
      </c>
      <c r="M115" s="280">
        <f>IF(Age="existing",IF(Fans!$L$2-Fans!M104&lt;=0,0,Fans!$L$2-Fans!M104),IF(M104&lt;(2/3)*Fans!$L$2,Fans!$L$2-Fans!M104,(1/3)*Fans!$L$2))</f>
        <v>28.866064594601543</v>
      </c>
      <c r="N115" s="280">
        <f>IF(Age="existing",IF(Fans!$L$2-Fans!N104&lt;=0,0,Fans!$L$2-Fans!N104),IF(N104&lt;(2/3)*Fans!$L$2,Fans!$L$2-Fans!N104,(1/3)*Fans!$L$2))</f>
        <v>26.834061433405257</v>
      </c>
      <c r="O115" s="280">
        <f>IF(Age="existing",IF(Fans!$L$2-Fans!O104&lt;=0,0,Fans!$L$2-Fans!O104),IF(O104&lt;(2/3)*Fans!$L$2,Fans!$L$2-Fans!O104,(1/3)*Fans!$L$2))</f>
        <v>26.021260168926737</v>
      </c>
      <c r="P115" s="280">
        <f>IF(Age="existing",IF(Fans!$L$2-Fans!P104&lt;=0,0,Fans!$L$2-Fans!P104),IF(P104&lt;(2/3)*Fans!$L$2,Fans!$L$2-Fans!P104,(1/3)*Fans!$L$2))</f>
        <v>23.176455743251932</v>
      </c>
      <c r="Q115" s="280">
        <f>IF(Age="existing",IF(Fans!$L$2-Fans!Q104&lt;=0,0,Fans!$L$2-Fans!Q104),IF(Q104&lt;(2/3)*Fans!$L$2,Fans!$L$2-Fans!Q104,(1/3)*Fans!$L$2))</f>
        <v>23.176455743251932</v>
      </c>
      <c r="R115" s="92" t="s">
        <v>307</v>
      </c>
      <c r="S115" s="1">
        <v>70</v>
      </c>
    </row>
    <row r="116" spans="1:19" ht="15" customHeight="1">
      <c r="A116" s="280">
        <v>1.5</v>
      </c>
      <c r="B116" s="280">
        <f>Leakage!AF63</f>
        <v>0.11665608388640347</v>
      </c>
      <c r="C116" s="280">
        <f>IF(Age="existing",IF(Fans!$L$2-Fans!C105&lt;=0,0,Fans!$L$2-Fans!C105),IF(C105&lt;(2/3)*Fans!$L$2,Fans!$L$2-Fans!C105,(1/3)*Fans!$L$2))</f>
        <v>43.293287039095205</v>
      </c>
      <c r="D116" s="280">
        <f>IF(Age="existing",IF(Fans!$L$2-Fans!D105&lt;=0,0,Fans!$L$2-Fans!D105),IF(D105&lt;(2/3)*Fans!$L$2,Fans!$L$2-Fans!D105,(1/3)*Fans!$L$2))</f>
        <v>43.090086722975578</v>
      </c>
      <c r="E116" s="280">
        <f>IF(Age="existing",IF(Fans!$L$2-Fans!E105&lt;=0,0,Fans!$L$2-Fans!E105),IF(E105&lt;(2/3)*Fans!$L$2,Fans!$L$2-Fans!E105,(1/3)*Fans!$L$2))</f>
        <v>42.88688640685595</v>
      </c>
      <c r="F116" s="280">
        <f>IF(Age="existing",IF(Fans!$L$2-Fans!F105&lt;=0,0,Fans!$L$2-Fans!F105),IF(F105&lt;(2/3)*Fans!$L$2,Fans!$L$2-Fans!F105,(1/3)*Fans!$L$2))</f>
        <v>42.277285458497062</v>
      </c>
      <c r="G116" s="280">
        <f>IF(Age="existing",IF(Fans!$L$2-Fans!G105&lt;=0,0,Fans!$L$2-Fans!G105),IF(G105&lt;(2/3)*Fans!$L$2,Fans!$L$2-Fans!G105,(1/3)*Fans!$L$2))</f>
        <v>41.870884826257807</v>
      </c>
      <c r="H116" s="280">
        <f>IF(Age="existing",IF(Fans!$L$2-Fans!H105&lt;=0,0,Fans!$L$2-Fans!H105),IF(H105&lt;(2/3)*Fans!$L$2,Fans!$L$2-Fans!H105,(1/3)*Fans!$L$2))</f>
        <v>39.432481032822253</v>
      </c>
      <c r="I116" s="280">
        <f>IF(Age="existing",IF(Fans!$L$2-Fans!I105&lt;=0,0,Fans!$L$2-Fans!I105),IF(I105&lt;(2/3)*Fans!$L$2,Fans!$L$2-Fans!I105,(1/3)*Fans!$L$2))</f>
        <v>41.464484194018546</v>
      </c>
      <c r="J116" s="280">
        <f>IF(Age="existing",IF(Fans!$L$2-Fans!J105&lt;=0,0,Fans!$L$2-Fans!J105),IF(J105&lt;(2/3)*Fans!$L$2,Fans!$L$2-Fans!J105,(1/3)*Fans!$L$2))</f>
        <v>40.65168292954003</v>
      </c>
      <c r="K116" s="280">
        <f>IF(Age="existing",IF(Fans!$L$2-Fans!K105&lt;=0,0,Fans!$L$2-Fans!K105),IF(K105&lt;(2/3)*Fans!$L$2,Fans!$L$2-Fans!K105,(1/3)*Fans!$L$2))</f>
        <v>40.448482613420396</v>
      </c>
      <c r="L116" s="280">
        <f>IF(Age="existing",IF(Fans!$L$2-Fans!L105&lt;=0,0,Fans!$L$2-Fans!L105),IF(L105&lt;(2/3)*Fans!$L$2,Fans!$L$2-Fans!L105,(1/3)*Fans!$L$2))</f>
        <v>39.432481032822253</v>
      </c>
      <c r="M116" s="280">
        <f>IF(Age="existing",IF(Fans!$L$2-Fans!M105&lt;=0,0,Fans!$L$2-Fans!M105),IF(M105&lt;(2/3)*Fans!$L$2,Fans!$L$2-Fans!M105,(1/3)*Fans!$L$2))</f>
        <v>40.245282297300768</v>
      </c>
      <c r="N116" s="280">
        <f>IF(Age="existing",IF(Fans!$L$2-Fans!N105&lt;=0,0,Fans!$L$2-Fans!N105),IF(N105&lt;(2/3)*Fans!$L$2,Fans!$L$2-Fans!N105,(1/3)*Fans!$L$2))</f>
        <v>39.229280716702625</v>
      </c>
      <c r="O116" s="280">
        <f>IF(Age="existing",IF(Fans!$L$2-Fans!O105&lt;=0,0,Fans!$L$2-Fans!O105),IF(O105&lt;(2/3)*Fans!$L$2,Fans!$L$2-Fans!O105,(1/3)*Fans!$L$2))</f>
        <v>38.822880084463364</v>
      </c>
      <c r="P116" s="280">
        <f>IF(Age="existing",IF(Fans!$L$2-Fans!P105&lt;=0,0,Fans!$L$2-Fans!P105),IF(P105&lt;(2/3)*Fans!$L$2,Fans!$L$2-Fans!P105,(1/3)*Fans!$L$2))</f>
        <v>37.400477871625966</v>
      </c>
      <c r="Q116" s="280">
        <f>IF(Age="existing",IF(Fans!$L$2-Fans!Q105&lt;=0,0,Fans!$L$2-Fans!Q105),IF(Q105&lt;(2/3)*Fans!$L$2,Fans!$L$2-Fans!Q105,(1/3)*Fans!$L$2))</f>
        <v>37.400477871625966</v>
      </c>
      <c r="R116" s="92" t="s">
        <v>307</v>
      </c>
      <c r="S116" s="1">
        <v>80</v>
      </c>
    </row>
    <row r="117" spans="1:19" ht="15" customHeight="1">
      <c r="A117" s="280">
        <v>0.6</v>
      </c>
      <c r="B117" s="280">
        <f>Leakage!AF64</f>
        <v>4.66624335545614E-2</v>
      </c>
      <c r="C117" s="280">
        <f>IF(Age="existing",IF(Fans!$L$2-Fans!C106&lt;=0,0,Fans!$L$2-Fans!C106),IF(C106&lt;(2/3)*Fans!$L$2,Fans!$L$2-Fans!C106,(1/3)*Fans!$L$2))</f>
        <v>48.292014815638083</v>
      </c>
      <c r="D117" s="280">
        <f>IF(Age="existing",IF(Fans!$L$2-Fans!D106&lt;=0,0,Fans!$L$2-Fans!D106),IF(D106&lt;(2/3)*Fans!$L$2,Fans!$L$2-Fans!D106,(1/3)*Fans!$L$2))</f>
        <v>48.210734689190232</v>
      </c>
      <c r="E117" s="280">
        <f>IF(Age="existing",IF(Fans!$L$2-Fans!E106&lt;=0,0,Fans!$L$2-Fans!E106),IF(E106&lt;(2/3)*Fans!$L$2,Fans!$L$2-Fans!E106,(1/3)*Fans!$L$2))</f>
        <v>48.129454562742374</v>
      </c>
      <c r="F117" s="280">
        <f>IF(Age="existing",IF(Fans!$L$2-Fans!F106&lt;=0,0,Fans!$L$2-Fans!F106),IF(F106&lt;(2/3)*Fans!$L$2,Fans!$L$2-Fans!F106,(1/3)*Fans!$L$2))</f>
        <v>47.885614183398822</v>
      </c>
      <c r="G117" s="280">
        <f>IF(Age="existing",IF(Fans!$L$2-Fans!G106&lt;=0,0,Fans!$L$2-Fans!G106),IF(G106&lt;(2/3)*Fans!$L$2,Fans!$L$2-Fans!G106,(1/3)*Fans!$L$2))</f>
        <v>47.72305393050312</v>
      </c>
      <c r="H117" s="280">
        <f>IF(Age="existing",IF(Fans!$L$2-Fans!H106&lt;=0,0,Fans!$L$2-Fans!H106),IF(H106&lt;(2/3)*Fans!$L$2,Fans!$L$2-Fans!H106,(1/3)*Fans!$L$2))</f>
        <v>46.747692413128902</v>
      </c>
      <c r="I117" s="280">
        <f>IF(Age="existing",IF(Fans!$L$2-Fans!I106&lt;=0,0,Fans!$L$2-Fans!I106),IF(I106&lt;(2/3)*Fans!$L$2,Fans!$L$2-Fans!I106,(1/3)*Fans!$L$2))</f>
        <v>47.560493677607418</v>
      </c>
      <c r="J117" s="280">
        <f>IF(Age="existing",IF(Fans!$L$2-Fans!J106&lt;=0,0,Fans!$L$2-Fans!J106),IF(J106&lt;(2/3)*Fans!$L$2,Fans!$L$2-Fans!J106,(1/3)*Fans!$L$2))</f>
        <v>47.235373171816008</v>
      </c>
      <c r="K117" s="280">
        <f>IF(Age="existing",IF(Fans!$L$2-Fans!K106&lt;=0,0,Fans!$L$2-Fans!K106),IF(K106&lt;(2/3)*Fans!$L$2,Fans!$L$2-Fans!K106,(1/3)*Fans!$L$2))</f>
        <v>47.154093045368157</v>
      </c>
      <c r="L117" s="280">
        <f>IF(Age="existing",IF(Fans!$L$2-Fans!L106&lt;=0,0,Fans!$L$2-Fans!L106),IF(L106&lt;(2/3)*Fans!$L$2,Fans!$L$2-Fans!L106,(1/3)*Fans!$L$2))</f>
        <v>46.747692413128902</v>
      </c>
      <c r="M117" s="280">
        <f>IF(Age="existing",IF(Fans!$L$2-Fans!M106&lt;=0,0,Fans!$L$2-Fans!M106),IF(M106&lt;(2/3)*Fans!$L$2,Fans!$L$2-Fans!M106,(1/3)*Fans!$L$2))</f>
        <v>47.072812918920306</v>
      </c>
      <c r="N117" s="280">
        <f>IF(Age="existing",IF(Fans!$L$2-Fans!N106&lt;=0,0,Fans!$L$2-Fans!N106),IF(N106&lt;(2/3)*Fans!$L$2,Fans!$L$2-Fans!N106,(1/3)*Fans!$L$2))</f>
        <v>46.666412286681052</v>
      </c>
      <c r="O117" s="280">
        <f>IF(Age="existing",IF(Fans!$L$2-Fans!O106&lt;=0,0,Fans!$L$2-Fans!O106),IF(O106&lt;(2/3)*Fans!$L$2,Fans!$L$2-Fans!O106,(1/3)*Fans!$L$2))</f>
        <v>46.503852033785343</v>
      </c>
      <c r="P117" s="280">
        <f>IF(Age="existing",IF(Fans!$L$2-Fans!P106&lt;=0,0,Fans!$L$2-Fans!P106),IF(P106&lt;(2/3)*Fans!$L$2,Fans!$L$2-Fans!P106,(1/3)*Fans!$L$2))</f>
        <v>45.934891148650387</v>
      </c>
      <c r="Q117" s="280">
        <f>IF(Age="existing",IF(Fans!$L$2-Fans!Q106&lt;=0,0,Fans!$L$2-Fans!Q106),IF(Q106&lt;(2/3)*Fans!$L$2,Fans!$L$2-Fans!Q106,(1/3)*Fans!$L$2))</f>
        <v>45.934891148650387</v>
      </c>
      <c r="R117" s="110" t="s">
        <v>622</v>
      </c>
      <c r="S117" s="1">
        <v>84.5</v>
      </c>
    </row>
    <row r="118" spans="1:19" ht="15" customHeight="1">
      <c r="A118" s="280" t="s">
        <v>795</v>
      </c>
      <c r="B118" s="280" t="s">
        <v>658</v>
      </c>
      <c r="C118" s="281">
        <f>$L$2</f>
        <v>51.624499999999998</v>
      </c>
      <c r="D118" s="281">
        <f t="shared" ref="D118:Q118" si="13">$L$2</f>
        <v>51.624499999999998</v>
      </c>
      <c r="E118" s="281">
        <f t="shared" si="13"/>
        <v>51.624499999999998</v>
      </c>
      <c r="F118" s="281">
        <f t="shared" si="13"/>
        <v>51.624499999999998</v>
      </c>
      <c r="G118" s="281">
        <f t="shared" si="13"/>
        <v>51.624499999999998</v>
      </c>
      <c r="H118" s="281">
        <f t="shared" si="13"/>
        <v>51.624499999999998</v>
      </c>
      <c r="I118" s="281">
        <f t="shared" si="13"/>
        <v>51.624499999999998</v>
      </c>
      <c r="J118" s="281">
        <f t="shared" si="13"/>
        <v>51.624499999999998</v>
      </c>
      <c r="K118" s="281">
        <f t="shared" si="13"/>
        <v>51.624499999999998</v>
      </c>
      <c r="L118" s="281">
        <f t="shared" si="13"/>
        <v>51.624499999999998</v>
      </c>
      <c r="M118" s="281">
        <f t="shared" si="13"/>
        <v>51.624499999999998</v>
      </c>
      <c r="N118" s="281">
        <f t="shared" si="13"/>
        <v>51.624499999999998</v>
      </c>
      <c r="O118" s="281">
        <f t="shared" si="13"/>
        <v>51.624499999999998</v>
      </c>
      <c r="P118" s="281">
        <f t="shared" si="13"/>
        <v>51.624499999999998</v>
      </c>
      <c r="Q118" s="281">
        <f t="shared" si="13"/>
        <v>51.624499999999998</v>
      </c>
      <c r="R118" s="279"/>
    </row>
    <row r="119" spans="1:19" ht="15" customHeight="1">
      <c r="A119" s="280"/>
      <c r="B119" s="282"/>
      <c r="C119" s="282"/>
      <c r="D119" s="282"/>
      <c r="E119" s="282"/>
      <c r="F119" s="282"/>
      <c r="G119" s="282"/>
      <c r="H119" s="282"/>
      <c r="I119" s="282"/>
      <c r="J119" s="282"/>
      <c r="K119" s="282"/>
      <c r="L119" s="282"/>
      <c r="M119" s="282"/>
      <c r="N119" s="282"/>
      <c r="O119" s="282"/>
      <c r="P119" s="282"/>
      <c r="Q119" s="282"/>
    </row>
    <row r="120" spans="1:19" ht="15" customHeight="1">
      <c r="A120" s="64" t="s">
        <v>796</v>
      </c>
      <c r="B120" s="19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192"/>
      <c r="O120" s="192"/>
      <c r="P120" s="192"/>
      <c r="Q120" s="192"/>
    </row>
    <row r="121" spans="1:19" ht="15" customHeight="1">
      <c r="A121" s="64" t="s">
        <v>785</v>
      </c>
      <c r="B121" s="64"/>
      <c r="C121" s="64" t="s">
        <v>578</v>
      </c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</row>
    <row r="122" spans="1:19" ht="15" customHeight="1">
      <c r="A122" s="64" t="s">
        <v>783</v>
      </c>
      <c r="B122" s="64" t="s">
        <v>782</v>
      </c>
      <c r="C122" s="64" t="s">
        <v>640</v>
      </c>
      <c r="D122" s="64" t="s">
        <v>589</v>
      </c>
      <c r="E122" s="64" t="s">
        <v>590</v>
      </c>
      <c r="F122" s="64" t="s">
        <v>591</v>
      </c>
      <c r="G122" s="64" t="s">
        <v>592</v>
      </c>
      <c r="H122" s="64" t="s">
        <v>593</v>
      </c>
      <c r="I122" s="64" t="s">
        <v>594</v>
      </c>
      <c r="J122" s="64" t="s">
        <v>595</v>
      </c>
      <c r="K122" s="64" t="s">
        <v>596</v>
      </c>
      <c r="L122" s="64" t="s">
        <v>597</v>
      </c>
      <c r="M122" s="64" t="s">
        <v>598</v>
      </c>
      <c r="N122" s="64" t="s">
        <v>599</v>
      </c>
      <c r="O122" s="64" t="s">
        <v>600</v>
      </c>
      <c r="P122" s="64">
        <v>7</v>
      </c>
      <c r="Q122" s="64">
        <v>8</v>
      </c>
    </row>
    <row r="123" spans="1:19" ht="15" customHeight="1">
      <c r="A123" s="64">
        <v>10</v>
      </c>
      <c r="B123" s="192">
        <f>Leakage!AF59</f>
        <v>0.77770722590935659</v>
      </c>
      <c r="C123" s="192">
        <f>1.1*C112</f>
        <v>18.928983333333331</v>
      </c>
      <c r="D123" s="192">
        <f t="shared" ref="D123:Q123" si="14">1.1*D112</f>
        <v>18.928983333333331</v>
      </c>
      <c r="E123" s="192">
        <f t="shared" si="14"/>
        <v>18.928983333333331</v>
      </c>
      <c r="F123" s="192">
        <f t="shared" si="14"/>
        <v>18.928983333333331</v>
      </c>
      <c r="G123" s="192">
        <f t="shared" si="14"/>
        <v>18.928983333333331</v>
      </c>
      <c r="H123" s="192">
        <f t="shared" si="14"/>
        <v>18.928983333333331</v>
      </c>
      <c r="I123" s="192">
        <f t="shared" si="14"/>
        <v>18.928983333333331</v>
      </c>
      <c r="J123" s="192">
        <f t="shared" si="14"/>
        <v>18.928983333333331</v>
      </c>
      <c r="K123" s="192">
        <f t="shared" si="14"/>
        <v>18.928983333333331</v>
      </c>
      <c r="L123" s="192">
        <f t="shared" si="14"/>
        <v>18.928983333333331</v>
      </c>
      <c r="M123" s="192">
        <f t="shared" si="14"/>
        <v>18.928983333333331</v>
      </c>
      <c r="N123" s="192">
        <f t="shared" si="14"/>
        <v>18.928983333333331</v>
      </c>
      <c r="O123" s="192">
        <f t="shared" si="14"/>
        <v>18.928983333333331</v>
      </c>
      <c r="P123" s="192">
        <f t="shared" si="14"/>
        <v>18.928983333333331</v>
      </c>
      <c r="Q123" s="192">
        <f t="shared" si="14"/>
        <v>18.928983333333331</v>
      </c>
    </row>
    <row r="124" spans="1:19" ht="15" customHeight="1">
      <c r="A124" s="64">
        <v>7</v>
      </c>
      <c r="B124" s="192">
        <f>Leakage!AF60</f>
        <v>0.54439505813654954</v>
      </c>
      <c r="C124" s="192">
        <f t="shared" ref="C124:Q124" si="15">1.1*C113</f>
        <v>18.928983333333331</v>
      </c>
      <c r="D124" s="192">
        <f t="shared" si="15"/>
        <v>18.928983333333331</v>
      </c>
      <c r="E124" s="192">
        <f t="shared" si="15"/>
        <v>18.928983333333331</v>
      </c>
      <c r="F124" s="192">
        <f t="shared" si="15"/>
        <v>18.928983333333331</v>
      </c>
      <c r="G124" s="192">
        <f t="shared" si="15"/>
        <v>18.928983333333331</v>
      </c>
      <c r="H124" s="192">
        <f t="shared" si="15"/>
        <v>18.928983333333331</v>
      </c>
      <c r="I124" s="192">
        <f t="shared" si="15"/>
        <v>18.928983333333331</v>
      </c>
      <c r="J124" s="192">
        <f t="shared" si="15"/>
        <v>18.928983333333331</v>
      </c>
      <c r="K124" s="192">
        <f t="shared" si="15"/>
        <v>18.928983333333331</v>
      </c>
      <c r="L124" s="192">
        <f t="shared" si="15"/>
        <v>18.928983333333331</v>
      </c>
      <c r="M124" s="192">
        <f t="shared" si="15"/>
        <v>18.928983333333331</v>
      </c>
      <c r="N124" s="192">
        <f t="shared" si="15"/>
        <v>18.928983333333331</v>
      </c>
      <c r="O124" s="192">
        <f t="shared" si="15"/>
        <v>18.928983333333331</v>
      </c>
      <c r="P124" s="192">
        <f t="shared" si="15"/>
        <v>18.928983333333331</v>
      </c>
      <c r="Q124" s="192">
        <f t="shared" si="15"/>
        <v>18.928983333333331</v>
      </c>
    </row>
    <row r="125" spans="1:19" ht="15" customHeight="1">
      <c r="A125" s="64">
        <v>5</v>
      </c>
      <c r="B125" s="192">
        <f>Leakage!AF61</f>
        <v>0.3888536129546783</v>
      </c>
      <c r="C125" s="192">
        <f t="shared" ref="C125:Q125" si="16">1.1*C114</f>
        <v>26.239169143349102</v>
      </c>
      <c r="D125" s="192">
        <f t="shared" si="16"/>
        <v>25.494101317577123</v>
      </c>
      <c r="E125" s="192">
        <f t="shared" si="16"/>
        <v>24.74903349180515</v>
      </c>
      <c r="F125" s="192">
        <f t="shared" si="16"/>
        <v>22.51383001448923</v>
      </c>
      <c r="G125" s="192">
        <f t="shared" si="16"/>
        <v>21.023694362945285</v>
      </c>
      <c r="H125" s="192">
        <f t="shared" si="16"/>
        <v>18.928983333333331</v>
      </c>
      <c r="I125" s="192">
        <f t="shared" si="16"/>
        <v>19.533558711401334</v>
      </c>
      <c r="J125" s="192">
        <f t="shared" si="16"/>
        <v>18.928983333333331</v>
      </c>
      <c r="K125" s="192">
        <f t="shared" si="16"/>
        <v>18.928983333333331</v>
      </c>
      <c r="L125" s="192">
        <f t="shared" si="16"/>
        <v>18.928983333333331</v>
      </c>
      <c r="M125" s="192">
        <f t="shared" si="16"/>
        <v>18.928983333333331</v>
      </c>
      <c r="N125" s="192">
        <f t="shared" si="16"/>
        <v>18.928983333333331</v>
      </c>
      <c r="O125" s="192">
        <f t="shared" si="16"/>
        <v>18.928983333333331</v>
      </c>
      <c r="P125" s="192">
        <f t="shared" si="16"/>
        <v>18.928983333333331</v>
      </c>
      <c r="Q125" s="192">
        <f t="shared" si="16"/>
        <v>18.928983333333331</v>
      </c>
    </row>
    <row r="126" spans="1:19" ht="15" customHeight="1">
      <c r="A126" s="64">
        <v>3</v>
      </c>
      <c r="B126" s="192">
        <f>Leakage!AF62</f>
        <v>0.23331216777280694</v>
      </c>
      <c r="C126" s="192">
        <f t="shared" ref="C126:Q126" si="17">1.1*C115</f>
        <v>38.458281486009454</v>
      </c>
      <c r="D126" s="192">
        <f t="shared" si="17"/>
        <v>38.011240790546275</v>
      </c>
      <c r="E126" s="192">
        <f t="shared" si="17"/>
        <v>37.564200095083095</v>
      </c>
      <c r="F126" s="192">
        <f t="shared" si="17"/>
        <v>36.223078008693541</v>
      </c>
      <c r="G126" s="192">
        <f t="shared" si="17"/>
        <v>35.328996617767174</v>
      </c>
      <c r="H126" s="192">
        <f t="shared" si="17"/>
        <v>29.964508272208963</v>
      </c>
      <c r="I126" s="192">
        <f t="shared" si="17"/>
        <v>34.434915226840808</v>
      </c>
      <c r="J126" s="192">
        <f t="shared" si="17"/>
        <v>32.646752444988067</v>
      </c>
      <c r="K126" s="192">
        <f t="shared" si="17"/>
        <v>32.19971174952488</v>
      </c>
      <c r="L126" s="192">
        <f t="shared" si="17"/>
        <v>29.964508272208963</v>
      </c>
      <c r="M126" s="192">
        <f t="shared" si="17"/>
        <v>31.7526710540617</v>
      </c>
      <c r="N126" s="192">
        <f t="shared" si="17"/>
        <v>29.517467576745783</v>
      </c>
      <c r="O126" s="192">
        <f t="shared" si="17"/>
        <v>28.623386185819413</v>
      </c>
      <c r="P126" s="192">
        <f t="shared" si="17"/>
        <v>25.494101317577126</v>
      </c>
      <c r="Q126" s="192">
        <f t="shared" si="17"/>
        <v>25.494101317577126</v>
      </c>
    </row>
    <row r="127" spans="1:19" ht="15" customHeight="1">
      <c r="A127" s="64">
        <v>1.5</v>
      </c>
      <c r="B127" s="192">
        <f>Leakage!AF63</f>
        <v>0.11665608388640347</v>
      </c>
      <c r="C127" s="192">
        <f t="shared" ref="C127:Q127" si="18">1.1*C116</f>
        <v>47.622615743004729</v>
      </c>
      <c r="D127" s="192">
        <f t="shared" si="18"/>
        <v>47.399095395273136</v>
      </c>
      <c r="E127" s="192">
        <f t="shared" si="18"/>
        <v>47.17557504754155</v>
      </c>
      <c r="F127" s="192">
        <f t="shared" si="18"/>
        <v>46.505014004346769</v>
      </c>
      <c r="G127" s="192">
        <f t="shared" si="18"/>
        <v>46.057973308883589</v>
      </c>
      <c r="H127" s="192">
        <f t="shared" si="18"/>
        <v>43.375729136104482</v>
      </c>
      <c r="I127" s="192">
        <f t="shared" si="18"/>
        <v>45.610932613420403</v>
      </c>
      <c r="J127" s="192">
        <f t="shared" si="18"/>
        <v>44.716851222494036</v>
      </c>
      <c r="K127" s="192">
        <f t="shared" si="18"/>
        <v>44.493330874762442</v>
      </c>
      <c r="L127" s="192">
        <f t="shared" si="18"/>
        <v>43.375729136104482</v>
      </c>
      <c r="M127" s="192">
        <f t="shared" si="18"/>
        <v>44.269810527030849</v>
      </c>
      <c r="N127" s="192">
        <f t="shared" si="18"/>
        <v>43.152208788372889</v>
      </c>
      <c r="O127" s="192">
        <f t="shared" si="18"/>
        <v>42.705168092909702</v>
      </c>
      <c r="P127" s="192">
        <f t="shared" si="18"/>
        <v>41.140525658788569</v>
      </c>
      <c r="Q127" s="192">
        <f t="shared" si="18"/>
        <v>41.140525658788569</v>
      </c>
    </row>
    <row r="128" spans="1:19" ht="15" customHeight="1">
      <c r="A128" s="64">
        <v>0.6</v>
      </c>
      <c r="B128" s="192">
        <f>Leakage!AF64</f>
        <v>4.66624335545614E-2</v>
      </c>
      <c r="C128" s="192">
        <f t="shared" ref="C128:Q128" si="19">1.1*C117</f>
        <v>53.121216297201897</v>
      </c>
      <c r="D128" s="192">
        <f t="shared" si="19"/>
        <v>53.031808158109257</v>
      </c>
      <c r="E128" s="192">
        <f t="shared" si="19"/>
        <v>52.942400019016617</v>
      </c>
      <c r="F128" s="192">
        <f t="shared" si="19"/>
        <v>52.67417560173871</v>
      </c>
      <c r="G128" s="192">
        <f t="shared" si="19"/>
        <v>52.495359323553437</v>
      </c>
      <c r="H128" s="192">
        <f t="shared" si="19"/>
        <v>51.422461654441797</v>
      </c>
      <c r="I128" s="192">
        <f t="shared" si="19"/>
        <v>52.316543045368164</v>
      </c>
      <c r="J128" s="192">
        <f t="shared" si="19"/>
        <v>51.95891048899761</v>
      </c>
      <c r="K128" s="192">
        <f t="shared" si="19"/>
        <v>51.869502349904977</v>
      </c>
      <c r="L128" s="192">
        <f t="shared" si="19"/>
        <v>51.422461654441797</v>
      </c>
      <c r="M128" s="192">
        <f t="shared" si="19"/>
        <v>51.780094210812344</v>
      </c>
      <c r="N128" s="192">
        <f t="shared" si="19"/>
        <v>51.333053515349164</v>
      </c>
      <c r="O128" s="192">
        <f t="shared" si="19"/>
        <v>51.154237237163883</v>
      </c>
      <c r="P128" s="192">
        <f t="shared" si="19"/>
        <v>50.52838026351543</v>
      </c>
      <c r="Q128" s="192">
        <f t="shared" si="19"/>
        <v>50.52838026351543</v>
      </c>
    </row>
    <row r="129" spans="1:17" ht="15" customHeight="1">
      <c r="A129" s="64"/>
      <c r="B129" s="19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192"/>
      <c r="O129" s="192"/>
      <c r="P129" s="192"/>
      <c r="Q129" s="192"/>
    </row>
    <row r="130" spans="1:17" ht="15" customHeight="1">
      <c r="A130" s="280" t="s">
        <v>790</v>
      </c>
      <c r="B130" s="282"/>
      <c r="C130" s="282"/>
      <c r="D130" s="282"/>
      <c r="E130" s="282"/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</row>
    <row r="131" spans="1:17" ht="15" customHeight="1">
      <c r="A131" s="280" t="s">
        <v>791</v>
      </c>
      <c r="B131" s="282"/>
      <c r="C131" s="280" t="s">
        <v>578</v>
      </c>
      <c r="D131" s="280"/>
      <c r="E131" s="280"/>
      <c r="F131" s="280"/>
      <c r="G131" s="280"/>
      <c r="H131" s="280"/>
      <c r="I131" s="280"/>
      <c r="J131" s="280"/>
      <c r="K131" s="280"/>
      <c r="L131" s="280"/>
      <c r="M131" s="280"/>
      <c r="N131" s="280"/>
      <c r="O131" s="280"/>
      <c r="P131" s="280"/>
      <c r="Q131" s="280"/>
    </row>
    <row r="132" spans="1:17" ht="15" customHeight="1">
      <c r="A132" s="280" t="s">
        <v>783</v>
      </c>
      <c r="B132" s="282"/>
      <c r="C132" s="280" t="s">
        <v>640</v>
      </c>
      <c r="D132" s="280" t="s">
        <v>589</v>
      </c>
      <c r="E132" s="280" t="s">
        <v>590</v>
      </c>
      <c r="F132" s="280" t="s">
        <v>591</v>
      </c>
      <c r="G132" s="280" t="s">
        <v>592</v>
      </c>
      <c r="H132" s="280" t="s">
        <v>593</v>
      </c>
      <c r="I132" s="280" t="s">
        <v>594</v>
      </c>
      <c r="J132" s="280" t="s">
        <v>595</v>
      </c>
      <c r="K132" s="280" t="s">
        <v>596</v>
      </c>
      <c r="L132" s="280" t="s">
        <v>597</v>
      </c>
      <c r="M132" s="280" t="s">
        <v>598</v>
      </c>
      <c r="N132" s="280" t="s">
        <v>599</v>
      </c>
      <c r="O132" s="280" t="s">
        <v>600</v>
      </c>
      <c r="P132" s="280">
        <v>7</v>
      </c>
      <c r="Q132" s="280">
        <v>8</v>
      </c>
    </row>
    <row r="133" spans="1:17" ht="15" customHeight="1">
      <c r="A133" s="280">
        <v>10</v>
      </c>
      <c r="B133" s="282">
        <f>Leakage!AF59</f>
        <v>0.77770722590935659</v>
      </c>
      <c r="C133" s="282">
        <f>C112*0.4361</f>
        <v>7.5044814833333318</v>
      </c>
      <c r="D133" s="282">
        <f t="shared" ref="D133:Q133" si="20">D112*0.4361</f>
        <v>7.5044814833333318</v>
      </c>
      <c r="E133" s="282">
        <f t="shared" si="20"/>
        <v>7.5044814833333318</v>
      </c>
      <c r="F133" s="282">
        <f t="shared" si="20"/>
        <v>7.5044814833333318</v>
      </c>
      <c r="G133" s="282">
        <f t="shared" si="20"/>
        <v>7.5044814833333318</v>
      </c>
      <c r="H133" s="282">
        <f t="shared" si="20"/>
        <v>7.5044814833333318</v>
      </c>
      <c r="I133" s="282">
        <f t="shared" si="20"/>
        <v>7.5044814833333318</v>
      </c>
      <c r="J133" s="282">
        <f t="shared" si="20"/>
        <v>7.5044814833333318</v>
      </c>
      <c r="K133" s="282">
        <f t="shared" si="20"/>
        <v>7.5044814833333318</v>
      </c>
      <c r="L133" s="282">
        <f t="shared" si="20"/>
        <v>7.5044814833333318</v>
      </c>
      <c r="M133" s="282">
        <f t="shared" si="20"/>
        <v>7.5044814833333318</v>
      </c>
      <c r="N133" s="282">
        <f t="shared" si="20"/>
        <v>7.5044814833333318</v>
      </c>
      <c r="O133" s="282">
        <f t="shared" si="20"/>
        <v>7.5044814833333318</v>
      </c>
      <c r="P133" s="282">
        <f t="shared" si="20"/>
        <v>7.5044814833333318</v>
      </c>
      <c r="Q133" s="282">
        <f t="shared" si="20"/>
        <v>7.5044814833333318</v>
      </c>
    </row>
    <row r="134" spans="1:17" ht="15" customHeight="1">
      <c r="A134" s="280">
        <v>7</v>
      </c>
      <c r="B134" s="282">
        <f>Leakage!AF60</f>
        <v>0.54439505813654954</v>
      </c>
      <c r="C134" s="282">
        <f t="shared" ref="C134:Q134" si="21">C113*0.4361</f>
        <v>7.5044814833333318</v>
      </c>
      <c r="D134" s="282">
        <f t="shared" si="21"/>
        <v>7.5044814833333318</v>
      </c>
      <c r="E134" s="282">
        <f t="shared" si="21"/>
        <v>7.5044814833333318</v>
      </c>
      <c r="F134" s="282">
        <f t="shared" si="21"/>
        <v>7.5044814833333318</v>
      </c>
      <c r="G134" s="282">
        <f t="shared" si="21"/>
        <v>7.5044814833333318</v>
      </c>
      <c r="H134" s="282">
        <f t="shared" si="21"/>
        <v>7.5044814833333318</v>
      </c>
      <c r="I134" s="282">
        <f t="shared" si="21"/>
        <v>7.5044814833333318</v>
      </c>
      <c r="J134" s="282">
        <f t="shared" si="21"/>
        <v>7.5044814833333318</v>
      </c>
      <c r="K134" s="282">
        <f t="shared" si="21"/>
        <v>7.5044814833333318</v>
      </c>
      <c r="L134" s="282">
        <f t="shared" si="21"/>
        <v>7.5044814833333318</v>
      </c>
      <c r="M134" s="282">
        <f t="shared" si="21"/>
        <v>7.5044814833333318</v>
      </c>
      <c r="N134" s="282">
        <f t="shared" si="21"/>
        <v>7.5044814833333318</v>
      </c>
      <c r="O134" s="282">
        <f t="shared" si="21"/>
        <v>7.5044814833333318</v>
      </c>
      <c r="P134" s="282">
        <f t="shared" si="21"/>
        <v>7.5044814833333318</v>
      </c>
      <c r="Q134" s="282">
        <f t="shared" si="21"/>
        <v>7.5044814833333318</v>
      </c>
    </row>
    <row r="135" spans="1:17" ht="15" customHeight="1">
      <c r="A135" s="280">
        <v>5</v>
      </c>
      <c r="B135" s="282">
        <f>Leakage!AF61</f>
        <v>0.3888536129546783</v>
      </c>
      <c r="C135" s="282">
        <f t="shared" ref="C135:Q135" si="22">C114*0.4361</f>
        <v>10.402637875831402</v>
      </c>
      <c r="D135" s="282">
        <f t="shared" si="22"/>
        <v>10.107252349632166</v>
      </c>
      <c r="E135" s="282">
        <f t="shared" si="22"/>
        <v>9.8118668234329327</v>
      </c>
      <c r="F135" s="282">
        <f t="shared" si="22"/>
        <v>8.9257102448352281</v>
      </c>
      <c r="G135" s="282">
        <f t="shared" si="22"/>
        <v>8.334939192436762</v>
      </c>
      <c r="H135" s="282">
        <f t="shared" si="22"/>
        <v>7.5044814833333318</v>
      </c>
      <c r="I135" s="282">
        <f t="shared" si="22"/>
        <v>7.7441681400382922</v>
      </c>
      <c r="J135" s="282">
        <f t="shared" si="22"/>
        <v>7.5044814833333318</v>
      </c>
      <c r="K135" s="282">
        <f t="shared" si="22"/>
        <v>7.5044814833333318</v>
      </c>
      <c r="L135" s="282">
        <f t="shared" si="22"/>
        <v>7.5044814833333318</v>
      </c>
      <c r="M135" s="282">
        <f t="shared" si="22"/>
        <v>7.5044814833333318</v>
      </c>
      <c r="N135" s="282">
        <f t="shared" si="22"/>
        <v>7.5044814833333318</v>
      </c>
      <c r="O135" s="282">
        <f t="shared" si="22"/>
        <v>7.5044814833333318</v>
      </c>
      <c r="P135" s="282">
        <f t="shared" si="22"/>
        <v>7.5044814833333318</v>
      </c>
      <c r="Q135" s="282">
        <f t="shared" si="22"/>
        <v>7.5044814833333318</v>
      </c>
    </row>
    <row r="136" spans="1:17" ht="15" customHeight="1">
      <c r="A136" s="280">
        <v>3</v>
      </c>
      <c r="B136" s="282">
        <f>Leakage!AF62</f>
        <v>0.23331216777280694</v>
      </c>
      <c r="C136" s="282">
        <f t="shared" ref="C136:Q136" si="23">C115*0.4361</f>
        <v>15.246960505498839</v>
      </c>
      <c r="D136" s="282">
        <f t="shared" si="23"/>
        <v>15.069729189779299</v>
      </c>
      <c r="E136" s="282">
        <f t="shared" si="23"/>
        <v>14.89249787405976</v>
      </c>
      <c r="F136" s="282">
        <f t="shared" si="23"/>
        <v>14.360803926901138</v>
      </c>
      <c r="G136" s="282">
        <f t="shared" si="23"/>
        <v>14.006341295462057</v>
      </c>
      <c r="H136" s="282">
        <f t="shared" si="23"/>
        <v>11.879565506827571</v>
      </c>
      <c r="I136" s="282">
        <f t="shared" si="23"/>
        <v>13.651878664022977</v>
      </c>
      <c r="J136" s="282">
        <f t="shared" si="23"/>
        <v>12.942953401144813</v>
      </c>
      <c r="K136" s="282">
        <f t="shared" si="23"/>
        <v>12.765722085425271</v>
      </c>
      <c r="L136" s="282">
        <f t="shared" si="23"/>
        <v>11.879565506827571</v>
      </c>
      <c r="M136" s="282">
        <f t="shared" si="23"/>
        <v>12.588490769705732</v>
      </c>
      <c r="N136" s="282">
        <f t="shared" si="23"/>
        <v>11.702334191108033</v>
      </c>
      <c r="O136" s="282">
        <f t="shared" si="23"/>
        <v>11.347871559668949</v>
      </c>
      <c r="P136" s="282">
        <f t="shared" si="23"/>
        <v>10.107252349632168</v>
      </c>
      <c r="Q136" s="282">
        <f t="shared" si="23"/>
        <v>10.107252349632168</v>
      </c>
    </row>
    <row r="137" spans="1:17" ht="15" customHeight="1">
      <c r="A137" s="280">
        <v>1.5</v>
      </c>
      <c r="B137" s="282">
        <f>Leakage!AF63</f>
        <v>0.11665608388640347</v>
      </c>
      <c r="C137" s="282">
        <f t="shared" ref="C137:Q137" si="24">C116*0.4361</f>
        <v>18.880202477749418</v>
      </c>
      <c r="D137" s="282">
        <f t="shared" si="24"/>
        <v>18.791586819889648</v>
      </c>
      <c r="E137" s="282">
        <f t="shared" si="24"/>
        <v>18.702971162029879</v>
      </c>
      <c r="F137" s="282">
        <f t="shared" si="24"/>
        <v>18.437124188450568</v>
      </c>
      <c r="G137" s="282">
        <f t="shared" si="24"/>
        <v>18.259892872731029</v>
      </c>
      <c r="H137" s="282">
        <f t="shared" si="24"/>
        <v>17.196504978413785</v>
      </c>
      <c r="I137" s="282">
        <f t="shared" si="24"/>
        <v>18.082661557011487</v>
      </c>
      <c r="J137" s="282">
        <f t="shared" si="24"/>
        <v>17.728198925572407</v>
      </c>
      <c r="K137" s="282">
        <f t="shared" si="24"/>
        <v>17.639583267712634</v>
      </c>
      <c r="L137" s="282">
        <f t="shared" si="24"/>
        <v>17.196504978413785</v>
      </c>
      <c r="M137" s="282">
        <f t="shared" si="24"/>
        <v>17.550967609852865</v>
      </c>
      <c r="N137" s="282">
        <f t="shared" si="24"/>
        <v>17.107889320554015</v>
      </c>
      <c r="O137" s="282">
        <f t="shared" si="24"/>
        <v>16.930658004834473</v>
      </c>
      <c r="P137" s="282">
        <f t="shared" si="24"/>
        <v>16.310348399816082</v>
      </c>
      <c r="Q137" s="282">
        <f t="shared" si="24"/>
        <v>16.310348399816082</v>
      </c>
    </row>
    <row r="138" spans="1:17" ht="15" customHeight="1">
      <c r="A138" s="280">
        <v>0.6</v>
      </c>
      <c r="B138" s="282">
        <f>Leakage!AF64</f>
        <v>4.66624335545614E-2</v>
      </c>
      <c r="C138" s="282">
        <f t="shared" ref="C138:Q138" si="25">C117*0.4361</f>
        <v>21.060147661099766</v>
      </c>
      <c r="D138" s="282">
        <f t="shared" si="25"/>
        <v>21.024701397955859</v>
      </c>
      <c r="E138" s="282">
        <f t="shared" si="25"/>
        <v>20.989255134811948</v>
      </c>
      <c r="F138" s="282">
        <f t="shared" si="25"/>
        <v>20.882916345380227</v>
      </c>
      <c r="G138" s="282">
        <f t="shared" si="25"/>
        <v>20.81202381909241</v>
      </c>
      <c r="H138" s="282">
        <f t="shared" si="25"/>
        <v>20.386668661365515</v>
      </c>
      <c r="I138" s="282">
        <f t="shared" si="25"/>
        <v>20.741131292804596</v>
      </c>
      <c r="J138" s="282">
        <f t="shared" si="25"/>
        <v>20.599346240228961</v>
      </c>
      <c r="K138" s="282">
        <f t="shared" si="25"/>
        <v>20.563899977085054</v>
      </c>
      <c r="L138" s="282">
        <f t="shared" si="25"/>
        <v>20.386668661365515</v>
      </c>
      <c r="M138" s="282">
        <f t="shared" si="25"/>
        <v>20.528453713941143</v>
      </c>
      <c r="N138" s="282">
        <f t="shared" si="25"/>
        <v>20.351222398221605</v>
      </c>
      <c r="O138" s="282">
        <f t="shared" si="25"/>
        <v>20.280329871933787</v>
      </c>
      <c r="P138" s="282">
        <f t="shared" si="25"/>
        <v>20.032206029926432</v>
      </c>
      <c r="Q138" s="282">
        <f t="shared" si="25"/>
        <v>20.032206029926432</v>
      </c>
    </row>
    <row r="139" spans="1:17" ht="15" customHeight="1">
      <c r="A139" s="280" t="s">
        <v>795</v>
      </c>
      <c r="B139" s="282" t="s">
        <v>658</v>
      </c>
      <c r="C139" s="282">
        <f t="shared" ref="C139:Q139" si="26">C118*0.4361</f>
        <v>22.513444449999998</v>
      </c>
      <c r="D139" s="282">
        <f t="shared" si="26"/>
        <v>22.513444449999998</v>
      </c>
      <c r="E139" s="282">
        <f t="shared" si="26"/>
        <v>22.513444449999998</v>
      </c>
      <c r="F139" s="282">
        <f t="shared" si="26"/>
        <v>22.513444449999998</v>
      </c>
      <c r="G139" s="282">
        <f t="shared" si="26"/>
        <v>22.513444449999998</v>
      </c>
      <c r="H139" s="282">
        <f t="shared" si="26"/>
        <v>22.513444449999998</v>
      </c>
      <c r="I139" s="282">
        <f t="shared" si="26"/>
        <v>22.513444449999998</v>
      </c>
      <c r="J139" s="282">
        <f t="shared" si="26"/>
        <v>22.513444449999998</v>
      </c>
      <c r="K139" s="282">
        <f t="shared" si="26"/>
        <v>22.513444449999998</v>
      </c>
      <c r="L139" s="282">
        <f t="shared" si="26"/>
        <v>22.513444449999998</v>
      </c>
      <c r="M139" s="282">
        <f t="shared" si="26"/>
        <v>22.513444449999998</v>
      </c>
      <c r="N139" s="282">
        <f t="shared" si="26"/>
        <v>22.513444449999998</v>
      </c>
      <c r="O139" s="282">
        <f t="shared" si="26"/>
        <v>22.513444449999998</v>
      </c>
      <c r="P139" s="282">
        <f t="shared" si="26"/>
        <v>22.513444449999998</v>
      </c>
      <c r="Q139" s="282">
        <f t="shared" si="26"/>
        <v>22.513444449999998</v>
      </c>
    </row>
    <row r="140" spans="1:17" ht="15" customHeight="1">
      <c r="A140" s="280"/>
      <c r="B140" s="282"/>
      <c r="C140" s="282"/>
      <c r="D140" s="282"/>
      <c r="E140" s="282"/>
      <c r="F140" s="282"/>
      <c r="G140" s="282"/>
      <c r="H140" s="282"/>
      <c r="I140" s="282"/>
      <c r="J140" s="282"/>
      <c r="K140" s="282"/>
      <c r="L140" s="282"/>
      <c r="M140" s="282"/>
      <c r="N140" s="282"/>
      <c r="O140" s="282"/>
      <c r="P140" s="282"/>
      <c r="Q140" s="282"/>
    </row>
    <row r="141" spans="1:17" ht="15" customHeight="1">
      <c r="A141" s="280"/>
      <c r="B141" s="282"/>
      <c r="C141" s="282"/>
      <c r="D141" s="282"/>
      <c r="E141" s="282"/>
      <c r="F141" s="282"/>
      <c r="G141" s="282">
        <f>43.3*0.4361</f>
        <v>18.883129999999998</v>
      </c>
      <c r="H141" s="282"/>
      <c r="I141" s="282"/>
      <c r="J141" s="282"/>
      <c r="K141" s="282"/>
      <c r="L141" s="282"/>
      <c r="M141" s="282"/>
      <c r="N141" s="282"/>
      <c r="O141" s="282"/>
      <c r="P141" s="282"/>
      <c r="Q141" s="282"/>
    </row>
    <row r="142" spans="1:17" ht="15" customHeight="1">
      <c r="A142" s="64" t="s">
        <v>797</v>
      </c>
      <c r="B142" s="19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192"/>
      <c r="O142" s="192"/>
      <c r="P142" s="192"/>
      <c r="Q142" s="192"/>
    </row>
    <row r="143" spans="1:17" ht="15" customHeight="1">
      <c r="A143" s="64" t="s">
        <v>791</v>
      </c>
      <c r="B143" s="192"/>
      <c r="C143" s="64" t="s">
        <v>578</v>
      </c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</row>
    <row r="144" spans="1:17" ht="15" customHeight="1">
      <c r="A144" s="64" t="s">
        <v>783</v>
      </c>
      <c r="B144" s="192"/>
      <c r="C144" s="64" t="s">
        <v>640</v>
      </c>
      <c r="D144" s="64" t="s">
        <v>589</v>
      </c>
      <c r="E144" s="64" t="s">
        <v>590</v>
      </c>
      <c r="F144" s="64" t="s">
        <v>591</v>
      </c>
      <c r="G144" s="64" t="s">
        <v>592</v>
      </c>
      <c r="H144" s="64" t="s">
        <v>593</v>
      </c>
      <c r="I144" s="64" t="s">
        <v>594</v>
      </c>
      <c r="J144" s="64" t="s">
        <v>595</v>
      </c>
      <c r="K144" s="64" t="s">
        <v>596</v>
      </c>
      <c r="L144" s="64" t="s">
        <v>597</v>
      </c>
      <c r="M144" s="64" t="s">
        <v>598</v>
      </c>
      <c r="N144" s="64" t="s">
        <v>599</v>
      </c>
      <c r="O144" s="64" t="s">
        <v>600</v>
      </c>
      <c r="P144" s="64">
        <v>7</v>
      </c>
      <c r="Q144" s="64">
        <v>8</v>
      </c>
    </row>
    <row r="145" spans="1:17" ht="15" customHeight="1">
      <c r="A145" s="64">
        <v>10</v>
      </c>
      <c r="B145" s="192">
        <f>Leakage!AF59</f>
        <v>0.77770722590935659</v>
      </c>
      <c r="C145" s="192">
        <f>C133*1.1</f>
        <v>8.2549296316666663</v>
      </c>
      <c r="D145" s="192">
        <f t="shared" ref="D145:Q145" si="27">D133*1.1</f>
        <v>8.2549296316666663</v>
      </c>
      <c r="E145" s="192">
        <f t="shared" si="27"/>
        <v>8.2549296316666663</v>
      </c>
      <c r="F145" s="192">
        <f t="shared" si="27"/>
        <v>8.2549296316666663</v>
      </c>
      <c r="G145" s="192">
        <f t="shared" si="27"/>
        <v>8.2549296316666663</v>
      </c>
      <c r="H145" s="192">
        <f t="shared" si="27"/>
        <v>8.2549296316666663</v>
      </c>
      <c r="I145" s="192">
        <f t="shared" si="27"/>
        <v>8.2549296316666663</v>
      </c>
      <c r="J145" s="192">
        <f t="shared" si="27"/>
        <v>8.2549296316666663</v>
      </c>
      <c r="K145" s="192">
        <f t="shared" si="27"/>
        <v>8.2549296316666663</v>
      </c>
      <c r="L145" s="192">
        <f t="shared" si="27"/>
        <v>8.2549296316666663</v>
      </c>
      <c r="M145" s="192">
        <f t="shared" si="27"/>
        <v>8.2549296316666663</v>
      </c>
      <c r="N145" s="192">
        <f t="shared" si="27"/>
        <v>8.2549296316666663</v>
      </c>
      <c r="O145" s="192">
        <f t="shared" si="27"/>
        <v>8.2549296316666663</v>
      </c>
      <c r="P145" s="192">
        <f t="shared" si="27"/>
        <v>8.2549296316666663</v>
      </c>
      <c r="Q145" s="192">
        <f t="shared" si="27"/>
        <v>8.2549296316666663</v>
      </c>
    </row>
    <row r="146" spans="1:17" ht="15" customHeight="1">
      <c r="A146" s="64">
        <v>7</v>
      </c>
      <c r="B146" s="192">
        <f>Leakage!AF60</f>
        <v>0.54439505813654954</v>
      </c>
      <c r="C146" s="192">
        <f t="shared" ref="C146:Q146" si="28">C134*1.1</f>
        <v>8.2549296316666663</v>
      </c>
      <c r="D146" s="192">
        <f t="shared" si="28"/>
        <v>8.2549296316666663</v>
      </c>
      <c r="E146" s="192">
        <f t="shared" si="28"/>
        <v>8.2549296316666663</v>
      </c>
      <c r="F146" s="192">
        <f t="shared" si="28"/>
        <v>8.2549296316666663</v>
      </c>
      <c r="G146" s="192">
        <f t="shared" si="28"/>
        <v>8.2549296316666663</v>
      </c>
      <c r="H146" s="192">
        <f t="shared" si="28"/>
        <v>8.2549296316666663</v>
      </c>
      <c r="I146" s="192">
        <f t="shared" si="28"/>
        <v>8.2549296316666663</v>
      </c>
      <c r="J146" s="192">
        <f t="shared" si="28"/>
        <v>8.2549296316666663</v>
      </c>
      <c r="K146" s="192">
        <f t="shared" si="28"/>
        <v>8.2549296316666663</v>
      </c>
      <c r="L146" s="192">
        <f t="shared" si="28"/>
        <v>8.2549296316666663</v>
      </c>
      <c r="M146" s="192">
        <f t="shared" si="28"/>
        <v>8.2549296316666663</v>
      </c>
      <c r="N146" s="192">
        <f t="shared" si="28"/>
        <v>8.2549296316666663</v>
      </c>
      <c r="O146" s="192">
        <f t="shared" si="28"/>
        <v>8.2549296316666663</v>
      </c>
      <c r="P146" s="192">
        <f t="shared" si="28"/>
        <v>8.2549296316666663</v>
      </c>
      <c r="Q146" s="192">
        <f t="shared" si="28"/>
        <v>8.2549296316666663</v>
      </c>
    </row>
    <row r="147" spans="1:17" ht="15" customHeight="1">
      <c r="A147" s="64">
        <v>5</v>
      </c>
      <c r="B147" s="192">
        <f>Leakage!AF61</f>
        <v>0.3888536129546783</v>
      </c>
      <c r="C147" s="192">
        <f t="shared" ref="C147:Q147" si="29">C135*1.1</f>
        <v>11.442901663414544</v>
      </c>
      <c r="D147" s="192">
        <f t="shared" si="29"/>
        <v>11.117977584595383</v>
      </c>
      <c r="E147" s="192">
        <f t="shared" si="29"/>
        <v>10.793053505776227</v>
      </c>
      <c r="F147" s="192">
        <f t="shared" si="29"/>
        <v>9.8182812693187511</v>
      </c>
      <c r="G147" s="192">
        <f t="shared" si="29"/>
        <v>9.1684331116804394</v>
      </c>
      <c r="H147" s="192">
        <f t="shared" si="29"/>
        <v>8.2549296316666663</v>
      </c>
      <c r="I147" s="192">
        <f t="shared" si="29"/>
        <v>8.5185849540421223</v>
      </c>
      <c r="J147" s="192">
        <f t="shared" si="29"/>
        <v>8.2549296316666663</v>
      </c>
      <c r="K147" s="192">
        <f t="shared" si="29"/>
        <v>8.2549296316666663</v>
      </c>
      <c r="L147" s="192">
        <f t="shared" si="29"/>
        <v>8.2549296316666663</v>
      </c>
      <c r="M147" s="192">
        <f t="shared" si="29"/>
        <v>8.2549296316666663</v>
      </c>
      <c r="N147" s="192">
        <f t="shared" si="29"/>
        <v>8.2549296316666663</v>
      </c>
      <c r="O147" s="192">
        <f t="shared" si="29"/>
        <v>8.2549296316666663</v>
      </c>
      <c r="P147" s="192">
        <f t="shared" si="29"/>
        <v>8.2549296316666663</v>
      </c>
      <c r="Q147" s="192">
        <f t="shared" si="29"/>
        <v>8.2549296316666663</v>
      </c>
    </row>
    <row r="148" spans="1:17" ht="15" customHeight="1">
      <c r="A148" s="64">
        <v>3</v>
      </c>
      <c r="B148" s="192">
        <f>Leakage!AF62</f>
        <v>0.23331216777280694</v>
      </c>
      <c r="C148" s="192">
        <f t="shared" ref="C148:Q148" si="30">C136*1.1</f>
        <v>16.771656556048725</v>
      </c>
      <c r="D148" s="192">
        <f t="shared" si="30"/>
        <v>16.576702108757228</v>
      </c>
      <c r="E148" s="192">
        <f t="shared" si="30"/>
        <v>16.381747661465738</v>
      </c>
      <c r="F148" s="192">
        <f t="shared" si="30"/>
        <v>15.796884319591253</v>
      </c>
      <c r="G148" s="192">
        <f t="shared" si="30"/>
        <v>15.406975425008264</v>
      </c>
      <c r="H148" s="192">
        <f t="shared" si="30"/>
        <v>13.067522057510329</v>
      </c>
      <c r="I148" s="192">
        <f t="shared" si="30"/>
        <v>15.017066530425275</v>
      </c>
      <c r="J148" s="192">
        <f t="shared" si="30"/>
        <v>14.237248741259295</v>
      </c>
      <c r="K148" s="192">
        <f t="shared" si="30"/>
        <v>14.042294293967799</v>
      </c>
      <c r="L148" s="192">
        <f t="shared" si="30"/>
        <v>13.067522057510329</v>
      </c>
      <c r="M148" s="192">
        <f t="shared" si="30"/>
        <v>13.847339846676306</v>
      </c>
      <c r="N148" s="192">
        <f t="shared" si="30"/>
        <v>12.872567610218837</v>
      </c>
      <c r="O148" s="192">
        <f t="shared" si="30"/>
        <v>12.482658715635845</v>
      </c>
      <c r="P148" s="192">
        <f t="shared" si="30"/>
        <v>11.117977584595385</v>
      </c>
      <c r="Q148" s="192">
        <f t="shared" si="30"/>
        <v>11.117977584595385</v>
      </c>
    </row>
    <row r="149" spans="1:17" ht="15" customHeight="1">
      <c r="A149" s="64">
        <v>1.5</v>
      </c>
      <c r="B149" s="192">
        <f>Leakage!AF63</f>
        <v>0.11665608388640347</v>
      </c>
      <c r="C149" s="192">
        <f t="shared" ref="C149:Q149" si="31">C137*1.1</f>
        <v>20.76822272552436</v>
      </c>
      <c r="D149" s="192">
        <f t="shared" si="31"/>
        <v>20.670745501878613</v>
      </c>
      <c r="E149" s="192">
        <f t="shared" si="31"/>
        <v>20.57326827823287</v>
      </c>
      <c r="F149" s="192">
        <f t="shared" si="31"/>
        <v>20.280836607295626</v>
      </c>
      <c r="G149" s="192">
        <f t="shared" si="31"/>
        <v>20.085882160004132</v>
      </c>
      <c r="H149" s="192">
        <f t="shared" si="31"/>
        <v>18.916155476255163</v>
      </c>
      <c r="I149" s="192">
        <f t="shared" si="31"/>
        <v>19.890927712712639</v>
      </c>
      <c r="J149" s="192">
        <f t="shared" si="31"/>
        <v>19.501018818129648</v>
      </c>
      <c r="K149" s="192">
        <f t="shared" si="31"/>
        <v>19.403541594483901</v>
      </c>
      <c r="L149" s="192">
        <f t="shared" si="31"/>
        <v>18.916155476255163</v>
      </c>
      <c r="M149" s="192">
        <f t="shared" si="31"/>
        <v>19.306064370838154</v>
      </c>
      <c r="N149" s="192">
        <f t="shared" si="31"/>
        <v>18.81867825260942</v>
      </c>
      <c r="O149" s="192">
        <f t="shared" si="31"/>
        <v>18.623723805317923</v>
      </c>
      <c r="P149" s="192">
        <f t="shared" si="31"/>
        <v>17.941383239797691</v>
      </c>
      <c r="Q149" s="192">
        <f t="shared" si="31"/>
        <v>17.941383239797691</v>
      </c>
    </row>
    <row r="150" spans="1:17" ht="15" customHeight="1">
      <c r="A150" s="64">
        <v>0.6</v>
      </c>
      <c r="B150" s="192">
        <f>Leakage!AF64</f>
        <v>4.66624335545614E-2</v>
      </c>
      <c r="C150" s="192">
        <f t="shared" ref="C150:Q150" si="32">C138*1.1</f>
        <v>23.166162427209745</v>
      </c>
      <c r="D150" s="192">
        <f t="shared" si="32"/>
        <v>23.127171537751448</v>
      </c>
      <c r="E150" s="192">
        <f t="shared" si="32"/>
        <v>23.088180648293147</v>
      </c>
      <c r="F150" s="192">
        <f t="shared" si="32"/>
        <v>22.971207979918251</v>
      </c>
      <c r="G150" s="192">
        <f t="shared" si="32"/>
        <v>22.893226201001653</v>
      </c>
      <c r="H150" s="192">
        <f t="shared" si="32"/>
        <v>22.425335527502067</v>
      </c>
      <c r="I150" s="192">
        <f t="shared" si="32"/>
        <v>22.815244422085058</v>
      </c>
      <c r="J150" s="192">
        <f t="shared" si="32"/>
        <v>22.659280864251858</v>
      </c>
      <c r="K150" s="192">
        <f t="shared" si="32"/>
        <v>22.620289974793561</v>
      </c>
      <c r="L150" s="192">
        <f t="shared" si="32"/>
        <v>22.425335527502067</v>
      </c>
      <c r="M150" s="192">
        <f t="shared" si="32"/>
        <v>22.58129908533526</v>
      </c>
      <c r="N150" s="192">
        <f t="shared" si="32"/>
        <v>22.386344638043767</v>
      </c>
      <c r="O150" s="192">
        <f t="shared" si="32"/>
        <v>22.308362859127168</v>
      </c>
      <c r="P150" s="192">
        <f t="shared" si="32"/>
        <v>22.035426632919076</v>
      </c>
      <c r="Q150" s="192">
        <f t="shared" si="32"/>
        <v>22.035426632919076</v>
      </c>
    </row>
    <row r="151" spans="1:17" ht="15" customHeight="1">
      <c r="A151" s="64"/>
      <c r="B151" s="19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192"/>
      <c r="O151" s="192"/>
      <c r="P151" s="192"/>
      <c r="Q151" s="192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71"/>
  <sheetViews>
    <sheetView topLeftCell="A6" workbookViewId="0">
      <selection activeCell="H36" sqref="H36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322</v>
      </c>
      <c r="B1" s="4"/>
      <c r="C1" s="4"/>
      <c r="D1" s="4"/>
      <c r="E1" s="4"/>
      <c r="G1" s="5" t="s">
        <v>531</v>
      </c>
      <c r="O1" s="534" t="s">
        <v>518</v>
      </c>
      <c r="P1" s="141" t="s">
        <v>537</v>
      </c>
      <c r="Q1" s="141" t="s">
        <v>539</v>
      </c>
      <c r="R1" s="136" t="s">
        <v>540</v>
      </c>
    </row>
    <row r="2" spans="1:19" ht="15" customHeight="1">
      <c r="A2" s="11" t="s">
        <v>492</v>
      </c>
      <c r="G2" s="52" t="s">
        <v>530</v>
      </c>
      <c r="O2" s="535"/>
      <c r="P2" s="142" t="s">
        <v>538</v>
      </c>
      <c r="Q2" s="142" t="s">
        <v>538</v>
      </c>
      <c r="R2" s="140" t="s">
        <v>541</v>
      </c>
    </row>
    <row r="3" spans="1:19" ht="15" customHeight="1">
      <c r="G3" s="5" t="s">
        <v>532</v>
      </c>
      <c r="O3" s="138">
        <v>2</v>
      </c>
      <c r="P3" s="143">
        <v>7.8</v>
      </c>
      <c r="Q3" s="143">
        <v>3.2</v>
      </c>
      <c r="R3" s="137" t="s">
        <v>542</v>
      </c>
    </row>
    <row r="4" spans="1:19" ht="15" customHeight="1">
      <c r="A4" s="99" t="s">
        <v>435</v>
      </c>
      <c r="B4" s="100" t="s">
        <v>266</v>
      </c>
      <c r="C4" s="100" t="s">
        <v>130</v>
      </c>
      <c r="D4" s="100" t="s">
        <v>323</v>
      </c>
      <c r="E4" s="100" t="s">
        <v>130</v>
      </c>
      <c r="G4" s="5" t="s">
        <v>405</v>
      </c>
      <c r="O4" s="138">
        <v>3</v>
      </c>
      <c r="P4" s="143">
        <v>12.1</v>
      </c>
      <c r="Q4" s="143">
        <v>3.6</v>
      </c>
      <c r="R4" s="137" t="s">
        <v>543</v>
      </c>
    </row>
    <row r="5" spans="1:19" ht="15" customHeight="1">
      <c r="A5" s="76" t="s">
        <v>324</v>
      </c>
      <c r="B5" s="287">
        <f>SUM(A40:A43,A45,A47:A51)+SUM(B40:B41)*A_houseFT+SUM(C40:C43,C45,C47:C51)*Nbedrooms</f>
        <v>72291</v>
      </c>
      <c r="C5" s="5" t="s">
        <v>325</v>
      </c>
      <c r="D5" s="435">
        <f>B5/24/3412</f>
        <v>0.88280334114888626</v>
      </c>
      <c r="E5" s="5" t="s">
        <v>499</v>
      </c>
      <c r="O5" s="138">
        <v>4</v>
      </c>
      <c r="P5" s="143">
        <v>13.8</v>
      </c>
      <c r="Q5" s="143">
        <v>4</v>
      </c>
      <c r="R5" s="137" t="s">
        <v>544</v>
      </c>
    </row>
    <row r="6" spans="1:19" ht="15" customHeight="1">
      <c r="D6" s="265">
        <f>1000*D5</f>
        <v>882.80334114888626</v>
      </c>
      <c r="E6" s="5" t="s">
        <v>32</v>
      </c>
      <c r="G6" s="254"/>
      <c r="O6" s="139">
        <v>5</v>
      </c>
      <c r="P6" s="142">
        <v>14.7</v>
      </c>
      <c r="Q6" s="142">
        <v>4.4000000000000004</v>
      </c>
      <c r="R6" s="140" t="s">
        <v>545</v>
      </c>
    </row>
    <row r="7" spans="1:19" ht="15" customHeight="1">
      <c r="O7" s="135" t="s">
        <v>553</v>
      </c>
      <c r="P7" s="17"/>
      <c r="Q7" s="17"/>
      <c r="R7" s="17"/>
    </row>
    <row r="8" spans="1:19" s="123" customFormat="1" ht="15" customHeight="1">
      <c r="O8" s="135"/>
      <c r="P8" s="17"/>
      <c r="Q8" s="17"/>
      <c r="R8" s="17"/>
    </row>
    <row r="9" spans="1:19" ht="45" customHeight="1">
      <c r="O9" s="534" t="s">
        <v>546</v>
      </c>
      <c r="P9" s="536" t="s">
        <v>518</v>
      </c>
      <c r="Q9" s="141" t="s">
        <v>435</v>
      </c>
      <c r="R9" s="136" t="s">
        <v>548</v>
      </c>
      <c r="S9" s="136" t="s">
        <v>548</v>
      </c>
    </row>
    <row r="10" spans="1:19" ht="15" customHeight="1">
      <c r="A10" s="101" t="s">
        <v>436</v>
      </c>
      <c r="B10" s="102" t="s">
        <v>266</v>
      </c>
      <c r="C10" s="102" t="s">
        <v>130</v>
      </c>
      <c r="D10" s="102" t="s">
        <v>131</v>
      </c>
      <c r="E10" s="102" t="s">
        <v>130</v>
      </c>
      <c r="G10" s="5" t="s">
        <v>525</v>
      </c>
      <c r="O10" s="535"/>
      <c r="P10" s="537"/>
      <c r="Q10" s="142" t="s">
        <v>547</v>
      </c>
      <c r="R10" s="140" t="s">
        <v>538</v>
      </c>
      <c r="S10" s="140" t="s">
        <v>547</v>
      </c>
    </row>
    <row r="11" spans="1:19" ht="15" customHeight="1">
      <c r="A11" s="97" t="s">
        <v>324</v>
      </c>
      <c r="B11" s="63"/>
      <c r="C11" s="63"/>
      <c r="D11" s="63">
        <f>VLOOKUP(OccDensity,A29:F37,6,FALSE)</f>
        <v>6.5</v>
      </c>
      <c r="E11" s="63" t="s">
        <v>326</v>
      </c>
      <c r="G11" s="5" t="s">
        <v>519</v>
      </c>
      <c r="O11" s="138" t="s">
        <v>549</v>
      </c>
      <c r="P11" s="143">
        <v>4</v>
      </c>
      <c r="Q11" s="143">
        <v>464</v>
      </c>
      <c r="R11" s="137">
        <v>9.8000000000000007</v>
      </c>
      <c r="S11" s="137">
        <v>277</v>
      </c>
    </row>
    <row r="12" spans="1:19" ht="15" customHeight="1">
      <c r="A12" s="98"/>
      <c r="B12" s="63"/>
      <c r="C12" s="63"/>
      <c r="D12" s="402">
        <f>D11/24/60/60</f>
        <v>7.5231481481481474E-5</v>
      </c>
      <c r="E12" s="63" t="s">
        <v>327</v>
      </c>
      <c r="G12" s="5" t="s">
        <v>520</v>
      </c>
      <c r="O12" s="138" t="s">
        <v>550</v>
      </c>
      <c r="P12" s="143">
        <v>4</v>
      </c>
      <c r="Q12" s="143">
        <v>628.9</v>
      </c>
      <c r="R12" s="137">
        <v>9.8000000000000007</v>
      </c>
      <c r="S12" s="137">
        <v>277</v>
      </c>
    </row>
    <row r="13" spans="1:19" ht="15" customHeight="1">
      <c r="G13" s="5" t="s">
        <v>521</v>
      </c>
      <c r="O13" s="144" t="s">
        <v>551</v>
      </c>
      <c r="P13" s="142">
        <v>5</v>
      </c>
      <c r="Q13" s="142">
        <v>738.8</v>
      </c>
      <c r="R13" s="140">
        <v>10.3</v>
      </c>
      <c r="S13" s="140">
        <v>291</v>
      </c>
    </row>
    <row r="14" spans="1:19" ht="15" customHeight="1">
      <c r="G14" s="5" t="s">
        <v>522</v>
      </c>
      <c r="O14" s="134" t="s">
        <v>552</v>
      </c>
    </row>
    <row r="15" spans="1:19" ht="15" customHeight="1">
      <c r="A15" s="4" t="s">
        <v>493</v>
      </c>
      <c r="G15" s="5" t="s">
        <v>523</v>
      </c>
    </row>
    <row r="16" spans="1:19" ht="15" customHeight="1">
      <c r="A16" s="11" t="s">
        <v>494</v>
      </c>
      <c r="G16" s="5" t="s">
        <v>524</v>
      </c>
      <c r="Q16" s="254" t="s">
        <v>723</v>
      </c>
      <c r="R16" s="254" t="s">
        <v>724</v>
      </c>
      <c r="S16" s="254" t="s">
        <v>725</v>
      </c>
    </row>
    <row r="17" spans="1:18" ht="15" customHeight="1">
      <c r="P17" s="254" t="s">
        <v>325</v>
      </c>
      <c r="Q17" s="272">
        <v>43316</v>
      </c>
      <c r="R17" s="272">
        <v>4687</v>
      </c>
    </row>
    <row r="18" spans="1:18" ht="15" customHeight="1">
      <c r="A18" s="99" t="s">
        <v>495</v>
      </c>
      <c r="B18" s="74" t="s">
        <v>32</v>
      </c>
      <c r="C18" s="74" t="s">
        <v>499</v>
      </c>
      <c r="P18" s="254" t="s">
        <v>32</v>
      </c>
      <c r="Q18" s="14">
        <f>(Q17/24)/3.412</f>
        <v>528.96639312231343</v>
      </c>
      <c r="R18" s="14">
        <f>(R17/24)/3.412</f>
        <v>57.236713559984366</v>
      </c>
    </row>
    <row r="19" spans="1:18" ht="15" customHeight="1">
      <c r="A19" s="87" t="s">
        <v>496</v>
      </c>
      <c r="B19" s="12">
        <f>136+2.2*A_houseSI+22*B22</f>
        <v>775.82600000000002</v>
      </c>
      <c r="C19" s="14">
        <f>B19/1000</f>
        <v>0.77582600000000002</v>
      </c>
      <c r="Q19" s="254" t="s">
        <v>726</v>
      </c>
    </row>
    <row r="20" spans="1:18" ht="15" customHeight="1">
      <c r="A20" s="87" t="s">
        <v>497</v>
      </c>
      <c r="B20" s="12">
        <f>20+0.22*A_houseSI+12*'Internal gains'!B22</f>
        <v>123.18259999999999</v>
      </c>
      <c r="C20" s="14">
        <f>B20/1000</f>
        <v>0.12318259999999999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45" t="s">
        <v>1011</v>
      </c>
      <c r="B22" s="332">
        <f>VLOOKUP(CONCATENATE(OccDensity,HomeSize),C28:G37,5,FALSE)</f>
        <v>4</v>
      </c>
      <c r="F22" s="254"/>
      <c r="G22" s="254"/>
    </row>
    <row r="23" spans="1:18" ht="15" customHeight="1">
      <c r="A23" s="245" t="s">
        <v>1010</v>
      </c>
      <c r="B23" s="332">
        <f>Noccupants-1</f>
        <v>3</v>
      </c>
      <c r="F23" s="254"/>
      <c r="G23" s="254"/>
      <c r="H23" s="254"/>
    </row>
    <row r="24" spans="1:18" ht="15" customHeight="1">
      <c r="A24" s="245" t="s">
        <v>844</v>
      </c>
      <c r="B24" s="273" t="str">
        <f>CONCATENATE("sched", VLOOKUP(CONCATENATE(OccDensity,HomeSize),C28:F37,3,FALSE), ".txt")</f>
        <v>sched1.txt</v>
      </c>
    </row>
    <row r="28" spans="1:18" ht="15" customHeight="1">
      <c r="A28" s="254" t="s">
        <v>806</v>
      </c>
      <c r="B28" s="254" t="s">
        <v>812</v>
      </c>
      <c r="C28" s="254" t="s">
        <v>813</v>
      </c>
      <c r="D28" s="254" t="s">
        <v>810</v>
      </c>
      <c r="E28" s="254" t="s">
        <v>811</v>
      </c>
      <c r="F28" s="254" t="s">
        <v>436</v>
      </c>
      <c r="G28" s="254" t="s">
        <v>814</v>
      </c>
      <c r="H28" s="254" t="s">
        <v>824</v>
      </c>
      <c r="O28" s="254"/>
    </row>
    <row r="29" spans="1:18" ht="15" customHeight="1">
      <c r="A29" s="254" t="s">
        <v>808</v>
      </c>
      <c r="B29" s="254" t="s">
        <v>803</v>
      </c>
      <c r="C29" s="5" t="str">
        <f>CONCATENATE(A29,B29)</f>
        <v>LowSmall</v>
      </c>
      <c r="D29" s="254">
        <v>1</v>
      </c>
      <c r="E29" s="5">
        <v>1</v>
      </c>
      <c r="F29" s="5">
        <v>3</v>
      </c>
      <c r="G29" s="254">
        <v>2</v>
      </c>
      <c r="H29" s="254">
        <f>29200</f>
        <v>29200</v>
      </c>
      <c r="J29" s="254"/>
      <c r="K29" s="254"/>
    </row>
    <row r="30" spans="1:18" ht="15" customHeight="1">
      <c r="A30" s="254" t="s">
        <v>807</v>
      </c>
      <c r="B30" s="254" t="s">
        <v>803</v>
      </c>
      <c r="C30" s="254" t="str">
        <f t="shared" ref="C30:C37" si="0">CONCATENATE(A30,B30)</f>
        <v>MedSmall</v>
      </c>
      <c r="D30" s="254">
        <v>2</v>
      </c>
      <c r="E30" s="5">
        <v>1</v>
      </c>
      <c r="F30" s="5">
        <v>6.5</v>
      </c>
      <c r="G30" s="254">
        <v>4</v>
      </c>
      <c r="H30" s="254">
        <f>2*29200</f>
        <v>58400</v>
      </c>
      <c r="J30" s="254"/>
      <c r="K30" s="254"/>
    </row>
    <row r="31" spans="1:18" ht="15" customHeight="1">
      <c r="A31" s="254" t="s">
        <v>809</v>
      </c>
      <c r="B31" s="254" t="s">
        <v>803</v>
      </c>
      <c r="C31" s="254" t="str">
        <f t="shared" si="0"/>
        <v>HighSmall</v>
      </c>
      <c r="D31" s="254">
        <v>3</v>
      </c>
      <c r="E31" s="5">
        <v>3</v>
      </c>
      <c r="F31" s="5">
        <v>11.8</v>
      </c>
      <c r="G31" s="254">
        <v>6</v>
      </c>
      <c r="H31" s="254">
        <f>3*29200</f>
        <v>87600</v>
      </c>
      <c r="J31" s="254"/>
      <c r="K31" s="254"/>
    </row>
    <row r="32" spans="1:18" ht="15" customHeight="1">
      <c r="A32" s="254" t="s">
        <v>808</v>
      </c>
      <c r="B32" s="254" t="s">
        <v>807</v>
      </c>
      <c r="C32" s="254" t="str">
        <f t="shared" si="0"/>
        <v>LowMed</v>
      </c>
      <c r="D32" s="254">
        <v>1</v>
      </c>
      <c r="E32" s="5">
        <v>1</v>
      </c>
      <c r="F32" s="254">
        <v>3</v>
      </c>
      <c r="G32" s="254">
        <v>2</v>
      </c>
      <c r="H32" s="254">
        <f>29200</f>
        <v>29200</v>
      </c>
      <c r="J32" s="254"/>
      <c r="K32" s="254"/>
    </row>
    <row r="33" spans="1:11" ht="15" customHeight="1">
      <c r="A33" s="254" t="s">
        <v>807</v>
      </c>
      <c r="B33" s="254" t="s">
        <v>807</v>
      </c>
      <c r="C33" s="254" t="str">
        <f t="shared" si="0"/>
        <v>MedMed</v>
      </c>
      <c r="D33" s="254">
        <v>2</v>
      </c>
      <c r="E33" s="5">
        <v>1</v>
      </c>
      <c r="F33" s="254">
        <v>6.5</v>
      </c>
      <c r="G33" s="254">
        <v>4</v>
      </c>
      <c r="H33" s="254">
        <f>2*29200</f>
        <v>58400</v>
      </c>
      <c r="J33" s="254"/>
      <c r="K33" s="254"/>
    </row>
    <row r="34" spans="1:11" ht="15" customHeight="1">
      <c r="A34" s="254" t="s">
        <v>809</v>
      </c>
      <c r="B34" s="254" t="s">
        <v>807</v>
      </c>
      <c r="C34" s="254" t="str">
        <f t="shared" si="0"/>
        <v>HighMed</v>
      </c>
      <c r="D34" s="254">
        <v>3</v>
      </c>
      <c r="E34" s="5">
        <v>3</v>
      </c>
      <c r="F34" s="254">
        <v>11.8</v>
      </c>
      <c r="G34" s="254">
        <v>6</v>
      </c>
      <c r="H34" s="254">
        <f>3*29200</f>
        <v>87600</v>
      </c>
      <c r="J34" s="254"/>
      <c r="K34" s="254"/>
    </row>
    <row r="35" spans="1:11" ht="15" customHeight="1">
      <c r="A35" s="254" t="s">
        <v>808</v>
      </c>
      <c r="B35" s="254" t="s">
        <v>804</v>
      </c>
      <c r="C35" s="254" t="str">
        <f t="shared" si="0"/>
        <v>LowLarge</v>
      </c>
      <c r="D35" s="254">
        <v>1</v>
      </c>
      <c r="E35" s="5">
        <v>1</v>
      </c>
      <c r="F35" s="254">
        <v>3</v>
      </c>
      <c r="G35" s="254">
        <v>2</v>
      </c>
      <c r="H35" s="254">
        <f>29200</f>
        <v>29200</v>
      </c>
      <c r="J35" s="254"/>
      <c r="K35" s="254"/>
    </row>
    <row r="36" spans="1:11" ht="15" customHeight="1">
      <c r="A36" s="254" t="s">
        <v>807</v>
      </c>
      <c r="B36" s="254" t="s">
        <v>804</v>
      </c>
      <c r="C36" s="254" t="str">
        <f t="shared" si="0"/>
        <v>MedLarge</v>
      </c>
      <c r="D36" s="254">
        <v>2</v>
      </c>
      <c r="E36" s="5">
        <v>1</v>
      </c>
      <c r="F36" s="254">
        <v>6.5</v>
      </c>
      <c r="G36" s="254">
        <v>4</v>
      </c>
      <c r="H36" s="254">
        <f>2*29200</f>
        <v>58400</v>
      </c>
      <c r="J36" s="254"/>
      <c r="K36" s="254"/>
    </row>
    <row r="37" spans="1:11" ht="15" customHeight="1">
      <c r="A37" s="254" t="s">
        <v>809</v>
      </c>
      <c r="B37" s="254" t="s">
        <v>804</v>
      </c>
      <c r="C37" s="254" t="str">
        <f t="shared" si="0"/>
        <v>HighLarge</v>
      </c>
      <c r="D37" s="254">
        <v>3</v>
      </c>
      <c r="E37" s="5">
        <v>3</v>
      </c>
      <c r="F37" s="254">
        <v>11.8</v>
      </c>
      <c r="G37" s="254">
        <v>6</v>
      </c>
      <c r="H37" s="254">
        <f>3*29200</f>
        <v>87600</v>
      </c>
      <c r="J37" s="254"/>
      <c r="K37" s="254"/>
    </row>
    <row r="39" spans="1:11" ht="15" customHeight="1">
      <c r="A39" s="254" t="s">
        <v>825</v>
      </c>
      <c r="B39" s="254" t="s">
        <v>826</v>
      </c>
      <c r="C39" s="254" t="s">
        <v>207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832</v>
      </c>
      <c r="E40" s="254" t="s">
        <v>827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833</v>
      </c>
      <c r="E41" s="5" t="s">
        <v>892</v>
      </c>
    </row>
    <row r="42" spans="1:11" ht="15" customHeight="1">
      <c r="A42" s="254">
        <v>5955</v>
      </c>
      <c r="B42" s="254">
        <v>0</v>
      </c>
      <c r="C42" s="254">
        <v>168</v>
      </c>
      <c r="D42" s="5" t="s">
        <v>834</v>
      </c>
    </row>
    <row r="43" spans="1:11" ht="15" customHeight="1">
      <c r="A43" s="5">
        <v>3861</v>
      </c>
      <c r="B43" s="254">
        <v>0</v>
      </c>
      <c r="C43" s="5">
        <v>645</v>
      </c>
      <c r="D43" s="5" t="s">
        <v>835</v>
      </c>
    </row>
    <row r="44" spans="1:11" ht="15" customHeight="1">
      <c r="A44" s="254">
        <v>2228</v>
      </c>
      <c r="B44" s="254">
        <v>0</v>
      </c>
      <c r="C44" s="254">
        <v>262</v>
      </c>
      <c r="D44" s="5" t="s">
        <v>836</v>
      </c>
    </row>
    <row r="45" spans="1:11" ht="15" customHeight="1">
      <c r="A45" s="254">
        <v>3934</v>
      </c>
      <c r="B45" s="254">
        <v>0</v>
      </c>
      <c r="C45" s="254">
        <v>470</v>
      </c>
      <c r="D45" s="5" t="s">
        <v>837</v>
      </c>
    </row>
    <row r="46" spans="1:11" ht="15" customHeight="1">
      <c r="A46" s="5">
        <v>661</v>
      </c>
      <c r="B46" s="254">
        <v>0</v>
      </c>
      <c r="C46" s="254">
        <v>188</v>
      </c>
      <c r="D46" s="5" t="s">
        <v>838</v>
      </c>
    </row>
    <row r="47" spans="1:11" ht="15" customHeight="1">
      <c r="A47" s="254">
        <v>685</v>
      </c>
      <c r="B47" s="254">
        <v>0</v>
      </c>
      <c r="C47" s="254">
        <v>194</v>
      </c>
      <c r="D47" s="5" t="s">
        <v>839</v>
      </c>
    </row>
    <row r="48" spans="1:11" ht="15" customHeight="1">
      <c r="A48" s="254">
        <v>219</v>
      </c>
      <c r="B48" s="254">
        <v>0</v>
      </c>
      <c r="C48" s="254">
        <v>87</v>
      </c>
      <c r="D48" s="5" t="s">
        <v>840</v>
      </c>
    </row>
    <row r="49" spans="1:8" ht="15" customHeight="1">
      <c r="A49" s="5">
        <v>95</v>
      </c>
      <c r="B49" s="254">
        <v>0</v>
      </c>
      <c r="C49" s="254">
        <v>26</v>
      </c>
      <c r="D49" s="5" t="s">
        <v>841</v>
      </c>
    </row>
    <row r="50" spans="1:8" ht="15" customHeight="1">
      <c r="A50" s="254">
        <v>-1227</v>
      </c>
      <c r="B50" s="254">
        <v>0</v>
      </c>
      <c r="C50" s="254">
        <v>-409</v>
      </c>
      <c r="D50" s="5" t="s">
        <v>842</v>
      </c>
    </row>
    <row r="51" spans="1:8" ht="15" customHeight="1">
      <c r="A51" s="254">
        <v>0</v>
      </c>
      <c r="B51" s="254">
        <v>0</v>
      </c>
      <c r="C51" s="254">
        <v>3716</v>
      </c>
      <c r="D51" s="5" t="s">
        <v>498</v>
      </c>
    </row>
    <row r="54" spans="1:8" ht="15" customHeight="1">
      <c r="F54" s="5" t="s">
        <v>1367</v>
      </c>
      <c r="G54" s="5" t="s">
        <v>1368</v>
      </c>
    </row>
    <row r="55" spans="1:8" ht="15" customHeight="1">
      <c r="A55" s="5" t="s">
        <v>1357</v>
      </c>
      <c r="B55" s="5" t="s">
        <v>1354</v>
      </c>
      <c r="C55" s="5">
        <v>454</v>
      </c>
      <c r="D55" s="5">
        <v>37</v>
      </c>
      <c r="E55" s="5" t="s">
        <v>1353</v>
      </c>
      <c r="F55" s="5">
        <f t="shared" ref="F55:F66" si="1">C55+D55*Nbedrooms</f>
        <v>565</v>
      </c>
      <c r="G55" s="5">
        <f>3412*F55</f>
        <v>1927780</v>
      </c>
      <c r="H55" s="5">
        <f>G55/8760</f>
        <v>220.0662100456621</v>
      </c>
    </row>
    <row r="56" spans="1:8" ht="15" customHeight="1">
      <c r="A56" s="5" t="s">
        <v>1358</v>
      </c>
      <c r="B56" s="254" t="s">
        <v>1354</v>
      </c>
      <c r="C56" s="5">
        <v>0</v>
      </c>
      <c r="D56" s="5">
        <v>71</v>
      </c>
      <c r="E56" s="254" t="s">
        <v>1353</v>
      </c>
      <c r="F56" s="254">
        <f t="shared" si="1"/>
        <v>213</v>
      </c>
      <c r="G56" s="254">
        <f t="shared" ref="G56:G69" si="2">3412*F56</f>
        <v>726756</v>
      </c>
      <c r="H56" s="254">
        <f t="shared" ref="H56:H69" si="3">G56/8760</f>
        <v>82.963013698630135</v>
      </c>
    </row>
    <row r="57" spans="1:8" ht="15" customHeight="1">
      <c r="A57" s="5" t="s">
        <v>1359</v>
      </c>
      <c r="B57" s="254" t="s">
        <v>1354</v>
      </c>
      <c r="C57" s="5">
        <v>138</v>
      </c>
      <c r="D57" s="5">
        <v>16</v>
      </c>
      <c r="E57" s="254" t="s">
        <v>1353</v>
      </c>
      <c r="F57" s="254">
        <f t="shared" si="1"/>
        <v>186</v>
      </c>
      <c r="G57" s="254">
        <f t="shared" si="2"/>
        <v>634632</v>
      </c>
      <c r="H57" s="254">
        <f t="shared" si="3"/>
        <v>72.446575342465749</v>
      </c>
    </row>
    <row r="58" spans="1:8" ht="15" customHeight="1">
      <c r="A58" s="5" t="s">
        <v>1359</v>
      </c>
      <c r="B58" s="5" t="s">
        <v>1355</v>
      </c>
      <c r="C58" s="5">
        <v>6</v>
      </c>
      <c r="D58" s="5">
        <v>0.95</v>
      </c>
      <c r="E58" s="254" t="s">
        <v>1353</v>
      </c>
      <c r="F58" s="254">
        <f t="shared" si="1"/>
        <v>8.85</v>
      </c>
      <c r="G58" s="254">
        <f>100000*F58</f>
        <v>885000</v>
      </c>
      <c r="H58" s="254">
        <f t="shared" si="3"/>
        <v>101.02739726027397</v>
      </c>
    </row>
    <row r="59" spans="1:8" ht="15" customHeight="1">
      <c r="A59" s="5" t="s">
        <v>1359</v>
      </c>
      <c r="B59" s="5" t="s">
        <v>1355</v>
      </c>
      <c r="C59" s="5">
        <v>41</v>
      </c>
      <c r="D59" s="5">
        <v>4.79</v>
      </c>
      <c r="E59" s="254" t="s">
        <v>1353</v>
      </c>
      <c r="F59" s="254">
        <f t="shared" si="1"/>
        <v>55.370000000000005</v>
      </c>
      <c r="G59" s="254">
        <f>3412*F59</f>
        <v>188922.44</v>
      </c>
      <c r="H59" s="254">
        <f t="shared" si="3"/>
        <v>21.566488584474886</v>
      </c>
    </row>
    <row r="60" spans="1:8" ht="15" customHeight="1">
      <c r="A60" s="5" t="s">
        <v>1360</v>
      </c>
      <c r="B60" s="5" t="s">
        <v>1354</v>
      </c>
      <c r="C60" s="5">
        <v>84</v>
      </c>
      <c r="D60" s="5">
        <v>5.68</v>
      </c>
      <c r="E60" s="254" t="s">
        <v>1353</v>
      </c>
      <c r="F60" s="254">
        <f t="shared" si="1"/>
        <v>101.03999999999999</v>
      </c>
      <c r="G60" s="254">
        <f t="shared" si="2"/>
        <v>344748.48</v>
      </c>
      <c r="H60" s="254">
        <f t="shared" si="3"/>
        <v>39.354849315068492</v>
      </c>
    </row>
    <row r="61" spans="1:8" ht="15" customHeight="1">
      <c r="A61" s="5" t="s">
        <v>1360</v>
      </c>
      <c r="B61" s="5" t="s">
        <v>1355</v>
      </c>
      <c r="C61" s="5">
        <v>5</v>
      </c>
      <c r="D61" s="5">
        <v>0.3</v>
      </c>
      <c r="E61" s="254" t="s">
        <v>1353</v>
      </c>
      <c r="F61" s="254">
        <f t="shared" si="1"/>
        <v>5.9</v>
      </c>
      <c r="G61" s="254">
        <f>100000*F61</f>
        <v>590000</v>
      </c>
      <c r="H61" s="254">
        <f t="shared" si="3"/>
        <v>67.351598173515981</v>
      </c>
    </row>
    <row r="62" spans="1:8" ht="15" customHeight="1">
      <c r="A62" s="5" t="s">
        <v>1360</v>
      </c>
      <c r="B62" s="5" t="s">
        <v>1355</v>
      </c>
      <c r="C62" s="5">
        <v>0</v>
      </c>
      <c r="D62" s="5">
        <v>0</v>
      </c>
      <c r="E62" s="254" t="s">
        <v>1353</v>
      </c>
      <c r="F62" s="254">
        <f t="shared" si="1"/>
        <v>0</v>
      </c>
      <c r="G62" s="254">
        <f>3412*F62</f>
        <v>0</v>
      </c>
      <c r="H62" s="254">
        <f t="shared" si="3"/>
        <v>0</v>
      </c>
    </row>
    <row r="63" spans="1:8" ht="15" customHeight="1">
      <c r="A63" s="5" t="s">
        <v>1361</v>
      </c>
      <c r="B63" s="254" t="s">
        <v>1354</v>
      </c>
      <c r="C63" s="5">
        <v>265</v>
      </c>
      <c r="D63" s="5">
        <v>31.8</v>
      </c>
      <c r="E63" s="254" t="s">
        <v>1353</v>
      </c>
      <c r="F63" s="254">
        <f t="shared" si="1"/>
        <v>360.4</v>
      </c>
      <c r="G63" s="254">
        <f t="shared" si="2"/>
        <v>1229684.7999999998</v>
      </c>
      <c r="H63" s="254">
        <f t="shared" si="3"/>
        <v>140.37497716894975</v>
      </c>
    </row>
    <row r="64" spans="1:8" ht="15" customHeight="1">
      <c r="A64" s="5" t="s">
        <v>1362</v>
      </c>
      <c r="B64" s="254" t="s">
        <v>1354</v>
      </c>
      <c r="C64" s="5">
        <v>76</v>
      </c>
      <c r="D64" s="5">
        <v>59.4</v>
      </c>
      <c r="E64" s="254" t="s">
        <v>1353</v>
      </c>
      <c r="F64" s="254">
        <f t="shared" si="1"/>
        <v>254.2</v>
      </c>
      <c r="G64" s="254">
        <f t="shared" si="2"/>
        <v>867330.39999999991</v>
      </c>
      <c r="H64" s="254">
        <f t="shared" si="3"/>
        <v>99.01031963470318</v>
      </c>
    </row>
    <row r="65" spans="1:8" ht="15" customHeight="1">
      <c r="A65" s="5" t="s">
        <v>1363</v>
      </c>
      <c r="B65" s="254" t="s">
        <v>1354</v>
      </c>
      <c r="C65" s="5">
        <v>79</v>
      </c>
      <c r="D65" s="5">
        <v>55.4</v>
      </c>
      <c r="E65" s="254" t="s">
        <v>1353</v>
      </c>
      <c r="F65" s="254">
        <f t="shared" si="1"/>
        <v>245.2</v>
      </c>
      <c r="G65" s="254">
        <f t="shared" si="2"/>
        <v>836622.39999999991</v>
      </c>
      <c r="H65" s="254">
        <f t="shared" si="3"/>
        <v>95.504840182648394</v>
      </c>
    </row>
    <row r="66" spans="1:8" ht="15" customHeight="1">
      <c r="A66" s="5" t="s">
        <v>832</v>
      </c>
      <c r="B66" s="254" t="s">
        <v>1354</v>
      </c>
      <c r="C66" s="5">
        <v>672</v>
      </c>
      <c r="D66" s="5">
        <v>235</v>
      </c>
      <c r="E66" s="254" t="s">
        <v>1353</v>
      </c>
      <c r="F66" s="254">
        <f t="shared" si="1"/>
        <v>1377</v>
      </c>
      <c r="G66" s="254">
        <f t="shared" si="2"/>
        <v>4698324</v>
      </c>
      <c r="H66" s="254">
        <f t="shared" si="3"/>
        <v>536.33835616438353</v>
      </c>
    </row>
    <row r="67" spans="1:8" ht="15" customHeight="1">
      <c r="A67" s="5" t="s">
        <v>1364</v>
      </c>
      <c r="B67" s="254" t="s">
        <v>1354</v>
      </c>
      <c r="C67" s="5">
        <v>100</v>
      </c>
      <c r="D67" s="5">
        <v>0.17749999999999999</v>
      </c>
      <c r="E67" s="5" t="s">
        <v>1356</v>
      </c>
      <c r="F67" s="254">
        <f>C67+D67*A_houseFT</f>
        <v>579.25</v>
      </c>
      <c r="G67" s="254">
        <f t="shared" si="2"/>
        <v>1976401</v>
      </c>
      <c r="H67" s="254">
        <f t="shared" si="3"/>
        <v>225.61655251141553</v>
      </c>
    </row>
    <row r="68" spans="1:8" ht="15" customHeight="1">
      <c r="A68" s="5" t="s">
        <v>1365</v>
      </c>
      <c r="B68" s="254" t="s">
        <v>1354</v>
      </c>
      <c r="C68" s="5">
        <v>8</v>
      </c>
      <c r="D68" s="5">
        <v>5.3199999999999997E-2</v>
      </c>
      <c r="E68" s="5" t="s">
        <v>1356</v>
      </c>
      <c r="F68" s="254">
        <f>C68+D68*A_houseFT</f>
        <v>151.63999999999999</v>
      </c>
      <c r="G68" s="254">
        <f t="shared" si="2"/>
        <v>517395.67999999993</v>
      </c>
      <c r="H68" s="254">
        <f t="shared" si="3"/>
        <v>59.063433789954331</v>
      </c>
    </row>
    <row r="69" spans="1:8" ht="15" customHeight="1">
      <c r="A69" s="5" t="s">
        <v>1366</v>
      </c>
      <c r="B69" s="254" t="s">
        <v>1354</v>
      </c>
      <c r="C69" s="5">
        <v>20</v>
      </c>
      <c r="D69" s="5">
        <v>6.3E-3</v>
      </c>
      <c r="E69" s="5" t="s">
        <v>1356</v>
      </c>
      <c r="F69" s="254">
        <f>C69+D69*A_houseFT</f>
        <v>37.010000000000005</v>
      </c>
      <c r="G69" s="254">
        <f t="shared" si="2"/>
        <v>126278.12000000002</v>
      </c>
      <c r="H69" s="254">
        <f t="shared" si="3"/>
        <v>14.415310502283107</v>
      </c>
    </row>
    <row r="71" spans="1:8" ht="15" customHeight="1">
      <c r="H71" s="5">
        <f>SUM(H55:H56,H58:H59,H61:H69)</f>
        <v>1663.2984977168949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topLeftCell="A18" workbookViewId="0">
      <selection activeCell="L17" sqref="L17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328</v>
      </c>
      <c r="G1" s="4"/>
    </row>
    <row r="2" spans="1:7" ht="15" customHeight="1">
      <c r="A2" s="127" t="s">
        <v>509</v>
      </c>
    </row>
    <row r="3" spans="1:7" ht="15" customHeight="1">
      <c r="A3" s="11" t="s">
        <v>329</v>
      </c>
    </row>
    <row r="4" spans="1:7" ht="15" customHeight="1">
      <c r="A4" s="11" t="s">
        <v>330</v>
      </c>
    </row>
    <row r="5" spans="1:7" ht="15" customHeight="1">
      <c r="A5" s="11" t="s">
        <v>331</v>
      </c>
    </row>
    <row r="6" spans="1:7" ht="15" customHeight="1">
      <c r="A6" s="11" t="s">
        <v>1126</v>
      </c>
    </row>
    <row r="7" spans="1:7" ht="15" customHeight="1">
      <c r="A7" s="11"/>
    </row>
    <row r="9" spans="1:7" ht="15" customHeight="1">
      <c r="A9" s="107"/>
      <c r="B9" s="100" t="s">
        <v>266</v>
      </c>
      <c r="C9" s="100" t="s">
        <v>130</v>
      </c>
      <c r="D9" s="100" t="s">
        <v>267</v>
      </c>
      <c r="E9" s="100" t="s">
        <v>130</v>
      </c>
      <c r="F9" s="100" t="s">
        <v>1</v>
      </c>
    </row>
    <row r="10" spans="1:7" ht="15" customHeight="1">
      <c r="A10" s="92" t="s">
        <v>332</v>
      </c>
      <c r="B10" s="15"/>
      <c r="C10" s="1" t="s">
        <v>137</v>
      </c>
      <c r="D10" s="22">
        <f>A_ceilingSI/300</f>
        <v>0.44901666666666662</v>
      </c>
      <c r="E10" s="1" t="s">
        <v>138</v>
      </c>
      <c r="F10" s="11" t="s">
        <v>333</v>
      </c>
      <c r="G10" s="1" t="s">
        <v>728</v>
      </c>
    </row>
    <row r="11" spans="1:7" ht="15" customHeight="1">
      <c r="A11" s="110" t="s">
        <v>334</v>
      </c>
      <c r="D11" s="22">
        <f>0.003*A_ceilingSI</f>
        <v>0.40411499999999995</v>
      </c>
      <c r="E11" s="1" t="s">
        <v>138</v>
      </c>
      <c r="F11" s="11" t="s">
        <v>1125</v>
      </c>
    </row>
    <row r="12" spans="1:7" ht="15" customHeight="1">
      <c r="A12" s="92" t="s">
        <v>335</v>
      </c>
      <c r="D12" s="408">
        <f>D10-(D11*2/3)</f>
        <v>0.17960666666666664</v>
      </c>
      <c r="E12" s="1" t="s">
        <v>138</v>
      </c>
      <c r="F12" s="11" t="s">
        <v>336</v>
      </c>
    </row>
    <row r="13" spans="1:7" ht="15" customHeight="1">
      <c r="A13" s="92" t="s">
        <v>337</v>
      </c>
      <c r="D13" s="1">
        <v>0.6</v>
      </c>
      <c r="F13"/>
    </row>
    <row r="14" spans="1:7" ht="15" customHeight="1">
      <c r="A14" s="92" t="s">
        <v>1096</v>
      </c>
      <c r="D14" s="395">
        <v>0.65</v>
      </c>
      <c r="F14" s="245"/>
    </row>
    <row r="15" spans="1:7" ht="15" customHeight="1">
      <c r="A15" s="404" t="s">
        <v>338</v>
      </c>
      <c r="B15" s="405"/>
      <c r="C15" s="405"/>
      <c r="D15" s="406">
        <f>D11*D13/(SQRT(1.2/2)*4^(D14-0.5))</f>
        <v>0.25425622664367714</v>
      </c>
      <c r="E15" s="405" t="s">
        <v>1072</v>
      </c>
    </row>
    <row r="18" spans="1:11" ht="15" customHeight="1">
      <c r="A18" s="99" t="s">
        <v>339</v>
      </c>
      <c r="B18" s="108"/>
      <c r="C18" s="108"/>
      <c r="D18" s="108"/>
      <c r="E18" s="108"/>
      <c r="F18" s="1" t="s">
        <v>1</v>
      </c>
    </row>
    <row r="19" spans="1:11" ht="15" customHeight="1">
      <c r="A19" s="92" t="s">
        <v>77</v>
      </c>
      <c r="C19" s="2"/>
      <c r="D19" s="407">
        <v>0.35</v>
      </c>
      <c r="E19" s="1" t="s">
        <v>11</v>
      </c>
      <c r="F19" s="5" t="s">
        <v>340</v>
      </c>
      <c r="K19" s="1" t="s">
        <v>406</v>
      </c>
    </row>
    <row r="20" spans="1:11" ht="15" customHeight="1">
      <c r="A20" s="92" t="s">
        <v>341</v>
      </c>
      <c r="C20" s="2"/>
      <c r="D20" s="407">
        <v>0.35</v>
      </c>
      <c r="E20" s="1" t="s">
        <v>11</v>
      </c>
      <c r="F20" s="5" t="s">
        <v>342</v>
      </c>
      <c r="K20" s="1" t="s">
        <v>407</v>
      </c>
    </row>
    <row r="21" spans="1:11" ht="15" customHeight="1">
      <c r="A21" s="92" t="s">
        <v>343</v>
      </c>
      <c r="C21" s="2"/>
      <c r="D21" s="407">
        <v>0.1</v>
      </c>
      <c r="E21" s="1" t="s">
        <v>11</v>
      </c>
      <c r="F21" s="5" t="s">
        <v>344</v>
      </c>
    </row>
    <row r="22" spans="1:11" ht="15" customHeight="1">
      <c r="A22" s="92" t="s">
        <v>345</v>
      </c>
      <c r="C22" s="2"/>
      <c r="D22" s="407">
        <v>0.1</v>
      </c>
      <c r="E22" s="1" t="s">
        <v>11</v>
      </c>
      <c r="F22" s="5" t="s">
        <v>346</v>
      </c>
    </row>
    <row r="23" spans="1:11" ht="15" customHeight="1">
      <c r="A23" s="92" t="s">
        <v>347</v>
      </c>
      <c r="C23" s="2"/>
      <c r="D23" s="407">
        <v>0.1</v>
      </c>
      <c r="E23" s="1" t="s">
        <v>11</v>
      </c>
      <c r="F23" s="5" t="s">
        <v>348</v>
      </c>
    </row>
    <row r="24" spans="1:11" ht="15" customHeight="1">
      <c r="A24" s="92" t="s">
        <v>349</v>
      </c>
      <c r="D24" s="1">
        <f>SUM(D19:D23)</f>
        <v>0.99999999999999989</v>
      </c>
    </row>
    <row r="26" spans="1:11" ht="15" customHeight="1">
      <c r="A26" s="99" t="s">
        <v>517</v>
      </c>
      <c r="B26" s="100"/>
      <c r="C26" s="100"/>
    </row>
    <row r="27" spans="1:11" ht="15" customHeight="1">
      <c r="A27" s="92" t="s">
        <v>410</v>
      </c>
      <c r="B27" s="11"/>
      <c r="C27" s="15">
        <f>W_houseSI/2</f>
        <v>4.4195998585728047</v>
      </c>
    </row>
    <row r="28" spans="1:11" ht="15" customHeight="1">
      <c r="A28" s="92" t="s">
        <v>411</v>
      </c>
      <c r="C28" s="15">
        <f>L_houseSI</f>
        <v>15.239999512320015</v>
      </c>
    </row>
    <row r="29" spans="1:11" ht="15" customHeight="1">
      <c r="A29" s="92" t="s">
        <v>412</v>
      </c>
      <c r="C29" s="22" t="e">
        <f>C27*Geometry!#REF!</f>
        <v>#REF!</v>
      </c>
    </row>
    <row r="30" spans="1:11" ht="15" customHeight="1">
      <c r="A30" s="92" t="s">
        <v>413</v>
      </c>
      <c r="C30" s="22" t="e">
        <f>SQRT(C27^2+Geometry!#REF!^2)*Attic!C28</f>
        <v>#REF!</v>
      </c>
    </row>
    <row r="31" spans="1:11" ht="15" customHeight="1">
      <c r="A31" s="92" t="s">
        <v>414</v>
      </c>
      <c r="B31" s="17"/>
      <c r="C31" s="131" t="e">
        <f>C29/(C29*2+C30*2)</f>
        <v>#REF!</v>
      </c>
    </row>
    <row r="32" spans="1:11" ht="15" customHeight="1">
      <c r="A32" s="92" t="s">
        <v>415</v>
      </c>
      <c r="C32" s="22" t="e">
        <f>C30/(2*(C29+C30))</f>
        <v>#REF!</v>
      </c>
    </row>
    <row r="35" spans="1:4" ht="15" customHeight="1">
      <c r="A35" s="1" t="s">
        <v>1117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1118</v>
      </c>
      <c r="B36" s="1" t="e">
        <f>1*B35*SQRT(2/1.20411)*4^(0.5-0.65)</f>
        <v>#REF!</v>
      </c>
    </row>
    <row r="37" spans="1:4" ht="15" customHeight="1">
      <c r="A37" s="1" t="s">
        <v>1123</v>
      </c>
      <c r="B37" s="1" t="e">
        <f>B36*Leakage!H62</f>
        <v>#REF!</v>
      </c>
    </row>
    <row r="38" spans="1:4" ht="15" customHeight="1">
      <c r="A38" s="1" t="s">
        <v>1119</v>
      </c>
      <c r="B38" s="1">
        <f>Leakage!B4</f>
        <v>9.1024395236017248E-3</v>
      </c>
    </row>
    <row r="39" spans="1:4" ht="15" customHeight="1">
      <c r="A39" s="1" t="s">
        <v>1124</v>
      </c>
      <c r="B39" s="1">
        <f>B38*Leakage!H62</f>
        <v>2.2756098809004312E-3</v>
      </c>
    </row>
    <row r="40" spans="1:4" ht="15" customHeight="1">
      <c r="A40" s="1" t="s">
        <v>1120</v>
      </c>
      <c r="B40" s="1">
        <f>D15 * SQRT(1.20411 / 2) * 4^(D14 - 0.5)</f>
        <v>0.24288387323094632</v>
      </c>
    </row>
    <row r="41" spans="1:4" ht="15" customHeight="1">
      <c r="A41" s="1" t="s">
        <v>1121</v>
      </c>
      <c r="B41" s="1">
        <f>B39 * SQRT(1.20411 / 2) * 4^(D14 - 0.5)</f>
        <v>2.1738265730274257E-3</v>
      </c>
    </row>
    <row r="42" spans="1:4" ht="15" customHeight="1">
      <c r="A42" s="1" t="s">
        <v>1122</v>
      </c>
      <c r="B42" s="1" t="e">
        <f>B37 * SQRT(1.20411 / 2) * 4^(D14 - 0.5)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G29" sqref="G29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350</v>
      </c>
    </row>
    <row r="2" spans="1:43" ht="15" customHeight="1">
      <c r="A2" s="11" t="s">
        <v>577</v>
      </c>
      <c r="G2" s="11" t="s">
        <v>351</v>
      </c>
    </row>
    <row r="4" spans="1:43" ht="15" customHeight="1">
      <c r="A4" s="99" t="s">
        <v>1114</v>
      </c>
      <c r="B4" s="100" t="s">
        <v>266</v>
      </c>
      <c r="C4" s="100" t="s">
        <v>130</v>
      </c>
      <c r="D4" s="100" t="s">
        <v>267</v>
      </c>
      <c r="E4" s="100" t="s">
        <v>130</v>
      </c>
      <c r="G4" s="5" t="s">
        <v>354</v>
      </c>
      <c r="P4" s="14"/>
    </row>
    <row r="5" spans="1:43" ht="15" customHeight="1">
      <c r="A5" s="103" t="s">
        <v>353</v>
      </c>
      <c r="B5" s="5">
        <v>1</v>
      </c>
      <c r="C5" s="5" t="s">
        <v>11</v>
      </c>
      <c r="G5" s="254" t="s">
        <v>368</v>
      </c>
      <c r="H5" s="96"/>
      <c r="I5" s="96"/>
      <c r="J5" s="99" t="s">
        <v>352</v>
      </c>
      <c r="K5" s="96"/>
      <c r="P5" s="14"/>
    </row>
    <row r="6" spans="1:43" ht="15" customHeight="1">
      <c r="A6" s="87" t="s">
        <v>355</v>
      </c>
      <c r="B6" s="5">
        <v>0.65</v>
      </c>
      <c r="C6" s="5" t="s">
        <v>11</v>
      </c>
      <c r="G6" s="87">
        <v>4</v>
      </c>
      <c r="J6" s="14">
        <v>2.5000000000000001E-2</v>
      </c>
      <c r="K6" s="5" t="s">
        <v>134</v>
      </c>
      <c r="P6" s="14"/>
    </row>
    <row r="7" spans="1:43" ht="15" customHeight="1">
      <c r="A7" s="87" t="s">
        <v>356</v>
      </c>
      <c r="B7" s="5">
        <v>0.05</v>
      </c>
      <c r="C7" s="5" t="s">
        <v>11</v>
      </c>
      <c r="G7" s="87">
        <v>6</v>
      </c>
      <c r="J7" s="14">
        <f>J6*1.5</f>
        <v>3.7500000000000006E-2</v>
      </c>
      <c r="K7" s="5" t="s">
        <v>134</v>
      </c>
      <c r="P7" s="14"/>
    </row>
    <row r="8" spans="1:43" ht="15" customHeight="1">
      <c r="A8" s="87" t="s">
        <v>357</v>
      </c>
      <c r="B8" s="5">
        <v>0.1</v>
      </c>
      <c r="C8" s="5" t="s">
        <v>11</v>
      </c>
      <c r="G8" s="87">
        <v>8</v>
      </c>
      <c r="J8" s="14">
        <f>J6*2</f>
        <v>0.05</v>
      </c>
      <c r="K8" s="5" t="s">
        <v>134</v>
      </c>
      <c r="P8" s="14"/>
    </row>
    <row r="9" spans="1:43" ht="15" customHeight="1">
      <c r="A9" s="87" t="s">
        <v>358</v>
      </c>
      <c r="B9" s="5">
        <f>0.27*A_houseFT*IF(Stories=1,B5,B6)</f>
        <v>473.85</v>
      </c>
      <c r="C9" s="5" t="s">
        <v>502</v>
      </c>
      <c r="D9" s="14">
        <f>B9*0.3048^2</f>
        <v>44.022105504000002</v>
      </c>
      <c r="E9" s="5" t="s">
        <v>501</v>
      </c>
      <c r="G9" s="87">
        <v>1</v>
      </c>
      <c r="J9" s="14">
        <f>J6/4</f>
        <v>6.2500000000000003E-3</v>
      </c>
      <c r="K9" s="5" t="s">
        <v>134</v>
      </c>
      <c r="P9" s="14"/>
    </row>
    <row r="10" spans="1:43" ht="15" customHeight="1">
      <c r="A10" s="87" t="s">
        <v>359</v>
      </c>
      <c r="B10" s="5">
        <f>A_houseFT*IF(Stories=1,B7,B8)</f>
        <v>270</v>
      </c>
      <c r="C10" s="123" t="s">
        <v>502</v>
      </c>
      <c r="D10" s="14">
        <f>B10*0.3048^2</f>
        <v>25.083820800000002</v>
      </c>
      <c r="E10" s="123" t="s">
        <v>501</v>
      </c>
      <c r="P10" s="14"/>
    </row>
    <row r="11" spans="1:43" ht="15" customHeight="1">
      <c r="A11" s="20" t="s">
        <v>360</v>
      </c>
      <c r="G11" s="4" t="s">
        <v>231</v>
      </c>
      <c r="P11" s="14"/>
      <c r="Z11" s="4" t="s">
        <v>232</v>
      </c>
      <c r="AI11" s="14"/>
    </row>
    <row r="12" spans="1:43" ht="15" customHeight="1">
      <c r="A12" s="409" t="s">
        <v>361</v>
      </c>
      <c r="B12" s="410">
        <f>D12/(0.3048/12)</f>
        <v>9.8425196850393686</v>
      </c>
      <c r="C12" s="411" t="s">
        <v>203</v>
      </c>
      <c r="D12" s="415">
        <v>0.25</v>
      </c>
      <c r="E12" s="411" t="s">
        <v>134</v>
      </c>
      <c r="F12"/>
      <c r="G12" s="100" t="s">
        <v>362</v>
      </c>
      <c r="H12" s="75" t="s">
        <v>11</v>
      </c>
      <c r="I12" s="100">
        <v>1</v>
      </c>
      <c r="J12" s="100">
        <v>2</v>
      </c>
      <c r="K12" s="100">
        <v>3</v>
      </c>
      <c r="L12" s="100">
        <v>4</v>
      </c>
      <c r="M12" s="100">
        <v>5</v>
      </c>
      <c r="N12" s="100">
        <v>6</v>
      </c>
      <c r="O12" s="100">
        <v>7</v>
      </c>
      <c r="P12" s="100">
        <v>8</v>
      </c>
      <c r="Q12" s="100">
        <v>9</v>
      </c>
      <c r="R12" s="100">
        <v>10</v>
      </c>
      <c r="S12" s="100">
        <v>11</v>
      </c>
      <c r="T12" s="100">
        <v>12</v>
      </c>
      <c r="U12" s="100">
        <v>13</v>
      </c>
      <c r="V12" s="100">
        <v>14</v>
      </c>
      <c r="W12" s="100">
        <v>15</v>
      </c>
      <c r="X12" s="100">
        <v>16</v>
      </c>
      <c r="Z12" s="100" t="s">
        <v>362</v>
      </c>
      <c r="AA12" s="75" t="s">
        <v>11</v>
      </c>
      <c r="AB12" s="100">
        <v>1</v>
      </c>
      <c r="AC12" s="100">
        <v>2</v>
      </c>
      <c r="AD12" s="100">
        <v>3</v>
      </c>
      <c r="AE12" s="100">
        <v>4</v>
      </c>
      <c r="AF12" s="100">
        <v>5</v>
      </c>
      <c r="AG12" s="100">
        <v>6</v>
      </c>
      <c r="AH12" s="100">
        <v>7</v>
      </c>
      <c r="AI12" s="100">
        <v>8</v>
      </c>
      <c r="AJ12" s="100">
        <v>9</v>
      </c>
      <c r="AK12" s="100">
        <v>10</v>
      </c>
      <c r="AL12" s="100">
        <v>11</v>
      </c>
      <c r="AM12" s="100">
        <v>12</v>
      </c>
      <c r="AN12" s="100">
        <v>13</v>
      </c>
      <c r="AO12" s="100">
        <v>14</v>
      </c>
      <c r="AP12" s="100">
        <v>15</v>
      </c>
      <c r="AQ12" s="100">
        <v>16</v>
      </c>
    </row>
    <row r="13" spans="1:43" ht="15" customHeight="1">
      <c r="A13" s="409" t="s">
        <v>363</v>
      </c>
      <c r="B13" s="410">
        <f>D13/(0.3048/12)</f>
        <v>17.716535433070867</v>
      </c>
      <c r="C13" s="411" t="s">
        <v>203</v>
      </c>
      <c r="D13" s="415">
        <v>0.45</v>
      </c>
      <c r="E13" s="411" t="s">
        <v>134</v>
      </c>
      <c r="F13"/>
      <c r="G13" s="5" t="s">
        <v>15</v>
      </c>
      <c r="H13" s="76" t="s">
        <v>529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54">
        <v>8</v>
      </c>
      <c r="Z13" s="5" t="s">
        <v>15</v>
      </c>
      <c r="AA13" s="76" t="s">
        <v>529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12" t="s">
        <v>364</v>
      </c>
      <c r="B14" s="413">
        <f>D14/(0.3048/12)</f>
        <v>30.921187535332606</v>
      </c>
      <c r="C14" s="414" t="s">
        <v>203</v>
      </c>
      <c r="D14" s="413">
        <f>PI()*D12</f>
        <v>0.78539816339744828</v>
      </c>
      <c r="E14" s="414" t="s">
        <v>134</v>
      </c>
      <c r="F14"/>
      <c r="G14" s="53" t="s">
        <v>352</v>
      </c>
      <c r="H14" s="79" t="s">
        <v>134</v>
      </c>
      <c r="I14" s="406">
        <f>VLOOKUP(I13,$G$6:$J$9,4,FALSE)</f>
        <v>0.05</v>
      </c>
      <c r="J14" s="406">
        <f t="shared" ref="J14:X14" si="1">VLOOKUP(J13,$G$6:$J$9,4,FALSE)</f>
        <v>0.05</v>
      </c>
      <c r="K14" s="406">
        <f t="shared" si="1"/>
        <v>0.05</v>
      </c>
      <c r="L14" s="406">
        <f t="shared" si="1"/>
        <v>0.05</v>
      </c>
      <c r="M14" s="406">
        <f t="shared" si="1"/>
        <v>0.05</v>
      </c>
      <c r="N14" s="406">
        <f t="shared" si="1"/>
        <v>0.05</v>
      </c>
      <c r="O14" s="406">
        <f t="shared" si="1"/>
        <v>0.05</v>
      </c>
      <c r="P14" s="406">
        <f t="shared" si="1"/>
        <v>0.05</v>
      </c>
      <c r="Q14" s="406">
        <f t="shared" si="1"/>
        <v>0.05</v>
      </c>
      <c r="R14" s="406">
        <f t="shared" si="1"/>
        <v>0.05</v>
      </c>
      <c r="S14" s="406">
        <f t="shared" si="1"/>
        <v>0.05</v>
      </c>
      <c r="T14" s="406">
        <f t="shared" si="1"/>
        <v>0.05</v>
      </c>
      <c r="U14" s="406">
        <f t="shared" si="1"/>
        <v>0.05</v>
      </c>
      <c r="V14" s="406">
        <f t="shared" si="1"/>
        <v>0.05</v>
      </c>
      <c r="W14" s="406">
        <f t="shared" si="1"/>
        <v>0.05</v>
      </c>
      <c r="X14" s="406">
        <f t="shared" si="1"/>
        <v>0.05</v>
      </c>
      <c r="Y14" s="250">
        <f>VLOOKUP(Y13,$G$6:$J$9,4,FALSE)</f>
        <v>0.05</v>
      </c>
      <c r="Z14" s="53" t="s">
        <v>352</v>
      </c>
      <c r="AA14" s="79" t="s">
        <v>134</v>
      </c>
      <c r="AB14" s="250">
        <f>VLOOKUP(AB13,$G$6:$J$9,4,FALSE)</f>
        <v>0.05</v>
      </c>
      <c r="AC14" s="250">
        <f t="shared" ref="AC14:AQ14" si="2">VLOOKUP(AC13,$G$6:$J$9,4,FALSE)</f>
        <v>0.05</v>
      </c>
      <c r="AD14" s="250">
        <f t="shared" si="2"/>
        <v>0.05</v>
      </c>
      <c r="AE14" s="250">
        <f t="shared" si="2"/>
        <v>0.05</v>
      </c>
      <c r="AF14" s="250">
        <f t="shared" si="2"/>
        <v>0.05</v>
      </c>
      <c r="AG14" s="250">
        <f t="shared" si="2"/>
        <v>0.05</v>
      </c>
      <c r="AH14" s="250">
        <f t="shared" si="2"/>
        <v>0.05</v>
      </c>
      <c r="AI14" s="250">
        <f t="shared" si="2"/>
        <v>0.05</v>
      </c>
      <c r="AJ14" s="250">
        <f t="shared" si="2"/>
        <v>0.05</v>
      </c>
      <c r="AK14" s="250">
        <f t="shared" si="2"/>
        <v>0.05</v>
      </c>
      <c r="AL14" s="250">
        <f t="shared" si="2"/>
        <v>0.05</v>
      </c>
      <c r="AM14" s="250">
        <f t="shared" si="2"/>
        <v>0.05</v>
      </c>
      <c r="AN14" s="250">
        <f t="shared" si="2"/>
        <v>0.05</v>
      </c>
      <c r="AO14" s="250">
        <f t="shared" si="2"/>
        <v>0.05</v>
      </c>
      <c r="AP14" s="250">
        <f t="shared" si="2"/>
        <v>0.05</v>
      </c>
      <c r="AQ14" s="250">
        <f t="shared" si="2"/>
        <v>0.05</v>
      </c>
    </row>
    <row r="15" spans="1:43" ht="15" customHeight="1">
      <c r="A15" s="412" t="s">
        <v>365</v>
      </c>
      <c r="B15" s="413">
        <f>D15/(0.3048/12)</f>
        <v>55.658137563598693</v>
      </c>
      <c r="C15" s="414" t="s">
        <v>203</v>
      </c>
      <c r="D15" s="413">
        <f>PI()*D13</f>
        <v>1.4137166941154069</v>
      </c>
      <c r="E15" s="414" t="s">
        <v>134</v>
      </c>
      <c r="G15" s="5" t="s">
        <v>366</v>
      </c>
      <c r="H15" s="76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54">
        <v>0.7</v>
      </c>
      <c r="Z15" s="5" t="s">
        <v>366</v>
      </c>
      <c r="AA15" s="76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09" t="s">
        <v>367</v>
      </c>
      <c r="B16" s="410">
        <f>D16/0.3048</f>
        <v>183.89332536153628</v>
      </c>
      <c r="C16" s="411" t="s">
        <v>133</v>
      </c>
      <c r="D16" s="416">
        <f>D9/D14</f>
        <v>56.050685570196265</v>
      </c>
      <c r="E16" s="411" t="s">
        <v>134</v>
      </c>
      <c r="G16" s="53" t="s">
        <v>368</v>
      </c>
      <c r="H16" s="79" t="s">
        <v>528</v>
      </c>
      <c r="I16" s="406">
        <f t="shared" ref="I16:X16" si="3">(I13+I15)/5.678</f>
        <v>1.5322296583303978</v>
      </c>
      <c r="J16" s="406">
        <f t="shared" si="3"/>
        <v>1.5322296583303978</v>
      </c>
      <c r="K16" s="406">
        <f t="shared" si="3"/>
        <v>1.5322296583303978</v>
      </c>
      <c r="L16" s="406">
        <f t="shared" si="3"/>
        <v>1.5322296583303978</v>
      </c>
      <c r="M16" s="406">
        <f t="shared" si="3"/>
        <v>1.5322296583303978</v>
      </c>
      <c r="N16" s="406">
        <f t="shared" si="3"/>
        <v>1.5322296583303978</v>
      </c>
      <c r="O16" s="406">
        <f t="shared" si="3"/>
        <v>1.5322296583303978</v>
      </c>
      <c r="P16" s="406">
        <f t="shared" si="3"/>
        <v>1.5322296583303978</v>
      </c>
      <c r="Q16" s="406">
        <f t="shared" si="3"/>
        <v>1.5322296583303978</v>
      </c>
      <c r="R16" s="406">
        <f t="shared" si="3"/>
        <v>1.5322296583303978</v>
      </c>
      <c r="S16" s="406">
        <f t="shared" si="3"/>
        <v>1.5322296583303978</v>
      </c>
      <c r="T16" s="406">
        <f t="shared" si="3"/>
        <v>1.5322296583303978</v>
      </c>
      <c r="U16" s="406">
        <f t="shared" si="3"/>
        <v>1.5322296583303978</v>
      </c>
      <c r="V16" s="406">
        <f t="shared" si="3"/>
        <v>1.5322296583303978</v>
      </c>
      <c r="W16" s="406">
        <f t="shared" si="3"/>
        <v>1.5322296583303978</v>
      </c>
      <c r="X16" s="406">
        <f t="shared" si="3"/>
        <v>1.5322296583303978</v>
      </c>
      <c r="Y16" s="250">
        <f>(Y13+Y15)/5.678</f>
        <v>1.5322296583303978</v>
      </c>
      <c r="Z16" s="53" t="s">
        <v>368</v>
      </c>
      <c r="AA16" s="79" t="s">
        <v>528</v>
      </c>
      <c r="AB16" s="35">
        <f t="shared" ref="AB16:AQ16" si="4">(AB13+AB15)/5.678</f>
        <v>1.5322296583303978</v>
      </c>
      <c r="AC16" s="35">
        <f t="shared" si="4"/>
        <v>1.5322296583303978</v>
      </c>
      <c r="AD16" s="35">
        <f t="shared" si="4"/>
        <v>1.5322296583303978</v>
      </c>
      <c r="AE16" s="35">
        <f t="shared" si="4"/>
        <v>1.5322296583303978</v>
      </c>
      <c r="AF16" s="35">
        <f t="shared" si="4"/>
        <v>1.5322296583303978</v>
      </c>
      <c r="AG16" s="35">
        <f t="shared" si="4"/>
        <v>1.5322296583303978</v>
      </c>
      <c r="AH16" s="35">
        <f t="shared" si="4"/>
        <v>1.5322296583303978</v>
      </c>
      <c r="AI16" s="35">
        <f t="shared" si="4"/>
        <v>1.5322296583303978</v>
      </c>
      <c r="AJ16" s="35">
        <f t="shared" si="4"/>
        <v>1.5322296583303978</v>
      </c>
      <c r="AK16" s="35">
        <f t="shared" si="4"/>
        <v>1.5322296583303978</v>
      </c>
      <c r="AL16" s="35">
        <f t="shared" si="4"/>
        <v>1.5322296583303978</v>
      </c>
      <c r="AM16" s="35">
        <f t="shared" si="4"/>
        <v>1.5322296583303978</v>
      </c>
      <c r="AN16" s="35">
        <f t="shared" si="4"/>
        <v>1.5322296583303978</v>
      </c>
      <c r="AO16" s="35">
        <f t="shared" si="4"/>
        <v>1.5322296583303978</v>
      </c>
      <c r="AP16" s="35">
        <f t="shared" si="4"/>
        <v>1.5322296583303978</v>
      </c>
      <c r="AQ16" s="35">
        <f t="shared" si="4"/>
        <v>1.5322296583303978</v>
      </c>
    </row>
    <row r="17" spans="1:6" ht="15" customHeight="1">
      <c r="A17" s="409" t="s">
        <v>369</v>
      </c>
      <c r="B17" s="410">
        <f>D17/0.3048</f>
        <v>58.212511985291648</v>
      </c>
      <c r="C17" s="411" t="s">
        <v>133</v>
      </c>
      <c r="D17" s="416">
        <f>D10/D15</f>
        <v>17.743173653116894</v>
      </c>
      <c r="E17" s="411" t="s">
        <v>134</v>
      </c>
    </row>
    <row r="18" spans="1:6" ht="15" customHeight="1">
      <c r="A18" s="245" t="s">
        <v>1132</v>
      </c>
      <c r="D18" s="264">
        <v>2.5000000000000001E-2</v>
      </c>
      <c r="F18" s="257" t="s">
        <v>1134</v>
      </c>
    </row>
    <row r="19" spans="1:6" ht="15" customHeight="1">
      <c r="A19" s="245" t="s">
        <v>1133</v>
      </c>
      <c r="D19" s="264">
        <v>2.5000000000000001E-2</v>
      </c>
      <c r="F19" s="257" t="s">
        <v>1136</v>
      </c>
    </row>
    <row r="20" spans="1:6" ht="15" customHeight="1">
      <c r="A20" s="245" t="s">
        <v>113</v>
      </c>
      <c r="D20" s="264">
        <v>0.6</v>
      </c>
      <c r="F20" s="254" t="s">
        <v>114</v>
      </c>
    </row>
    <row r="21" spans="1:6" ht="15" customHeight="1">
      <c r="A21" s="245" t="s">
        <v>115</v>
      </c>
      <c r="D21" s="264">
        <v>0.6</v>
      </c>
      <c r="F21" s="254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D4" sqref="D4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54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6" t="s">
        <v>370</v>
      </c>
      <c r="Y1" s="80"/>
      <c r="Z1" s="105"/>
      <c r="AA1" s="105"/>
      <c r="AB1" s="105"/>
      <c r="AC1" s="105"/>
      <c r="AD1" s="105"/>
      <c r="AE1" s="80"/>
    </row>
    <row r="2" spans="1:31" ht="17.25" customHeight="1">
      <c r="A2" s="67" t="s">
        <v>371</v>
      </c>
      <c r="H2" s="245"/>
      <c r="J2" s="5" t="s">
        <v>643</v>
      </c>
      <c r="Y2" s="80"/>
      <c r="Z2" s="105"/>
      <c r="AA2" s="105"/>
      <c r="AB2" s="105"/>
      <c r="AC2" s="105"/>
      <c r="AD2" s="105"/>
      <c r="AE2" s="80"/>
    </row>
    <row r="3" spans="1:31" ht="15" customHeight="1">
      <c r="A3" s="4" t="s">
        <v>372</v>
      </c>
      <c r="H3" s="245"/>
      <c r="J3" s="5" t="s">
        <v>644</v>
      </c>
      <c r="N3" s="5" t="s">
        <v>646</v>
      </c>
      <c r="P3" s="54"/>
      <c r="Q3" s="54"/>
      <c r="R3" s="54"/>
      <c r="S3" s="54"/>
      <c r="Y3" s="80"/>
      <c r="Z3" s="105"/>
      <c r="AA3" s="105"/>
      <c r="AB3" s="80"/>
      <c r="AC3" s="80"/>
      <c r="AD3" s="80"/>
      <c r="AE3" s="80"/>
    </row>
    <row r="4" spans="1:31" ht="15" customHeight="1">
      <c r="A4" s="11" t="s">
        <v>373</v>
      </c>
      <c r="H4" s="245"/>
      <c r="I4" s="55"/>
      <c r="J4" s="55" t="s">
        <v>645</v>
      </c>
      <c r="K4" s="55"/>
      <c r="L4" s="55"/>
      <c r="M4" s="55"/>
      <c r="N4" s="55" t="s">
        <v>647</v>
      </c>
      <c r="O4" s="55"/>
      <c r="P4" s="55"/>
      <c r="Q4" s="55"/>
      <c r="R4" s="55"/>
      <c r="Y4" s="80"/>
      <c r="Z4" s="105"/>
      <c r="AA4" s="105"/>
      <c r="AB4" s="80"/>
      <c r="AC4" s="80"/>
      <c r="AD4" s="80"/>
      <c r="AE4" s="80"/>
    </row>
    <row r="5" spans="1:31" ht="15" customHeight="1">
      <c r="A5" s="11"/>
      <c r="I5" s="55"/>
      <c r="J5" s="55"/>
      <c r="K5" s="55"/>
      <c r="L5" s="55"/>
      <c r="M5" s="55"/>
      <c r="N5" s="55"/>
      <c r="O5" s="55"/>
      <c r="P5" s="55"/>
      <c r="Q5" s="56"/>
      <c r="R5" s="56"/>
      <c r="S5" s="13"/>
      <c r="Y5" s="80"/>
      <c r="Z5" s="105"/>
      <c r="AA5" s="105"/>
      <c r="AB5" s="80"/>
      <c r="AC5" s="80"/>
      <c r="AD5" s="80"/>
      <c r="AE5" s="80"/>
    </row>
    <row r="6" spans="1:31" ht="15" customHeight="1">
      <c r="D6" s="5" t="s">
        <v>1</v>
      </c>
      <c r="I6" s="55"/>
      <c r="J6" s="55" t="s">
        <v>648</v>
      </c>
      <c r="K6" s="55"/>
      <c r="L6" s="55"/>
      <c r="M6" s="57"/>
      <c r="N6" s="58"/>
      <c r="O6" s="55"/>
      <c r="P6" s="59"/>
      <c r="Q6" s="56"/>
      <c r="R6" s="56"/>
      <c r="S6" s="13"/>
      <c r="Y6" s="80"/>
      <c r="Z6" s="105"/>
      <c r="AA6" s="105"/>
      <c r="AB6" s="80"/>
      <c r="AC6" s="80"/>
      <c r="AD6" s="80"/>
      <c r="AE6" s="80"/>
    </row>
    <row r="7" spans="1:31" s="254" customFormat="1" ht="15" customHeight="1">
      <c r="I7" s="257"/>
      <c r="J7" s="257"/>
      <c r="K7" s="257"/>
      <c r="L7" s="257"/>
      <c r="M7" s="57"/>
      <c r="N7" s="58"/>
      <c r="O7" s="257"/>
      <c r="P7" s="242"/>
      <c r="Q7" s="56"/>
      <c r="R7" s="56"/>
      <c r="S7" s="248"/>
      <c r="Y7" s="80"/>
      <c r="Z7" s="105"/>
      <c r="AA7" s="105"/>
      <c r="AB7" s="80"/>
      <c r="AC7" s="80"/>
      <c r="AD7" s="80"/>
      <c r="AE7" s="80"/>
    </row>
    <row r="8" spans="1:31" s="254" customFormat="1" ht="15" customHeight="1">
      <c r="C8" s="223" t="s">
        <v>640</v>
      </c>
      <c r="D8" s="258" t="s">
        <v>589</v>
      </c>
      <c r="E8" s="258" t="s">
        <v>590</v>
      </c>
      <c r="F8" s="258" t="s">
        <v>591</v>
      </c>
      <c r="G8" s="258" t="s">
        <v>592</v>
      </c>
      <c r="H8" s="258" t="s">
        <v>593</v>
      </c>
      <c r="I8" s="258" t="s">
        <v>594</v>
      </c>
      <c r="J8" s="258" t="s">
        <v>595</v>
      </c>
      <c r="K8" s="258" t="s">
        <v>596</v>
      </c>
      <c r="L8" s="258" t="s">
        <v>597</v>
      </c>
      <c r="M8" s="258" t="s">
        <v>598</v>
      </c>
      <c r="N8" s="258" t="s">
        <v>599</v>
      </c>
      <c r="O8" s="258" t="s">
        <v>600</v>
      </c>
      <c r="P8" s="258">
        <v>7</v>
      </c>
      <c r="Q8" s="223">
        <v>8</v>
      </c>
      <c r="R8" s="254" t="s">
        <v>819</v>
      </c>
      <c r="S8" s="254" t="s">
        <v>820</v>
      </c>
      <c r="Y8" s="80"/>
      <c r="Z8" s="105"/>
      <c r="AA8" s="105"/>
      <c r="AB8" s="80"/>
      <c r="AC8" s="80"/>
      <c r="AD8" s="80"/>
      <c r="AE8" s="80"/>
    </row>
    <row r="9" spans="1:31" ht="15" customHeight="1">
      <c r="A9" s="63" t="s">
        <v>374</v>
      </c>
      <c r="B9" s="63">
        <v>16</v>
      </c>
      <c r="C9" s="63">
        <v>16</v>
      </c>
      <c r="D9" s="63">
        <v>16</v>
      </c>
      <c r="E9" s="63">
        <v>16</v>
      </c>
      <c r="F9" s="63">
        <v>16</v>
      </c>
      <c r="G9" s="63">
        <v>16</v>
      </c>
      <c r="H9" s="63">
        <v>16</v>
      </c>
      <c r="I9" s="63">
        <v>16</v>
      </c>
      <c r="J9" s="63">
        <v>16</v>
      </c>
      <c r="K9" s="63">
        <v>16</v>
      </c>
      <c r="L9" s="63">
        <v>16</v>
      </c>
      <c r="M9" s="63">
        <v>16</v>
      </c>
      <c r="N9" s="63">
        <v>16</v>
      </c>
      <c r="O9" s="63">
        <v>16</v>
      </c>
      <c r="P9" s="63">
        <v>16</v>
      </c>
      <c r="Q9" s="63">
        <v>16</v>
      </c>
      <c r="R9" s="63">
        <v>16</v>
      </c>
      <c r="S9" s="5">
        <f>F9</f>
        <v>16</v>
      </c>
      <c r="T9" s="63" t="s">
        <v>11</v>
      </c>
      <c r="U9" s="67" t="s">
        <v>375</v>
      </c>
      <c r="Y9" s="80"/>
      <c r="Z9" s="105"/>
      <c r="AA9" s="105"/>
      <c r="AB9" s="80"/>
      <c r="AC9" s="80"/>
      <c r="AD9" s="80"/>
      <c r="AE9" s="80"/>
    </row>
    <row r="10" spans="1:31" ht="15" customHeight="1">
      <c r="A10" s="53" t="s">
        <v>372</v>
      </c>
      <c r="B10" s="403">
        <v>12.8</v>
      </c>
      <c r="C10" s="403">
        <v>12.8</v>
      </c>
      <c r="D10" s="403">
        <v>12.8</v>
      </c>
      <c r="E10" s="403">
        <v>12.8</v>
      </c>
      <c r="F10" s="403">
        <v>12.8</v>
      </c>
      <c r="G10" s="403">
        <v>12.8</v>
      </c>
      <c r="H10" s="403">
        <v>12.8</v>
      </c>
      <c r="I10" s="403">
        <v>12.8</v>
      </c>
      <c r="J10" s="403">
        <v>12.8</v>
      </c>
      <c r="K10" s="403">
        <v>12.8</v>
      </c>
      <c r="L10" s="403">
        <v>12.8</v>
      </c>
      <c r="M10" s="403">
        <v>12.8</v>
      </c>
      <c r="N10" s="403">
        <v>12.8</v>
      </c>
      <c r="O10" s="403">
        <v>12.8</v>
      </c>
      <c r="P10" s="403">
        <v>12.8</v>
      </c>
      <c r="Q10" s="403">
        <v>12.8</v>
      </c>
      <c r="R10" s="403">
        <v>12.8</v>
      </c>
      <c r="S10" s="264">
        <f>F10</f>
        <v>12.8</v>
      </c>
      <c r="T10" s="53" t="s">
        <v>11</v>
      </c>
      <c r="U10" s="14" t="s">
        <v>376</v>
      </c>
      <c r="Y10" s="80"/>
      <c r="Z10" s="105"/>
      <c r="AA10" s="105"/>
      <c r="AB10" s="80"/>
      <c r="AC10" s="80"/>
      <c r="AD10" s="80"/>
      <c r="AE10" s="80"/>
    </row>
    <row r="11" spans="1:31" ht="15" customHeight="1">
      <c r="I11" s="55"/>
      <c r="J11" s="55"/>
      <c r="K11" s="55"/>
      <c r="L11" s="55"/>
      <c r="M11" s="57"/>
      <c r="N11" s="58"/>
      <c r="O11" s="55"/>
      <c r="P11" s="59"/>
      <c r="Q11" s="56"/>
      <c r="R11" s="56"/>
      <c r="S11" s="13"/>
      <c r="Y11" s="80"/>
      <c r="Z11" s="105"/>
      <c r="AA11" s="105"/>
      <c r="AB11" s="80"/>
      <c r="AC11" s="80"/>
      <c r="AD11" s="80"/>
      <c r="AE11" s="80"/>
    </row>
    <row r="12" spans="1:31" ht="15" customHeight="1">
      <c r="A12" s="11"/>
      <c r="I12" s="55"/>
      <c r="J12" s="55"/>
      <c r="K12" s="55"/>
      <c r="L12" s="55"/>
      <c r="M12" s="57"/>
      <c r="N12" s="58"/>
      <c r="O12" s="55"/>
      <c r="P12" s="59"/>
      <c r="Q12" s="56"/>
      <c r="R12" s="56"/>
      <c r="S12" s="13"/>
      <c r="Y12" s="80"/>
      <c r="Z12" s="105"/>
      <c r="AA12" s="105"/>
      <c r="AB12" s="80"/>
      <c r="AC12" s="80"/>
      <c r="AD12" s="80"/>
      <c r="AE12" s="80"/>
    </row>
    <row r="13" spans="1:31" ht="15" customHeight="1">
      <c r="A13" s="4" t="s">
        <v>377</v>
      </c>
      <c r="C13" s="223" t="s">
        <v>640</v>
      </c>
      <c r="D13" s="258" t="s">
        <v>589</v>
      </c>
      <c r="E13" s="258" t="s">
        <v>590</v>
      </c>
      <c r="F13" s="258" t="s">
        <v>591</v>
      </c>
      <c r="G13" s="258" t="s">
        <v>592</v>
      </c>
      <c r="H13" s="258" t="s">
        <v>593</v>
      </c>
      <c r="I13" s="258" t="s">
        <v>594</v>
      </c>
      <c r="J13" s="258" t="s">
        <v>595</v>
      </c>
      <c r="K13" s="258" t="s">
        <v>596</v>
      </c>
      <c r="L13" s="258" t="s">
        <v>597</v>
      </c>
      <c r="M13" s="258" t="s">
        <v>598</v>
      </c>
      <c r="N13" s="258" t="s">
        <v>599</v>
      </c>
      <c r="O13" s="258" t="s">
        <v>600</v>
      </c>
      <c r="P13" s="258">
        <v>7</v>
      </c>
      <c r="Q13" s="223">
        <v>8</v>
      </c>
      <c r="R13" s="254" t="s">
        <v>819</v>
      </c>
      <c r="S13" s="254" t="s">
        <v>820</v>
      </c>
      <c r="Y13" s="80"/>
      <c r="Z13" s="105"/>
      <c r="AA13" s="105"/>
      <c r="AB13" s="80"/>
      <c r="AC13" s="80"/>
      <c r="AD13" s="80"/>
      <c r="AE13" s="80"/>
    </row>
    <row r="14" spans="1:31" ht="15" customHeight="1">
      <c r="A14" s="63" t="s">
        <v>378</v>
      </c>
      <c r="B14" s="284">
        <v>0.92</v>
      </c>
      <c r="C14" s="284">
        <v>0.92</v>
      </c>
      <c r="D14" s="284">
        <v>0.92</v>
      </c>
      <c r="E14" s="284">
        <v>0.92</v>
      </c>
      <c r="F14" s="284">
        <v>0.92</v>
      </c>
      <c r="G14" s="284">
        <v>0.92</v>
      </c>
      <c r="H14" s="284">
        <v>0.92</v>
      </c>
      <c r="I14" s="284">
        <v>0.92</v>
      </c>
      <c r="J14" s="284">
        <v>0.92</v>
      </c>
      <c r="K14" s="284">
        <v>0.92</v>
      </c>
      <c r="L14" s="284">
        <v>0.92</v>
      </c>
      <c r="M14" s="284">
        <v>0.92</v>
      </c>
      <c r="N14" s="284">
        <v>0.92</v>
      </c>
      <c r="O14" s="284">
        <v>0.92</v>
      </c>
      <c r="P14" s="284">
        <v>0.92</v>
      </c>
      <c r="Q14" s="284">
        <v>0.92</v>
      </c>
      <c r="R14" s="284">
        <v>0.92</v>
      </c>
      <c r="S14" s="417">
        <f>F14</f>
        <v>0.92</v>
      </c>
      <c r="Y14" s="80"/>
      <c r="Z14" s="105"/>
      <c r="AA14" s="105"/>
      <c r="AB14" s="80"/>
      <c r="AC14" s="80"/>
      <c r="AD14" s="80"/>
      <c r="AE14" s="80"/>
    </row>
    <row r="15" spans="1:31" ht="15" customHeight="1">
      <c r="S15" s="11" t="s">
        <v>1</v>
      </c>
      <c r="Y15" s="80"/>
      <c r="Z15" s="105"/>
      <c r="AA15" s="105"/>
      <c r="AB15" s="80"/>
      <c r="AC15" s="80"/>
      <c r="AD15" s="80"/>
      <c r="AE15" s="80"/>
    </row>
    <row r="16" spans="1:31" ht="15" customHeight="1">
      <c r="A16" s="100" t="s">
        <v>362</v>
      </c>
      <c r="B16" s="99"/>
      <c r="C16" s="223" t="s">
        <v>640</v>
      </c>
      <c r="D16" s="255" t="s">
        <v>589</v>
      </c>
      <c r="E16" s="255" t="s">
        <v>590</v>
      </c>
      <c r="F16" s="255" t="s">
        <v>591</v>
      </c>
      <c r="G16" s="255" t="s">
        <v>592</v>
      </c>
      <c r="H16" s="255" t="s">
        <v>593</v>
      </c>
      <c r="I16" s="255" t="s">
        <v>594</v>
      </c>
      <c r="J16" s="255" t="s">
        <v>595</v>
      </c>
      <c r="K16" s="255" t="s">
        <v>596</v>
      </c>
      <c r="L16" s="255" t="s">
        <v>597</v>
      </c>
      <c r="M16" s="255" t="s">
        <v>598</v>
      </c>
      <c r="N16" s="255" t="s">
        <v>599</v>
      </c>
      <c r="O16" s="255" t="s">
        <v>600</v>
      </c>
      <c r="P16" s="255">
        <v>7</v>
      </c>
      <c r="Q16" s="223">
        <v>8</v>
      </c>
      <c r="R16" s="254" t="s">
        <v>819</v>
      </c>
      <c r="S16" s="254" t="s">
        <v>820</v>
      </c>
      <c r="Y16" s="80"/>
      <c r="Z16" s="105"/>
      <c r="AA16" s="105"/>
      <c r="AB16" s="80"/>
      <c r="AC16" s="80"/>
      <c r="AD16" s="80"/>
      <c r="AE16" s="80"/>
    </row>
    <row r="18" spans="1:20" ht="15" customHeight="1">
      <c r="A18" s="482" t="s">
        <v>1290</v>
      </c>
    </row>
    <row r="19" spans="1:20" ht="15" customHeight="1">
      <c r="A19" s="5" t="s">
        <v>1289</v>
      </c>
    </row>
    <row r="20" spans="1:20" s="254" customFormat="1" ht="15" customHeight="1">
      <c r="B20" s="254">
        <v>1</v>
      </c>
      <c r="C20" s="254">
        <v>2</v>
      </c>
      <c r="D20" s="254">
        <v>3</v>
      </c>
      <c r="E20" s="254">
        <v>4</v>
      </c>
      <c r="F20" s="254">
        <v>5</v>
      </c>
      <c r="G20" s="254">
        <v>6</v>
      </c>
      <c r="H20" s="254">
        <v>7</v>
      </c>
      <c r="I20" s="254">
        <v>8</v>
      </c>
      <c r="J20" s="254">
        <v>9</v>
      </c>
      <c r="K20" s="254">
        <v>10</v>
      </c>
      <c r="L20" s="254">
        <v>11</v>
      </c>
      <c r="M20" s="254">
        <v>12</v>
      </c>
      <c r="N20" s="254">
        <v>13</v>
      </c>
      <c r="O20" s="254">
        <v>14</v>
      </c>
      <c r="P20" s="254">
        <v>15</v>
      </c>
      <c r="Q20" s="254">
        <v>16</v>
      </c>
    </row>
    <row r="21" spans="1:20" ht="15" customHeight="1">
      <c r="A21" s="458" t="s">
        <v>1196</v>
      </c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3"/>
    </row>
    <row r="22" spans="1:20" ht="15" customHeight="1">
      <c r="A22" s="459" t="s">
        <v>1268</v>
      </c>
      <c r="B22" s="80">
        <v>70</v>
      </c>
      <c r="C22" s="80" t="s">
        <v>1269</v>
      </c>
      <c r="D22" s="80">
        <v>75</v>
      </c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201"/>
    </row>
    <row r="23" spans="1:20" ht="15" customHeight="1">
      <c r="A23" s="459" t="s">
        <v>1260</v>
      </c>
      <c r="B23" s="80">
        <f>$B$22-Weather!B46</f>
        <v>37</v>
      </c>
      <c r="C23" s="80">
        <f>$B$22-Weather!C46</f>
        <v>41</v>
      </c>
      <c r="D23" s="80">
        <f>$B$22-Weather!D46</f>
        <v>34</v>
      </c>
      <c r="E23" s="80">
        <f>$B$22-Weather!E46</f>
        <v>32</v>
      </c>
      <c r="F23" s="80">
        <f>$B$22-Weather!F46</f>
        <v>35</v>
      </c>
      <c r="G23" s="80">
        <f>$B$22-Weather!G46</f>
        <v>25</v>
      </c>
      <c r="H23" s="80">
        <f>$B$22-Weather!H46</f>
        <v>26</v>
      </c>
      <c r="I23" s="80">
        <f>$B$22-Weather!I46</f>
        <v>33</v>
      </c>
      <c r="J23" s="80">
        <f>$B$22-Weather!J46</f>
        <v>29</v>
      </c>
      <c r="K23" s="80">
        <f>$B$22-Weather!K46</f>
        <v>35</v>
      </c>
      <c r="L23" s="80">
        <f>$B$22-Weather!L46</f>
        <v>38</v>
      </c>
      <c r="M23" s="80">
        <f>$B$22-Weather!M46</f>
        <v>38</v>
      </c>
      <c r="N23" s="80">
        <f>$B$22-Weather!N46</f>
        <v>38</v>
      </c>
      <c r="O23" s="80">
        <f>$B$22-Weather!O46</f>
        <v>46</v>
      </c>
      <c r="P23" s="80">
        <f>$B$22-Weather!P46</f>
        <v>35</v>
      </c>
      <c r="Q23" s="80">
        <f>$B$22-Weather!Q46</f>
        <v>46</v>
      </c>
      <c r="R23" s="80"/>
      <c r="S23" s="254"/>
      <c r="T23" s="254"/>
    </row>
    <row r="24" spans="1:20" s="254" customFormat="1" ht="15" customHeight="1">
      <c r="A24" s="459" t="s">
        <v>1261</v>
      </c>
      <c r="B24" s="80">
        <f>Weather!B47-$D$22</f>
        <v>-6</v>
      </c>
      <c r="C24" s="80">
        <f>Weather!C47-$D$22</f>
        <v>21</v>
      </c>
      <c r="D24" s="80">
        <f>Weather!D47-$D$22</f>
        <v>5</v>
      </c>
      <c r="E24" s="80">
        <f>Weather!E47-$D$22</f>
        <v>14</v>
      </c>
      <c r="F24" s="80">
        <f>Weather!F47-$D$22</f>
        <v>7</v>
      </c>
      <c r="G24" s="80">
        <f>Weather!G47-$D$22</f>
        <v>6</v>
      </c>
      <c r="H24" s="80">
        <f>Weather!H47-$D$22</f>
        <v>7</v>
      </c>
      <c r="I24" s="80">
        <f>Weather!I47-$D$22</f>
        <v>16</v>
      </c>
      <c r="J24" s="80">
        <f>Weather!J47-$D$22</f>
        <v>20</v>
      </c>
      <c r="K24" s="80">
        <f>Weather!K47-$D$22</f>
        <v>24</v>
      </c>
      <c r="L24" s="80">
        <f>Weather!L47-$D$22</f>
        <v>27</v>
      </c>
      <c r="M24" s="80">
        <f>Weather!M47-$D$22</f>
        <v>22</v>
      </c>
      <c r="N24" s="80">
        <f>Weather!N47-$D$22</f>
        <v>26</v>
      </c>
      <c r="O24" s="80">
        <f>Weather!O47-$D$22</f>
        <v>23</v>
      </c>
      <c r="P24" s="80">
        <f>Weather!P47-$D$22</f>
        <v>35</v>
      </c>
      <c r="Q24" s="80">
        <f>Weather!Q47-$D$22</f>
        <v>6</v>
      </c>
      <c r="R24" s="80"/>
    </row>
    <row r="25" spans="1:20" s="254" customFormat="1" ht="15" customHeight="1">
      <c r="A25" s="460" t="s">
        <v>1270</v>
      </c>
      <c r="B25" s="96">
        <f>Weather!B49</f>
        <v>5</v>
      </c>
      <c r="C25" s="96">
        <f>Weather!C49</f>
        <v>0</v>
      </c>
      <c r="D25" s="96">
        <f>Weather!D49</f>
        <v>1</v>
      </c>
      <c r="E25" s="96">
        <f>Weather!E49</f>
        <v>1</v>
      </c>
      <c r="F25" s="96">
        <f>Weather!F49</f>
        <v>-7</v>
      </c>
      <c r="G25" s="96">
        <f>Weather!G49</f>
        <v>8</v>
      </c>
      <c r="H25" s="96">
        <f>Weather!H49</f>
        <v>33</v>
      </c>
      <c r="I25" s="96">
        <f>Weather!I49</f>
        <v>19</v>
      </c>
      <c r="J25" s="96">
        <f>Weather!J49</f>
        <v>7</v>
      </c>
      <c r="K25" s="96">
        <f>Weather!K49</f>
        <v>-9</v>
      </c>
      <c r="L25" s="96">
        <f>Weather!L49</f>
        <v>-4</v>
      </c>
      <c r="M25" s="96">
        <f>Weather!M49</f>
        <v>-1</v>
      </c>
      <c r="N25" s="96">
        <f>Weather!N49</f>
        <v>3</v>
      </c>
      <c r="O25" s="96">
        <f>Weather!O49</f>
        <v>-18</v>
      </c>
      <c r="P25" s="96">
        <f>Weather!P49</f>
        <v>-11</v>
      </c>
      <c r="Q25" s="96">
        <f>Weather!Q49</f>
        <v>-28</v>
      </c>
      <c r="R25" s="82"/>
    </row>
    <row r="26" spans="1:20" s="254" customFormat="1" ht="15" customHeight="1"/>
    <row r="27" spans="1:20" s="254" customFormat="1" ht="15" customHeight="1">
      <c r="A27" s="458" t="s">
        <v>1224</v>
      </c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3"/>
    </row>
    <row r="28" spans="1:20" s="254" customFormat="1" ht="15" customHeight="1">
      <c r="A28" s="459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201"/>
    </row>
    <row r="29" spans="1:20" ht="15" customHeight="1">
      <c r="A29" s="461" t="s">
        <v>244</v>
      </c>
      <c r="B29" s="80">
        <f>(1/UA!AC6)*UA!$B$6*UA!$C$6*10.7639+(1/UA!AC9*UA!$B$9*UA!$C$9*10.7639)</f>
        <v>113.061290836781</v>
      </c>
      <c r="C29" s="80">
        <f>(1/UA!AD6)*UA!$B$6*UA!$C$6*10.7639+(1/UA!AD9*UA!$B$9*UA!$C$9*10.7639)</f>
        <v>113.061290836781</v>
      </c>
      <c r="D29" s="80">
        <f>(1/UA!AE6)*UA!$B$6*UA!$C$6*10.7639+(1/UA!AE9*UA!$B$9*UA!$C$9*10.7639)</f>
        <v>113.061290836781</v>
      </c>
      <c r="E29" s="80">
        <f>(1/UA!AF6)*UA!$B$6*UA!$C$6*10.7639+(1/UA!AF9*UA!$B$9*UA!$C$9*10.7639)</f>
        <v>113.061290836781</v>
      </c>
      <c r="F29" s="80">
        <f>(1/UA!AG6)*UA!$B$6*UA!$C$6*10.7639+(1/UA!AG9*UA!$B$9*UA!$C$9*10.7639)</f>
        <v>113.061290836781</v>
      </c>
      <c r="G29" s="80">
        <f>(1/UA!AH6)*UA!$B$6*UA!$C$6*10.7639+(1/UA!AH9*UA!$B$9*UA!$C$9*10.7639)</f>
        <v>141.90171917001501</v>
      </c>
      <c r="H29" s="80">
        <f>(1/UA!AI6)*UA!$B$6*UA!$C$6*10.7639+(1/UA!AI9*UA!$B$9*UA!$C$9*10.7639)</f>
        <v>141.90171917001501</v>
      </c>
      <c r="I29" s="80">
        <f>(1/UA!AJ6)*UA!$B$6*UA!$C$6*10.7639+(1/UA!AJ9*UA!$B$9*UA!$C$9*10.7639)</f>
        <v>113.061290836781</v>
      </c>
      <c r="J29" s="80">
        <f>(1/UA!AK6)*UA!$B$6*UA!$C$6*10.7639+(1/UA!AK9*UA!$B$9*UA!$C$9*10.7639)</f>
        <v>113.061290836781</v>
      </c>
      <c r="K29" s="80">
        <f>(1/UA!AL6)*UA!$B$6*UA!$C$6*10.7639+(1/UA!AL9*UA!$B$9*UA!$C$9*10.7639)</f>
        <v>113.061290836781</v>
      </c>
      <c r="L29" s="80">
        <f>(1/UA!AM6)*UA!$B$6*UA!$C$6*10.7639+(1/UA!AM9*UA!$B$9*UA!$C$9*10.7639)</f>
        <v>113.061290836781</v>
      </c>
      <c r="M29" s="80">
        <f>(1/UA!AN6)*UA!$B$6*UA!$C$6*10.7639+(1/UA!AN9*UA!$B$9*UA!$C$9*10.7639)</f>
        <v>113.061290836781</v>
      </c>
      <c r="N29" s="80">
        <f>(1/UA!AO6)*UA!$B$6*UA!$C$6*10.7639+(1/UA!AO9*UA!$B$9*UA!$C$9*10.7639)</f>
        <v>113.061290836781</v>
      </c>
      <c r="O29" s="80">
        <f>(1/UA!AP6)*UA!$B$6*UA!$C$6*10.7639+(1/UA!AP9*UA!$B$9*UA!$C$9*10.7639)</f>
        <v>113.061290836781</v>
      </c>
      <c r="P29" s="80">
        <f>(1/UA!AQ6)*UA!$B$6*UA!$C$6*10.7639+(1/UA!AQ9*UA!$B$9*UA!$C$9*10.7639)</f>
        <v>113.061290836781</v>
      </c>
      <c r="Q29" s="80">
        <f>(1/UA!AR6)*UA!$B$6*UA!$C$6*10.7639+(1/UA!AR9*UA!$B$9*UA!$C$9*10.7639)</f>
        <v>113.061290836781</v>
      </c>
      <c r="R29" s="80"/>
    </row>
    <row r="30" spans="1:20" ht="15" customHeight="1">
      <c r="A30" s="461" t="s">
        <v>246</v>
      </c>
      <c r="B30" s="80">
        <f>(1/UA!AC7)*UA!$B$7*UA!$C$7*10.7639</f>
        <v>172.79417836799999</v>
      </c>
      <c r="C30" s="80">
        <f>(1/UA!AD7)*UA!$B$7*UA!$C$7*10.7639</f>
        <v>172.79417836799999</v>
      </c>
      <c r="D30" s="80">
        <f>(1/UA!AE7)*UA!$B$7*UA!$C$7*10.7639</f>
        <v>172.79417836799999</v>
      </c>
      <c r="E30" s="80">
        <f>(1/UA!AF7)*UA!$B$7*UA!$C$7*10.7639</f>
        <v>172.79417836799999</v>
      </c>
      <c r="F30" s="80">
        <f>(1/UA!AG7)*UA!$B$7*UA!$C$7*10.7639</f>
        <v>172.79417836799999</v>
      </c>
      <c r="G30" s="80">
        <f>(1/UA!AH7)*UA!$B$7*UA!$C$7*10.7639</f>
        <v>172.79417836799999</v>
      </c>
      <c r="H30" s="80">
        <f>(1/UA!AI7)*UA!$B$7*UA!$C$7*10.7639</f>
        <v>172.79417836799999</v>
      </c>
      <c r="I30" s="80">
        <f>(1/UA!AJ7)*UA!$B$7*UA!$C$7*10.7639</f>
        <v>172.79417836799999</v>
      </c>
      <c r="J30" s="80">
        <f>(1/UA!AK7)*UA!$B$7*UA!$C$7*10.7639</f>
        <v>172.79417836799999</v>
      </c>
      <c r="K30" s="80">
        <f>(1/UA!AL7)*UA!$B$7*UA!$C$7*10.7639</f>
        <v>172.79417836799999</v>
      </c>
      <c r="L30" s="80">
        <f>(1/UA!AM7)*UA!$B$7*UA!$C$7*10.7639</f>
        <v>172.79417836799999</v>
      </c>
      <c r="M30" s="80">
        <f>(1/UA!AN7)*UA!$B$7*UA!$C$7*10.7639</f>
        <v>172.79417836799999</v>
      </c>
      <c r="N30" s="80">
        <f>(1/UA!AO7)*UA!$B$7*UA!$C$7*10.7639</f>
        <v>172.79417836799999</v>
      </c>
      <c r="O30" s="80">
        <f>(1/UA!AP7)*UA!$B$7*UA!$C$7*10.7639</f>
        <v>172.79417836799999</v>
      </c>
      <c r="P30" s="80">
        <f>(1/UA!AQ7)*UA!$B$7*UA!$C$7*10.7639</f>
        <v>172.79417836799999</v>
      </c>
      <c r="Q30" s="80">
        <f>(1/UA!AR7)*UA!$B$7*UA!$C$7*10.7639</f>
        <v>172.79417836799999</v>
      </c>
      <c r="R30" s="201"/>
    </row>
    <row r="31" spans="1:20" ht="15" customHeight="1">
      <c r="A31" s="461" t="s">
        <v>247</v>
      </c>
      <c r="B31" s="80">
        <f>(1/UA!AC10)*UA!$B$8*UA!$C$8*10.7639+(Geometry!$B$11*UA!$M$59)</f>
        <v>143.24596115789473</v>
      </c>
      <c r="C31" s="80">
        <f>(1/UA!AD10)*UA!$B$8*UA!$C$8*10.7639+(Geometry!$B$11*UA!$M$59)</f>
        <v>143.24596115789473</v>
      </c>
      <c r="D31" s="80">
        <f>(1/UA!AE10)*UA!$B$8*UA!$C$8*10.7639+(Geometry!$B$11*UA!$M$59)</f>
        <v>143.24596115789473</v>
      </c>
      <c r="E31" s="80">
        <f>(1/UA!AF10)*UA!$B$8*UA!$C$8*10.7639+(Geometry!$B$11*UA!$M$59)</f>
        <v>143.24596115789473</v>
      </c>
      <c r="F31" s="80">
        <f>(1/UA!AG10)*UA!$B$8*UA!$C$8*10.7639+(Geometry!$B$11*UA!$M$59)</f>
        <v>143.24596115789473</v>
      </c>
      <c r="G31" s="80">
        <f>(1/UA!AH10)*UA!$B$8*UA!$C$8*10.7639+(Geometry!$B$11*UA!$M$59)</f>
        <v>143.24596115789473</v>
      </c>
      <c r="H31" s="80">
        <f>(1/UA!AI10)*UA!$B$8*UA!$C$8*10.7639+(Geometry!$B$11*UA!$M$59)</f>
        <v>143.24596115789473</v>
      </c>
      <c r="I31" s="80">
        <f>(1/UA!AJ10)*UA!$B$8*UA!$C$8*10.7639+(Geometry!$B$11*UA!$M$59)</f>
        <v>143.24596115789473</v>
      </c>
      <c r="J31" s="80">
        <f>(1/UA!AK10)*UA!$B$8*UA!$C$8*10.7639+(Geometry!$B$11*UA!$M$59)</f>
        <v>143.24596115789473</v>
      </c>
      <c r="K31" s="80">
        <f>(1/UA!AL10)*UA!$B$8*UA!$C$8*10.7639+(Geometry!$B$11*UA!$M$59)</f>
        <v>143.24596115789473</v>
      </c>
      <c r="L31" s="80">
        <f>(1/UA!AM10)*UA!$B$8*UA!$C$8*10.7639+(Geometry!$B$11*UA!$M$59)</f>
        <v>143.24596115789473</v>
      </c>
      <c r="M31" s="80">
        <f>(1/UA!AN10)*UA!$B$8*UA!$C$8*10.7639+(Geometry!$B$11*UA!$M$59)</f>
        <v>143.24596115789473</v>
      </c>
      <c r="N31" s="80">
        <f>(1/UA!AO10)*UA!$B$8*UA!$C$8*10.7639+(Geometry!$B$11*UA!$M$59)</f>
        <v>143.24596115789473</v>
      </c>
      <c r="O31" s="80">
        <f>(1/UA!AP10)*UA!$B$8*UA!$C$8*10.7639+(Geometry!$B$11*UA!$M$59)</f>
        <v>143.24596115789473</v>
      </c>
      <c r="P31" s="80">
        <f>(1/UA!AQ10)*UA!$B$8*UA!$C$8*10.7639+(Geometry!$B$11*UA!$M$59)</f>
        <v>143.24596115789473</v>
      </c>
      <c r="Q31" s="80">
        <f>(1/UA!AR10)*UA!$B$8*UA!$C$8*10.7639+(Geometry!$B$11*UA!$M$60)</f>
        <v>87.945961157894743</v>
      </c>
      <c r="R31" s="201"/>
    </row>
    <row r="32" spans="1:20" ht="15" customHeight="1">
      <c r="A32" s="462" t="s">
        <v>1197</v>
      </c>
      <c r="B32" s="80">
        <f>(1/UA!AC17+UA!$B$20)*planareaSI*10.7639</f>
        <v>67.155632187368411</v>
      </c>
      <c r="C32" s="80">
        <f>(1/UA!AD17+UA!$B$20)*planareaSI*10.7639</f>
        <v>67.155632187368411</v>
      </c>
      <c r="D32" s="80">
        <f>(1/UA!AE17+UA!$B$20)*planareaSI*10.7639</f>
        <v>77.33072797333331</v>
      </c>
      <c r="E32" s="80">
        <f>(1/UA!AF17+UA!$B$20)*planareaSI*10.7639</f>
        <v>67.155632187368411</v>
      </c>
      <c r="F32" s="80">
        <f>(1/UA!AG17+UA!$B$20)*planareaSI*10.7639</f>
        <v>77.33072797333331</v>
      </c>
      <c r="G32" s="80">
        <f>(1/UA!AH17+UA!$B$20)*planareaSI*10.7639</f>
        <v>77.33072797333331</v>
      </c>
      <c r="H32" s="80">
        <f>(1/UA!AI17+UA!$B$20)*planareaSI*10.7639</f>
        <v>77.33072797333331</v>
      </c>
      <c r="I32" s="80">
        <f>(1/UA!AJ17+UA!$B$20)*planareaSI*10.7639</f>
        <v>67.155632187368411</v>
      </c>
      <c r="J32" s="80">
        <f>(1/UA!AK17+UA!$B$20)*planareaSI*10.7639</f>
        <v>67.155632187368411</v>
      </c>
      <c r="K32" s="80">
        <f>(1/UA!AL17+UA!$B$20)*planareaSI*10.7639</f>
        <v>67.155632187368411</v>
      </c>
      <c r="L32" s="80">
        <f>(1/UA!AM17+UA!$B$20)*planareaSI*10.7639</f>
        <v>67.155632187368411</v>
      </c>
      <c r="M32" s="80">
        <f>(1/UA!AN17+UA!$B$20)*planareaSI*10.7639</f>
        <v>67.155632187368411</v>
      </c>
      <c r="N32" s="80">
        <f>(1/UA!AO17+UA!$B$20)*planareaSI*10.7639</f>
        <v>67.155632187368411</v>
      </c>
      <c r="O32" s="80">
        <f>(1/UA!AP17+UA!$B$20)*planareaSI*10.7639</f>
        <v>67.155632187368411</v>
      </c>
      <c r="P32" s="80">
        <f>(1/UA!AQ17+UA!$B$20)*planareaSI*10.7639</f>
        <v>67.155632187368411</v>
      </c>
      <c r="Q32" s="80">
        <f>(1/UA!AR17+UA!$B$20)*planareaSI*10.7639</f>
        <v>67.155632187368411</v>
      </c>
      <c r="R32" s="80"/>
    </row>
    <row r="33" spans="1:18" ht="15" customHeight="1">
      <c r="A33" s="462" t="s">
        <v>1210</v>
      </c>
      <c r="B33" s="80">
        <f>SUM(B29:B32)</f>
        <v>496.25706255004411</v>
      </c>
      <c r="C33" s="80">
        <f t="shared" ref="C33:M33" si="0">SUM(C29:C32)</f>
        <v>496.25706255004411</v>
      </c>
      <c r="D33" s="80">
        <f t="shared" si="0"/>
        <v>506.43215833600902</v>
      </c>
      <c r="E33" s="80">
        <f t="shared" si="0"/>
        <v>496.25706255004411</v>
      </c>
      <c r="F33" s="80">
        <f t="shared" si="0"/>
        <v>506.43215833600902</v>
      </c>
      <c r="G33" s="80">
        <f t="shared" si="0"/>
        <v>535.27258666924308</v>
      </c>
      <c r="H33" s="80">
        <f t="shared" si="0"/>
        <v>535.27258666924308</v>
      </c>
      <c r="I33" s="80">
        <f t="shared" si="0"/>
        <v>496.25706255004411</v>
      </c>
      <c r="J33" s="80">
        <f t="shared" si="0"/>
        <v>496.25706255004411</v>
      </c>
      <c r="K33" s="80">
        <f t="shared" si="0"/>
        <v>496.25706255004411</v>
      </c>
      <c r="L33" s="80">
        <f t="shared" si="0"/>
        <v>496.25706255004411</v>
      </c>
      <c r="M33" s="80">
        <f t="shared" si="0"/>
        <v>496.25706255004411</v>
      </c>
      <c r="N33" s="80">
        <f t="shared" ref="N33" si="1">SUM(N29:N32)</f>
        <v>496.25706255004411</v>
      </c>
      <c r="O33" s="80">
        <f t="shared" ref="O33" si="2">SUM(O29:O32)</f>
        <v>496.25706255004411</v>
      </c>
      <c r="P33" s="80">
        <f t="shared" ref="P33" si="3">SUM(P29:P32)</f>
        <v>496.25706255004411</v>
      </c>
      <c r="Q33" s="80">
        <f t="shared" ref="Q33" si="4">SUM(Q29:Q32)</f>
        <v>440.95706255004416</v>
      </c>
      <c r="R33" s="201"/>
    </row>
    <row r="34" spans="1:18" s="254" customFormat="1" ht="15" customHeight="1">
      <c r="A34" s="463" t="s">
        <v>1247</v>
      </c>
      <c r="B34" s="472">
        <f>B33*B23</f>
        <v>18361.511314351632</v>
      </c>
      <c r="C34" s="472">
        <f t="shared" ref="C34:M34" si="5">C33*C23</f>
        <v>20346.539564551807</v>
      </c>
      <c r="D34" s="472">
        <f t="shared" si="5"/>
        <v>17218.693383424306</v>
      </c>
      <c r="E34" s="472">
        <f t="shared" si="5"/>
        <v>15880.226001601412</v>
      </c>
      <c r="F34" s="472">
        <f t="shared" si="5"/>
        <v>17725.125541760317</v>
      </c>
      <c r="G34" s="472">
        <f t="shared" si="5"/>
        <v>13381.814666731078</v>
      </c>
      <c r="H34" s="472">
        <f t="shared" si="5"/>
        <v>13917.087253400321</v>
      </c>
      <c r="I34" s="472">
        <f t="shared" si="5"/>
        <v>16376.483064151456</v>
      </c>
      <c r="J34" s="472">
        <f t="shared" si="5"/>
        <v>14391.454813951279</v>
      </c>
      <c r="K34" s="472">
        <f t="shared" si="5"/>
        <v>17368.997189251542</v>
      </c>
      <c r="L34" s="472">
        <f t="shared" si="5"/>
        <v>18857.768376901677</v>
      </c>
      <c r="M34" s="472">
        <f t="shared" si="5"/>
        <v>18857.768376901677</v>
      </c>
      <c r="N34" s="472">
        <f t="shared" ref="N34" si="6">N33*N23</f>
        <v>18857.768376901677</v>
      </c>
      <c r="O34" s="472">
        <f t="shared" ref="O34" si="7">O33*O23</f>
        <v>22827.824877302028</v>
      </c>
      <c r="P34" s="472">
        <f t="shared" ref="P34" si="8">P33*P23</f>
        <v>17368.997189251542</v>
      </c>
      <c r="Q34" s="472">
        <f t="shared" ref="Q34" si="9">Q33*Q23</f>
        <v>20284.024877302032</v>
      </c>
      <c r="R34" s="473"/>
    </row>
    <row r="35" spans="1:18" s="254" customFormat="1" ht="15" customHeight="1"/>
    <row r="36" spans="1:18" s="254" customFormat="1" ht="15" customHeight="1"/>
    <row r="37" spans="1:18" s="254" customFormat="1" ht="15" customHeight="1">
      <c r="A37" s="458" t="s">
        <v>1198</v>
      </c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3"/>
    </row>
    <row r="38" spans="1:18" s="254" customFormat="1" ht="15" customHeight="1">
      <c r="A38" s="459" t="s">
        <v>1272</v>
      </c>
      <c r="B38" s="80">
        <f>Fans!B10*2.11888</f>
        <v>0</v>
      </c>
      <c r="C38" s="80">
        <f>Fans!C10*2.11888</f>
        <v>0</v>
      </c>
      <c r="D38" s="80">
        <f>Fans!D10*2.11888</f>
        <v>0</v>
      </c>
      <c r="E38" s="80">
        <f>Fans!E10*2.11888</f>
        <v>0</v>
      </c>
      <c r="F38" s="80">
        <f>Fans!F10*2.11888</f>
        <v>0</v>
      </c>
      <c r="G38" s="80">
        <f>Fans!G10*2.11888</f>
        <v>0</v>
      </c>
      <c r="H38" s="80">
        <f>Fans!H10*2.11888</f>
        <v>0</v>
      </c>
      <c r="I38" s="80">
        <f>Fans!I10*2.11888</f>
        <v>0</v>
      </c>
      <c r="J38" s="80">
        <f>Fans!J10*2.11888</f>
        <v>0</v>
      </c>
      <c r="K38" s="80">
        <f>Fans!K10*2.11888</f>
        <v>0</v>
      </c>
      <c r="L38" s="80">
        <f>Fans!L10*2.11888</f>
        <v>0</v>
      </c>
      <c r="M38" s="80">
        <f>Fans!M10*2.11888</f>
        <v>0</v>
      </c>
      <c r="N38" s="80">
        <f>Fans!N10*2.11888</f>
        <v>0</v>
      </c>
      <c r="O38" s="80">
        <f>Fans!O10*2.11888</f>
        <v>0</v>
      </c>
      <c r="P38" s="80">
        <f>Fans!P10*2.11888</f>
        <v>0</v>
      </c>
      <c r="Q38" s="80">
        <f>Fans!Q10*2.11888</f>
        <v>0</v>
      </c>
      <c r="R38" s="80"/>
    </row>
    <row r="39" spans="1:18" ht="15" customHeight="1">
      <c r="A39" s="459" t="s">
        <v>1271</v>
      </c>
      <c r="B39" s="80">
        <f>2.11888*Fans!B9</f>
        <v>10.00934685354604</v>
      </c>
      <c r="C39" s="80">
        <f>2.11888*Fans!C9</f>
        <v>8.7581784968527838</v>
      </c>
      <c r="D39" s="80">
        <f>2.11888*Fans!D9</f>
        <v>9.6518701802051083</v>
      </c>
      <c r="E39" s="80">
        <f>2.11888*Fans!E9</f>
        <v>8.5794401601823189</v>
      </c>
      <c r="F39" s="80">
        <f>2.11888*Fans!F9</f>
        <v>9.2943935068641785</v>
      </c>
      <c r="G39" s="80">
        <f>2.11888*Fans!G9</f>
        <v>7.5070101401595286</v>
      </c>
      <c r="H39" s="80">
        <f>2.11888*Fans!H9</f>
        <v>6.792056793477669</v>
      </c>
      <c r="I39" s="80">
        <f>2.11888*Fans!I9</f>
        <v>6.0771034467958094</v>
      </c>
      <c r="J39" s="80">
        <f>2.11888*Fans!J9</f>
        <v>6.9707951301481348</v>
      </c>
      <c r="K39" s="80">
        <f>2.11888*Fans!K9</f>
        <v>7.5070101401595286</v>
      </c>
      <c r="L39" s="80">
        <f>2.11888*Fans!L9</f>
        <v>8.9369168335232487</v>
      </c>
      <c r="M39" s="80">
        <f>2.11888*Fans!M9</f>
        <v>9.1156551701937154</v>
      </c>
      <c r="N39" s="80">
        <f>2.11888*Fans!N9</f>
        <v>8.0432251501709242</v>
      </c>
      <c r="O39" s="80">
        <f>2.11888*Fans!O9</f>
        <v>10.188085190216503</v>
      </c>
      <c r="P39" s="80">
        <f>2.11888*Fans!P9</f>
        <v>8.2219634868413891</v>
      </c>
      <c r="Q39" s="80">
        <f>2.11888*Fans!Q9</f>
        <v>7.8644868135004593</v>
      </c>
      <c r="R39" s="201"/>
    </row>
    <row r="40" spans="1:18" ht="15" customHeight="1">
      <c r="A40" s="459" t="s">
        <v>1211</v>
      </c>
      <c r="B40" s="80">
        <f>B39/(B39+B38)</f>
        <v>1</v>
      </c>
      <c r="C40" s="80">
        <f>C39/(C39+C38)</f>
        <v>1</v>
      </c>
      <c r="D40" s="80">
        <f t="shared" ref="D40:Q40" si="10">D39/(D39+D38)</f>
        <v>1</v>
      </c>
      <c r="E40" s="80">
        <f t="shared" si="10"/>
        <v>1</v>
      </c>
      <c r="F40" s="80">
        <f t="shared" si="10"/>
        <v>1</v>
      </c>
      <c r="G40" s="80">
        <f t="shared" si="10"/>
        <v>1</v>
      </c>
      <c r="H40" s="80">
        <f t="shared" si="10"/>
        <v>1</v>
      </c>
      <c r="I40" s="80">
        <f t="shared" si="10"/>
        <v>1</v>
      </c>
      <c r="J40" s="80">
        <f t="shared" si="10"/>
        <v>1</v>
      </c>
      <c r="K40" s="80">
        <f t="shared" si="10"/>
        <v>1</v>
      </c>
      <c r="L40" s="80">
        <f t="shared" si="10"/>
        <v>1</v>
      </c>
      <c r="M40" s="80">
        <f t="shared" si="10"/>
        <v>1</v>
      </c>
      <c r="N40" s="80">
        <f t="shared" si="10"/>
        <v>1</v>
      </c>
      <c r="O40" s="80">
        <f t="shared" si="10"/>
        <v>1</v>
      </c>
      <c r="P40" s="80">
        <f t="shared" si="10"/>
        <v>1</v>
      </c>
      <c r="Q40" s="80">
        <f t="shared" si="10"/>
        <v>1</v>
      </c>
      <c r="R40" s="80"/>
    </row>
    <row r="41" spans="1:18" ht="15" customHeight="1">
      <c r="A41" s="459" t="s">
        <v>1212</v>
      </c>
      <c r="B41" s="80">
        <f>(B38)+(HVAC!B40*HVAC!B39)</f>
        <v>10.00934685354604</v>
      </c>
      <c r="C41" s="80">
        <f>(C38)+(HVAC!C40*HVAC!C39)</f>
        <v>8.7581784968527838</v>
      </c>
      <c r="D41" s="80">
        <f>(D38)+(HVAC!D40*HVAC!D39)</f>
        <v>9.6518701802051083</v>
      </c>
      <c r="E41" s="80">
        <f>(E38)+(HVAC!E40*HVAC!E39)</f>
        <v>8.5794401601823189</v>
      </c>
      <c r="F41" s="80">
        <f>(F38)+(HVAC!F40*HVAC!F39)</f>
        <v>9.2943935068641785</v>
      </c>
      <c r="G41" s="80">
        <f>(G38)+(HVAC!G40*HVAC!G39)</f>
        <v>7.5070101401595286</v>
      </c>
      <c r="H41" s="80">
        <f>(H38)+(HVAC!H40*HVAC!H39)</f>
        <v>6.792056793477669</v>
      </c>
      <c r="I41" s="80">
        <f>(I38)+(HVAC!I40*HVAC!I39)</f>
        <v>6.0771034467958094</v>
      </c>
      <c r="J41" s="80">
        <f>(J38)+(HVAC!J40*HVAC!J39)</f>
        <v>6.9707951301481348</v>
      </c>
      <c r="K41" s="80">
        <f>(K38)+(HVAC!K40*HVAC!K39)</f>
        <v>7.5070101401595286</v>
      </c>
      <c r="L41" s="80">
        <f>(L38)+(HVAC!L40*HVAC!L39)</f>
        <v>8.9369168335232487</v>
      </c>
      <c r="M41" s="80">
        <f>(M38)+(HVAC!M40*HVAC!M39)</f>
        <v>9.1156551701937154</v>
      </c>
      <c r="N41" s="80">
        <f>(N38)+(HVAC!N40*HVAC!N39)</f>
        <v>8.0432251501709242</v>
      </c>
      <c r="O41" s="80">
        <f>(O38)+(HVAC!O40*HVAC!O39)</f>
        <v>10.188085190216503</v>
      </c>
      <c r="P41" s="80">
        <f>(P38)+(HVAC!P40*HVAC!P39)</f>
        <v>8.2219634868413891</v>
      </c>
      <c r="Q41" s="80">
        <f>(Q38)+(HVAC!Q40*HVAC!Q39)</f>
        <v>7.8644868135004593</v>
      </c>
      <c r="R41" s="80"/>
    </row>
    <row r="42" spans="1:18" ht="15" customHeight="1">
      <c r="A42" s="459" t="s">
        <v>1213</v>
      </c>
      <c r="B42" s="80">
        <f t="shared" ref="B42:Q42" si="11">B41*60/(V_houseSI*35.3147)</f>
        <v>2.3322749950010189E-2</v>
      </c>
      <c r="C42" s="80">
        <f t="shared" si="11"/>
        <v>2.0407406206258912E-2</v>
      </c>
      <c r="D42" s="80">
        <f t="shared" si="11"/>
        <v>2.2489794594652682E-2</v>
      </c>
      <c r="E42" s="80">
        <f t="shared" si="11"/>
        <v>1.999092852858016E-2</v>
      </c>
      <c r="F42" s="80">
        <f t="shared" si="11"/>
        <v>2.1656839239295175E-2</v>
      </c>
      <c r="G42" s="80">
        <f t="shared" si="11"/>
        <v>1.7492062462507639E-2</v>
      </c>
      <c r="H42" s="80">
        <f t="shared" si="11"/>
        <v>1.5826151751792628E-2</v>
      </c>
      <c r="I42" s="80">
        <f t="shared" si="11"/>
        <v>1.4160241041077616E-2</v>
      </c>
      <c r="J42" s="80">
        <f t="shared" si="11"/>
        <v>1.6242629429471384E-2</v>
      </c>
      <c r="K42" s="80">
        <f t="shared" si="11"/>
        <v>1.7492062462507639E-2</v>
      </c>
      <c r="L42" s="80">
        <f t="shared" si="11"/>
        <v>2.0823883883937667E-2</v>
      </c>
      <c r="M42" s="80">
        <f t="shared" si="11"/>
        <v>2.1240361561616423E-2</v>
      </c>
      <c r="N42" s="80">
        <f t="shared" si="11"/>
        <v>1.8741495495543901E-2</v>
      </c>
      <c r="O42" s="80">
        <f t="shared" si="11"/>
        <v>2.3739227627688941E-2</v>
      </c>
      <c r="P42" s="80">
        <f t="shared" si="11"/>
        <v>1.9157973173222653E-2</v>
      </c>
      <c r="Q42" s="80">
        <f t="shared" si="11"/>
        <v>1.8325017817865146E-2</v>
      </c>
      <c r="R42" s="201"/>
    </row>
    <row r="43" spans="1:18" s="254" customFormat="1" ht="15" customHeight="1">
      <c r="A43" s="459" t="s">
        <v>1214</v>
      </c>
      <c r="B43" s="470">
        <f>1.1*B41*B23</f>
        <v>407.38041693932382</v>
      </c>
      <c r="C43" s="470">
        <f t="shared" ref="C43:Q43" si="12">1.1*C41*C23</f>
        <v>394.99385020806062</v>
      </c>
      <c r="D43" s="470">
        <f t="shared" si="12"/>
        <v>360.97994473967105</v>
      </c>
      <c r="E43" s="470">
        <f t="shared" si="12"/>
        <v>301.99629363841763</v>
      </c>
      <c r="F43" s="470">
        <f t="shared" si="12"/>
        <v>357.8341500142709</v>
      </c>
      <c r="G43" s="470">
        <f t="shared" si="12"/>
        <v>206.44277885438703</v>
      </c>
      <c r="H43" s="470">
        <f t="shared" si="12"/>
        <v>194.25282429346134</v>
      </c>
      <c r="I43" s="470">
        <f t="shared" si="12"/>
        <v>220.59885511868791</v>
      </c>
      <c r="J43" s="470">
        <f t="shared" si="12"/>
        <v>222.36836465172553</v>
      </c>
      <c r="K43" s="470">
        <f t="shared" si="12"/>
        <v>289.01989039614188</v>
      </c>
      <c r="L43" s="470">
        <f t="shared" si="12"/>
        <v>373.56312364127183</v>
      </c>
      <c r="M43" s="470">
        <f t="shared" si="12"/>
        <v>381.03438611409734</v>
      </c>
      <c r="N43" s="470">
        <f t="shared" si="12"/>
        <v>336.20681127714465</v>
      </c>
      <c r="O43" s="470">
        <f t="shared" si="12"/>
        <v>515.51711062495508</v>
      </c>
      <c r="P43" s="470">
        <f t="shared" si="12"/>
        <v>316.54559424339351</v>
      </c>
      <c r="Q43" s="470">
        <f t="shared" si="12"/>
        <v>397.94303276312326</v>
      </c>
      <c r="R43" s="471"/>
    </row>
    <row r="44" spans="1:18" ht="15" customHeight="1">
      <c r="A44" s="459" t="s">
        <v>1198</v>
      </c>
      <c r="B44" s="80">
        <f>2.11888*Fans!B9</f>
        <v>10.00934685354604</v>
      </c>
      <c r="C44" s="80">
        <f>2.11888*Fans!C9</f>
        <v>8.7581784968527838</v>
      </c>
      <c r="D44" s="80">
        <f>2.11888*Fans!D9</f>
        <v>9.6518701802051083</v>
      </c>
      <c r="E44" s="80">
        <f>2.11888*Fans!E9</f>
        <v>8.5794401601823189</v>
      </c>
      <c r="F44" s="80">
        <f>2.11888*Fans!F9</f>
        <v>9.2943935068641785</v>
      </c>
      <c r="G44" s="80">
        <f>2.11888*Fans!G9</f>
        <v>7.5070101401595286</v>
      </c>
      <c r="H44" s="80">
        <f>2.11888*Fans!H9</f>
        <v>6.792056793477669</v>
      </c>
      <c r="I44" s="80">
        <f>2.11888*Fans!I9</f>
        <v>6.0771034467958094</v>
      </c>
      <c r="J44" s="80">
        <f>2.11888*Fans!J9</f>
        <v>6.9707951301481348</v>
      </c>
      <c r="K44" s="80">
        <f>2.11888*Fans!K9</f>
        <v>7.5070101401595286</v>
      </c>
      <c r="L44" s="80">
        <f>2.11888*Fans!L9</f>
        <v>8.9369168335232487</v>
      </c>
      <c r="M44" s="80">
        <f>2.11888*Fans!M9</f>
        <v>9.1156551701937154</v>
      </c>
      <c r="N44" s="80">
        <f>2.11888*Fans!N9</f>
        <v>8.0432251501709242</v>
      </c>
      <c r="O44" s="80">
        <f>2.11888*Fans!O9</f>
        <v>10.188085190216503</v>
      </c>
      <c r="P44" s="80">
        <f>2.11888*Fans!P9</f>
        <v>8.2219634868413891</v>
      </c>
      <c r="Q44" s="80">
        <f>2.11888*Fans!Q9</f>
        <v>7.8644868135004593</v>
      </c>
      <c r="R44" s="80"/>
    </row>
    <row r="45" spans="1:18" ht="15" customHeight="1">
      <c r="A45" s="459" t="s">
        <v>1211</v>
      </c>
      <c r="B45" s="80">
        <f>B44/(B44+B38)</f>
        <v>1</v>
      </c>
      <c r="C45" s="80">
        <f t="shared" ref="C45:Q45" si="13">C44/(C44+C38)</f>
        <v>1</v>
      </c>
      <c r="D45" s="80">
        <f t="shared" si="13"/>
        <v>1</v>
      </c>
      <c r="E45" s="80">
        <f t="shared" si="13"/>
        <v>1</v>
      </c>
      <c r="F45" s="80">
        <f t="shared" si="13"/>
        <v>1</v>
      </c>
      <c r="G45" s="80">
        <f t="shared" si="13"/>
        <v>1</v>
      </c>
      <c r="H45" s="80">
        <f t="shared" si="13"/>
        <v>1</v>
      </c>
      <c r="I45" s="80">
        <f t="shared" si="13"/>
        <v>1</v>
      </c>
      <c r="J45" s="80">
        <f t="shared" si="13"/>
        <v>1</v>
      </c>
      <c r="K45" s="80">
        <f t="shared" si="13"/>
        <v>1</v>
      </c>
      <c r="L45" s="80">
        <f t="shared" si="13"/>
        <v>1</v>
      </c>
      <c r="M45" s="80">
        <f t="shared" si="13"/>
        <v>1</v>
      </c>
      <c r="N45" s="80">
        <f t="shared" si="13"/>
        <v>1</v>
      </c>
      <c r="O45" s="80">
        <f t="shared" si="13"/>
        <v>1</v>
      </c>
      <c r="P45" s="80">
        <f t="shared" si="13"/>
        <v>1</v>
      </c>
      <c r="Q45" s="80">
        <f t="shared" si="13"/>
        <v>1</v>
      </c>
      <c r="R45" s="80"/>
    </row>
    <row r="46" spans="1:18" ht="15" customHeight="1">
      <c r="A46" s="459" t="s">
        <v>1212</v>
      </c>
      <c r="B46" s="80">
        <f>(B38)+(HVAC!B45*HVAC!B44)</f>
        <v>10.00934685354604</v>
      </c>
      <c r="C46" s="80">
        <f>(C38)+(HVAC!C45*HVAC!C44)</f>
        <v>8.7581784968527838</v>
      </c>
      <c r="D46" s="80">
        <f>(D38)+(HVAC!D45*HVAC!D44)</f>
        <v>9.6518701802051083</v>
      </c>
      <c r="E46" s="80">
        <f>(E38)+(HVAC!E45*HVAC!E44)</f>
        <v>8.5794401601823189</v>
      </c>
      <c r="F46" s="80">
        <f>(F38)+(HVAC!F45*HVAC!F44)</f>
        <v>9.2943935068641785</v>
      </c>
      <c r="G46" s="80">
        <f>(G38)+(HVAC!G45*HVAC!G44)</f>
        <v>7.5070101401595286</v>
      </c>
      <c r="H46" s="80">
        <f>(H38)+(HVAC!H45*HVAC!H44)</f>
        <v>6.792056793477669</v>
      </c>
      <c r="I46" s="80">
        <f>(I38)+(HVAC!I45*HVAC!I44)</f>
        <v>6.0771034467958094</v>
      </c>
      <c r="J46" s="80">
        <f>(J38)+(HVAC!J45*HVAC!J44)</f>
        <v>6.9707951301481348</v>
      </c>
      <c r="K46" s="80">
        <f>(K38)+(HVAC!K45*HVAC!K44)</f>
        <v>7.5070101401595286</v>
      </c>
      <c r="L46" s="80">
        <f>(L38)+(HVAC!L45*HVAC!L44)</f>
        <v>8.9369168335232487</v>
      </c>
      <c r="M46" s="80">
        <f>(M38)+(HVAC!M45*HVAC!M44)</f>
        <v>9.1156551701937154</v>
      </c>
      <c r="N46" s="80">
        <f>(N38)+(HVAC!N45*HVAC!N44)</f>
        <v>8.0432251501709242</v>
      </c>
      <c r="O46" s="80">
        <f>(O38)+(HVAC!O45*HVAC!O44)</f>
        <v>10.188085190216503</v>
      </c>
      <c r="P46" s="80">
        <f>(P38)+(HVAC!P45*HVAC!P44)</f>
        <v>8.2219634868413891</v>
      </c>
      <c r="Q46" s="80">
        <f>(Q38)+(HVAC!Q45*HVAC!Q44)</f>
        <v>7.8644868135004593</v>
      </c>
      <c r="R46" s="80"/>
    </row>
    <row r="47" spans="1:18" ht="15" customHeight="1">
      <c r="A47" s="459" t="s">
        <v>1213</v>
      </c>
      <c r="B47" s="80">
        <f t="shared" ref="B47:Q47" si="14">B46*60/(V_houseSI*35.3147)</f>
        <v>2.3322749950010189E-2</v>
      </c>
      <c r="C47" s="80">
        <f t="shared" si="14"/>
        <v>2.0407406206258912E-2</v>
      </c>
      <c r="D47" s="80">
        <f t="shared" si="14"/>
        <v>2.2489794594652682E-2</v>
      </c>
      <c r="E47" s="80">
        <f t="shared" si="14"/>
        <v>1.999092852858016E-2</v>
      </c>
      <c r="F47" s="80">
        <f t="shared" si="14"/>
        <v>2.1656839239295175E-2</v>
      </c>
      <c r="G47" s="80">
        <f t="shared" si="14"/>
        <v>1.7492062462507639E-2</v>
      </c>
      <c r="H47" s="80">
        <f t="shared" si="14"/>
        <v>1.5826151751792628E-2</v>
      </c>
      <c r="I47" s="80">
        <f t="shared" si="14"/>
        <v>1.4160241041077616E-2</v>
      </c>
      <c r="J47" s="80">
        <f t="shared" si="14"/>
        <v>1.6242629429471384E-2</v>
      </c>
      <c r="K47" s="80">
        <f t="shared" si="14"/>
        <v>1.7492062462507639E-2</v>
      </c>
      <c r="L47" s="80">
        <f t="shared" si="14"/>
        <v>2.0823883883937667E-2</v>
      </c>
      <c r="M47" s="80">
        <f t="shared" si="14"/>
        <v>2.1240361561616423E-2</v>
      </c>
      <c r="N47" s="80">
        <f t="shared" si="14"/>
        <v>1.8741495495543901E-2</v>
      </c>
      <c r="O47" s="80">
        <f t="shared" si="14"/>
        <v>2.3739227627688941E-2</v>
      </c>
      <c r="P47" s="80">
        <f t="shared" si="14"/>
        <v>1.9157973173222653E-2</v>
      </c>
      <c r="Q47" s="80">
        <f t="shared" si="14"/>
        <v>1.8325017817865146E-2</v>
      </c>
      <c r="R47" s="201"/>
    </row>
    <row r="48" spans="1:18" ht="15" customHeight="1">
      <c r="A48" s="459" t="s">
        <v>1215</v>
      </c>
      <c r="B48" s="470">
        <f t="shared" ref="B48:Q48" si="15">1.1*B46*B24</f>
        <v>-66.061689233403868</v>
      </c>
      <c r="C48" s="470">
        <f t="shared" si="15"/>
        <v>202.31392327729935</v>
      </c>
      <c r="D48" s="470">
        <f t="shared" si="15"/>
        <v>53.085285991128103</v>
      </c>
      <c r="E48" s="470">
        <f t="shared" si="15"/>
        <v>132.12337846680771</v>
      </c>
      <c r="F48" s="470">
        <f t="shared" si="15"/>
        <v>71.566830002854175</v>
      </c>
      <c r="G48" s="470">
        <f t="shared" si="15"/>
        <v>49.54626692505289</v>
      </c>
      <c r="H48" s="470">
        <f t="shared" si="15"/>
        <v>52.298837309778058</v>
      </c>
      <c r="I48" s="470">
        <f t="shared" si="15"/>
        <v>106.95702066360626</v>
      </c>
      <c r="J48" s="470">
        <f t="shared" si="15"/>
        <v>153.35749286325898</v>
      </c>
      <c r="K48" s="470">
        <f t="shared" si="15"/>
        <v>198.18506770021156</v>
      </c>
      <c r="L48" s="470">
        <f t="shared" si="15"/>
        <v>265.42642995564051</v>
      </c>
      <c r="M48" s="470">
        <f t="shared" si="15"/>
        <v>220.59885511868794</v>
      </c>
      <c r="N48" s="470">
        <f t="shared" si="15"/>
        <v>230.03623929488845</v>
      </c>
      <c r="O48" s="470">
        <f t="shared" si="15"/>
        <v>257.75855531247754</v>
      </c>
      <c r="P48" s="470">
        <f t="shared" si="15"/>
        <v>316.54559424339351</v>
      </c>
      <c r="Q48" s="470">
        <f t="shared" si="15"/>
        <v>51.905612969103032</v>
      </c>
      <c r="R48" s="471"/>
    </row>
    <row r="49" spans="1:21" ht="15" customHeight="1">
      <c r="A49" s="460" t="s">
        <v>1216</v>
      </c>
      <c r="B49" s="472">
        <f>0.68*B46*Weather!B31</f>
        <v>333.51143716015406</v>
      </c>
      <c r="C49" s="472">
        <f>0.68*C46*Weather!C31</f>
        <v>250.13357787011552</v>
      </c>
      <c r="D49" s="472">
        <f>0.68*D46*Weather!D31</f>
        <v>0</v>
      </c>
      <c r="E49" s="472">
        <f>0.68*E46*Weather!E31</f>
        <v>192.52263719449127</v>
      </c>
      <c r="F49" s="472">
        <f>0.68*F46*Weather!F31</f>
        <v>0</v>
      </c>
      <c r="G49" s="472">
        <f>0.68*G46*Weather!G31</f>
        <v>0</v>
      </c>
      <c r="H49" s="472">
        <f>0.68*H46*Weather!H31</f>
        <v>161.65095168476853</v>
      </c>
      <c r="I49" s="472">
        <f>0.68*I46*Weather!I31</f>
        <v>0</v>
      </c>
      <c r="J49" s="472">
        <f>0.68*J46*Weather!J31</f>
        <v>0</v>
      </c>
      <c r="K49" s="472">
        <f>0.68*K46*Weather!K31</f>
        <v>117.40963859209504</v>
      </c>
      <c r="L49" s="472">
        <f>0.68*L46*Weather!L31</f>
        <v>0</v>
      </c>
      <c r="M49" s="472">
        <f>0.68*M46*Weather!M31</f>
        <v>92.979682735975899</v>
      </c>
      <c r="N49" s="472">
        <f>0.68*N46*Weather!N31</f>
        <v>0</v>
      </c>
      <c r="O49" s="472">
        <f>0.68*O46*Weather!O31</f>
        <v>69.278979293472233</v>
      </c>
      <c r="P49" s="472">
        <f>0.68*P46*Weather!P31</f>
        <v>0</v>
      </c>
      <c r="Q49" s="472">
        <f>0.68*Q46*Weather!Q31</f>
        <v>197.87048822767159</v>
      </c>
      <c r="R49" s="473"/>
    </row>
    <row r="51" spans="1:21" s="254" customFormat="1" ht="15" customHeight="1">
      <c r="A51" s="458" t="s">
        <v>1248</v>
      </c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3"/>
    </row>
    <row r="52" spans="1:21" ht="15" customHeight="1">
      <c r="A52" s="459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201"/>
    </row>
    <row r="53" spans="1:21" ht="15" customHeight="1">
      <c r="A53" s="468" t="s">
        <v>1217</v>
      </c>
      <c r="B53" s="469" t="s">
        <v>1218</v>
      </c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201"/>
    </row>
    <row r="54" spans="1:21" ht="15" customHeight="1">
      <c r="A54" s="459" t="s">
        <v>1219</v>
      </c>
      <c r="B54" s="80">
        <v>10</v>
      </c>
      <c r="C54" s="80">
        <v>10</v>
      </c>
      <c r="D54" s="80">
        <v>15</v>
      </c>
      <c r="E54" s="80">
        <v>15</v>
      </c>
      <c r="F54" s="80">
        <v>15</v>
      </c>
      <c r="G54" s="80">
        <v>20</v>
      </c>
      <c r="H54" s="80">
        <v>20</v>
      </c>
      <c r="I54" s="80">
        <v>20</v>
      </c>
      <c r="J54" s="80">
        <v>25</v>
      </c>
      <c r="K54" s="80">
        <v>25</v>
      </c>
      <c r="L54" s="80">
        <v>30</v>
      </c>
      <c r="M54" s="80">
        <v>35</v>
      </c>
      <c r="N54" s="80"/>
      <c r="O54" s="80"/>
      <c r="P54" s="80"/>
      <c r="Q54" s="80"/>
      <c r="R54" s="201"/>
    </row>
    <row r="55" spans="1:21" ht="15" customHeight="1">
      <c r="A55" s="459" t="s">
        <v>1220</v>
      </c>
      <c r="B55" s="80" t="s">
        <v>216</v>
      </c>
      <c r="C55" s="80" t="s">
        <v>1208</v>
      </c>
      <c r="D55" s="80" t="s">
        <v>216</v>
      </c>
      <c r="E55" s="80" t="s">
        <v>1208</v>
      </c>
      <c r="F55" s="80" t="s">
        <v>1209</v>
      </c>
      <c r="G55" s="80" t="s">
        <v>216</v>
      </c>
      <c r="H55" s="80" t="s">
        <v>1208</v>
      </c>
      <c r="I55" s="80" t="s">
        <v>1209</v>
      </c>
      <c r="J55" s="80" t="s">
        <v>1208</v>
      </c>
      <c r="K55" s="80" t="s">
        <v>1209</v>
      </c>
      <c r="L55" s="80" t="s">
        <v>1209</v>
      </c>
      <c r="M55" s="80" t="s">
        <v>1209</v>
      </c>
      <c r="N55" s="80"/>
      <c r="O55" s="80"/>
      <c r="P55" s="80"/>
      <c r="Q55" s="80"/>
      <c r="R55" s="201"/>
    </row>
    <row r="56" spans="1:21" ht="15" customHeight="1">
      <c r="A56" s="459" t="s">
        <v>1221</v>
      </c>
      <c r="B56" s="80">
        <v>17.600000000000001</v>
      </c>
      <c r="C56" s="80">
        <v>13.6</v>
      </c>
      <c r="D56" s="80">
        <v>22.6</v>
      </c>
      <c r="E56" s="80">
        <v>18.600000000000001</v>
      </c>
      <c r="F56" s="80">
        <v>13.6</v>
      </c>
      <c r="G56" s="80">
        <v>27.6</v>
      </c>
      <c r="H56" s="80">
        <v>23.6</v>
      </c>
      <c r="I56" s="80">
        <v>18.600000000000001</v>
      </c>
      <c r="J56" s="80">
        <v>28.6</v>
      </c>
      <c r="K56" s="80">
        <v>23.6</v>
      </c>
      <c r="L56" s="80">
        <v>28.6</v>
      </c>
      <c r="M56" s="80">
        <v>33.6</v>
      </c>
      <c r="N56" s="80"/>
      <c r="O56" s="80"/>
      <c r="P56" s="80"/>
      <c r="Q56" s="80"/>
      <c r="R56" s="201"/>
    </row>
    <row r="57" spans="1:21" ht="15" customHeight="1">
      <c r="A57" s="459" t="s">
        <v>1222</v>
      </c>
      <c r="B57" s="80">
        <v>38</v>
      </c>
      <c r="C57" s="80">
        <v>34</v>
      </c>
      <c r="D57" s="80">
        <v>43</v>
      </c>
      <c r="E57" s="80">
        <v>39</v>
      </c>
      <c r="F57" s="80">
        <v>34</v>
      </c>
      <c r="G57" s="80">
        <v>48</v>
      </c>
      <c r="H57" s="80">
        <v>44</v>
      </c>
      <c r="I57" s="80">
        <v>39</v>
      </c>
      <c r="J57" s="80">
        <v>49</v>
      </c>
      <c r="K57" s="80">
        <v>44</v>
      </c>
      <c r="L57" s="80">
        <v>49</v>
      </c>
      <c r="M57" s="80">
        <v>54</v>
      </c>
      <c r="N57" s="80"/>
      <c r="O57" s="80"/>
      <c r="P57" s="80"/>
      <c r="Q57" s="80"/>
      <c r="R57" s="201"/>
    </row>
    <row r="58" spans="1:21" ht="15" customHeight="1">
      <c r="A58" s="459" t="s">
        <v>1223</v>
      </c>
      <c r="B58" s="80">
        <v>30</v>
      </c>
      <c r="C58" s="80">
        <v>26</v>
      </c>
      <c r="D58" s="80">
        <v>35</v>
      </c>
      <c r="E58" s="80">
        <v>31</v>
      </c>
      <c r="F58" s="80">
        <v>26</v>
      </c>
      <c r="G58" s="80">
        <v>40</v>
      </c>
      <c r="H58" s="80">
        <v>36</v>
      </c>
      <c r="I58" s="80">
        <v>31</v>
      </c>
      <c r="J58" s="80">
        <v>41</v>
      </c>
      <c r="K58" s="80">
        <v>36</v>
      </c>
      <c r="L58" s="80">
        <v>41</v>
      </c>
      <c r="M58" s="80">
        <v>46</v>
      </c>
      <c r="N58" s="80"/>
      <c r="O58" s="80"/>
      <c r="P58" s="80"/>
      <c r="Q58" s="80"/>
      <c r="R58" s="201"/>
    </row>
    <row r="59" spans="1:21" ht="15" customHeight="1">
      <c r="A59" s="459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201"/>
    </row>
    <row r="60" spans="1:21" ht="15" customHeight="1">
      <c r="A60" s="459"/>
      <c r="B60" s="80"/>
      <c r="C60" s="80"/>
      <c r="D60" s="80"/>
      <c r="E60" s="80"/>
      <c r="F60" s="80">
        <f>F56+(G24-F54)</f>
        <v>4.5999999999999996</v>
      </c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201"/>
    </row>
    <row r="61" spans="1:21" ht="15" customHeight="1">
      <c r="A61" s="459" t="s">
        <v>1225</v>
      </c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201"/>
      <c r="S61" s="254"/>
      <c r="T61" s="254"/>
      <c r="U61" s="254"/>
    </row>
    <row r="62" spans="1:21" ht="15" customHeight="1">
      <c r="A62" s="459" t="s">
        <v>216</v>
      </c>
      <c r="B62" s="80">
        <f>$D$56+(B24-$D$54)</f>
        <v>1.6000000000000014</v>
      </c>
      <c r="C62" s="80">
        <f t="shared" ref="C62:Q62" si="16">$D$56+(C24-$D$54)</f>
        <v>28.6</v>
      </c>
      <c r="D62" s="80">
        <f t="shared" si="16"/>
        <v>12.600000000000001</v>
      </c>
      <c r="E62" s="80">
        <f t="shared" si="16"/>
        <v>21.6</v>
      </c>
      <c r="F62" s="80">
        <f t="shared" si="16"/>
        <v>14.600000000000001</v>
      </c>
      <c r="G62" s="80">
        <f t="shared" si="16"/>
        <v>13.600000000000001</v>
      </c>
      <c r="H62" s="80">
        <f t="shared" si="16"/>
        <v>14.600000000000001</v>
      </c>
      <c r="I62" s="80">
        <f t="shared" si="16"/>
        <v>23.6</v>
      </c>
      <c r="J62" s="80">
        <f t="shared" si="16"/>
        <v>27.6</v>
      </c>
      <c r="K62" s="80">
        <f t="shared" si="16"/>
        <v>31.6</v>
      </c>
      <c r="L62" s="80">
        <f t="shared" si="16"/>
        <v>34.6</v>
      </c>
      <c r="M62" s="80">
        <f t="shared" si="16"/>
        <v>29.6</v>
      </c>
      <c r="N62" s="80">
        <f t="shared" si="16"/>
        <v>33.6</v>
      </c>
      <c r="O62" s="80">
        <f t="shared" si="16"/>
        <v>30.6</v>
      </c>
      <c r="P62" s="80">
        <f t="shared" si="16"/>
        <v>42.6</v>
      </c>
      <c r="Q62" s="80">
        <f t="shared" si="16"/>
        <v>13.600000000000001</v>
      </c>
      <c r="R62" s="201"/>
      <c r="S62" s="254"/>
      <c r="T62" s="254"/>
      <c r="U62" s="254"/>
    </row>
    <row r="63" spans="1:21" ht="15" customHeight="1">
      <c r="A63" s="459" t="s">
        <v>1208</v>
      </c>
      <c r="B63" s="80">
        <f t="shared" ref="B63:Q63" si="17">$E$56+(B24-$E$54)</f>
        <v>-2.3999999999999986</v>
      </c>
      <c r="C63" s="80">
        <f t="shared" si="17"/>
        <v>24.6</v>
      </c>
      <c r="D63" s="80">
        <f t="shared" si="17"/>
        <v>8.6000000000000014</v>
      </c>
      <c r="E63" s="80">
        <f t="shared" si="17"/>
        <v>17.600000000000001</v>
      </c>
      <c r="F63" s="80">
        <f t="shared" si="17"/>
        <v>10.600000000000001</v>
      </c>
      <c r="G63" s="80">
        <f t="shared" si="17"/>
        <v>9.6000000000000014</v>
      </c>
      <c r="H63" s="80">
        <f t="shared" si="17"/>
        <v>10.600000000000001</v>
      </c>
      <c r="I63" s="80">
        <f t="shared" si="17"/>
        <v>19.600000000000001</v>
      </c>
      <c r="J63" s="80">
        <f t="shared" si="17"/>
        <v>23.6</v>
      </c>
      <c r="K63" s="80">
        <f>$E$56+(K24-$E$54)</f>
        <v>27.6</v>
      </c>
      <c r="L63" s="80">
        <f t="shared" si="17"/>
        <v>30.6</v>
      </c>
      <c r="M63" s="80">
        <f t="shared" si="17"/>
        <v>25.6</v>
      </c>
      <c r="N63" s="80">
        <f t="shared" si="17"/>
        <v>29.6</v>
      </c>
      <c r="O63" s="80">
        <f t="shared" si="17"/>
        <v>26.6</v>
      </c>
      <c r="P63" s="80">
        <f t="shared" si="17"/>
        <v>38.6</v>
      </c>
      <c r="Q63" s="80">
        <f t="shared" si="17"/>
        <v>9.6000000000000014</v>
      </c>
      <c r="R63" s="201"/>
      <c r="S63" s="254"/>
      <c r="T63" s="254"/>
      <c r="U63" s="254"/>
    </row>
    <row r="64" spans="1:21" ht="15" customHeight="1">
      <c r="A64" s="459" t="s">
        <v>1209</v>
      </c>
      <c r="B64" s="80">
        <f t="shared" ref="B64:Q64" si="18">$F$56+(B24-$F$54)</f>
        <v>-7.4</v>
      </c>
      <c r="C64" s="80">
        <f t="shared" si="18"/>
        <v>19.600000000000001</v>
      </c>
      <c r="D64" s="80">
        <f t="shared" si="18"/>
        <v>3.5999999999999996</v>
      </c>
      <c r="E64" s="80">
        <f t="shared" si="18"/>
        <v>12.6</v>
      </c>
      <c r="F64" s="80">
        <f t="shared" si="18"/>
        <v>5.6</v>
      </c>
      <c r="G64" s="80">
        <f t="shared" si="18"/>
        <v>4.5999999999999996</v>
      </c>
      <c r="H64" s="80">
        <f t="shared" si="18"/>
        <v>5.6</v>
      </c>
      <c r="I64" s="80">
        <f t="shared" si="18"/>
        <v>14.6</v>
      </c>
      <c r="J64" s="80">
        <f t="shared" si="18"/>
        <v>18.600000000000001</v>
      </c>
      <c r="K64" s="80">
        <f t="shared" si="18"/>
        <v>22.6</v>
      </c>
      <c r="L64" s="80">
        <f t="shared" si="18"/>
        <v>25.6</v>
      </c>
      <c r="M64" s="80">
        <f t="shared" si="18"/>
        <v>20.6</v>
      </c>
      <c r="N64" s="80">
        <f t="shared" si="18"/>
        <v>24.6</v>
      </c>
      <c r="O64" s="80">
        <f t="shared" si="18"/>
        <v>21.6</v>
      </c>
      <c r="P64" s="80">
        <f t="shared" si="18"/>
        <v>33.6</v>
      </c>
      <c r="Q64" s="80">
        <f t="shared" si="18"/>
        <v>4.5999999999999996</v>
      </c>
      <c r="R64" s="201"/>
      <c r="S64" s="254"/>
      <c r="T64" s="254"/>
      <c r="U64" s="254"/>
    </row>
    <row r="65" spans="1:21" ht="15" customHeight="1">
      <c r="A65" s="459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201"/>
      <c r="S65" s="254"/>
      <c r="T65" s="254"/>
      <c r="U65" s="254"/>
    </row>
    <row r="66" spans="1:21" ht="15" customHeight="1">
      <c r="A66" s="459" t="s">
        <v>1222</v>
      </c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201"/>
      <c r="S66" s="254"/>
      <c r="T66" s="254"/>
      <c r="U66" s="254"/>
    </row>
    <row r="67" spans="1:21" ht="15" customHeight="1">
      <c r="A67" s="459" t="s">
        <v>216</v>
      </c>
      <c r="B67" s="80">
        <f t="shared" ref="B67:Q67" si="19">$D$57+(B24-$D$54)</f>
        <v>22</v>
      </c>
      <c r="C67" s="80">
        <f t="shared" si="19"/>
        <v>49</v>
      </c>
      <c r="D67" s="80">
        <f t="shared" si="19"/>
        <v>33</v>
      </c>
      <c r="E67" s="80">
        <f t="shared" si="19"/>
        <v>42</v>
      </c>
      <c r="F67" s="80">
        <f t="shared" si="19"/>
        <v>35</v>
      </c>
      <c r="G67" s="80">
        <f t="shared" si="19"/>
        <v>34</v>
      </c>
      <c r="H67" s="80">
        <f t="shared" si="19"/>
        <v>35</v>
      </c>
      <c r="I67" s="80">
        <f t="shared" si="19"/>
        <v>44</v>
      </c>
      <c r="J67" s="80">
        <f t="shared" si="19"/>
        <v>48</v>
      </c>
      <c r="K67" s="80">
        <f t="shared" si="19"/>
        <v>52</v>
      </c>
      <c r="L67" s="80">
        <f t="shared" si="19"/>
        <v>55</v>
      </c>
      <c r="M67" s="80">
        <f t="shared" si="19"/>
        <v>50</v>
      </c>
      <c r="N67" s="80">
        <f t="shared" si="19"/>
        <v>54</v>
      </c>
      <c r="O67" s="80">
        <f t="shared" si="19"/>
        <v>51</v>
      </c>
      <c r="P67" s="80">
        <f t="shared" si="19"/>
        <v>63</v>
      </c>
      <c r="Q67" s="80">
        <f t="shared" si="19"/>
        <v>34</v>
      </c>
      <c r="R67" s="201"/>
      <c r="S67" s="254"/>
      <c r="T67" s="254"/>
      <c r="U67" s="254"/>
    </row>
    <row r="68" spans="1:21" ht="15" customHeight="1">
      <c r="A68" s="459" t="s">
        <v>1208</v>
      </c>
      <c r="B68" s="80">
        <f t="shared" ref="B68:Q68" si="20">$E$57+(B24-$E$54)</f>
        <v>18</v>
      </c>
      <c r="C68" s="80">
        <f t="shared" si="20"/>
        <v>45</v>
      </c>
      <c r="D68" s="80">
        <f t="shared" si="20"/>
        <v>29</v>
      </c>
      <c r="E68" s="80">
        <f t="shared" si="20"/>
        <v>38</v>
      </c>
      <c r="F68" s="80">
        <f t="shared" si="20"/>
        <v>31</v>
      </c>
      <c r="G68" s="80">
        <f t="shared" si="20"/>
        <v>30</v>
      </c>
      <c r="H68" s="80">
        <f t="shared" si="20"/>
        <v>31</v>
      </c>
      <c r="I68" s="80">
        <f t="shared" si="20"/>
        <v>40</v>
      </c>
      <c r="J68" s="80">
        <f t="shared" si="20"/>
        <v>44</v>
      </c>
      <c r="K68" s="80">
        <f t="shared" si="20"/>
        <v>48</v>
      </c>
      <c r="L68" s="80">
        <f t="shared" si="20"/>
        <v>51</v>
      </c>
      <c r="M68" s="80">
        <f t="shared" si="20"/>
        <v>46</v>
      </c>
      <c r="N68" s="80">
        <f t="shared" si="20"/>
        <v>50</v>
      </c>
      <c r="O68" s="80">
        <f t="shared" si="20"/>
        <v>47</v>
      </c>
      <c r="P68" s="80">
        <f t="shared" si="20"/>
        <v>59</v>
      </c>
      <c r="Q68" s="80">
        <f t="shared" si="20"/>
        <v>30</v>
      </c>
      <c r="R68" s="201"/>
      <c r="S68" s="254"/>
      <c r="T68" s="254"/>
      <c r="U68" s="254"/>
    </row>
    <row r="69" spans="1:21" ht="15" customHeight="1">
      <c r="A69" s="459" t="s">
        <v>1209</v>
      </c>
      <c r="B69" s="80">
        <f t="shared" ref="B69:Q69" si="21">$F$57+(B24-$F$54)</f>
        <v>13</v>
      </c>
      <c r="C69" s="80">
        <f t="shared" si="21"/>
        <v>40</v>
      </c>
      <c r="D69" s="80">
        <f t="shared" si="21"/>
        <v>24</v>
      </c>
      <c r="E69" s="80">
        <f t="shared" si="21"/>
        <v>33</v>
      </c>
      <c r="F69" s="80">
        <f t="shared" si="21"/>
        <v>26</v>
      </c>
      <c r="G69" s="80">
        <f t="shared" si="21"/>
        <v>25</v>
      </c>
      <c r="H69" s="80">
        <f t="shared" si="21"/>
        <v>26</v>
      </c>
      <c r="I69" s="80">
        <f t="shared" si="21"/>
        <v>35</v>
      </c>
      <c r="J69" s="80">
        <f t="shared" si="21"/>
        <v>39</v>
      </c>
      <c r="K69" s="80">
        <f t="shared" si="21"/>
        <v>43</v>
      </c>
      <c r="L69" s="80">
        <f t="shared" si="21"/>
        <v>46</v>
      </c>
      <c r="M69" s="80">
        <f t="shared" si="21"/>
        <v>41</v>
      </c>
      <c r="N69" s="80">
        <f t="shared" si="21"/>
        <v>45</v>
      </c>
      <c r="O69" s="80">
        <f t="shared" si="21"/>
        <v>42</v>
      </c>
      <c r="P69" s="80">
        <f t="shared" si="21"/>
        <v>54</v>
      </c>
      <c r="Q69" s="80">
        <f t="shared" si="21"/>
        <v>25</v>
      </c>
      <c r="R69" s="201"/>
      <c r="S69" s="254"/>
      <c r="T69" s="254"/>
      <c r="U69" s="254"/>
    </row>
    <row r="70" spans="1:21" ht="15" customHeight="1">
      <c r="A70" s="459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201"/>
      <c r="S70" s="254"/>
      <c r="T70" s="254"/>
      <c r="U70" s="254"/>
    </row>
    <row r="71" spans="1:21" ht="15" customHeight="1">
      <c r="A71" s="459" t="s">
        <v>1223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201"/>
      <c r="S71" s="254"/>
      <c r="T71" s="254"/>
      <c r="U71" s="254"/>
    </row>
    <row r="72" spans="1:21" ht="15" customHeight="1">
      <c r="A72" s="459" t="s">
        <v>216</v>
      </c>
      <c r="B72" s="80">
        <f t="shared" ref="B72:Q72" si="22">$D$58+(B24-$D$54)</f>
        <v>14</v>
      </c>
      <c r="C72" s="80">
        <f t="shared" si="22"/>
        <v>41</v>
      </c>
      <c r="D72" s="80">
        <f t="shared" si="22"/>
        <v>25</v>
      </c>
      <c r="E72" s="80">
        <f t="shared" si="22"/>
        <v>34</v>
      </c>
      <c r="F72" s="80">
        <f t="shared" si="22"/>
        <v>27</v>
      </c>
      <c r="G72" s="80">
        <f t="shared" si="22"/>
        <v>26</v>
      </c>
      <c r="H72" s="80">
        <f t="shared" si="22"/>
        <v>27</v>
      </c>
      <c r="I72" s="80">
        <f t="shared" si="22"/>
        <v>36</v>
      </c>
      <c r="J72" s="80">
        <f t="shared" si="22"/>
        <v>40</v>
      </c>
      <c r="K72" s="80">
        <f t="shared" si="22"/>
        <v>44</v>
      </c>
      <c r="L72" s="80">
        <f t="shared" si="22"/>
        <v>47</v>
      </c>
      <c r="M72" s="80">
        <f t="shared" si="22"/>
        <v>42</v>
      </c>
      <c r="N72" s="80">
        <f t="shared" si="22"/>
        <v>46</v>
      </c>
      <c r="O72" s="80">
        <f t="shared" si="22"/>
        <v>43</v>
      </c>
      <c r="P72" s="80">
        <f t="shared" si="22"/>
        <v>55</v>
      </c>
      <c r="Q72" s="80">
        <f t="shared" si="22"/>
        <v>26</v>
      </c>
      <c r="R72" s="201"/>
      <c r="S72" s="254"/>
      <c r="T72" s="254"/>
      <c r="U72" s="254"/>
    </row>
    <row r="73" spans="1:21" ht="15" customHeight="1">
      <c r="A73" s="459" t="s">
        <v>1208</v>
      </c>
      <c r="B73" s="80">
        <f t="shared" ref="B73:Q73" si="23">$E$58+(B24-$E$54)</f>
        <v>10</v>
      </c>
      <c r="C73" s="80">
        <f t="shared" si="23"/>
        <v>37</v>
      </c>
      <c r="D73" s="80">
        <f t="shared" si="23"/>
        <v>21</v>
      </c>
      <c r="E73" s="80">
        <f t="shared" si="23"/>
        <v>30</v>
      </c>
      <c r="F73" s="80">
        <f t="shared" si="23"/>
        <v>23</v>
      </c>
      <c r="G73" s="80">
        <f t="shared" si="23"/>
        <v>22</v>
      </c>
      <c r="H73" s="80">
        <f t="shared" si="23"/>
        <v>23</v>
      </c>
      <c r="I73" s="80">
        <f t="shared" si="23"/>
        <v>32</v>
      </c>
      <c r="J73" s="80">
        <f t="shared" si="23"/>
        <v>36</v>
      </c>
      <c r="K73" s="80">
        <f t="shared" si="23"/>
        <v>40</v>
      </c>
      <c r="L73" s="80">
        <f t="shared" si="23"/>
        <v>43</v>
      </c>
      <c r="M73" s="80">
        <f t="shared" si="23"/>
        <v>38</v>
      </c>
      <c r="N73" s="80">
        <f t="shared" si="23"/>
        <v>42</v>
      </c>
      <c r="O73" s="80">
        <f t="shared" si="23"/>
        <v>39</v>
      </c>
      <c r="P73" s="80">
        <f t="shared" si="23"/>
        <v>51</v>
      </c>
      <c r="Q73" s="80">
        <f t="shared" si="23"/>
        <v>22</v>
      </c>
      <c r="R73" s="201"/>
      <c r="S73" s="254"/>
      <c r="T73" s="254"/>
      <c r="U73" s="254"/>
    </row>
    <row r="74" spans="1:21" ht="15" customHeight="1">
      <c r="A74" s="459" t="s">
        <v>1209</v>
      </c>
      <c r="B74" s="80">
        <f t="shared" ref="B74:Q74" si="24">$F$58+(B24-$F$54)</f>
        <v>5</v>
      </c>
      <c r="C74" s="80">
        <f t="shared" si="24"/>
        <v>32</v>
      </c>
      <c r="D74" s="80">
        <f t="shared" si="24"/>
        <v>16</v>
      </c>
      <c r="E74" s="80">
        <f t="shared" si="24"/>
        <v>25</v>
      </c>
      <c r="F74" s="80">
        <f t="shared" si="24"/>
        <v>18</v>
      </c>
      <c r="G74" s="80">
        <f t="shared" si="24"/>
        <v>17</v>
      </c>
      <c r="H74" s="80">
        <f t="shared" si="24"/>
        <v>18</v>
      </c>
      <c r="I74" s="80">
        <f t="shared" si="24"/>
        <v>27</v>
      </c>
      <c r="J74" s="80">
        <f t="shared" si="24"/>
        <v>31</v>
      </c>
      <c r="K74" s="80">
        <f t="shared" si="24"/>
        <v>35</v>
      </c>
      <c r="L74" s="80">
        <f t="shared" si="24"/>
        <v>38</v>
      </c>
      <c r="M74" s="80">
        <f t="shared" si="24"/>
        <v>33</v>
      </c>
      <c r="N74" s="80">
        <f t="shared" si="24"/>
        <v>37</v>
      </c>
      <c r="O74" s="80">
        <f t="shared" si="24"/>
        <v>34</v>
      </c>
      <c r="P74" s="80">
        <f t="shared" si="24"/>
        <v>46</v>
      </c>
      <c r="Q74" s="80">
        <f t="shared" si="24"/>
        <v>17</v>
      </c>
      <c r="R74" s="201"/>
      <c r="S74" s="254"/>
      <c r="T74" s="254"/>
      <c r="U74" s="254"/>
    </row>
    <row r="75" spans="1:21" ht="15" customHeight="1">
      <c r="A75" s="459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201"/>
    </row>
    <row r="76" spans="1:21" ht="15" customHeight="1">
      <c r="A76" s="459" t="s">
        <v>1225</v>
      </c>
      <c r="B76" s="80">
        <f>VLOOKUP(Weather!B50,HVAC!$A$62:$R$64,Weather!B34,FALSE)</f>
        <v>1.6000000000000014</v>
      </c>
      <c r="C76" s="80">
        <f>VLOOKUP(Weather!C50,HVAC!$A$62:$R$64,Weather!C34,FALSE)</f>
        <v>19.600000000000001</v>
      </c>
      <c r="D76" s="80">
        <f>VLOOKUP(Weather!D50,HVAC!$A$62:$R$64,Weather!D34,FALSE)</f>
        <v>8.6000000000000014</v>
      </c>
      <c r="E76" s="80">
        <f>VLOOKUP(Weather!E50,HVAC!$A$62:$R$64,Weather!E34,FALSE)</f>
        <v>12.6</v>
      </c>
      <c r="F76" s="80">
        <f>VLOOKUP(Weather!F50,HVAC!$A$62:$R$64,Weather!F34,FALSE)</f>
        <v>10.600000000000001</v>
      </c>
      <c r="G76" s="80">
        <f>VLOOKUP(Weather!G50,HVAC!$A$62:$R$64,Weather!G34,FALSE)</f>
        <v>13.600000000000001</v>
      </c>
      <c r="H76" s="80">
        <f>VLOOKUP(Weather!H50,HVAC!$A$62:$R$64,Weather!H34,FALSE)</f>
        <v>14.600000000000001</v>
      </c>
      <c r="I76" s="80">
        <f>VLOOKUP(Weather!I50,HVAC!$A$62:$R$64,Weather!I34,FALSE)</f>
        <v>14.6</v>
      </c>
      <c r="J76" s="80">
        <f>VLOOKUP(Weather!J50,HVAC!$A$62:$R$64,Weather!J34,FALSE)</f>
        <v>23.6</v>
      </c>
      <c r="K76" s="80">
        <f>VLOOKUP(Weather!K50,HVAC!$A$62:$R$64,Weather!K34,FALSE)</f>
        <v>22.6</v>
      </c>
      <c r="L76" s="80">
        <f>VLOOKUP(Weather!L50,HVAC!$A$62:$R$64,Weather!L34,FALSE)</f>
        <v>25.6</v>
      </c>
      <c r="M76" s="80">
        <f>VLOOKUP(Weather!M50,HVAC!$A$62:$R$64,Weather!M34,FALSE)</f>
        <v>20.6</v>
      </c>
      <c r="N76" s="80">
        <f>VLOOKUP(Weather!N50,HVAC!$A$62:$R$64,Weather!N34,FALSE)</f>
        <v>24.6</v>
      </c>
      <c r="O76" s="80">
        <f>VLOOKUP(Weather!O50,HVAC!$A$62:$R$64,Weather!O34,FALSE)</f>
        <v>21.6</v>
      </c>
      <c r="P76" s="80">
        <f>VLOOKUP(Weather!P50,HVAC!$A$62:$R$64,Weather!P34,FALSE)</f>
        <v>33.6</v>
      </c>
      <c r="Q76" s="80">
        <f>VLOOKUP(Weather!Q50,HVAC!$A$62:$R$64,Weather!Q34,FALSE)</f>
        <v>9.6000000000000014</v>
      </c>
      <c r="R76" s="80"/>
    </row>
    <row r="77" spans="1:21" ht="15" customHeight="1">
      <c r="A77" s="459" t="s">
        <v>1222</v>
      </c>
      <c r="B77" s="80">
        <f>VLOOKUP(Weather!B50,HVAC!$A$67:$R$69,Weather!B34,FALSE)</f>
        <v>22</v>
      </c>
      <c r="C77" s="80">
        <f>VLOOKUP(Weather!C50,HVAC!$A$67:$R$69,Weather!C34,FALSE)</f>
        <v>40</v>
      </c>
      <c r="D77" s="80">
        <f>VLOOKUP(Weather!D50,HVAC!$A$67:$R$69,Weather!D34,FALSE)</f>
        <v>29</v>
      </c>
      <c r="E77" s="80">
        <f>VLOOKUP(Weather!E50,HVAC!$A$67:$R$69,Weather!E34,FALSE)</f>
        <v>33</v>
      </c>
      <c r="F77" s="80">
        <f>VLOOKUP(Weather!F50,HVAC!$A$67:$R$69,Weather!F34,FALSE)</f>
        <v>31</v>
      </c>
      <c r="G77" s="80">
        <f>VLOOKUP(Weather!G50,HVAC!$A$67:$R$69,Weather!G34,FALSE)</f>
        <v>34</v>
      </c>
      <c r="H77" s="80">
        <f>VLOOKUP(Weather!H50,HVAC!$A$67:$R$69,Weather!H34,FALSE)</f>
        <v>35</v>
      </c>
      <c r="I77" s="80">
        <f>VLOOKUP(Weather!I50,HVAC!$A$67:$R$69,Weather!I34,FALSE)</f>
        <v>35</v>
      </c>
      <c r="J77" s="80">
        <f>VLOOKUP(Weather!J50,HVAC!$A$67:$R$69,Weather!J34,FALSE)</f>
        <v>44</v>
      </c>
      <c r="K77" s="80">
        <f>VLOOKUP(Weather!K50,HVAC!$A$67:$R$69,Weather!K34,FALSE)</f>
        <v>43</v>
      </c>
      <c r="L77" s="80">
        <f>VLOOKUP(Weather!L50,HVAC!$A$67:$R$69,Weather!L34,FALSE)</f>
        <v>46</v>
      </c>
      <c r="M77" s="80">
        <f>VLOOKUP(Weather!M50,HVAC!$A$67:$R$69,Weather!M34,FALSE)</f>
        <v>41</v>
      </c>
      <c r="N77" s="80">
        <f>VLOOKUP(Weather!N50,HVAC!$A$67:$R$69,Weather!N34,FALSE)</f>
        <v>45</v>
      </c>
      <c r="O77" s="80">
        <f>VLOOKUP(Weather!O50,HVAC!$A$67:$R$69,Weather!O34,FALSE)</f>
        <v>42</v>
      </c>
      <c r="P77" s="80">
        <f>VLOOKUP(Weather!P50,HVAC!$A$67:$R$69,Weather!P34,FALSE)</f>
        <v>54</v>
      </c>
      <c r="Q77" s="80">
        <f>VLOOKUP(Weather!Q50,HVAC!$A$67:$R$69,Weather!Q34,FALSE)</f>
        <v>30</v>
      </c>
      <c r="R77" s="201"/>
    </row>
    <row r="78" spans="1:21" ht="15" customHeight="1">
      <c r="A78" s="459" t="s">
        <v>1223</v>
      </c>
      <c r="B78" s="80">
        <f>VLOOKUP(Weather!B50,HVAC!$A$72:$R$74,Weather!B34,FALSE)</f>
        <v>14</v>
      </c>
      <c r="C78" s="80">
        <f>VLOOKUP(Weather!C50,HVAC!$A$72:$R$74,Weather!C34,FALSE)</f>
        <v>32</v>
      </c>
      <c r="D78" s="80">
        <f>VLOOKUP(Weather!D50,HVAC!$A$72:$R$74,Weather!D34,FALSE)</f>
        <v>21</v>
      </c>
      <c r="E78" s="80">
        <f>VLOOKUP(Weather!E50,HVAC!$A$72:$R$74,Weather!E34,FALSE)</f>
        <v>25</v>
      </c>
      <c r="F78" s="80">
        <f>VLOOKUP(Weather!F50,HVAC!$A$72:$R$74,Weather!F34,FALSE)</f>
        <v>23</v>
      </c>
      <c r="G78" s="80">
        <f>VLOOKUP(Weather!G50,HVAC!$A$72:$R$74,Weather!G34,FALSE)</f>
        <v>26</v>
      </c>
      <c r="H78" s="80">
        <f>VLOOKUP(Weather!H50,HVAC!$A$72:$R$74,Weather!H34,FALSE)</f>
        <v>27</v>
      </c>
      <c r="I78" s="80">
        <f>VLOOKUP(Weather!I50,HVAC!$A$72:$R$74,Weather!I34,FALSE)</f>
        <v>27</v>
      </c>
      <c r="J78" s="80">
        <f>VLOOKUP(Weather!J50,HVAC!$A$72:$R$74,Weather!J34,FALSE)</f>
        <v>36</v>
      </c>
      <c r="K78" s="80">
        <f>VLOOKUP(Weather!K50,HVAC!$A$72:$R$74,Weather!K34,FALSE)</f>
        <v>35</v>
      </c>
      <c r="L78" s="80">
        <f>VLOOKUP(Weather!L50,HVAC!$A$72:$R$74,Weather!L34,FALSE)</f>
        <v>38</v>
      </c>
      <c r="M78" s="80">
        <f>VLOOKUP(Weather!M50,HVAC!$A$72:$R$74,Weather!M34,FALSE)</f>
        <v>33</v>
      </c>
      <c r="N78" s="80">
        <f>VLOOKUP(Weather!N50,HVAC!$A$72:$R$74,Weather!N34,FALSE)</f>
        <v>37</v>
      </c>
      <c r="O78" s="80">
        <f>VLOOKUP(Weather!O50,HVAC!$A$72:$R$74,Weather!O34,FALSE)</f>
        <v>34</v>
      </c>
      <c r="P78" s="80">
        <f>VLOOKUP(Weather!P50,HVAC!$A$72:$R$74,Weather!P34,FALSE)</f>
        <v>46</v>
      </c>
      <c r="Q78" s="80">
        <f>VLOOKUP(Weather!Q50,HVAC!$A$72:$R$74,Weather!Q34,FALSE)</f>
        <v>22</v>
      </c>
      <c r="R78" s="201"/>
    </row>
    <row r="79" spans="1:21" ht="15" customHeight="1">
      <c r="A79" s="459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201"/>
    </row>
    <row r="80" spans="1:21" ht="15" customHeight="1">
      <c r="A80" s="459" t="s">
        <v>1225</v>
      </c>
      <c r="B80" s="470">
        <f>B29*B76</f>
        <v>180.89806533884976</v>
      </c>
      <c r="C80" s="470">
        <f t="shared" ref="C80:Q80" si="25">C29*C76</f>
        <v>2216.0013004009079</v>
      </c>
      <c r="D80" s="470">
        <f t="shared" si="25"/>
        <v>972.32710119631679</v>
      </c>
      <c r="E80" s="470">
        <f t="shared" si="25"/>
        <v>1424.5722645434405</v>
      </c>
      <c r="F80" s="470">
        <f t="shared" si="25"/>
        <v>1198.4496828698786</v>
      </c>
      <c r="G80" s="470">
        <f t="shared" si="25"/>
        <v>1929.8633807122044</v>
      </c>
      <c r="H80" s="470">
        <f t="shared" si="25"/>
        <v>2071.7650998822196</v>
      </c>
      <c r="I80" s="470">
        <f t="shared" si="25"/>
        <v>1650.6948462170026</v>
      </c>
      <c r="J80" s="470">
        <f t="shared" si="25"/>
        <v>2668.2464637480316</v>
      </c>
      <c r="K80" s="470">
        <f t="shared" si="25"/>
        <v>2555.1851729112509</v>
      </c>
      <c r="L80" s="470">
        <f t="shared" si="25"/>
        <v>2894.3690454215939</v>
      </c>
      <c r="M80" s="470">
        <f t="shared" si="25"/>
        <v>2329.0625912376886</v>
      </c>
      <c r="N80" s="470">
        <f t="shared" si="25"/>
        <v>2781.3077545848128</v>
      </c>
      <c r="O80" s="470">
        <f t="shared" si="25"/>
        <v>2442.1238820744697</v>
      </c>
      <c r="P80" s="470">
        <f t="shared" si="25"/>
        <v>3798.8593721158418</v>
      </c>
      <c r="Q80" s="470">
        <f t="shared" si="25"/>
        <v>1085.3883920330977</v>
      </c>
      <c r="R80" s="471"/>
    </row>
    <row r="81" spans="1:18" ht="15" customHeight="1">
      <c r="A81" s="459" t="s">
        <v>1222</v>
      </c>
      <c r="B81" s="470">
        <f t="shared" ref="B81:Q81" si="26">B32*B77</f>
        <v>1477.4239081221051</v>
      </c>
      <c r="C81" s="470">
        <f t="shared" si="26"/>
        <v>2686.2252874947362</v>
      </c>
      <c r="D81" s="470">
        <f t="shared" si="26"/>
        <v>2242.5911112266658</v>
      </c>
      <c r="E81" s="470">
        <f t="shared" si="26"/>
        <v>2216.1358621831578</v>
      </c>
      <c r="F81" s="470">
        <f t="shared" si="26"/>
        <v>2397.2525671733324</v>
      </c>
      <c r="G81" s="470">
        <f t="shared" si="26"/>
        <v>2629.2447510933325</v>
      </c>
      <c r="H81" s="470">
        <f t="shared" si="26"/>
        <v>2706.575479066666</v>
      </c>
      <c r="I81" s="470">
        <f t="shared" si="26"/>
        <v>2350.4471265578945</v>
      </c>
      <c r="J81" s="470">
        <f t="shared" si="26"/>
        <v>2954.8478162442102</v>
      </c>
      <c r="K81" s="470">
        <f t="shared" si="26"/>
        <v>2887.6921840568416</v>
      </c>
      <c r="L81" s="470">
        <f t="shared" si="26"/>
        <v>3089.159080618947</v>
      </c>
      <c r="M81" s="470">
        <f t="shared" si="26"/>
        <v>2753.3809196821048</v>
      </c>
      <c r="N81" s="470">
        <f t="shared" si="26"/>
        <v>3022.0034484315784</v>
      </c>
      <c r="O81" s="470">
        <f t="shared" si="26"/>
        <v>2820.5365518694734</v>
      </c>
      <c r="P81" s="470">
        <f t="shared" si="26"/>
        <v>3626.404138117894</v>
      </c>
      <c r="Q81" s="470">
        <f t="shared" si="26"/>
        <v>2014.6689656210524</v>
      </c>
      <c r="R81" s="471"/>
    </row>
    <row r="82" spans="1:18" ht="15" customHeight="1">
      <c r="A82" s="460" t="s">
        <v>1223</v>
      </c>
      <c r="B82" s="472">
        <f t="shared" ref="B82:Q82" si="27">B32*B78</f>
        <v>940.17885062315781</v>
      </c>
      <c r="C82" s="472">
        <f t="shared" si="27"/>
        <v>2148.9802299957892</v>
      </c>
      <c r="D82" s="472">
        <f t="shared" si="27"/>
        <v>1623.9452874399994</v>
      </c>
      <c r="E82" s="472">
        <f t="shared" si="27"/>
        <v>1678.8908046842103</v>
      </c>
      <c r="F82" s="472">
        <f t="shared" si="27"/>
        <v>1778.606743386666</v>
      </c>
      <c r="G82" s="472">
        <f t="shared" si="27"/>
        <v>2010.5989273066662</v>
      </c>
      <c r="H82" s="472">
        <f t="shared" si="27"/>
        <v>2087.9296552799992</v>
      </c>
      <c r="I82" s="472">
        <f t="shared" si="27"/>
        <v>1813.202069058947</v>
      </c>
      <c r="J82" s="472">
        <f t="shared" si="27"/>
        <v>2417.6027587452627</v>
      </c>
      <c r="K82" s="472">
        <f t="shared" si="27"/>
        <v>2350.4471265578945</v>
      </c>
      <c r="L82" s="472">
        <f t="shared" si="27"/>
        <v>2551.9140231199995</v>
      </c>
      <c r="M82" s="472">
        <f t="shared" si="27"/>
        <v>2216.1358621831578</v>
      </c>
      <c r="N82" s="472">
        <f t="shared" si="27"/>
        <v>2484.7583909326313</v>
      </c>
      <c r="O82" s="472">
        <f t="shared" si="27"/>
        <v>2283.2914943705259</v>
      </c>
      <c r="P82" s="472">
        <f t="shared" si="27"/>
        <v>3089.159080618947</v>
      </c>
      <c r="Q82" s="472">
        <f t="shared" si="27"/>
        <v>1477.4239081221051</v>
      </c>
      <c r="R82" s="473"/>
    </row>
    <row r="85" spans="1:18" ht="15" customHeight="1">
      <c r="A85" s="458" t="s">
        <v>1262</v>
      </c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3"/>
    </row>
    <row r="86" spans="1:18" ht="15" customHeight="1">
      <c r="A86" s="459" t="s">
        <v>1226</v>
      </c>
      <c r="B86" s="80" t="s">
        <v>1251</v>
      </c>
      <c r="C86" s="80"/>
      <c r="D86" s="80"/>
      <c r="E86" s="80"/>
      <c r="F86" s="80"/>
      <c r="G86" s="80"/>
      <c r="H86" s="80"/>
      <c r="I86" s="80" t="s">
        <v>1252</v>
      </c>
      <c r="J86" s="80"/>
      <c r="K86" s="80"/>
      <c r="L86" s="80"/>
      <c r="M86" s="80"/>
      <c r="N86" s="80"/>
      <c r="O86" s="80"/>
      <c r="P86" s="80"/>
      <c r="Q86" s="80"/>
      <c r="R86" s="201"/>
    </row>
    <row r="87" spans="1:18" ht="15" customHeight="1">
      <c r="A87" s="459"/>
      <c r="B87" s="80" t="s">
        <v>1230</v>
      </c>
      <c r="C87" s="80" t="s">
        <v>1250</v>
      </c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201"/>
    </row>
    <row r="88" spans="1:18" s="254" customFormat="1" ht="15" customHeight="1">
      <c r="A88" s="459"/>
      <c r="B88" s="80">
        <v>10</v>
      </c>
      <c r="C88" s="80">
        <v>15</v>
      </c>
      <c r="D88" s="80">
        <v>20</v>
      </c>
      <c r="E88" s="80">
        <v>25</v>
      </c>
      <c r="F88" s="80">
        <v>30</v>
      </c>
      <c r="G88" s="80">
        <v>35</v>
      </c>
      <c r="H88" s="80"/>
      <c r="I88" s="80">
        <v>10</v>
      </c>
      <c r="J88" s="80">
        <v>15</v>
      </c>
      <c r="K88" s="80">
        <v>20</v>
      </c>
      <c r="L88" s="80">
        <v>25</v>
      </c>
      <c r="M88" s="80">
        <v>30</v>
      </c>
      <c r="N88" s="80">
        <v>35</v>
      </c>
      <c r="O88" s="80"/>
      <c r="P88" s="80"/>
      <c r="Q88" s="80"/>
      <c r="R88" s="201"/>
    </row>
    <row r="89" spans="1:18" ht="15" customHeight="1">
      <c r="A89" s="459" t="s">
        <v>28</v>
      </c>
      <c r="B89" s="80">
        <v>17</v>
      </c>
      <c r="C89" s="80">
        <v>18</v>
      </c>
      <c r="D89" s="80">
        <v>19</v>
      </c>
      <c r="E89" s="80">
        <v>20</v>
      </c>
      <c r="F89" s="80">
        <v>21</v>
      </c>
      <c r="G89" s="80">
        <v>22</v>
      </c>
      <c r="H89" s="80"/>
      <c r="I89" s="80">
        <v>17</v>
      </c>
      <c r="J89" s="80">
        <v>18</v>
      </c>
      <c r="K89" s="80">
        <v>19</v>
      </c>
      <c r="L89" s="80">
        <v>20</v>
      </c>
      <c r="M89" s="80">
        <v>21</v>
      </c>
      <c r="N89" s="80">
        <v>22</v>
      </c>
      <c r="O89" s="80"/>
      <c r="P89" s="80"/>
      <c r="Q89" s="80"/>
      <c r="R89" s="201"/>
    </row>
    <row r="90" spans="1:18" ht="15" customHeight="1">
      <c r="A90" s="459" t="s">
        <v>1227</v>
      </c>
      <c r="B90" s="80">
        <v>24</v>
      </c>
      <c r="C90" s="80">
        <v>25</v>
      </c>
      <c r="D90" s="80">
        <v>26</v>
      </c>
      <c r="E90" s="80">
        <v>27</v>
      </c>
      <c r="F90" s="80">
        <v>28</v>
      </c>
      <c r="G90" s="80">
        <v>29</v>
      </c>
      <c r="H90" s="80"/>
      <c r="I90" s="80">
        <v>43</v>
      </c>
      <c r="J90" s="80">
        <v>44</v>
      </c>
      <c r="K90" s="80">
        <v>45</v>
      </c>
      <c r="L90" s="80">
        <v>46</v>
      </c>
      <c r="M90" s="80">
        <v>47</v>
      </c>
      <c r="N90" s="80">
        <v>48</v>
      </c>
      <c r="O90" s="80"/>
      <c r="P90" s="80"/>
      <c r="Q90" s="80"/>
      <c r="R90" s="201"/>
    </row>
    <row r="91" spans="1:18" ht="15" customHeight="1">
      <c r="A91" s="459" t="s">
        <v>1228</v>
      </c>
      <c r="B91" s="80">
        <v>28</v>
      </c>
      <c r="C91" s="80">
        <v>29</v>
      </c>
      <c r="D91" s="80">
        <v>30</v>
      </c>
      <c r="E91" s="80">
        <v>31</v>
      </c>
      <c r="F91" s="80">
        <v>32</v>
      </c>
      <c r="G91" s="80">
        <v>33</v>
      </c>
      <c r="H91" s="80"/>
      <c r="I91" s="80">
        <v>62</v>
      </c>
      <c r="J91" s="80">
        <v>63</v>
      </c>
      <c r="K91" s="80">
        <v>64</v>
      </c>
      <c r="L91" s="80">
        <v>65</v>
      </c>
      <c r="M91" s="80">
        <v>66</v>
      </c>
      <c r="N91" s="80">
        <v>67</v>
      </c>
      <c r="O91" s="80"/>
      <c r="P91" s="80"/>
      <c r="Q91" s="80"/>
      <c r="R91" s="201"/>
    </row>
    <row r="92" spans="1:18" ht="15" customHeight="1">
      <c r="A92" s="459" t="s">
        <v>1229</v>
      </c>
      <c r="B92" s="80">
        <v>26</v>
      </c>
      <c r="C92" s="80">
        <v>27</v>
      </c>
      <c r="D92" s="80">
        <v>28</v>
      </c>
      <c r="E92" s="80">
        <v>29</v>
      </c>
      <c r="F92" s="80">
        <v>30</v>
      </c>
      <c r="G92" s="80">
        <v>31</v>
      </c>
      <c r="H92" s="80"/>
      <c r="I92" s="80">
        <v>53</v>
      </c>
      <c r="J92" s="80">
        <v>54</v>
      </c>
      <c r="K92" s="80">
        <v>55</v>
      </c>
      <c r="L92" s="80">
        <v>56</v>
      </c>
      <c r="M92" s="80">
        <v>57</v>
      </c>
      <c r="N92" s="80">
        <v>58</v>
      </c>
      <c r="O92" s="80"/>
      <c r="P92" s="80"/>
      <c r="Q92" s="80"/>
      <c r="R92" s="201"/>
    </row>
    <row r="93" spans="1:18" ht="15" customHeight="1">
      <c r="A93" s="459" t="s">
        <v>30</v>
      </c>
      <c r="B93" s="80">
        <v>20</v>
      </c>
      <c r="C93" s="80">
        <v>21</v>
      </c>
      <c r="D93" s="80">
        <v>22</v>
      </c>
      <c r="E93" s="80">
        <v>23</v>
      </c>
      <c r="F93" s="80">
        <v>24</v>
      </c>
      <c r="G93" s="80">
        <v>25</v>
      </c>
      <c r="H93" s="80"/>
      <c r="I93" s="80">
        <v>30</v>
      </c>
      <c r="J93" s="80">
        <v>31</v>
      </c>
      <c r="K93" s="80">
        <v>32</v>
      </c>
      <c r="L93" s="80">
        <v>33</v>
      </c>
      <c r="M93" s="80">
        <v>34</v>
      </c>
      <c r="N93" s="80">
        <v>35</v>
      </c>
      <c r="O93" s="80"/>
      <c r="P93" s="80"/>
      <c r="Q93" s="80"/>
      <c r="R93" s="201"/>
    </row>
    <row r="94" spans="1:18" ht="15" customHeight="1">
      <c r="A94" s="459"/>
      <c r="B94" s="8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201"/>
    </row>
    <row r="95" spans="1:18" ht="15" customHeight="1">
      <c r="A95" s="459" t="s">
        <v>28</v>
      </c>
      <c r="B95" s="80">
        <f>$B$89+(B24-$B$88)/5</f>
        <v>13.8</v>
      </c>
      <c r="C95" s="80">
        <f t="shared" ref="C95:Q95" si="28">$B$89+(C24-$B$88)/5</f>
        <v>19.2</v>
      </c>
      <c r="D95" s="80">
        <f t="shared" si="28"/>
        <v>16</v>
      </c>
      <c r="E95" s="80">
        <f t="shared" si="28"/>
        <v>17.8</v>
      </c>
      <c r="F95" s="80">
        <f t="shared" si="28"/>
        <v>16.399999999999999</v>
      </c>
      <c r="G95" s="80">
        <f t="shared" si="28"/>
        <v>16.2</v>
      </c>
      <c r="H95" s="80">
        <f t="shared" si="28"/>
        <v>16.399999999999999</v>
      </c>
      <c r="I95" s="80">
        <f t="shared" si="28"/>
        <v>18.2</v>
      </c>
      <c r="J95" s="80">
        <f t="shared" si="28"/>
        <v>19</v>
      </c>
      <c r="K95" s="80">
        <f t="shared" si="28"/>
        <v>19.8</v>
      </c>
      <c r="L95" s="80">
        <f t="shared" si="28"/>
        <v>20.399999999999999</v>
      </c>
      <c r="M95" s="80">
        <f t="shared" si="28"/>
        <v>19.399999999999999</v>
      </c>
      <c r="N95" s="80">
        <f t="shared" si="28"/>
        <v>20.2</v>
      </c>
      <c r="O95" s="80">
        <f t="shared" si="28"/>
        <v>19.600000000000001</v>
      </c>
      <c r="P95" s="80">
        <f t="shared" si="28"/>
        <v>22</v>
      </c>
      <c r="Q95" s="80">
        <f t="shared" si="28"/>
        <v>16.2</v>
      </c>
      <c r="R95" s="201"/>
    </row>
    <row r="96" spans="1:18" ht="15" customHeight="1">
      <c r="A96" s="459" t="s">
        <v>1227</v>
      </c>
      <c r="B96" s="80">
        <f t="shared" ref="B96:Q96" si="29">$B$90+(B24-$B$88)/5</f>
        <v>20.8</v>
      </c>
      <c r="C96" s="80">
        <f t="shared" si="29"/>
        <v>26.2</v>
      </c>
      <c r="D96" s="80">
        <f t="shared" si="29"/>
        <v>23</v>
      </c>
      <c r="E96" s="80">
        <f t="shared" si="29"/>
        <v>24.8</v>
      </c>
      <c r="F96" s="80">
        <f t="shared" si="29"/>
        <v>23.4</v>
      </c>
      <c r="G96" s="80">
        <f t="shared" si="29"/>
        <v>23.2</v>
      </c>
      <c r="H96" s="80">
        <f t="shared" si="29"/>
        <v>23.4</v>
      </c>
      <c r="I96" s="80">
        <f t="shared" si="29"/>
        <v>25.2</v>
      </c>
      <c r="J96" s="80">
        <f t="shared" si="29"/>
        <v>26</v>
      </c>
      <c r="K96" s="80">
        <f t="shared" si="29"/>
        <v>26.8</v>
      </c>
      <c r="L96" s="80">
        <f t="shared" si="29"/>
        <v>27.4</v>
      </c>
      <c r="M96" s="80">
        <f t="shared" si="29"/>
        <v>26.4</v>
      </c>
      <c r="N96" s="80">
        <f t="shared" si="29"/>
        <v>27.2</v>
      </c>
      <c r="O96" s="80">
        <f t="shared" si="29"/>
        <v>26.6</v>
      </c>
      <c r="P96" s="80">
        <f t="shared" si="29"/>
        <v>29</v>
      </c>
      <c r="Q96" s="80">
        <f t="shared" si="29"/>
        <v>23.2</v>
      </c>
      <c r="R96" s="201"/>
    </row>
    <row r="97" spans="1:18" ht="15" customHeight="1">
      <c r="A97" s="459" t="s">
        <v>1228</v>
      </c>
      <c r="B97" s="80">
        <f t="shared" ref="B97:Q97" si="30">$B$91+(B24-$B$88)/5</f>
        <v>24.8</v>
      </c>
      <c r="C97" s="80">
        <f t="shared" si="30"/>
        <v>30.2</v>
      </c>
      <c r="D97" s="80">
        <f t="shared" si="30"/>
        <v>27</v>
      </c>
      <c r="E97" s="80">
        <f t="shared" si="30"/>
        <v>28.8</v>
      </c>
      <c r="F97" s="80">
        <f t="shared" si="30"/>
        <v>27.4</v>
      </c>
      <c r="G97" s="80">
        <f t="shared" si="30"/>
        <v>27.2</v>
      </c>
      <c r="H97" s="80">
        <f t="shared" si="30"/>
        <v>27.4</v>
      </c>
      <c r="I97" s="80">
        <f t="shared" si="30"/>
        <v>29.2</v>
      </c>
      <c r="J97" s="80">
        <f t="shared" si="30"/>
        <v>30</v>
      </c>
      <c r="K97" s="80">
        <f t="shared" si="30"/>
        <v>30.8</v>
      </c>
      <c r="L97" s="80">
        <f t="shared" si="30"/>
        <v>31.4</v>
      </c>
      <c r="M97" s="80">
        <f t="shared" si="30"/>
        <v>30.4</v>
      </c>
      <c r="N97" s="80">
        <f t="shared" si="30"/>
        <v>31.2</v>
      </c>
      <c r="O97" s="80">
        <f t="shared" si="30"/>
        <v>30.6</v>
      </c>
      <c r="P97" s="80">
        <f t="shared" si="30"/>
        <v>33</v>
      </c>
      <c r="Q97" s="80">
        <f t="shared" si="30"/>
        <v>27.2</v>
      </c>
      <c r="R97" s="201"/>
    </row>
    <row r="98" spans="1:18" ht="15" customHeight="1">
      <c r="A98" s="459" t="s">
        <v>1229</v>
      </c>
      <c r="B98" s="80">
        <f t="shared" ref="B98:Q98" si="31">$B$92+(B24-$B$88)/5</f>
        <v>22.8</v>
      </c>
      <c r="C98" s="80">
        <f t="shared" si="31"/>
        <v>28.2</v>
      </c>
      <c r="D98" s="80">
        <f t="shared" si="31"/>
        <v>25</v>
      </c>
      <c r="E98" s="80">
        <f t="shared" si="31"/>
        <v>26.8</v>
      </c>
      <c r="F98" s="80">
        <f t="shared" si="31"/>
        <v>25.4</v>
      </c>
      <c r="G98" s="80">
        <f t="shared" si="31"/>
        <v>25.2</v>
      </c>
      <c r="H98" s="80">
        <f t="shared" si="31"/>
        <v>25.4</v>
      </c>
      <c r="I98" s="80">
        <f t="shared" si="31"/>
        <v>27.2</v>
      </c>
      <c r="J98" s="80">
        <f t="shared" si="31"/>
        <v>28</v>
      </c>
      <c r="K98" s="80">
        <f t="shared" si="31"/>
        <v>28.8</v>
      </c>
      <c r="L98" s="80">
        <f t="shared" si="31"/>
        <v>29.4</v>
      </c>
      <c r="M98" s="80">
        <f t="shared" si="31"/>
        <v>28.4</v>
      </c>
      <c r="N98" s="80">
        <f t="shared" si="31"/>
        <v>29.2</v>
      </c>
      <c r="O98" s="80">
        <f t="shared" si="31"/>
        <v>28.6</v>
      </c>
      <c r="P98" s="80">
        <f t="shared" si="31"/>
        <v>31</v>
      </c>
      <c r="Q98" s="80">
        <f t="shared" si="31"/>
        <v>25.2</v>
      </c>
      <c r="R98" s="201"/>
    </row>
    <row r="99" spans="1:18" ht="15" customHeight="1">
      <c r="A99" s="459" t="s">
        <v>30</v>
      </c>
      <c r="B99" s="80">
        <f t="shared" ref="B99:Q99" si="32">$B$93+(B24-$B$88)/5</f>
        <v>16.8</v>
      </c>
      <c r="C99" s="80">
        <f t="shared" si="32"/>
        <v>22.2</v>
      </c>
      <c r="D99" s="80">
        <f t="shared" si="32"/>
        <v>19</v>
      </c>
      <c r="E99" s="80">
        <f t="shared" si="32"/>
        <v>20.8</v>
      </c>
      <c r="F99" s="80">
        <f t="shared" si="32"/>
        <v>19.399999999999999</v>
      </c>
      <c r="G99" s="80">
        <f t="shared" si="32"/>
        <v>19.2</v>
      </c>
      <c r="H99" s="80">
        <f t="shared" si="32"/>
        <v>19.399999999999999</v>
      </c>
      <c r="I99" s="80">
        <f t="shared" si="32"/>
        <v>21.2</v>
      </c>
      <c r="J99" s="80">
        <f t="shared" si="32"/>
        <v>22</v>
      </c>
      <c r="K99" s="80">
        <f t="shared" si="32"/>
        <v>22.8</v>
      </c>
      <c r="L99" s="80">
        <f t="shared" si="32"/>
        <v>23.4</v>
      </c>
      <c r="M99" s="80">
        <f t="shared" si="32"/>
        <v>22.4</v>
      </c>
      <c r="N99" s="80">
        <f t="shared" si="32"/>
        <v>23.2</v>
      </c>
      <c r="O99" s="80">
        <f t="shared" si="32"/>
        <v>22.6</v>
      </c>
      <c r="P99" s="80">
        <f t="shared" si="32"/>
        <v>25</v>
      </c>
      <c r="Q99" s="80">
        <f t="shared" si="32"/>
        <v>19.2</v>
      </c>
      <c r="R99" s="201"/>
    </row>
    <row r="100" spans="1:18" ht="15" customHeight="1">
      <c r="A100" s="459"/>
      <c r="B100" s="8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201"/>
    </row>
    <row r="101" spans="1:18" ht="15" customHeight="1">
      <c r="A101" s="459"/>
      <c r="B101" s="8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201"/>
    </row>
    <row r="102" spans="1:18" ht="15" customHeight="1">
      <c r="A102" s="459"/>
      <c r="B102" s="80" t="s">
        <v>1231</v>
      </c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201"/>
    </row>
    <row r="103" spans="1:18" ht="15" customHeight="1">
      <c r="A103" s="459" t="s">
        <v>28</v>
      </c>
      <c r="B103" s="470">
        <f t="shared" ref="B103:Q103" si="33">A_windowSI*(1/0.0929)/4*B95</f>
        <v>1863</v>
      </c>
      <c r="C103" s="470">
        <f t="shared" si="33"/>
        <v>2592</v>
      </c>
      <c r="D103" s="470">
        <f t="shared" si="33"/>
        <v>2160</v>
      </c>
      <c r="E103" s="470">
        <f t="shared" si="33"/>
        <v>2403</v>
      </c>
      <c r="F103" s="470">
        <f t="shared" si="33"/>
        <v>2214</v>
      </c>
      <c r="G103" s="470">
        <f t="shared" si="33"/>
        <v>2187</v>
      </c>
      <c r="H103" s="470">
        <f t="shared" si="33"/>
        <v>2214</v>
      </c>
      <c r="I103" s="470">
        <f t="shared" si="33"/>
        <v>2457</v>
      </c>
      <c r="J103" s="470">
        <f t="shared" si="33"/>
        <v>2565</v>
      </c>
      <c r="K103" s="470">
        <f t="shared" si="33"/>
        <v>2673</v>
      </c>
      <c r="L103" s="470">
        <f t="shared" si="33"/>
        <v>2754</v>
      </c>
      <c r="M103" s="470">
        <f t="shared" si="33"/>
        <v>2619</v>
      </c>
      <c r="N103" s="470">
        <f t="shared" si="33"/>
        <v>2727</v>
      </c>
      <c r="O103" s="470">
        <f t="shared" si="33"/>
        <v>2646</v>
      </c>
      <c r="P103" s="470">
        <f t="shared" si="33"/>
        <v>2970</v>
      </c>
      <c r="Q103" s="470">
        <f t="shared" si="33"/>
        <v>2187</v>
      </c>
      <c r="R103" s="471"/>
    </row>
    <row r="104" spans="1:18" ht="15" customHeight="1">
      <c r="A104" s="459" t="s">
        <v>1227</v>
      </c>
      <c r="B104" s="470">
        <v>0</v>
      </c>
      <c r="C104" s="470">
        <v>0</v>
      </c>
      <c r="D104" s="470">
        <v>0</v>
      </c>
      <c r="E104" s="470">
        <v>0</v>
      </c>
      <c r="F104" s="470">
        <v>0</v>
      </c>
      <c r="G104" s="470">
        <v>0</v>
      </c>
      <c r="H104" s="470">
        <v>0</v>
      </c>
      <c r="I104" s="470">
        <v>0</v>
      </c>
      <c r="J104" s="470">
        <v>0</v>
      </c>
      <c r="K104" s="470">
        <v>0</v>
      </c>
      <c r="L104" s="470">
        <v>0</v>
      </c>
      <c r="M104" s="470">
        <v>0</v>
      </c>
      <c r="N104" s="470">
        <v>0</v>
      </c>
      <c r="O104" s="470">
        <v>0</v>
      </c>
      <c r="P104" s="470">
        <v>0</v>
      </c>
      <c r="Q104" s="470">
        <v>0</v>
      </c>
      <c r="R104" s="471"/>
    </row>
    <row r="105" spans="1:18" ht="15" customHeight="1">
      <c r="A105" s="459" t="s">
        <v>1228</v>
      </c>
      <c r="B105" s="470">
        <f t="shared" ref="B105:Q105" si="34">A_windowSI*(1/0.0929)/2*B97</f>
        <v>6696</v>
      </c>
      <c r="C105" s="470">
        <f t="shared" si="34"/>
        <v>8154</v>
      </c>
      <c r="D105" s="470">
        <f t="shared" si="34"/>
        <v>7290</v>
      </c>
      <c r="E105" s="470">
        <f t="shared" si="34"/>
        <v>7776</v>
      </c>
      <c r="F105" s="470">
        <f t="shared" si="34"/>
        <v>7398</v>
      </c>
      <c r="G105" s="470">
        <f t="shared" si="34"/>
        <v>7344</v>
      </c>
      <c r="H105" s="470">
        <f t="shared" si="34"/>
        <v>7398</v>
      </c>
      <c r="I105" s="470">
        <f t="shared" si="34"/>
        <v>7884</v>
      </c>
      <c r="J105" s="470">
        <f t="shared" si="34"/>
        <v>8100</v>
      </c>
      <c r="K105" s="470">
        <f t="shared" si="34"/>
        <v>8316</v>
      </c>
      <c r="L105" s="470">
        <f t="shared" si="34"/>
        <v>8478</v>
      </c>
      <c r="M105" s="470">
        <f t="shared" si="34"/>
        <v>8208</v>
      </c>
      <c r="N105" s="470">
        <f t="shared" si="34"/>
        <v>8424</v>
      </c>
      <c r="O105" s="470">
        <f t="shared" si="34"/>
        <v>8262</v>
      </c>
      <c r="P105" s="470">
        <f t="shared" si="34"/>
        <v>8910</v>
      </c>
      <c r="Q105" s="470">
        <f t="shared" si="34"/>
        <v>7344</v>
      </c>
      <c r="R105" s="471"/>
    </row>
    <row r="106" spans="1:18" ht="15" customHeight="1">
      <c r="A106" s="459" t="s">
        <v>1229</v>
      </c>
      <c r="B106" s="470">
        <v>0</v>
      </c>
      <c r="C106" s="470">
        <v>0</v>
      </c>
      <c r="D106" s="470">
        <v>0</v>
      </c>
      <c r="E106" s="470">
        <v>0</v>
      </c>
      <c r="F106" s="470">
        <v>0</v>
      </c>
      <c r="G106" s="470">
        <v>0</v>
      </c>
      <c r="H106" s="470">
        <v>0</v>
      </c>
      <c r="I106" s="470">
        <v>0</v>
      </c>
      <c r="J106" s="470">
        <v>0</v>
      </c>
      <c r="K106" s="470">
        <v>0</v>
      </c>
      <c r="L106" s="470">
        <v>0</v>
      </c>
      <c r="M106" s="470">
        <v>0</v>
      </c>
      <c r="N106" s="470">
        <v>0</v>
      </c>
      <c r="O106" s="470">
        <v>0</v>
      </c>
      <c r="P106" s="470">
        <v>0</v>
      </c>
      <c r="Q106" s="470">
        <v>0</v>
      </c>
      <c r="R106" s="471"/>
    </row>
    <row r="107" spans="1:18" ht="15" customHeight="1">
      <c r="A107" s="460" t="s">
        <v>30</v>
      </c>
      <c r="B107" s="472">
        <f t="shared" ref="B107:Q107" si="35">A_windowSI*(1/0.0929)/4*B99</f>
        <v>2268</v>
      </c>
      <c r="C107" s="472">
        <f t="shared" si="35"/>
        <v>2997</v>
      </c>
      <c r="D107" s="472">
        <f t="shared" si="35"/>
        <v>2565</v>
      </c>
      <c r="E107" s="472">
        <f t="shared" si="35"/>
        <v>2808</v>
      </c>
      <c r="F107" s="472">
        <f t="shared" si="35"/>
        <v>2619</v>
      </c>
      <c r="G107" s="472">
        <f t="shared" si="35"/>
        <v>2592</v>
      </c>
      <c r="H107" s="472">
        <f t="shared" si="35"/>
        <v>2619</v>
      </c>
      <c r="I107" s="472">
        <f t="shared" si="35"/>
        <v>2862</v>
      </c>
      <c r="J107" s="472">
        <f t="shared" si="35"/>
        <v>2970</v>
      </c>
      <c r="K107" s="472">
        <f t="shared" si="35"/>
        <v>3078</v>
      </c>
      <c r="L107" s="472">
        <f t="shared" si="35"/>
        <v>3159</v>
      </c>
      <c r="M107" s="472">
        <f t="shared" si="35"/>
        <v>3024</v>
      </c>
      <c r="N107" s="472">
        <f t="shared" si="35"/>
        <v>3132</v>
      </c>
      <c r="O107" s="472">
        <f t="shared" si="35"/>
        <v>3051</v>
      </c>
      <c r="P107" s="472">
        <f t="shared" si="35"/>
        <v>3375</v>
      </c>
      <c r="Q107" s="472">
        <f t="shared" si="35"/>
        <v>2592</v>
      </c>
      <c r="R107" s="473"/>
    </row>
    <row r="108" spans="1:18" ht="15" customHeight="1">
      <c r="B108" s="254"/>
    </row>
    <row r="109" spans="1:18" s="254" customFormat="1" ht="15" customHeight="1">
      <c r="A109" s="458" t="s">
        <v>1249</v>
      </c>
      <c r="B109" s="104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3"/>
    </row>
    <row r="110" spans="1:18" ht="15" customHeight="1">
      <c r="A110" s="459"/>
      <c r="B110" s="8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201"/>
    </row>
    <row r="111" spans="1:18" ht="15" customHeight="1">
      <c r="A111" s="459" t="s">
        <v>1254</v>
      </c>
      <c r="B111" s="470">
        <f t="shared" ref="B111:Q111" si="36">Noccupants*300</f>
        <v>1200</v>
      </c>
      <c r="C111" s="470">
        <f t="shared" si="36"/>
        <v>1200</v>
      </c>
      <c r="D111" s="470">
        <f t="shared" si="36"/>
        <v>1200</v>
      </c>
      <c r="E111" s="470">
        <f t="shared" si="36"/>
        <v>1200</v>
      </c>
      <c r="F111" s="470">
        <f t="shared" si="36"/>
        <v>1200</v>
      </c>
      <c r="G111" s="470">
        <f t="shared" si="36"/>
        <v>1200</v>
      </c>
      <c r="H111" s="470">
        <f t="shared" si="36"/>
        <v>1200</v>
      </c>
      <c r="I111" s="470">
        <f t="shared" si="36"/>
        <v>1200</v>
      </c>
      <c r="J111" s="470">
        <f t="shared" si="36"/>
        <v>1200</v>
      </c>
      <c r="K111" s="470">
        <f t="shared" si="36"/>
        <v>1200</v>
      </c>
      <c r="L111" s="470">
        <f t="shared" si="36"/>
        <v>1200</v>
      </c>
      <c r="M111" s="470">
        <f t="shared" si="36"/>
        <v>1200</v>
      </c>
      <c r="N111" s="470">
        <f t="shared" si="36"/>
        <v>1200</v>
      </c>
      <c r="O111" s="470">
        <f t="shared" si="36"/>
        <v>1200</v>
      </c>
      <c r="P111" s="470">
        <f t="shared" si="36"/>
        <v>1200</v>
      </c>
      <c r="Q111" s="470">
        <f t="shared" si="36"/>
        <v>1200</v>
      </c>
      <c r="R111" s="471"/>
    </row>
    <row r="112" spans="1:18" s="254" customFormat="1" ht="15" customHeight="1">
      <c r="A112" s="459" t="s">
        <v>1255</v>
      </c>
      <c r="B112" s="470">
        <f t="shared" ref="B112:Q112" si="37">Noccupants*230</f>
        <v>920</v>
      </c>
      <c r="C112" s="470">
        <f t="shared" si="37"/>
        <v>920</v>
      </c>
      <c r="D112" s="470">
        <f t="shared" si="37"/>
        <v>920</v>
      </c>
      <c r="E112" s="470">
        <f t="shared" si="37"/>
        <v>920</v>
      </c>
      <c r="F112" s="470">
        <f t="shared" si="37"/>
        <v>920</v>
      </c>
      <c r="G112" s="470">
        <f t="shared" si="37"/>
        <v>920</v>
      </c>
      <c r="H112" s="470">
        <f t="shared" si="37"/>
        <v>920</v>
      </c>
      <c r="I112" s="470">
        <f t="shared" si="37"/>
        <v>920</v>
      </c>
      <c r="J112" s="470">
        <f t="shared" si="37"/>
        <v>920</v>
      </c>
      <c r="K112" s="470">
        <f t="shared" si="37"/>
        <v>920</v>
      </c>
      <c r="L112" s="470">
        <f t="shared" si="37"/>
        <v>920</v>
      </c>
      <c r="M112" s="470">
        <f t="shared" si="37"/>
        <v>920</v>
      </c>
      <c r="N112" s="470">
        <f t="shared" si="37"/>
        <v>920</v>
      </c>
      <c r="O112" s="470">
        <f t="shared" si="37"/>
        <v>920</v>
      </c>
      <c r="P112" s="470">
        <f t="shared" si="37"/>
        <v>920</v>
      </c>
      <c r="Q112" s="470">
        <f t="shared" si="37"/>
        <v>920</v>
      </c>
      <c r="R112" s="471"/>
    </row>
    <row r="113" spans="1:18" ht="15" customHeight="1">
      <c r="A113" s="460" t="s">
        <v>1232</v>
      </c>
      <c r="B113" s="472">
        <v>1200</v>
      </c>
      <c r="C113" s="472">
        <v>1200</v>
      </c>
      <c r="D113" s="472">
        <v>1200</v>
      </c>
      <c r="E113" s="472">
        <v>1200</v>
      </c>
      <c r="F113" s="472">
        <v>1200</v>
      </c>
      <c r="G113" s="472">
        <v>1200</v>
      </c>
      <c r="H113" s="472">
        <v>1200</v>
      </c>
      <c r="I113" s="472">
        <v>1200</v>
      </c>
      <c r="J113" s="472">
        <v>1200</v>
      </c>
      <c r="K113" s="472">
        <v>1200</v>
      </c>
      <c r="L113" s="472">
        <v>1200</v>
      </c>
      <c r="M113" s="472">
        <v>1200</v>
      </c>
      <c r="N113" s="472">
        <v>1200</v>
      </c>
      <c r="O113" s="472">
        <v>1200</v>
      </c>
      <c r="P113" s="472">
        <v>1200</v>
      </c>
      <c r="Q113" s="472">
        <v>1200</v>
      </c>
      <c r="R113" s="473"/>
    </row>
    <row r="114" spans="1:18" s="254" customFormat="1" ht="15" customHeight="1">
      <c r="A114" s="80"/>
      <c r="B114" s="80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</row>
    <row r="115" spans="1:18" s="254" customFormat="1" ht="15" customHeight="1">
      <c r="A115" s="458" t="s">
        <v>1280</v>
      </c>
      <c r="B115" s="104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3"/>
    </row>
    <row r="116" spans="1:18" ht="15" customHeight="1">
      <c r="A116" s="459"/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259"/>
    </row>
    <row r="117" spans="1:18" s="254" customFormat="1" ht="15" customHeight="1">
      <c r="A117" s="459" t="s">
        <v>1263</v>
      </c>
      <c r="B117" s="474">
        <f>SUM(B48,B80,IF(Inputs!$C$110=1,B81, B82),B103:B107,B111:B113)</f>
        <v>15202.015226728603</v>
      </c>
      <c r="C117" s="474">
        <f>SUM(C48,C80,IF(Inputs!$C$110=1,C81, C82),C103:C107,C111:C113)</f>
        <v>21630.295453673996</v>
      </c>
      <c r="D117" s="474">
        <f>SUM(D48,D80,IF(Inputs!$C$110=1,D81, D82),D103:D107,D111:D113)</f>
        <v>17984.357674627445</v>
      </c>
      <c r="E117" s="474">
        <f>SUM(E48,E80,IF(Inputs!$C$110=1,E81, E82),E103:E107,E111:E113)</f>
        <v>19542.586447694459</v>
      </c>
      <c r="F117" s="474">
        <f>SUM(F48,F80,IF(Inputs!$C$110=1,F81, F82),F103:F107,F111:F113)</f>
        <v>18599.623256259398</v>
      </c>
      <c r="G117" s="474">
        <f>SUM(G48,G80,IF(Inputs!$C$110=1,G81, G82),G103:G107,G111:G113)</f>
        <v>19433.008574943924</v>
      </c>
      <c r="H117" s="474">
        <f>SUM(H48,H80,IF(Inputs!$C$110=1,H81, H82),H103:H107,H111:H113)</f>
        <v>19762.993592471998</v>
      </c>
      <c r="I117" s="474">
        <f>SUM(I48,I80,IF(Inputs!$C$110=1,I81, I82),I103:I107,I111:I113)</f>
        <v>20093.853935939558</v>
      </c>
      <c r="J117" s="474">
        <f>SUM(J48,J80,IF(Inputs!$C$110=1,J81, J82),J103:J107,J111:J113)</f>
        <v>22194.206715356551</v>
      </c>
      <c r="K117" s="474">
        <f>SUM(K48,K80,IF(Inputs!$C$110=1,K81, K82),K103:K107,K111:K113)</f>
        <v>22490.817367169358</v>
      </c>
      <c r="L117" s="474">
        <f>SUM(L48,L80,IF(Inputs!$C$110=1,L81, L82),L103:L107,L111:L113)</f>
        <v>23422.709498497235</v>
      </c>
      <c r="M117" s="474">
        <f>SUM(M48,M80,IF(Inputs!$C$110=1,M81, M82),M103:M107,M111:M113)</f>
        <v>21936.797308539535</v>
      </c>
      <c r="N117" s="474">
        <f>SUM(N48,N80,IF(Inputs!$C$110=1,N81, N82),N103:N107,N111:N113)</f>
        <v>23099.102384812333</v>
      </c>
      <c r="O117" s="474">
        <f>SUM(O48,O80,IF(Inputs!$C$110=1,O81, O82),O103:O107,O111:O113)</f>
        <v>22262.173931757476</v>
      </c>
      <c r="P117" s="474">
        <f>SUM(P48,P80,IF(Inputs!$C$110=1,P81, P82),P103:P107,P111:P113)</f>
        <v>25779.564046978183</v>
      </c>
      <c r="Q117" s="474">
        <f>SUM(Q48,Q80,IF(Inputs!$C$110=1,Q81, Q82),Q103:Q107,Q111:Q113)</f>
        <v>18057.717913124307</v>
      </c>
      <c r="R117" s="475"/>
    </row>
    <row r="118" spans="1:18" s="254" customFormat="1" ht="15" customHeight="1">
      <c r="A118" s="459" t="s">
        <v>1264</v>
      </c>
      <c r="B118" s="474">
        <f>SUM(B34,B43)</f>
        <v>18768.891731290954</v>
      </c>
      <c r="C118" s="474">
        <f t="shared" ref="C118:Q118" si="38">SUM(C34,C43)</f>
        <v>20741.53341475987</v>
      </c>
      <c r="D118" s="474">
        <f t="shared" si="38"/>
        <v>17579.673328163979</v>
      </c>
      <c r="E118" s="474">
        <f t="shared" si="38"/>
        <v>16182.22229523983</v>
      </c>
      <c r="F118" s="474">
        <f t="shared" si="38"/>
        <v>18082.959691774588</v>
      </c>
      <c r="G118" s="474">
        <f t="shared" si="38"/>
        <v>13588.257445585465</v>
      </c>
      <c r="H118" s="474">
        <f t="shared" si="38"/>
        <v>14111.340077693781</v>
      </c>
      <c r="I118" s="474">
        <f t="shared" si="38"/>
        <v>16597.081919270146</v>
      </c>
      <c r="J118" s="474">
        <f t="shared" si="38"/>
        <v>14613.823178603005</v>
      </c>
      <c r="K118" s="474">
        <f t="shared" si="38"/>
        <v>17658.017079647685</v>
      </c>
      <c r="L118" s="474">
        <f t="shared" si="38"/>
        <v>19231.331500542947</v>
      </c>
      <c r="M118" s="474">
        <f t="shared" si="38"/>
        <v>19238.802763015774</v>
      </c>
      <c r="N118" s="474">
        <f t="shared" si="38"/>
        <v>19193.975188178822</v>
      </c>
      <c r="O118" s="474">
        <f t="shared" si="38"/>
        <v>23343.341987926982</v>
      </c>
      <c r="P118" s="474">
        <f t="shared" si="38"/>
        <v>17685.542783494937</v>
      </c>
      <c r="Q118" s="474">
        <f t="shared" si="38"/>
        <v>20681.967910065156</v>
      </c>
      <c r="R118" s="475"/>
    </row>
    <row r="119" spans="1:18" s="254" customFormat="1" ht="15" customHeight="1">
      <c r="A119" s="459"/>
      <c r="B119" s="466"/>
      <c r="C119" s="466"/>
      <c r="D119" s="466"/>
      <c r="E119" s="466"/>
      <c r="F119" s="466"/>
      <c r="G119" s="466"/>
      <c r="H119" s="466"/>
      <c r="I119" s="466"/>
      <c r="J119" s="466"/>
      <c r="K119" s="466"/>
      <c r="L119" s="466"/>
      <c r="M119" s="466"/>
      <c r="N119" s="466"/>
      <c r="O119" s="466"/>
      <c r="P119" s="466"/>
      <c r="Q119" s="466"/>
      <c r="R119" s="172"/>
    </row>
    <row r="120" spans="1:18" s="254" customFormat="1" ht="15" customHeight="1">
      <c r="A120" s="459" t="s">
        <v>1265</v>
      </c>
      <c r="B120" s="466">
        <f t="shared" ref="B120:Q120" si="39">SUM(B49,B112)</f>
        <v>1253.5114371601539</v>
      </c>
      <c r="C120" s="466">
        <f t="shared" si="39"/>
        <v>1170.1335778701155</v>
      </c>
      <c r="D120" s="466">
        <f t="shared" si="39"/>
        <v>920</v>
      </c>
      <c r="E120" s="466">
        <f t="shared" si="39"/>
        <v>1112.5226371944914</v>
      </c>
      <c r="F120" s="466">
        <f t="shared" si="39"/>
        <v>920</v>
      </c>
      <c r="G120" s="466">
        <f t="shared" si="39"/>
        <v>920</v>
      </c>
      <c r="H120" s="466">
        <f t="shared" si="39"/>
        <v>1081.6509516847686</v>
      </c>
      <c r="I120" s="466">
        <f t="shared" si="39"/>
        <v>920</v>
      </c>
      <c r="J120" s="466">
        <f t="shared" si="39"/>
        <v>920</v>
      </c>
      <c r="K120" s="466">
        <f t="shared" si="39"/>
        <v>1037.409638592095</v>
      </c>
      <c r="L120" s="466">
        <f t="shared" si="39"/>
        <v>920</v>
      </c>
      <c r="M120" s="466">
        <f t="shared" si="39"/>
        <v>1012.9796827359759</v>
      </c>
      <c r="N120" s="466">
        <f t="shared" si="39"/>
        <v>920</v>
      </c>
      <c r="O120" s="466">
        <f t="shared" si="39"/>
        <v>989.27897929347228</v>
      </c>
      <c r="P120" s="466">
        <f t="shared" si="39"/>
        <v>920</v>
      </c>
      <c r="Q120" s="466">
        <f t="shared" si="39"/>
        <v>1117.8704882276716</v>
      </c>
      <c r="R120" s="172"/>
    </row>
    <row r="121" spans="1:18" s="254" customFormat="1" ht="15" customHeight="1">
      <c r="A121" s="459" t="s">
        <v>1256</v>
      </c>
      <c r="B121" s="466">
        <f>B117/SUM(B117,B120)</f>
        <v>0.92382428938534356</v>
      </c>
      <c r="C121" s="466">
        <f t="shared" ref="C121:Q121" si="40">C117/SUM(C117,C120)</f>
        <v>0.94867931755796131</v>
      </c>
      <c r="D121" s="466">
        <f t="shared" si="40"/>
        <v>0.95133397199552661</v>
      </c>
      <c r="E121" s="466">
        <f t="shared" si="40"/>
        <v>0.9461381378998186</v>
      </c>
      <c r="F121" s="466">
        <f t="shared" si="40"/>
        <v>0.95286794279162224</v>
      </c>
      <c r="G121" s="466">
        <f t="shared" si="40"/>
        <v>0.95479783754758552</v>
      </c>
      <c r="H121" s="466">
        <f t="shared" si="40"/>
        <v>0.94810892796020452</v>
      </c>
      <c r="I121" s="466">
        <f t="shared" si="40"/>
        <v>0.95621935877137976</v>
      </c>
      <c r="J121" s="466">
        <f t="shared" si="40"/>
        <v>0.96019763899624666</v>
      </c>
      <c r="K121" s="466">
        <f t="shared" si="40"/>
        <v>0.95590787022166768</v>
      </c>
      <c r="L121" s="466">
        <f t="shared" si="40"/>
        <v>0.96220634354377044</v>
      </c>
      <c r="M121" s="466">
        <f t="shared" si="40"/>
        <v>0.95586102282732133</v>
      </c>
      <c r="N121" s="466">
        <f t="shared" si="40"/>
        <v>0.96169715315499338</v>
      </c>
      <c r="O121" s="466">
        <f t="shared" si="40"/>
        <v>0.95745302527639953</v>
      </c>
      <c r="P121" s="466">
        <f t="shared" si="40"/>
        <v>0.96554250854503654</v>
      </c>
      <c r="Q121" s="466">
        <f t="shared" si="40"/>
        <v>0.94170345833305136</v>
      </c>
      <c r="R121" s="172"/>
    </row>
    <row r="122" spans="1:18" s="254" customFormat="1" ht="15" customHeight="1">
      <c r="A122" s="459"/>
      <c r="B122" s="466"/>
      <c r="C122" s="466"/>
      <c r="D122" s="466"/>
      <c r="E122" s="466"/>
      <c r="F122" s="466"/>
      <c r="G122" s="466"/>
      <c r="H122" s="466"/>
      <c r="I122" s="466"/>
      <c r="J122" s="466"/>
      <c r="K122" s="466"/>
      <c r="L122" s="466"/>
      <c r="M122" s="466"/>
      <c r="N122" s="466"/>
      <c r="O122" s="466"/>
      <c r="P122" s="466"/>
      <c r="Q122" s="466"/>
      <c r="R122" s="466"/>
    </row>
    <row r="123" spans="1:18" s="254" customFormat="1" ht="15" customHeight="1">
      <c r="A123" s="459" t="s">
        <v>1266</v>
      </c>
      <c r="B123" s="478">
        <f>SUM(B117,B120)</f>
        <v>16455.526663888755</v>
      </c>
      <c r="C123" s="479">
        <f t="shared" ref="C123:Q123" si="41">SUM(C117,C120)</f>
        <v>22800.42903154411</v>
      </c>
      <c r="D123" s="479">
        <f t="shared" si="41"/>
        <v>18904.357674627445</v>
      </c>
      <c r="E123" s="479">
        <f t="shared" si="41"/>
        <v>20655.109084888951</v>
      </c>
      <c r="F123" s="479">
        <f t="shared" si="41"/>
        <v>19519.623256259398</v>
      </c>
      <c r="G123" s="479">
        <f t="shared" si="41"/>
        <v>20353.008574943924</v>
      </c>
      <c r="H123" s="479">
        <f t="shared" si="41"/>
        <v>20844.644544156767</v>
      </c>
      <c r="I123" s="479">
        <f t="shared" si="41"/>
        <v>21013.853935939558</v>
      </c>
      <c r="J123" s="479">
        <f t="shared" si="41"/>
        <v>23114.206715356551</v>
      </c>
      <c r="K123" s="479">
        <f t="shared" si="41"/>
        <v>23528.227005761455</v>
      </c>
      <c r="L123" s="479">
        <f t="shared" si="41"/>
        <v>24342.709498497235</v>
      </c>
      <c r="M123" s="479">
        <f t="shared" si="41"/>
        <v>22949.77699127551</v>
      </c>
      <c r="N123" s="479">
        <f t="shared" si="41"/>
        <v>24019.102384812333</v>
      </c>
      <c r="O123" s="479">
        <f t="shared" si="41"/>
        <v>23251.452911050947</v>
      </c>
      <c r="P123" s="479">
        <f t="shared" si="41"/>
        <v>26699.564046978183</v>
      </c>
      <c r="Q123" s="479">
        <f t="shared" si="41"/>
        <v>19175.588401351979</v>
      </c>
      <c r="R123" s="480"/>
    </row>
    <row r="124" spans="1:18" s="254" customFormat="1" ht="15" customHeight="1">
      <c r="A124" s="460" t="s">
        <v>1267</v>
      </c>
      <c r="B124" s="481">
        <f>B118</f>
        <v>18768.891731290954</v>
      </c>
      <c r="C124" s="476">
        <f t="shared" ref="C124:Q124" si="42">C118</f>
        <v>20741.53341475987</v>
      </c>
      <c r="D124" s="476">
        <f t="shared" si="42"/>
        <v>17579.673328163979</v>
      </c>
      <c r="E124" s="476">
        <f t="shared" si="42"/>
        <v>16182.22229523983</v>
      </c>
      <c r="F124" s="476">
        <f t="shared" si="42"/>
        <v>18082.959691774588</v>
      </c>
      <c r="G124" s="476">
        <f t="shared" si="42"/>
        <v>13588.257445585465</v>
      </c>
      <c r="H124" s="476">
        <f t="shared" si="42"/>
        <v>14111.340077693781</v>
      </c>
      <c r="I124" s="476">
        <f t="shared" si="42"/>
        <v>16597.081919270146</v>
      </c>
      <c r="J124" s="476">
        <f t="shared" si="42"/>
        <v>14613.823178603005</v>
      </c>
      <c r="K124" s="476">
        <f t="shared" si="42"/>
        <v>17658.017079647685</v>
      </c>
      <c r="L124" s="476">
        <f t="shared" si="42"/>
        <v>19231.331500542947</v>
      </c>
      <c r="M124" s="476">
        <f t="shared" si="42"/>
        <v>19238.802763015774</v>
      </c>
      <c r="N124" s="476">
        <f t="shared" si="42"/>
        <v>19193.975188178822</v>
      </c>
      <c r="O124" s="476">
        <f t="shared" si="42"/>
        <v>23343.341987926982</v>
      </c>
      <c r="P124" s="476">
        <f t="shared" si="42"/>
        <v>17685.542783494937</v>
      </c>
      <c r="Q124" s="476">
        <f t="shared" si="42"/>
        <v>20681.967910065156</v>
      </c>
      <c r="R124" s="477"/>
    </row>
    <row r="125" spans="1:18" s="254" customFormat="1" ht="15" customHeight="1"/>
    <row r="126" spans="1:18" s="254" customFormat="1" ht="15" customHeight="1"/>
    <row r="127" spans="1:18" s="254" customFormat="1" ht="15" customHeight="1">
      <c r="A127" s="458" t="s">
        <v>1279</v>
      </c>
      <c r="B127" s="464"/>
      <c r="C127" s="464"/>
      <c r="D127" s="464"/>
      <c r="E127" s="464"/>
      <c r="F127" s="464"/>
      <c r="G127" s="464"/>
      <c r="H127" s="464"/>
      <c r="I127" s="464"/>
      <c r="J127" s="464"/>
      <c r="K127" s="464"/>
      <c r="L127" s="464"/>
      <c r="M127" s="464"/>
      <c r="N127" s="464"/>
      <c r="O127" s="464"/>
      <c r="P127" s="464"/>
      <c r="Q127" s="464"/>
      <c r="R127" s="465"/>
    </row>
    <row r="128" spans="1:18" s="254" customFormat="1" ht="15" customHeight="1">
      <c r="A128" s="483" t="s">
        <v>1281</v>
      </c>
      <c r="B128" s="466">
        <f t="shared" ref="B128:Q128" si="43">CEILING((B123/12000), 0.5)</f>
        <v>1.5</v>
      </c>
      <c r="C128" s="466">
        <f t="shared" si="43"/>
        <v>2</v>
      </c>
      <c r="D128" s="466">
        <f t="shared" si="43"/>
        <v>2</v>
      </c>
      <c r="E128" s="466">
        <f t="shared" si="43"/>
        <v>2</v>
      </c>
      <c r="F128" s="466">
        <f t="shared" si="43"/>
        <v>2</v>
      </c>
      <c r="G128" s="466">
        <f t="shared" si="43"/>
        <v>2</v>
      </c>
      <c r="H128" s="466">
        <f t="shared" si="43"/>
        <v>2</v>
      </c>
      <c r="I128" s="466">
        <f t="shared" si="43"/>
        <v>2</v>
      </c>
      <c r="J128" s="466">
        <f t="shared" si="43"/>
        <v>2</v>
      </c>
      <c r="K128" s="466">
        <f t="shared" si="43"/>
        <v>2</v>
      </c>
      <c r="L128" s="466">
        <f t="shared" si="43"/>
        <v>2.5</v>
      </c>
      <c r="M128" s="466">
        <f t="shared" si="43"/>
        <v>2</v>
      </c>
      <c r="N128" s="466">
        <f t="shared" si="43"/>
        <v>2.5</v>
      </c>
      <c r="O128" s="466">
        <f t="shared" si="43"/>
        <v>2</v>
      </c>
      <c r="P128" s="466">
        <f t="shared" si="43"/>
        <v>2.5</v>
      </c>
      <c r="Q128" s="466">
        <f t="shared" si="43"/>
        <v>2</v>
      </c>
      <c r="R128" s="172"/>
    </row>
    <row r="129" spans="1:19" s="254" customFormat="1" ht="15" customHeight="1">
      <c r="A129" s="483" t="s">
        <v>1282</v>
      </c>
      <c r="B129" s="466">
        <f t="shared" ref="B129:Q129" si="44">CEILING((B124/12000),0.5)</f>
        <v>2</v>
      </c>
      <c r="C129" s="466">
        <f t="shared" si="44"/>
        <v>2</v>
      </c>
      <c r="D129" s="466">
        <f t="shared" si="44"/>
        <v>1.5</v>
      </c>
      <c r="E129" s="466">
        <f t="shared" si="44"/>
        <v>1.5</v>
      </c>
      <c r="F129" s="466">
        <f t="shared" si="44"/>
        <v>2</v>
      </c>
      <c r="G129" s="466">
        <f t="shared" si="44"/>
        <v>1.5</v>
      </c>
      <c r="H129" s="466">
        <f t="shared" si="44"/>
        <v>1.5</v>
      </c>
      <c r="I129" s="466">
        <f t="shared" si="44"/>
        <v>1.5</v>
      </c>
      <c r="J129" s="466">
        <f t="shared" si="44"/>
        <v>1.5</v>
      </c>
      <c r="K129" s="466">
        <f t="shared" si="44"/>
        <v>1.5</v>
      </c>
      <c r="L129" s="466">
        <f t="shared" si="44"/>
        <v>2</v>
      </c>
      <c r="M129" s="466">
        <f t="shared" si="44"/>
        <v>2</v>
      </c>
      <c r="N129" s="466">
        <f t="shared" si="44"/>
        <v>2</v>
      </c>
      <c r="O129" s="466">
        <f t="shared" si="44"/>
        <v>2</v>
      </c>
      <c r="P129" s="466">
        <f t="shared" si="44"/>
        <v>1.5</v>
      </c>
      <c r="Q129" s="466">
        <f t="shared" si="44"/>
        <v>2</v>
      </c>
      <c r="R129" s="172"/>
    </row>
    <row r="130" spans="1:19" s="254" customFormat="1" ht="15" customHeight="1">
      <c r="A130" s="459" t="s">
        <v>1283</v>
      </c>
      <c r="B130" s="466">
        <f t="shared" ref="B130:Q130" si="45">400*B128</f>
        <v>600</v>
      </c>
      <c r="C130" s="466">
        <f t="shared" si="45"/>
        <v>800</v>
      </c>
      <c r="D130" s="466">
        <f t="shared" si="45"/>
        <v>800</v>
      </c>
      <c r="E130" s="466">
        <f t="shared" si="45"/>
        <v>800</v>
      </c>
      <c r="F130" s="466">
        <f t="shared" si="45"/>
        <v>800</v>
      </c>
      <c r="G130" s="466">
        <f t="shared" si="45"/>
        <v>800</v>
      </c>
      <c r="H130" s="466">
        <f t="shared" si="45"/>
        <v>800</v>
      </c>
      <c r="I130" s="466">
        <f t="shared" si="45"/>
        <v>800</v>
      </c>
      <c r="J130" s="466">
        <f t="shared" si="45"/>
        <v>800</v>
      </c>
      <c r="K130" s="466">
        <f t="shared" si="45"/>
        <v>800</v>
      </c>
      <c r="L130" s="466">
        <f t="shared" si="45"/>
        <v>1000</v>
      </c>
      <c r="M130" s="466">
        <f t="shared" si="45"/>
        <v>800</v>
      </c>
      <c r="N130" s="466">
        <f t="shared" si="45"/>
        <v>1000</v>
      </c>
      <c r="O130" s="466">
        <f t="shared" si="45"/>
        <v>800</v>
      </c>
      <c r="P130" s="466">
        <f t="shared" si="45"/>
        <v>1000</v>
      </c>
      <c r="Q130" s="466">
        <f t="shared" si="45"/>
        <v>800</v>
      </c>
      <c r="R130" s="172"/>
      <c r="S130" s="254" t="s">
        <v>1257</v>
      </c>
    </row>
    <row r="131" spans="1:19" s="254" customFormat="1" ht="15" customHeight="1">
      <c r="A131" s="459" t="s">
        <v>1284</v>
      </c>
      <c r="B131" s="466">
        <f t="shared" ref="B131:Q131" si="46">B129*12000/1000*16.8</f>
        <v>403.20000000000005</v>
      </c>
      <c r="C131" s="466">
        <f t="shared" si="46"/>
        <v>403.20000000000005</v>
      </c>
      <c r="D131" s="466">
        <f t="shared" si="46"/>
        <v>302.40000000000003</v>
      </c>
      <c r="E131" s="466">
        <f t="shared" si="46"/>
        <v>302.40000000000003</v>
      </c>
      <c r="F131" s="466">
        <f t="shared" si="46"/>
        <v>403.20000000000005</v>
      </c>
      <c r="G131" s="466">
        <f t="shared" si="46"/>
        <v>302.40000000000003</v>
      </c>
      <c r="H131" s="466">
        <f t="shared" si="46"/>
        <v>302.40000000000003</v>
      </c>
      <c r="I131" s="466">
        <f t="shared" si="46"/>
        <v>302.40000000000003</v>
      </c>
      <c r="J131" s="466">
        <f t="shared" si="46"/>
        <v>302.40000000000003</v>
      </c>
      <c r="K131" s="466">
        <f t="shared" si="46"/>
        <v>302.40000000000003</v>
      </c>
      <c r="L131" s="466">
        <f t="shared" si="46"/>
        <v>403.20000000000005</v>
      </c>
      <c r="M131" s="466">
        <f t="shared" si="46"/>
        <v>403.20000000000005</v>
      </c>
      <c r="N131" s="466">
        <f t="shared" si="46"/>
        <v>403.20000000000005</v>
      </c>
      <c r="O131" s="466">
        <f t="shared" si="46"/>
        <v>403.20000000000005</v>
      </c>
      <c r="P131" s="466">
        <f t="shared" si="46"/>
        <v>302.40000000000003</v>
      </c>
      <c r="Q131" s="466">
        <f t="shared" si="46"/>
        <v>403.20000000000005</v>
      </c>
      <c r="R131" s="172"/>
      <c r="S131" s="254" t="s">
        <v>1258</v>
      </c>
    </row>
    <row r="132" spans="1:19" s="254" customFormat="1" ht="15" customHeight="1">
      <c r="A132" s="459" t="s">
        <v>1259</v>
      </c>
      <c r="B132" s="466">
        <f>IF(B131/B130&lt;0.5,0.5*B130/B131,IF(B131/B130&gt;1.5,1.5*B130/B131,1))</f>
        <v>1</v>
      </c>
      <c r="C132" s="466">
        <f t="shared" ref="C132:Q132" si="47">IF(C131/C130&lt;0.5,0.5*C130/C131,IF(C131/C130&gt;1.5,1.5*C130/C131,1))</f>
        <v>1</v>
      </c>
      <c r="D132" s="466">
        <f t="shared" si="47"/>
        <v>1.3227513227513226</v>
      </c>
      <c r="E132" s="466">
        <f t="shared" si="47"/>
        <v>1.3227513227513226</v>
      </c>
      <c r="F132" s="466">
        <f t="shared" si="47"/>
        <v>1</v>
      </c>
      <c r="G132" s="466">
        <f t="shared" si="47"/>
        <v>1.3227513227513226</v>
      </c>
      <c r="H132" s="466">
        <f t="shared" si="47"/>
        <v>1.3227513227513226</v>
      </c>
      <c r="I132" s="466">
        <f t="shared" si="47"/>
        <v>1.3227513227513226</v>
      </c>
      <c r="J132" s="466">
        <f t="shared" si="47"/>
        <v>1.3227513227513226</v>
      </c>
      <c r="K132" s="466">
        <f t="shared" si="47"/>
        <v>1.3227513227513226</v>
      </c>
      <c r="L132" s="466">
        <f t="shared" si="47"/>
        <v>1.2400793650793649</v>
      </c>
      <c r="M132" s="466">
        <f t="shared" si="47"/>
        <v>1</v>
      </c>
      <c r="N132" s="466">
        <f t="shared" si="47"/>
        <v>1.2400793650793649</v>
      </c>
      <c r="O132" s="466">
        <f t="shared" si="47"/>
        <v>1</v>
      </c>
      <c r="P132" s="466">
        <f t="shared" si="47"/>
        <v>1.6534391534391533</v>
      </c>
      <c r="Q132" s="466">
        <f t="shared" si="47"/>
        <v>1</v>
      </c>
      <c r="R132" s="172"/>
    </row>
    <row r="133" spans="1:19" s="254" customFormat="1" ht="15" customHeight="1">
      <c r="A133" s="459" t="s">
        <v>1285</v>
      </c>
      <c r="B133" s="466">
        <f t="shared" ref="B133:Q133" si="48">CEILING(IF(B130&gt;B131,B128,B128*B132), 0.5)</f>
        <v>1.5</v>
      </c>
      <c r="C133" s="466">
        <f t="shared" si="48"/>
        <v>2</v>
      </c>
      <c r="D133" s="466">
        <f t="shared" si="48"/>
        <v>2</v>
      </c>
      <c r="E133" s="466">
        <f t="shared" si="48"/>
        <v>2</v>
      </c>
      <c r="F133" s="466">
        <f t="shared" si="48"/>
        <v>2</v>
      </c>
      <c r="G133" s="466">
        <f t="shared" si="48"/>
        <v>2</v>
      </c>
      <c r="H133" s="466">
        <f t="shared" si="48"/>
        <v>2</v>
      </c>
      <c r="I133" s="466">
        <f t="shared" si="48"/>
        <v>2</v>
      </c>
      <c r="J133" s="466">
        <f t="shared" si="48"/>
        <v>2</v>
      </c>
      <c r="K133" s="466">
        <f t="shared" si="48"/>
        <v>2</v>
      </c>
      <c r="L133" s="466">
        <f t="shared" si="48"/>
        <v>2.5</v>
      </c>
      <c r="M133" s="466">
        <f t="shared" si="48"/>
        <v>2</v>
      </c>
      <c r="N133" s="466">
        <f t="shared" si="48"/>
        <v>2.5</v>
      </c>
      <c r="O133" s="466">
        <f t="shared" si="48"/>
        <v>2</v>
      </c>
      <c r="P133" s="466">
        <f t="shared" si="48"/>
        <v>2.5</v>
      </c>
      <c r="Q133" s="466">
        <f t="shared" si="48"/>
        <v>2</v>
      </c>
      <c r="R133" s="172"/>
    </row>
    <row r="134" spans="1:19" s="254" customFormat="1" ht="15" customHeight="1">
      <c r="A134" s="459" t="s">
        <v>1275</v>
      </c>
      <c r="B134" s="466">
        <f>400*B133</f>
        <v>600</v>
      </c>
      <c r="C134" s="466">
        <f t="shared" ref="C134:Q134" si="49">400*C133</f>
        <v>800</v>
      </c>
      <c r="D134" s="466">
        <f t="shared" si="49"/>
        <v>800</v>
      </c>
      <c r="E134" s="466">
        <f t="shared" si="49"/>
        <v>800</v>
      </c>
      <c r="F134" s="466">
        <f t="shared" si="49"/>
        <v>800</v>
      </c>
      <c r="G134" s="466">
        <f t="shared" si="49"/>
        <v>800</v>
      </c>
      <c r="H134" s="466">
        <f t="shared" si="49"/>
        <v>800</v>
      </c>
      <c r="I134" s="466">
        <f t="shared" si="49"/>
        <v>800</v>
      </c>
      <c r="J134" s="466">
        <f t="shared" si="49"/>
        <v>800</v>
      </c>
      <c r="K134" s="466">
        <f t="shared" si="49"/>
        <v>800</v>
      </c>
      <c r="L134" s="466">
        <f t="shared" si="49"/>
        <v>1000</v>
      </c>
      <c r="M134" s="466">
        <f t="shared" si="49"/>
        <v>800</v>
      </c>
      <c r="N134" s="466">
        <f t="shared" si="49"/>
        <v>1000</v>
      </c>
      <c r="O134" s="466">
        <f t="shared" si="49"/>
        <v>800</v>
      </c>
      <c r="P134" s="466">
        <f t="shared" si="49"/>
        <v>1000</v>
      </c>
      <c r="Q134" s="466">
        <f t="shared" si="49"/>
        <v>800</v>
      </c>
      <c r="R134" s="172"/>
    </row>
    <row r="135" spans="1:19" s="254" customFormat="1" ht="15" customHeight="1">
      <c r="A135" s="459" t="s">
        <v>1276</v>
      </c>
      <c r="B135" s="466">
        <f>0.000472*B134</f>
        <v>0.28320000000000001</v>
      </c>
      <c r="C135" s="466">
        <f t="shared" ref="C135:Q135" si="50">0.000472*C134</f>
        <v>0.37759999999999999</v>
      </c>
      <c r="D135" s="466">
        <f t="shared" si="50"/>
        <v>0.37759999999999999</v>
      </c>
      <c r="E135" s="466">
        <f t="shared" si="50"/>
        <v>0.37759999999999999</v>
      </c>
      <c r="F135" s="466">
        <f t="shared" si="50"/>
        <v>0.37759999999999999</v>
      </c>
      <c r="G135" s="466">
        <f t="shared" si="50"/>
        <v>0.37759999999999999</v>
      </c>
      <c r="H135" s="466">
        <f t="shared" si="50"/>
        <v>0.37759999999999999</v>
      </c>
      <c r="I135" s="466">
        <f t="shared" si="50"/>
        <v>0.37759999999999999</v>
      </c>
      <c r="J135" s="466">
        <f t="shared" si="50"/>
        <v>0.37759999999999999</v>
      </c>
      <c r="K135" s="466">
        <f t="shared" si="50"/>
        <v>0.37759999999999999</v>
      </c>
      <c r="L135" s="466">
        <f t="shared" si="50"/>
        <v>0.47199999999999998</v>
      </c>
      <c r="M135" s="466">
        <f t="shared" si="50"/>
        <v>0.37759999999999999</v>
      </c>
      <c r="N135" s="466">
        <f t="shared" si="50"/>
        <v>0.47199999999999998</v>
      </c>
      <c r="O135" s="466">
        <f t="shared" si="50"/>
        <v>0.37759999999999999</v>
      </c>
      <c r="P135" s="466">
        <f t="shared" si="50"/>
        <v>0.47199999999999998</v>
      </c>
      <c r="Q135" s="466">
        <f t="shared" si="50"/>
        <v>0.37759999999999999</v>
      </c>
      <c r="R135" s="172"/>
    </row>
    <row r="136" spans="1:19" s="254" customFormat="1" ht="15" customHeight="1">
      <c r="A136" s="459" t="s">
        <v>1273</v>
      </c>
      <c r="B136" s="466">
        <f>B134/2.5</f>
        <v>240</v>
      </c>
      <c r="C136" s="466">
        <f t="shared" ref="C136:Q136" si="51">C134/2.5</f>
        <v>320</v>
      </c>
      <c r="D136" s="466">
        <f t="shared" si="51"/>
        <v>320</v>
      </c>
      <c r="E136" s="466">
        <f t="shared" si="51"/>
        <v>320</v>
      </c>
      <c r="F136" s="466">
        <f t="shared" si="51"/>
        <v>320</v>
      </c>
      <c r="G136" s="466">
        <f t="shared" si="51"/>
        <v>320</v>
      </c>
      <c r="H136" s="466">
        <f t="shared" si="51"/>
        <v>320</v>
      </c>
      <c r="I136" s="466">
        <f t="shared" si="51"/>
        <v>320</v>
      </c>
      <c r="J136" s="466">
        <f t="shared" si="51"/>
        <v>320</v>
      </c>
      <c r="K136" s="466">
        <f t="shared" si="51"/>
        <v>320</v>
      </c>
      <c r="L136" s="466">
        <f t="shared" si="51"/>
        <v>400</v>
      </c>
      <c r="M136" s="466">
        <f t="shared" si="51"/>
        <v>320</v>
      </c>
      <c r="N136" s="466">
        <f t="shared" si="51"/>
        <v>400</v>
      </c>
      <c r="O136" s="466">
        <f t="shared" si="51"/>
        <v>320</v>
      </c>
      <c r="P136" s="466">
        <f t="shared" si="51"/>
        <v>400</v>
      </c>
      <c r="Q136" s="466">
        <f t="shared" si="51"/>
        <v>320</v>
      </c>
      <c r="R136" s="172"/>
    </row>
    <row r="137" spans="1:19" s="254" customFormat="1" ht="15" customHeight="1">
      <c r="A137" s="459" t="s">
        <v>1286</v>
      </c>
      <c r="B137" s="466">
        <f t="shared" ref="B137:Q137" si="52">CEILING(IF(AND(B131&lt;B130, B132&lt;&gt;1),B129*B132,B129), 0.5)</f>
        <v>2</v>
      </c>
      <c r="C137" s="466">
        <f t="shared" si="52"/>
        <v>2</v>
      </c>
      <c r="D137" s="466">
        <f t="shared" si="52"/>
        <v>2</v>
      </c>
      <c r="E137" s="466">
        <f t="shared" si="52"/>
        <v>2</v>
      </c>
      <c r="F137" s="466">
        <f t="shared" si="52"/>
        <v>2</v>
      </c>
      <c r="G137" s="466">
        <f t="shared" si="52"/>
        <v>2</v>
      </c>
      <c r="H137" s="466">
        <f t="shared" si="52"/>
        <v>2</v>
      </c>
      <c r="I137" s="466">
        <f t="shared" si="52"/>
        <v>2</v>
      </c>
      <c r="J137" s="466">
        <f t="shared" si="52"/>
        <v>2</v>
      </c>
      <c r="K137" s="466">
        <f t="shared" si="52"/>
        <v>2</v>
      </c>
      <c r="L137" s="466">
        <f t="shared" si="52"/>
        <v>2.5</v>
      </c>
      <c r="M137" s="466">
        <f t="shared" si="52"/>
        <v>2</v>
      </c>
      <c r="N137" s="466">
        <f t="shared" si="52"/>
        <v>2.5</v>
      </c>
      <c r="O137" s="466">
        <f t="shared" si="52"/>
        <v>2</v>
      </c>
      <c r="P137" s="466">
        <f t="shared" si="52"/>
        <v>2.5</v>
      </c>
      <c r="Q137" s="466">
        <f t="shared" si="52"/>
        <v>2</v>
      </c>
      <c r="R137" s="172"/>
    </row>
    <row r="138" spans="1:19" s="254" customFormat="1" ht="15" customHeight="1">
      <c r="A138" s="459" t="s">
        <v>1277</v>
      </c>
      <c r="B138" s="466">
        <f>16.8*B137*12000/1000</f>
        <v>403.2</v>
      </c>
      <c r="C138" s="466">
        <f t="shared" ref="C138:Q138" si="53">16.8*C137*12000/1000</f>
        <v>403.2</v>
      </c>
      <c r="D138" s="466">
        <f t="shared" si="53"/>
        <v>403.2</v>
      </c>
      <c r="E138" s="466">
        <f t="shared" si="53"/>
        <v>403.2</v>
      </c>
      <c r="F138" s="466">
        <f t="shared" si="53"/>
        <v>403.2</v>
      </c>
      <c r="G138" s="466">
        <f t="shared" si="53"/>
        <v>403.2</v>
      </c>
      <c r="H138" s="466">
        <f t="shared" si="53"/>
        <v>403.2</v>
      </c>
      <c r="I138" s="466">
        <f t="shared" si="53"/>
        <v>403.2</v>
      </c>
      <c r="J138" s="466">
        <f t="shared" si="53"/>
        <v>403.2</v>
      </c>
      <c r="K138" s="466">
        <f t="shared" si="53"/>
        <v>403.2</v>
      </c>
      <c r="L138" s="466">
        <f t="shared" si="53"/>
        <v>504</v>
      </c>
      <c r="M138" s="466">
        <f t="shared" si="53"/>
        <v>403.2</v>
      </c>
      <c r="N138" s="466">
        <f t="shared" si="53"/>
        <v>504</v>
      </c>
      <c r="O138" s="466">
        <f t="shared" si="53"/>
        <v>403.2</v>
      </c>
      <c r="P138" s="466">
        <f t="shared" si="53"/>
        <v>504</v>
      </c>
      <c r="Q138" s="466">
        <f t="shared" si="53"/>
        <v>403.2</v>
      </c>
      <c r="R138" s="172"/>
    </row>
    <row r="139" spans="1:19" s="254" customFormat="1" ht="15" customHeight="1">
      <c r="A139" s="459" t="s">
        <v>1278</v>
      </c>
      <c r="B139" s="466">
        <f>0.000472*B138</f>
        <v>0.19031039999999999</v>
      </c>
      <c r="C139" s="466">
        <f t="shared" ref="C139:Q139" si="54">0.000472*C138</f>
        <v>0.19031039999999999</v>
      </c>
      <c r="D139" s="466">
        <f t="shared" si="54"/>
        <v>0.19031039999999999</v>
      </c>
      <c r="E139" s="466">
        <f t="shared" si="54"/>
        <v>0.19031039999999999</v>
      </c>
      <c r="F139" s="466">
        <f t="shared" si="54"/>
        <v>0.19031039999999999</v>
      </c>
      <c r="G139" s="466">
        <f t="shared" si="54"/>
        <v>0.19031039999999999</v>
      </c>
      <c r="H139" s="466">
        <f t="shared" si="54"/>
        <v>0.19031039999999999</v>
      </c>
      <c r="I139" s="466">
        <f t="shared" si="54"/>
        <v>0.19031039999999999</v>
      </c>
      <c r="J139" s="466">
        <f t="shared" si="54"/>
        <v>0.19031039999999999</v>
      </c>
      <c r="K139" s="466">
        <f t="shared" si="54"/>
        <v>0.19031039999999999</v>
      </c>
      <c r="L139" s="466">
        <f t="shared" si="54"/>
        <v>0.23788799999999999</v>
      </c>
      <c r="M139" s="466">
        <f t="shared" si="54"/>
        <v>0.19031039999999999</v>
      </c>
      <c r="N139" s="466">
        <f t="shared" si="54"/>
        <v>0.23788799999999999</v>
      </c>
      <c r="O139" s="466">
        <f t="shared" si="54"/>
        <v>0.19031039999999999</v>
      </c>
      <c r="P139" s="466">
        <f t="shared" si="54"/>
        <v>0.23788799999999999</v>
      </c>
      <c r="Q139" s="466">
        <f t="shared" si="54"/>
        <v>0.19031039999999999</v>
      </c>
      <c r="R139" s="172"/>
    </row>
    <row r="140" spans="1:19" s="254" customFormat="1" ht="15" customHeight="1">
      <c r="A140" s="459" t="s">
        <v>1274</v>
      </c>
      <c r="B140" s="466">
        <f>B138/2.5</f>
        <v>161.28</v>
      </c>
      <c r="C140" s="466">
        <f t="shared" ref="C140:Q140" si="55">C138/2.5</f>
        <v>161.28</v>
      </c>
      <c r="D140" s="466">
        <f t="shared" si="55"/>
        <v>161.28</v>
      </c>
      <c r="E140" s="466">
        <f t="shared" si="55"/>
        <v>161.28</v>
      </c>
      <c r="F140" s="466">
        <f t="shared" si="55"/>
        <v>161.28</v>
      </c>
      <c r="G140" s="466">
        <f t="shared" si="55"/>
        <v>161.28</v>
      </c>
      <c r="H140" s="466">
        <f t="shared" si="55"/>
        <v>161.28</v>
      </c>
      <c r="I140" s="466">
        <f t="shared" si="55"/>
        <v>161.28</v>
      </c>
      <c r="J140" s="466">
        <f t="shared" si="55"/>
        <v>161.28</v>
      </c>
      <c r="K140" s="466">
        <f t="shared" si="55"/>
        <v>161.28</v>
      </c>
      <c r="L140" s="466">
        <f t="shared" si="55"/>
        <v>201.6</v>
      </c>
      <c r="M140" s="466">
        <f t="shared" si="55"/>
        <v>161.28</v>
      </c>
      <c r="N140" s="466">
        <f t="shared" si="55"/>
        <v>201.6</v>
      </c>
      <c r="O140" s="466">
        <f t="shared" si="55"/>
        <v>161.28</v>
      </c>
      <c r="P140" s="466">
        <f t="shared" si="55"/>
        <v>201.6</v>
      </c>
      <c r="Q140" s="466">
        <f t="shared" si="55"/>
        <v>161.28</v>
      </c>
      <c r="R140" s="172"/>
    </row>
    <row r="141" spans="1:19" s="254" customFormat="1" ht="15" customHeight="1">
      <c r="A141" s="485" t="s">
        <v>1287</v>
      </c>
      <c r="B141" s="484">
        <f>IF(B135&gt;B139,B135,B139)*Ducts!$D$18/(25^Ducts!$D$20)</f>
        <v>1.0262880037676171E-3</v>
      </c>
      <c r="C141" s="484">
        <f>IF(C135&gt;C139,C135,C139)*Ducts!$D$18/(25^Ducts!$D$20)</f>
        <v>1.3683840050234895E-3</v>
      </c>
      <c r="D141" s="484">
        <f>IF(D135&gt;D139,D135,D139)*Ducts!$D$18/(25^Ducts!$D$20)</f>
        <v>1.3683840050234895E-3</v>
      </c>
      <c r="E141" s="484">
        <f>IF(E135&gt;E139,E135,E139)*Ducts!$D$18/(25^Ducts!$D$20)</f>
        <v>1.3683840050234895E-3</v>
      </c>
      <c r="F141" s="484">
        <f>IF(F135&gt;F139,F135,F139)*Ducts!$D$18/(25^Ducts!$D$20)</f>
        <v>1.3683840050234895E-3</v>
      </c>
      <c r="G141" s="484">
        <f>IF(G135&gt;G139,G135,G139)*Ducts!$D$18/(25^Ducts!$D$20)</f>
        <v>1.3683840050234895E-3</v>
      </c>
      <c r="H141" s="484">
        <f>IF(H135&gt;H139,H135,H139)*Ducts!$D$18/(25^Ducts!$D$20)</f>
        <v>1.3683840050234895E-3</v>
      </c>
      <c r="I141" s="484">
        <f>IF(I135&gt;I139,I135,I139)*Ducts!$D$18/(25^Ducts!$D$20)</f>
        <v>1.3683840050234895E-3</v>
      </c>
      <c r="J141" s="484">
        <f>IF(J135&gt;J139,J135,J139)*Ducts!$D$18/(25^Ducts!$D$20)</f>
        <v>1.3683840050234895E-3</v>
      </c>
      <c r="K141" s="484">
        <f>IF(K135&gt;K139,K135,K139)*Ducts!$D$18/(25^Ducts!$D$20)</f>
        <v>1.3683840050234895E-3</v>
      </c>
      <c r="L141" s="484">
        <f>IF(L135&gt;L139,L135,L139)*Ducts!$D$18/(25^Ducts!$D$20)</f>
        <v>1.7104800062793617E-3</v>
      </c>
      <c r="M141" s="484">
        <f>IF(M135&gt;M139,M135,M139)*Ducts!$D$18/(25^Ducts!$D$20)</f>
        <v>1.3683840050234895E-3</v>
      </c>
      <c r="N141" s="484">
        <f>IF(N135&gt;N139,N135,N139)*Ducts!$D$18/(25^Ducts!$D$20)</f>
        <v>1.7104800062793617E-3</v>
      </c>
      <c r="O141" s="484">
        <f>IF(O135&gt;O139,O135,O139)*Ducts!$D$18/(25^Ducts!$D$20)</f>
        <v>1.3683840050234895E-3</v>
      </c>
      <c r="P141" s="484">
        <f>IF(P135&gt;P139,P135,P139)*Ducts!$D$18/(25^Ducts!$D$20)</f>
        <v>1.7104800062793617E-3</v>
      </c>
      <c r="Q141" s="484">
        <f>IF(Q135&gt;Q139,Q135,Q139)*Ducts!$D$18/(25^Ducts!$D$20)</f>
        <v>1.3683840050234895E-3</v>
      </c>
      <c r="R141" s="486"/>
    </row>
    <row r="142" spans="1:19" ht="15" customHeight="1">
      <c r="A142" s="487" t="s">
        <v>1288</v>
      </c>
      <c r="B142" s="488">
        <f>IF(B135&gt;B139,B135,B139)*Ducts!$D$19/(25^Ducts!$D$21)</f>
        <v>1.0262880037676171E-3</v>
      </c>
      <c r="C142" s="488">
        <f>IF(C135&gt;C139,C135,C139)*Ducts!$D$19/(25^Ducts!$D$21)</f>
        <v>1.3683840050234895E-3</v>
      </c>
      <c r="D142" s="488">
        <f>IF(D135&gt;D139,D135,D139)*Ducts!$D$19/(25^Ducts!$D$21)</f>
        <v>1.3683840050234895E-3</v>
      </c>
      <c r="E142" s="488">
        <f>IF(E135&gt;E139,E135,E139)*Ducts!$D$19/(25^Ducts!$D$21)</f>
        <v>1.3683840050234895E-3</v>
      </c>
      <c r="F142" s="488">
        <f>IF(F135&gt;F139,F135,F139)*Ducts!$D$19/(25^Ducts!$D$21)</f>
        <v>1.3683840050234895E-3</v>
      </c>
      <c r="G142" s="488">
        <f>IF(G135&gt;G139,G135,G139)*Ducts!$D$19/(25^Ducts!$D$21)</f>
        <v>1.3683840050234895E-3</v>
      </c>
      <c r="H142" s="488">
        <f>IF(H135&gt;H139,H135,H139)*Ducts!$D$19/(25^Ducts!$D$21)</f>
        <v>1.3683840050234895E-3</v>
      </c>
      <c r="I142" s="488">
        <f>IF(I135&gt;I139,I135,I139)*Ducts!$D$19/(25^Ducts!$D$21)</f>
        <v>1.3683840050234895E-3</v>
      </c>
      <c r="J142" s="488">
        <f>IF(J135&gt;J139,J135,J139)*Ducts!$D$19/(25^Ducts!$D$21)</f>
        <v>1.3683840050234895E-3</v>
      </c>
      <c r="K142" s="488">
        <f>IF(K135&gt;K139,K135,K139)*Ducts!$D$19/(25^Ducts!$D$21)</f>
        <v>1.3683840050234895E-3</v>
      </c>
      <c r="L142" s="488">
        <f>IF(L135&gt;L139,L135,L139)*Ducts!$D$19/(25^Ducts!$D$21)</f>
        <v>1.7104800062793617E-3</v>
      </c>
      <c r="M142" s="488">
        <f>IF(M135&gt;M139,M135,M139)*Ducts!$D$19/(25^Ducts!$D$21)</f>
        <v>1.3683840050234895E-3</v>
      </c>
      <c r="N142" s="488">
        <f>IF(N135&gt;N139,N135,N139)*Ducts!$D$19/(25^Ducts!$D$21)</f>
        <v>1.7104800062793617E-3</v>
      </c>
      <c r="O142" s="488">
        <f>IF(O135&gt;O139,O135,O139)*Ducts!$D$19/(25^Ducts!$D$21)</f>
        <v>1.3683840050234895E-3</v>
      </c>
      <c r="P142" s="488">
        <f>IF(P135&gt;P139,P135,P139)*Ducts!$D$19/(25^Ducts!$D$21)</f>
        <v>1.7104800062793617E-3</v>
      </c>
      <c r="Q142" s="488">
        <f>IF(Q135&gt;Q139,Q135,Q139)*Ducts!$D$19/(25^Ducts!$D$21)</f>
        <v>1.3683840050234895E-3</v>
      </c>
      <c r="R142" s="489"/>
    </row>
    <row r="143" spans="1:19" s="254" customFormat="1" ht="15" customHeight="1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</row>
    <row r="144" spans="1:19" ht="15" customHeight="1">
      <c r="A144" s="5" t="s">
        <v>1233</v>
      </c>
    </row>
    <row r="145" spans="1:19" ht="15" customHeight="1">
      <c r="A145" s="254" t="s">
        <v>1246</v>
      </c>
      <c r="B145" s="254">
        <v>0</v>
      </c>
      <c r="C145" s="254"/>
      <c r="D145" s="254"/>
      <c r="E145" s="254"/>
      <c r="F145" s="254"/>
      <c r="G145" s="254"/>
      <c r="H145" s="254"/>
      <c r="I145" s="254"/>
      <c r="J145" s="254"/>
      <c r="K145" s="254"/>
      <c r="L145" s="254"/>
      <c r="M145" s="254"/>
      <c r="N145" s="254"/>
      <c r="O145" s="254"/>
      <c r="P145" s="254"/>
      <c r="Q145" s="254"/>
      <c r="R145" s="254"/>
      <c r="S145" s="254"/>
    </row>
    <row r="146" spans="1:19" ht="15" customHeight="1">
      <c r="A146" s="5" t="s">
        <v>1234</v>
      </c>
      <c r="B146" s="5" t="s">
        <v>1245</v>
      </c>
    </row>
    <row r="147" spans="1:19" ht="15" customHeight="1">
      <c r="A147" s="5" t="s">
        <v>1235</v>
      </c>
      <c r="B147" s="5">
        <v>0.3</v>
      </c>
    </row>
    <row r="148" spans="1:19" ht="15" customHeight="1">
      <c r="A148" s="5" t="s">
        <v>1236</v>
      </c>
      <c r="B148" s="5">
        <v>0.2</v>
      </c>
    </row>
    <row r="149" spans="1:19" ht="15" customHeight="1">
      <c r="A149" s="5" t="s">
        <v>1237</v>
      </c>
      <c r="B149" s="5">
        <v>0.15</v>
      </c>
    </row>
    <row r="150" spans="1:19" ht="15" customHeight="1">
      <c r="A150" s="5" t="s">
        <v>1238</v>
      </c>
      <c r="B150" s="5">
        <v>0.1</v>
      </c>
    </row>
    <row r="151" spans="1:19" ht="15" customHeight="1">
      <c r="A151" s="5" t="s">
        <v>1239</v>
      </c>
    </row>
    <row r="152" spans="1:19" ht="15" customHeight="1">
      <c r="A152" s="254" t="s">
        <v>1235</v>
      </c>
      <c r="B152" s="5">
        <v>0.15</v>
      </c>
    </row>
    <row r="153" spans="1:19" ht="15" customHeight="1">
      <c r="A153" s="254" t="s">
        <v>1236</v>
      </c>
      <c r="B153" s="5">
        <v>0.1</v>
      </c>
    </row>
    <row r="154" spans="1:19" ht="15" customHeight="1">
      <c r="A154" s="254" t="s">
        <v>1237</v>
      </c>
      <c r="B154" s="5">
        <v>0.05</v>
      </c>
    </row>
    <row r="155" spans="1:19" ht="15" customHeight="1">
      <c r="A155" s="254" t="s">
        <v>1238</v>
      </c>
      <c r="B155" s="5">
        <v>0</v>
      </c>
    </row>
    <row r="156" spans="1:19" ht="15" customHeight="1">
      <c r="A156" s="5" t="s">
        <v>1240</v>
      </c>
    </row>
    <row r="157" spans="1:19" ht="15" customHeight="1">
      <c r="A157" s="5" t="s">
        <v>1241</v>
      </c>
      <c r="B157" s="5">
        <v>0.1</v>
      </c>
    </row>
    <row r="158" spans="1:19" ht="15" customHeight="1">
      <c r="A158" s="5" t="s">
        <v>1242</v>
      </c>
      <c r="B158" s="5">
        <v>0.05</v>
      </c>
    </row>
    <row r="159" spans="1:19" ht="15" customHeight="1">
      <c r="A159" s="5" t="s">
        <v>1243</v>
      </c>
      <c r="B159" s="5">
        <v>0</v>
      </c>
    </row>
    <row r="160" spans="1:19" ht="15" customHeight="1">
      <c r="A160" s="5" t="s">
        <v>1244</v>
      </c>
      <c r="B160" s="5">
        <v>0</v>
      </c>
    </row>
    <row r="167" spans="1:19" ht="15" customHeight="1">
      <c r="A167" s="268" t="s">
        <v>685</v>
      </c>
      <c r="B167" s="214" t="s">
        <v>681</v>
      </c>
      <c r="C167" s="214">
        <v>0.8</v>
      </c>
      <c r="D167" s="214">
        <v>0.8</v>
      </c>
      <c r="E167" s="214">
        <v>0.8</v>
      </c>
      <c r="F167" s="214">
        <v>0.9</v>
      </c>
      <c r="G167" s="214">
        <v>0.9</v>
      </c>
      <c r="H167" s="214">
        <v>0.9</v>
      </c>
      <c r="I167" s="214">
        <v>0.9</v>
      </c>
      <c r="J167" s="214">
        <v>0.9</v>
      </c>
      <c r="K167" s="214">
        <v>0.94</v>
      </c>
      <c r="L167" s="214">
        <v>0.94</v>
      </c>
      <c r="M167" s="214">
        <v>0.94</v>
      </c>
      <c r="N167" s="214">
        <v>0.94</v>
      </c>
      <c r="O167" s="214">
        <v>0.94</v>
      </c>
      <c r="P167" s="214">
        <v>0.94</v>
      </c>
      <c r="Q167" s="214">
        <v>0.94</v>
      </c>
      <c r="R167" s="254"/>
      <c r="S167" s="254" t="s">
        <v>687</v>
      </c>
    </row>
    <row r="168" spans="1:19" ht="15" customHeight="1">
      <c r="A168" s="214"/>
      <c r="B168" s="214" t="s">
        <v>682</v>
      </c>
      <c r="C168" s="214">
        <v>18</v>
      </c>
      <c r="D168" s="214">
        <v>18</v>
      </c>
      <c r="E168" s="214">
        <v>18</v>
      </c>
      <c r="F168" s="214">
        <v>15</v>
      </c>
      <c r="G168" s="214">
        <v>15</v>
      </c>
      <c r="H168" s="214">
        <v>15</v>
      </c>
      <c r="I168" s="214">
        <v>15</v>
      </c>
      <c r="J168" s="214">
        <v>15</v>
      </c>
      <c r="K168" s="214">
        <v>13</v>
      </c>
      <c r="L168" s="214">
        <v>13</v>
      </c>
      <c r="M168" s="214">
        <v>13</v>
      </c>
      <c r="N168" s="214">
        <v>13</v>
      </c>
      <c r="O168" s="214">
        <v>13</v>
      </c>
      <c r="P168" s="214">
        <v>13</v>
      </c>
      <c r="Q168" s="214">
        <v>13</v>
      </c>
      <c r="R168" s="254"/>
      <c r="S168" s="254"/>
    </row>
    <row r="169" spans="1:19" ht="15" customHeight="1">
      <c r="A169" s="214"/>
      <c r="B169" s="214" t="s">
        <v>683</v>
      </c>
      <c r="C169" s="214">
        <v>8.1999999999999993</v>
      </c>
      <c r="D169" s="214">
        <v>8.1999999999999993</v>
      </c>
      <c r="E169" s="214">
        <v>8.1999999999999993</v>
      </c>
      <c r="F169" s="214">
        <v>9</v>
      </c>
      <c r="G169" s="214">
        <v>9</v>
      </c>
      <c r="H169" s="214">
        <v>9</v>
      </c>
      <c r="I169" s="214">
        <v>9</v>
      </c>
      <c r="J169" s="214">
        <v>9</v>
      </c>
      <c r="K169" s="214">
        <v>10</v>
      </c>
      <c r="L169" s="214">
        <v>10</v>
      </c>
      <c r="M169" s="214">
        <v>10</v>
      </c>
      <c r="N169" s="214">
        <v>10</v>
      </c>
      <c r="O169" s="214">
        <v>10</v>
      </c>
      <c r="P169" s="214">
        <v>10</v>
      </c>
      <c r="Q169" s="214">
        <v>10</v>
      </c>
      <c r="R169" s="254"/>
      <c r="S169" s="254"/>
    </row>
    <row r="172" spans="1:19" ht="15" customHeight="1">
      <c r="C172" s="429" t="s">
        <v>712</v>
      </c>
      <c r="D172" s="430" t="s">
        <v>704</v>
      </c>
      <c r="E172" s="429" t="s">
        <v>378</v>
      </c>
      <c r="F172" s="429" t="s">
        <v>710</v>
      </c>
      <c r="G172" s="429" t="s">
        <v>711</v>
      </c>
      <c r="H172" s="214"/>
      <c r="I172" s="230" t="s">
        <v>720</v>
      </c>
      <c r="J172" s="214"/>
      <c r="K172" s="214"/>
      <c r="S172" s="254" t="s">
        <v>691</v>
      </c>
    </row>
    <row r="173" spans="1:19" ht="15" customHeight="1">
      <c r="C173" s="214"/>
      <c r="D173" s="232" t="s">
        <v>705</v>
      </c>
      <c r="E173" s="214">
        <v>90</v>
      </c>
      <c r="F173" s="270">
        <v>5.0000000000000001E-3</v>
      </c>
      <c r="G173" s="270">
        <v>1.4999999999999999E-2</v>
      </c>
      <c r="H173" s="214"/>
      <c r="I173" s="214"/>
      <c r="J173" s="214"/>
      <c r="K173" s="214"/>
    </row>
    <row r="174" spans="1:19" ht="15" customHeight="1">
      <c r="C174" s="214"/>
      <c r="D174" s="232" t="s">
        <v>706</v>
      </c>
      <c r="E174" s="214">
        <v>80</v>
      </c>
      <c r="F174" s="270">
        <v>5.0000000000000001E-3</v>
      </c>
      <c r="G174" s="270">
        <v>1.4999999999999999E-2</v>
      </c>
      <c r="H174" s="214"/>
      <c r="I174" s="214"/>
      <c r="J174" s="214"/>
      <c r="K174" s="214"/>
    </row>
    <row r="175" spans="1:19" ht="15" customHeight="1">
      <c r="C175" s="214"/>
      <c r="D175" s="232" t="s">
        <v>707</v>
      </c>
      <c r="E175" s="214">
        <v>78</v>
      </c>
      <c r="F175" s="270">
        <v>5.0000000000000001E-3</v>
      </c>
      <c r="G175" s="270">
        <v>1.4999999999999999E-2</v>
      </c>
      <c r="H175" s="214"/>
      <c r="I175" s="214"/>
      <c r="J175" s="214"/>
      <c r="K175" s="214"/>
    </row>
    <row r="176" spans="1:19" ht="15" customHeight="1">
      <c r="C176" s="214"/>
      <c r="D176" s="431" t="s">
        <v>708</v>
      </c>
      <c r="E176" s="214">
        <v>75</v>
      </c>
      <c r="F176" s="270">
        <v>5.0000000000000001E-3</v>
      </c>
      <c r="G176" s="270">
        <v>1.4999999999999999E-2</v>
      </c>
      <c r="H176" s="214"/>
      <c r="I176" s="214"/>
      <c r="J176" s="214"/>
      <c r="K176" s="214"/>
      <c r="R176" s="254"/>
    </row>
    <row r="177" spans="3:18" ht="15" customHeight="1">
      <c r="C177" s="214"/>
      <c r="D177" s="431" t="s">
        <v>709</v>
      </c>
      <c r="E177" s="214">
        <v>64</v>
      </c>
      <c r="F177" s="270">
        <v>5.0000000000000001E-3</v>
      </c>
      <c r="G177" s="270">
        <v>1.4999999999999999E-2</v>
      </c>
      <c r="H177" s="214"/>
      <c r="I177" s="214"/>
      <c r="J177" s="214"/>
      <c r="K177" s="214"/>
      <c r="R177" s="254"/>
    </row>
    <row r="178" spans="3:18" ht="15" customHeight="1">
      <c r="C178" s="214"/>
      <c r="D178" s="269"/>
      <c r="E178" s="214"/>
      <c r="F178" s="214"/>
      <c r="G178" s="214"/>
      <c r="H178" s="214"/>
      <c r="I178" s="214"/>
      <c r="J178" s="214"/>
      <c r="K178" s="214"/>
      <c r="R178" s="254"/>
    </row>
    <row r="179" spans="3:18" ht="15" customHeight="1">
      <c r="C179" s="432" t="s">
        <v>719</v>
      </c>
      <c r="D179" s="433" t="s">
        <v>713</v>
      </c>
      <c r="E179" s="432" t="s">
        <v>714</v>
      </c>
      <c r="F179" s="432" t="s">
        <v>715</v>
      </c>
      <c r="G179" s="432" t="s">
        <v>716</v>
      </c>
      <c r="H179" s="432" t="s">
        <v>710</v>
      </c>
      <c r="I179" s="432" t="s">
        <v>711</v>
      </c>
      <c r="J179" s="214"/>
      <c r="K179" s="214"/>
    </row>
    <row r="180" spans="3:18" ht="15" customHeight="1">
      <c r="C180" s="214"/>
      <c r="D180" s="232" t="s">
        <v>717</v>
      </c>
      <c r="E180" s="214">
        <v>6.5</v>
      </c>
      <c r="F180" s="214">
        <v>6.4</v>
      </c>
      <c r="G180" s="214"/>
      <c r="H180" s="214">
        <v>0.01</v>
      </c>
      <c r="I180" s="214">
        <v>0.03</v>
      </c>
      <c r="J180" s="214"/>
      <c r="K180" s="214"/>
    </row>
    <row r="181" spans="3:18" ht="15" customHeight="1">
      <c r="C181" s="214"/>
      <c r="D181" s="232" t="s">
        <v>718</v>
      </c>
      <c r="E181" s="214">
        <v>6.5</v>
      </c>
      <c r="F181" s="214">
        <v>6.4</v>
      </c>
      <c r="G181" s="214">
        <v>6</v>
      </c>
      <c r="H181" s="214">
        <v>0.01</v>
      </c>
      <c r="I181" s="214">
        <v>0.03</v>
      </c>
      <c r="J181" s="214"/>
      <c r="K181" s="214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5"/>
  <sheetViews>
    <sheetView topLeftCell="A24" workbookViewId="0">
      <selection activeCell="G55" sqref="G55"/>
    </sheetView>
  </sheetViews>
  <sheetFormatPr baseColWidth="10" defaultColWidth="8.83203125" defaultRowHeight="14" x14ac:dyDescent="0"/>
  <cols>
    <col min="1" max="1" width="26.83203125" customWidth="1"/>
  </cols>
  <sheetData>
    <row r="1" spans="1:22">
      <c r="A1" s="122" t="s">
        <v>587</v>
      </c>
      <c r="B1" s="179">
        <v>0.37901531243731801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</row>
    <row r="2" spans="1:22">
      <c r="A2" s="122"/>
      <c r="B2" s="179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</row>
    <row r="3" spans="1:22">
      <c r="A3" s="180" t="s">
        <v>588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</row>
    <row r="4" spans="1:22">
      <c r="A4" s="169" t="s">
        <v>578</v>
      </c>
      <c r="B4" s="223" t="s">
        <v>640</v>
      </c>
      <c r="C4" s="258" t="s">
        <v>589</v>
      </c>
      <c r="D4" s="258" t="s">
        <v>590</v>
      </c>
      <c r="E4" s="258" t="s">
        <v>591</v>
      </c>
      <c r="F4" s="258" t="s">
        <v>592</v>
      </c>
      <c r="G4" s="258" t="s">
        <v>593</v>
      </c>
      <c r="H4" s="258" t="s">
        <v>594</v>
      </c>
      <c r="I4" s="258" t="s">
        <v>595</v>
      </c>
      <c r="J4" s="258" t="s">
        <v>596</v>
      </c>
      <c r="K4" s="258" t="s">
        <v>597</v>
      </c>
      <c r="L4" s="258" t="s">
        <v>598</v>
      </c>
      <c r="M4" s="258" t="s">
        <v>599</v>
      </c>
      <c r="N4" s="258" t="s">
        <v>600</v>
      </c>
      <c r="O4" s="258">
        <v>7</v>
      </c>
      <c r="P4" s="223">
        <v>8</v>
      </c>
      <c r="Q4" s="170">
        <v>16</v>
      </c>
    </row>
    <row r="5" spans="1:22">
      <c r="A5" s="181" t="s">
        <v>602</v>
      </c>
      <c r="B5" s="182">
        <f>B11*Inputs!$C$137^Weather!$B$1</f>
        <v>0.55919519815510799</v>
      </c>
      <c r="C5" s="261">
        <f>C11*Inputs!$C$137^Weather!$B$1</f>
        <v>0.5721997376470872</v>
      </c>
      <c r="D5" s="261">
        <f>D11*Inputs!$C$137^Weather!$B$1</f>
        <v>0.59820881663104575</v>
      </c>
      <c r="E5" s="261">
        <f>E11*Inputs!$C$137^Weather!$B$1</f>
        <v>0.62421789561500418</v>
      </c>
      <c r="F5" s="261">
        <f>F11*Inputs!$C$137^Weather!$B$1</f>
        <v>0.78027236951875523</v>
      </c>
      <c r="G5" s="261">
        <f>G11*Inputs!$C$137^Weather!$B$1</f>
        <v>0.63722243510698351</v>
      </c>
      <c r="H5" s="261">
        <f>H11*Inputs!$C$137^Weather!$B$1</f>
        <v>0.71524967205885903</v>
      </c>
      <c r="I5" s="261">
        <f>I11*Inputs!$C$137^Weather!$B$1</f>
        <v>0.71524967205885903</v>
      </c>
      <c r="J5" s="261">
        <f>J11*Inputs!$C$137^Weather!$B$1</f>
        <v>0.78027236951875523</v>
      </c>
      <c r="K5" s="261">
        <f>K11*Inputs!$C$137^Weather!$B$1</f>
        <v>0.72825421155083836</v>
      </c>
      <c r="L5" s="261">
        <f>L11*Inputs!$C$137^Weather!$B$1</f>
        <v>0.68924059307490049</v>
      </c>
      <c r="M5" s="261">
        <f>M11*Inputs!$C$137^Weather!$B$1</f>
        <v>0.80628144850271377</v>
      </c>
      <c r="N5" s="261">
        <f>N11*Inputs!$C$137^Weather!$B$1</f>
        <v>0.92332230393052706</v>
      </c>
      <c r="O5" s="261">
        <f>O11*Inputs!$C$137^Weather!$B$1</f>
        <v>0</v>
      </c>
      <c r="P5" s="261">
        <f>P11*Inputs!$C$137^Weather!$B$1</f>
        <v>0</v>
      </c>
      <c r="Q5" s="261">
        <f>Q11*Inputs!$C$137^Weather!$B$1</f>
        <v>0</v>
      </c>
    </row>
    <row r="6" spans="1:22">
      <c r="A6" s="183"/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22"/>
      <c r="P6" s="122"/>
      <c r="Q6" s="122"/>
    </row>
    <row r="7" spans="1:22">
      <c r="A7" s="183"/>
      <c r="B7" s="184"/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22"/>
      <c r="P7" s="122"/>
      <c r="Q7" s="122"/>
    </row>
    <row r="8" spans="1:2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</row>
    <row r="9" spans="1:22">
      <c r="A9" s="180" t="s">
        <v>603</v>
      </c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</row>
    <row r="10" spans="1:22">
      <c r="A10" s="169" t="s">
        <v>578</v>
      </c>
      <c r="B10" s="170" t="s">
        <v>589</v>
      </c>
      <c r="C10" s="170" t="s">
        <v>590</v>
      </c>
      <c r="D10" s="170" t="s">
        <v>591</v>
      </c>
      <c r="E10" s="170" t="s">
        <v>592</v>
      </c>
      <c r="F10" s="170" t="s">
        <v>593</v>
      </c>
      <c r="G10" s="170" t="s">
        <v>594</v>
      </c>
      <c r="H10" s="170" t="s">
        <v>595</v>
      </c>
      <c r="I10" s="170" t="s">
        <v>596</v>
      </c>
      <c r="J10" s="170" t="s">
        <v>597</v>
      </c>
      <c r="K10" s="170" t="s">
        <v>598</v>
      </c>
      <c r="L10" s="170" t="s">
        <v>599</v>
      </c>
      <c r="M10" s="170" t="s">
        <v>600</v>
      </c>
      <c r="N10" s="170" t="s">
        <v>601</v>
      </c>
      <c r="O10" s="122"/>
      <c r="P10" s="122"/>
      <c r="Q10" s="122"/>
    </row>
    <row r="11" spans="1:22">
      <c r="A11" s="168" t="s">
        <v>171</v>
      </c>
      <c r="B11" s="145">
        <v>0.43</v>
      </c>
      <c r="C11" s="145">
        <v>0.44</v>
      </c>
      <c r="D11" s="145">
        <v>0.46</v>
      </c>
      <c r="E11" s="145">
        <v>0.48</v>
      </c>
      <c r="F11" s="145">
        <v>0.6</v>
      </c>
      <c r="G11" s="145">
        <v>0.49</v>
      </c>
      <c r="H11" s="145">
        <v>0.55000000000000004</v>
      </c>
      <c r="I11" s="145">
        <v>0.55000000000000004</v>
      </c>
      <c r="J11" s="145">
        <v>0.6</v>
      </c>
      <c r="K11" s="145">
        <v>0.56000000000000005</v>
      </c>
      <c r="L11" s="145">
        <v>0.53</v>
      </c>
      <c r="M11" s="145">
        <v>0.62</v>
      </c>
      <c r="N11" s="145">
        <v>0.71</v>
      </c>
      <c r="O11" s="122"/>
      <c r="P11" s="122"/>
      <c r="Q11" s="122"/>
    </row>
    <row r="12" spans="1:22">
      <c r="A12" s="168" t="s">
        <v>170</v>
      </c>
      <c r="B12" s="182">
        <v>0.55919519815510799</v>
      </c>
      <c r="C12" s="182">
        <v>0.5721997376470872</v>
      </c>
      <c r="D12" s="182">
        <v>0.59820881663104575</v>
      </c>
      <c r="E12" s="182">
        <v>0.62421789561500418</v>
      </c>
      <c r="F12" s="182">
        <v>0.78027236951875523</v>
      </c>
      <c r="G12" s="182">
        <v>0.63722243510698351</v>
      </c>
      <c r="H12" s="182">
        <v>0.71524967205885903</v>
      </c>
      <c r="I12" s="182">
        <v>0.71524967205885903</v>
      </c>
      <c r="J12" s="182">
        <v>0.78027236951875523</v>
      </c>
      <c r="K12" s="182">
        <v>0.72825421155083836</v>
      </c>
      <c r="L12" s="182">
        <v>0.68924059307490049</v>
      </c>
      <c r="M12" s="182">
        <v>0.80628144850271377</v>
      </c>
      <c r="N12" s="182">
        <v>0.92332230393052706</v>
      </c>
      <c r="O12" s="122"/>
      <c r="P12" s="179"/>
      <c r="Q12" s="179"/>
      <c r="R12" s="179"/>
      <c r="S12" s="179"/>
      <c r="T12" s="179"/>
      <c r="U12" s="179"/>
      <c r="V12" s="179"/>
    </row>
    <row r="13" spans="1:22">
      <c r="A13" s="168" t="s">
        <v>641</v>
      </c>
      <c r="B13" s="182">
        <v>0.65208576098168169</v>
      </c>
      <c r="C13" s="182">
        <v>0.6672505461207906</v>
      </c>
      <c r="D13" s="182">
        <v>0.6975801163990083</v>
      </c>
      <c r="E13" s="182">
        <v>0.727909686677226</v>
      </c>
      <c r="F13" s="182">
        <v>0.90988710834653252</v>
      </c>
      <c r="G13" s="182">
        <v>0.7430744718163349</v>
      </c>
      <c r="H13" s="182">
        <v>0.83406318265098822</v>
      </c>
      <c r="I13" s="182">
        <v>0.83406318265098822</v>
      </c>
      <c r="J13" s="182">
        <v>0.90988710834653252</v>
      </c>
      <c r="K13" s="182">
        <v>0.84922796779009713</v>
      </c>
      <c r="L13" s="182">
        <v>0.80373361237277052</v>
      </c>
      <c r="M13" s="182">
        <v>0.94021667862475033</v>
      </c>
      <c r="N13" s="182">
        <v>1.0766997448767301</v>
      </c>
      <c r="O13" s="122"/>
      <c r="P13" s="179"/>
      <c r="Q13" s="179"/>
      <c r="R13" s="179"/>
      <c r="S13" s="179"/>
      <c r="T13" s="179"/>
      <c r="U13" s="179"/>
      <c r="V13" s="179"/>
    </row>
    <row r="14" spans="1:2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</row>
    <row r="15" spans="1:22">
      <c r="A15" s="188" t="s">
        <v>604</v>
      </c>
      <c r="B15" s="167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</row>
    <row r="16" spans="1:22">
      <c r="A16" s="169" t="s">
        <v>578</v>
      </c>
      <c r="B16" s="170">
        <v>1</v>
      </c>
      <c r="C16" s="170">
        <v>2</v>
      </c>
      <c r="D16" s="170">
        <v>3</v>
      </c>
      <c r="E16" s="170">
        <v>4</v>
      </c>
      <c r="F16" s="170">
        <v>5</v>
      </c>
      <c r="G16" s="170">
        <v>6</v>
      </c>
      <c r="H16" s="170">
        <v>7</v>
      </c>
      <c r="I16" s="170">
        <v>8</v>
      </c>
      <c r="J16" s="170">
        <v>9</v>
      </c>
      <c r="K16" s="170">
        <v>10</v>
      </c>
      <c r="L16" s="170">
        <v>11</v>
      </c>
      <c r="M16" s="170">
        <v>12</v>
      </c>
      <c r="N16" s="170">
        <v>13</v>
      </c>
      <c r="O16" s="170">
        <v>14</v>
      </c>
      <c r="P16" s="170">
        <v>15</v>
      </c>
      <c r="Q16" s="170">
        <v>16</v>
      </c>
    </row>
    <row r="17" spans="1:26">
      <c r="A17" s="168" t="s">
        <v>171</v>
      </c>
      <c r="B17" s="185">
        <v>0.56360936165894659</v>
      </c>
      <c r="C17" s="185">
        <v>0.48885549567600978</v>
      </c>
      <c r="D17" s="185">
        <v>0.54208232257462774</v>
      </c>
      <c r="E17" s="185">
        <v>0.47845929296058437</v>
      </c>
      <c r="F17" s="185">
        <v>0.51837365623999176</v>
      </c>
      <c r="G17" s="185">
        <v>0.41788661831438195</v>
      </c>
      <c r="H17" s="185">
        <v>0.37942235442668815</v>
      </c>
      <c r="I17" s="185">
        <v>0.34136734806535374</v>
      </c>
      <c r="J17" s="185">
        <v>0.39317637879534129</v>
      </c>
      <c r="K17" s="185">
        <v>0.42189478941889719</v>
      </c>
      <c r="L17" s="185">
        <v>0.50187001587391433</v>
      </c>
      <c r="M17" s="185">
        <v>0.50766953254479896</v>
      </c>
      <c r="N17" s="185">
        <v>0.45543655021096829</v>
      </c>
      <c r="O17" s="185">
        <v>0.52458293514912235</v>
      </c>
      <c r="P17" s="185">
        <v>0.45040732320028565</v>
      </c>
      <c r="Q17" s="185">
        <v>0.43796184671932231</v>
      </c>
    </row>
    <row r="18" spans="1:26">
      <c r="A18" s="260" t="s">
        <v>170</v>
      </c>
      <c r="B18" s="185">
        <v>0.7248166367358726</v>
      </c>
      <c r="C18" s="185">
        <v>0.62708326118835933</v>
      </c>
      <c r="D18" s="185">
        <v>0.69538709992486236</v>
      </c>
      <c r="E18" s="185">
        <v>0.61315971250841084</v>
      </c>
      <c r="F18" s="185">
        <v>0.66503797395079167</v>
      </c>
      <c r="G18" s="185">
        <v>0.53477302293826767</v>
      </c>
      <c r="H18" s="185">
        <v>0.48590439299190807</v>
      </c>
      <c r="I18" s="185">
        <v>0.43641684175739326</v>
      </c>
      <c r="J18" s="185">
        <v>0.50195133557344052</v>
      </c>
      <c r="K18" s="185">
        <v>0.53767567995907639</v>
      </c>
      <c r="L18" s="185">
        <v>0.63882702592755691</v>
      </c>
      <c r="M18" s="185">
        <v>0.6488752632127025</v>
      </c>
      <c r="N18" s="185">
        <v>0.58043957001106339</v>
      </c>
      <c r="O18" s="185">
        <v>0.66580229679831271</v>
      </c>
      <c r="P18" s="185">
        <v>0.57161146797379636</v>
      </c>
      <c r="Q18" s="185">
        <v>0.56152742625436514</v>
      </c>
      <c r="S18" s="179"/>
      <c r="T18" s="179"/>
      <c r="U18" s="179"/>
      <c r="V18" s="179"/>
      <c r="W18" s="179"/>
      <c r="X18" s="179"/>
      <c r="Y18" s="179"/>
      <c r="Z18" s="179"/>
    </row>
    <row r="19" spans="1:26">
      <c r="A19" s="260" t="s">
        <v>641</v>
      </c>
      <c r="B19" s="185">
        <v>0.86834031138810353</v>
      </c>
      <c r="C19" s="185">
        <v>0.74939759949679141</v>
      </c>
      <c r="D19" s="185">
        <v>0.83049656710313591</v>
      </c>
      <c r="E19" s="185">
        <v>0.73175387031078654</v>
      </c>
      <c r="F19" s="185">
        <v>0.79456350692969679</v>
      </c>
      <c r="G19" s="185">
        <v>0.63704978044323324</v>
      </c>
      <c r="H19" s="185">
        <v>0.57887972226628115</v>
      </c>
      <c r="I19" s="185">
        <v>0.51976073261794775</v>
      </c>
      <c r="J19" s="185">
        <v>0.59712354608454088</v>
      </c>
      <c r="K19" s="185">
        <v>0.63902949563231792</v>
      </c>
      <c r="L19" s="185">
        <v>0.75846002934376988</v>
      </c>
      <c r="M19" s="185">
        <v>0.77292624267172982</v>
      </c>
      <c r="N19" s="185">
        <v>0.68982480549315572</v>
      </c>
      <c r="O19" s="185">
        <v>0.78911231419216588</v>
      </c>
      <c r="P19" s="185">
        <v>0.67708889855316245</v>
      </c>
      <c r="Q19" s="185">
        <v>0.67077337182535413</v>
      </c>
      <c r="S19" s="179"/>
      <c r="T19" s="179"/>
      <c r="U19" s="179"/>
      <c r="V19" s="179"/>
      <c r="W19" s="179"/>
      <c r="X19" s="179"/>
      <c r="Y19" s="179"/>
      <c r="Z19" s="179"/>
    </row>
    <row r="20" spans="1:26" s="245" customFormat="1">
      <c r="A20" s="171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</row>
    <row r="21" spans="1:26">
      <c r="A21" s="183" t="s">
        <v>777</v>
      </c>
    </row>
    <row r="22" spans="1:26">
      <c r="A22" s="183" t="s">
        <v>578</v>
      </c>
      <c r="B22" s="245" t="s">
        <v>640</v>
      </c>
      <c r="C22" s="245" t="s">
        <v>589</v>
      </c>
      <c r="D22" s="245" t="s">
        <v>590</v>
      </c>
      <c r="E22" s="245" t="s">
        <v>591</v>
      </c>
      <c r="F22" s="245" t="s">
        <v>592</v>
      </c>
      <c r="G22" s="245" t="s">
        <v>593</v>
      </c>
      <c r="H22" s="245" t="s">
        <v>594</v>
      </c>
      <c r="I22" s="245" t="s">
        <v>595</v>
      </c>
      <c r="J22" s="245" t="s">
        <v>596</v>
      </c>
      <c r="K22" s="245" t="s">
        <v>597</v>
      </c>
      <c r="L22" s="245" t="s">
        <v>598</v>
      </c>
      <c r="M22" s="245" t="s">
        <v>599</v>
      </c>
      <c r="N22" s="245" t="s">
        <v>600</v>
      </c>
      <c r="O22" s="276">
        <v>7</v>
      </c>
      <c r="P22" s="276">
        <v>8</v>
      </c>
      <c r="Q22" s="276" t="s">
        <v>1090</v>
      </c>
      <c r="R22" s="276" t="s">
        <v>1091</v>
      </c>
    </row>
    <row r="23" spans="1:26">
      <c r="A23" s="183" t="s">
        <v>775</v>
      </c>
      <c r="B23" s="245" t="s">
        <v>760</v>
      </c>
      <c r="C23" s="245" t="s">
        <v>761</v>
      </c>
      <c r="D23" s="245" t="s">
        <v>762</v>
      </c>
      <c r="E23" s="245" t="s">
        <v>763</v>
      </c>
      <c r="F23" s="245" t="s">
        <v>764</v>
      </c>
      <c r="G23" s="245" t="s">
        <v>765</v>
      </c>
      <c r="H23" s="245" t="s">
        <v>766</v>
      </c>
      <c r="I23" s="245" t="s">
        <v>767</v>
      </c>
      <c r="J23" s="245" t="s">
        <v>768</v>
      </c>
      <c r="K23" s="245" t="s">
        <v>769</v>
      </c>
      <c r="L23" s="245" t="s">
        <v>770</v>
      </c>
      <c r="M23" s="245" t="s">
        <v>771</v>
      </c>
      <c r="N23" s="245" t="s">
        <v>772</v>
      </c>
      <c r="O23" s="245" t="s">
        <v>773</v>
      </c>
      <c r="P23" s="245" t="s">
        <v>774</v>
      </c>
      <c r="Q23" s="245" t="s">
        <v>818</v>
      </c>
      <c r="R23" s="245" t="s">
        <v>817</v>
      </c>
    </row>
    <row r="24" spans="1:26">
      <c r="A24" s="183" t="s">
        <v>776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3" t="s">
        <v>602</v>
      </c>
      <c r="B25" s="263">
        <v>0.41</v>
      </c>
      <c r="C25" s="263">
        <v>0.42</v>
      </c>
      <c r="D25" s="263">
        <v>0.43</v>
      </c>
      <c r="E25" s="263">
        <v>0.46</v>
      </c>
      <c r="F25" s="263">
        <v>0.48</v>
      </c>
      <c r="G25" s="263">
        <v>0.6</v>
      </c>
      <c r="H25" s="263">
        <v>0.5</v>
      </c>
      <c r="I25" s="263">
        <v>0.54</v>
      </c>
      <c r="J25" s="263">
        <v>0.55000000000000004</v>
      </c>
      <c r="K25" s="263">
        <v>0.6</v>
      </c>
      <c r="L25" s="263">
        <v>0.56000000000000005</v>
      </c>
      <c r="M25" s="263">
        <v>0.61</v>
      </c>
      <c r="N25" s="263">
        <v>0.63</v>
      </c>
      <c r="O25" s="263">
        <v>0.7</v>
      </c>
      <c r="P25" s="263">
        <v>0.7</v>
      </c>
      <c r="Q25" s="263">
        <v>0.38</v>
      </c>
      <c r="R25" s="263">
        <v>0.43</v>
      </c>
    </row>
    <row r="26" spans="1:26">
      <c r="B26" t="str">
        <f>CONCATENATE(B24,"TYA.CSV")</f>
        <v>722020TYA.CSV</v>
      </c>
      <c r="C26" s="245" t="str">
        <f t="shared" ref="C26:R26" si="0">CONCATENATE(C24,"TYA.CSV")</f>
        <v>722430TYA.CSV</v>
      </c>
      <c r="D26" s="245" t="str">
        <f t="shared" si="0"/>
        <v>722780TYA.CSV</v>
      </c>
      <c r="E26" s="245" t="str">
        <f t="shared" si="0"/>
        <v>723340TYA.CSV</v>
      </c>
      <c r="F26" s="245" t="str">
        <f t="shared" si="0"/>
        <v>722700TYA.CSV</v>
      </c>
      <c r="G26" s="245" t="str">
        <f t="shared" si="0"/>
        <v>724940TYA.CSV</v>
      </c>
      <c r="H26" s="245" t="str">
        <f t="shared" si="0"/>
        <v>724060TYA.CSV</v>
      </c>
      <c r="I26" s="245" t="str">
        <f t="shared" si="0"/>
        <v>723650TYA.CSV</v>
      </c>
      <c r="J26" s="245" t="str">
        <f t="shared" si="0"/>
        <v>726940TYA.CSV</v>
      </c>
      <c r="K26" s="245" t="str">
        <f t="shared" si="0"/>
        <v>725300TYA.CSV</v>
      </c>
      <c r="L26" s="245" t="str">
        <f t="shared" si="0"/>
        <v>726810TYA.CSV</v>
      </c>
      <c r="M26" s="245" t="str">
        <f t="shared" si="0"/>
        <v>726170TYA.CSV</v>
      </c>
      <c r="N26" s="245" t="str">
        <f t="shared" si="0"/>
        <v>727720TYA.CSV</v>
      </c>
      <c r="O26" s="245" t="str">
        <f t="shared" si="0"/>
        <v>727450TYA.CSV</v>
      </c>
      <c r="P26" s="245" t="str">
        <f t="shared" si="0"/>
        <v>702610TYA.CSV</v>
      </c>
      <c r="Q26" s="245" t="str">
        <f t="shared" si="0"/>
        <v>722050TYA.CSV</v>
      </c>
      <c r="R26" s="245" t="str">
        <f t="shared" si="0"/>
        <v>722080TYA.CSV</v>
      </c>
    </row>
    <row r="27" spans="1:26">
      <c r="A27" s="183" t="s">
        <v>1202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57" t="s">
        <v>1204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57" t="s">
        <v>1205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1206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1207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1203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1:18">
      <c r="B33" t="s">
        <v>216</v>
      </c>
      <c r="C33" t="s">
        <v>1208</v>
      </c>
      <c r="D33" t="s">
        <v>1209</v>
      </c>
      <c r="E33" t="s">
        <v>1208</v>
      </c>
      <c r="F33" t="s">
        <v>1209</v>
      </c>
      <c r="G33" t="s">
        <v>1208</v>
      </c>
      <c r="H33" t="s">
        <v>1208</v>
      </c>
      <c r="I33" t="s">
        <v>1209</v>
      </c>
      <c r="J33" t="s">
        <v>1209</v>
      </c>
      <c r="K33" t="s">
        <v>1208</v>
      </c>
      <c r="L33" t="s">
        <v>1209</v>
      </c>
      <c r="M33" t="s">
        <v>1208</v>
      </c>
      <c r="N33" t="s">
        <v>1209</v>
      </c>
      <c r="O33" t="s">
        <v>1208</v>
      </c>
      <c r="P33" t="s">
        <v>1208</v>
      </c>
      <c r="Q33" t="s">
        <v>1208</v>
      </c>
      <c r="R33" t="s">
        <v>216</v>
      </c>
    </row>
    <row r="34" spans="1:18">
      <c r="B34">
        <v>2</v>
      </c>
      <c r="C34">
        <v>3</v>
      </c>
      <c r="D34" s="245">
        <v>4</v>
      </c>
      <c r="E34" s="245">
        <v>5</v>
      </c>
      <c r="F34" s="245">
        <v>6</v>
      </c>
      <c r="G34" s="245">
        <v>7</v>
      </c>
      <c r="H34" s="245">
        <v>8</v>
      </c>
      <c r="I34" s="245">
        <v>9</v>
      </c>
      <c r="J34" s="245">
        <v>10</v>
      </c>
      <c r="K34" s="245">
        <v>11</v>
      </c>
      <c r="L34" s="245">
        <v>12</v>
      </c>
      <c r="M34" s="245">
        <v>13</v>
      </c>
      <c r="N34" s="245">
        <v>14</v>
      </c>
      <c r="O34" s="245">
        <v>15</v>
      </c>
      <c r="P34" s="245">
        <v>16</v>
      </c>
      <c r="Q34" s="245">
        <v>17</v>
      </c>
      <c r="R34" s="245">
        <v>18</v>
      </c>
    </row>
    <row r="36" spans="1:18">
      <c r="B36" t="s">
        <v>1199</v>
      </c>
    </row>
    <row r="37" spans="1:18">
      <c r="B37" t="s">
        <v>1200</v>
      </c>
    </row>
    <row r="38" spans="1:18">
      <c r="B38" t="s">
        <v>1201</v>
      </c>
    </row>
    <row r="39" spans="1:18" s="245" customFormat="1"/>
    <row r="40" spans="1:18" s="245" customFormat="1" ht="18">
      <c r="A40" s="519" t="s">
        <v>1385</v>
      </c>
    </row>
    <row r="41" spans="1:18">
      <c r="A41" t="s">
        <v>578</v>
      </c>
      <c r="B41">
        <v>1</v>
      </c>
      <c r="C41">
        <v>2</v>
      </c>
      <c r="D41" s="245">
        <v>3</v>
      </c>
      <c r="E41" s="245">
        <v>4</v>
      </c>
      <c r="F41" s="245">
        <v>5</v>
      </c>
      <c r="G41" s="245">
        <v>6</v>
      </c>
      <c r="H41" s="245">
        <v>7</v>
      </c>
      <c r="I41" s="245">
        <v>8</v>
      </c>
      <c r="J41" s="245">
        <v>9</v>
      </c>
      <c r="K41" s="245">
        <v>10</v>
      </c>
      <c r="L41" s="245">
        <v>11</v>
      </c>
      <c r="M41" s="245">
        <v>12</v>
      </c>
      <c r="N41" s="245">
        <v>13</v>
      </c>
      <c r="O41" s="245">
        <v>14</v>
      </c>
      <c r="P41" s="245">
        <v>15</v>
      </c>
      <c r="Q41" s="245">
        <v>16</v>
      </c>
    </row>
    <row r="42" spans="1:18">
      <c r="A42" t="s">
        <v>1315</v>
      </c>
      <c r="B42" s="124" t="s">
        <v>1299</v>
      </c>
      <c r="C42" s="124" t="s">
        <v>1300</v>
      </c>
      <c r="D42" s="124" t="s">
        <v>1301</v>
      </c>
      <c r="E42" s="124" t="s">
        <v>1302</v>
      </c>
      <c r="F42" s="124" t="s">
        <v>1303</v>
      </c>
      <c r="G42" s="124" t="s">
        <v>1304</v>
      </c>
      <c r="H42" s="124" t="s">
        <v>1305</v>
      </c>
      <c r="I42" s="124" t="s">
        <v>1306</v>
      </c>
      <c r="J42" s="124" t="s">
        <v>1307</v>
      </c>
      <c r="K42" s="124" t="s">
        <v>1308</v>
      </c>
      <c r="L42" s="124" t="s">
        <v>1309</v>
      </c>
      <c r="M42" s="124" t="s">
        <v>1310</v>
      </c>
      <c r="N42" s="124" t="s">
        <v>1311</v>
      </c>
      <c r="O42" s="124" t="s">
        <v>1312</v>
      </c>
      <c r="P42" s="124" t="s">
        <v>1313</v>
      </c>
      <c r="Q42" s="124" t="s">
        <v>1314</v>
      </c>
    </row>
    <row r="43" spans="1:18">
      <c r="A43" t="s">
        <v>776</v>
      </c>
      <c r="B43" s="245">
        <v>725945</v>
      </c>
      <c r="C43" s="245">
        <v>724957</v>
      </c>
      <c r="D43" s="245">
        <v>724930</v>
      </c>
      <c r="E43" s="245">
        <v>724945</v>
      </c>
      <c r="F43" s="245">
        <v>723940</v>
      </c>
      <c r="G43" s="254">
        <v>722950</v>
      </c>
      <c r="H43" s="245">
        <v>722900</v>
      </c>
      <c r="I43" s="245">
        <v>722976</v>
      </c>
      <c r="J43" s="245">
        <v>722880</v>
      </c>
      <c r="K43" s="245">
        <v>722869</v>
      </c>
      <c r="L43" s="245">
        <v>725910</v>
      </c>
      <c r="M43" s="245">
        <v>724830</v>
      </c>
      <c r="N43" s="245">
        <v>723890</v>
      </c>
      <c r="O43" s="245">
        <v>723820</v>
      </c>
      <c r="P43" s="245">
        <v>747187</v>
      </c>
      <c r="Q43" s="245">
        <v>725845</v>
      </c>
    </row>
    <row r="44" spans="1:18">
      <c r="A44" t="s">
        <v>1381</v>
      </c>
      <c r="B44">
        <v>0.56000000000000005</v>
      </c>
      <c r="C44">
        <v>0.49</v>
      </c>
      <c r="D44">
        <v>0.54</v>
      </c>
      <c r="E44">
        <v>0.48</v>
      </c>
      <c r="F44">
        <v>0.52</v>
      </c>
      <c r="G44">
        <v>0.42</v>
      </c>
      <c r="H44">
        <v>0.38</v>
      </c>
      <c r="I44">
        <v>0.34</v>
      </c>
      <c r="J44">
        <v>0.39</v>
      </c>
      <c r="K44">
        <v>0.42</v>
      </c>
      <c r="L44">
        <v>0.5</v>
      </c>
      <c r="M44">
        <v>0.51</v>
      </c>
      <c r="N44">
        <v>0.45</v>
      </c>
      <c r="O44">
        <v>0.56999999999999995</v>
      </c>
      <c r="P44">
        <v>0.46</v>
      </c>
      <c r="Q44">
        <v>0.44</v>
      </c>
    </row>
    <row r="45" spans="1:18">
      <c r="A45" s="183" t="s">
        <v>1202</v>
      </c>
      <c r="B45">
        <v>41</v>
      </c>
      <c r="C45">
        <v>39</v>
      </c>
      <c r="D45">
        <v>37</v>
      </c>
      <c r="E45">
        <v>37</v>
      </c>
      <c r="F45">
        <v>34</v>
      </c>
      <c r="G45">
        <v>34</v>
      </c>
      <c r="H45">
        <v>33</v>
      </c>
      <c r="I45">
        <v>34</v>
      </c>
      <c r="J45">
        <v>34</v>
      </c>
      <c r="K45">
        <v>34</v>
      </c>
      <c r="L45">
        <v>40</v>
      </c>
      <c r="M45">
        <v>38</v>
      </c>
      <c r="N45">
        <v>36</v>
      </c>
      <c r="O45">
        <v>34</v>
      </c>
      <c r="P45">
        <v>33</v>
      </c>
      <c r="Q45">
        <v>39</v>
      </c>
    </row>
    <row r="46" spans="1:18">
      <c r="A46" s="457" t="s">
        <v>1378</v>
      </c>
      <c r="B46">
        <v>33</v>
      </c>
      <c r="C46">
        <v>29</v>
      </c>
      <c r="D46">
        <v>36</v>
      </c>
      <c r="E46">
        <v>38</v>
      </c>
      <c r="F46">
        <v>35</v>
      </c>
      <c r="G46">
        <v>45</v>
      </c>
      <c r="H46">
        <v>44</v>
      </c>
      <c r="I46">
        <v>37</v>
      </c>
      <c r="J46">
        <v>41</v>
      </c>
      <c r="K46">
        <v>35</v>
      </c>
      <c r="L46">
        <v>32</v>
      </c>
      <c r="M46">
        <v>32</v>
      </c>
      <c r="N46">
        <v>32</v>
      </c>
      <c r="O46">
        <v>24</v>
      </c>
      <c r="P46">
        <v>35</v>
      </c>
      <c r="Q46">
        <v>24</v>
      </c>
    </row>
    <row r="47" spans="1:18">
      <c r="A47" s="457" t="s">
        <v>1379</v>
      </c>
      <c r="B47">
        <v>69</v>
      </c>
      <c r="C47">
        <v>96</v>
      </c>
      <c r="D47">
        <v>80</v>
      </c>
      <c r="E47">
        <v>89</v>
      </c>
      <c r="F47">
        <v>82</v>
      </c>
      <c r="G47">
        <v>81</v>
      </c>
      <c r="H47">
        <v>82</v>
      </c>
      <c r="I47">
        <v>91</v>
      </c>
      <c r="J47">
        <v>95</v>
      </c>
      <c r="K47">
        <v>99</v>
      </c>
      <c r="L47">
        <v>102</v>
      </c>
      <c r="M47">
        <v>97</v>
      </c>
      <c r="N47">
        <v>101</v>
      </c>
      <c r="O47">
        <v>98</v>
      </c>
      <c r="P47">
        <v>110</v>
      </c>
      <c r="Q47">
        <v>81</v>
      </c>
    </row>
    <row r="48" spans="1:18">
      <c r="A48" s="245" t="s">
        <v>1206</v>
      </c>
      <c r="B48">
        <v>60</v>
      </c>
      <c r="C48">
        <v>68</v>
      </c>
      <c r="D48">
        <v>63</v>
      </c>
      <c r="E48">
        <v>66</v>
      </c>
      <c r="F48">
        <v>62</v>
      </c>
      <c r="G48">
        <v>64</v>
      </c>
      <c r="H48">
        <v>70</v>
      </c>
      <c r="I48">
        <v>70</v>
      </c>
      <c r="J48">
        <v>69</v>
      </c>
      <c r="K48">
        <v>67</v>
      </c>
      <c r="L48">
        <v>69</v>
      </c>
      <c r="M48">
        <v>68</v>
      </c>
      <c r="N48">
        <v>70</v>
      </c>
      <c r="O48">
        <v>67</v>
      </c>
      <c r="P48">
        <v>66</v>
      </c>
      <c r="Q48">
        <v>57</v>
      </c>
    </row>
    <row r="49" spans="1:17">
      <c r="A49" s="245" t="s">
        <v>1207</v>
      </c>
      <c r="B49">
        <v>5</v>
      </c>
      <c r="C49">
        <v>0</v>
      </c>
      <c r="D49">
        <v>1</v>
      </c>
      <c r="E49">
        <v>1</v>
      </c>
      <c r="F49">
        <v>-7</v>
      </c>
      <c r="G49">
        <v>8</v>
      </c>
      <c r="H49">
        <v>33</v>
      </c>
      <c r="I49">
        <v>19</v>
      </c>
      <c r="J49">
        <v>7</v>
      </c>
      <c r="K49">
        <v>-9</v>
      </c>
      <c r="L49">
        <v>-4</v>
      </c>
      <c r="M49">
        <v>-1</v>
      </c>
      <c r="N49">
        <v>3</v>
      </c>
      <c r="O49">
        <v>-18</v>
      </c>
      <c r="P49">
        <v>-11</v>
      </c>
      <c r="Q49">
        <v>-28</v>
      </c>
    </row>
    <row r="50" spans="1:17">
      <c r="A50" s="245" t="s">
        <v>1203</v>
      </c>
      <c r="B50" t="s">
        <v>216</v>
      </c>
      <c r="C50" t="s">
        <v>1209</v>
      </c>
      <c r="D50" t="s">
        <v>1208</v>
      </c>
      <c r="E50" t="s">
        <v>1209</v>
      </c>
      <c r="F50" t="s">
        <v>1208</v>
      </c>
      <c r="G50" t="s">
        <v>216</v>
      </c>
      <c r="H50" t="s">
        <v>216</v>
      </c>
      <c r="I50" t="s">
        <v>1209</v>
      </c>
      <c r="J50" t="s">
        <v>1208</v>
      </c>
      <c r="K50" t="s">
        <v>1209</v>
      </c>
      <c r="L50" t="s">
        <v>1209</v>
      </c>
      <c r="M50" t="s">
        <v>1209</v>
      </c>
      <c r="N50" t="s">
        <v>1209</v>
      </c>
      <c r="O50" t="s">
        <v>1209</v>
      </c>
      <c r="P50" t="s">
        <v>1209</v>
      </c>
      <c r="Q50" t="s">
        <v>1208</v>
      </c>
    </row>
    <row r="51" spans="1:17">
      <c r="A51" s="245" t="s">
        <v>1386</v>
      </c>
      <c r="B51" t="s">
        <v>1380</v>
      </c>
    </row>
    <row r="52" spans="1:17">
      <c r="A52" s="245"/>
      <c r="B52" t="str">
        <f>CONCATENATE(B43,"TYA.csv","")</f>
        <v>725945TYA.csv</v>
      </c>
      <c r="C52" s="245" t="str">
        <f>CONCATENATE(C43,"TYA.csv","")</f>
        <v>724957TYA.csv</v>
      </c>
      <c r="D52" s="245" t="str">
        <f>CONCATENATE(D43,"TYA.csv","")</f>
        <v>724930TYA.csv</v>
      </c>
      <c r="E52" s="245" t="str">
        <f>CONCATENATE(E43,"TYA.csv","")</f>
        <v>724945TYA.csv</v>
      </c>
      <c r="F52" s="245" t="str">
        <f>CONCATENATE(F43,"TYA.csv","")</f>
        <v>723940TYA.csv</v>
      </c>
      <c r="G52" s="245" t="str">
        <f>CONCATENATE(G43,"TYA.csv","")</f>
        <v>722950TYA.csv</v>
      </c>
      <c r="H52" s="245" t="str">
        <f>CONCATENATE(H43,"TYA.csv","")</f>
        <v>722900TYA.csv</v>
      </c>
      <c r="I52" s="245" t="str">
        <f>CONCATENATE(I43,"TYA.csv","")</f>
        <v>722976TYA.csv</v>
      </c>
      <c r="J52" s="245" t="str">
        <f>CONCATENATE(J43,"TYA.csv","")</f>
        <v>722880TYA.csv</v>
      </c>
      <c r="K52" s="245" t="str">
        <f>CONCATENATE(K43,"TYA.csv","")</f>
        <v>722869TYA.csv</v>
      </c>
      <c r="L52" s="245" t="str">
        <f>CONCATENATE(L43,"TYA.csv","")</f>
        <v>725910TYA.csv</v>
      </c>
      <c r="M52" s="245" t="str">
        <f>CONCATENATE(M43,"TYA.csv","")</f>
        <v>724830TYA.csv</v>
      </c>
      <c r="N52" s="245" t="str">
        <f>CONCATENATE(N43,"TYA.csv","")</f>
        <v>723890TYA.csv</v>
      </c>
      <c r="O52" s="245" t="str">
        <f>CONCATENATE(O43,"TYA.csv","")</f>
        <v>723820TYA.csv</v>
      </c>
      <c r="P52" s="245" t="str">
        <f>CONCATENATE(P43,"TYA.csv","")</f>
        <v>747187TYA.csv</v>
      </c>
      <c r="Q52" s="245" t="str">
        <f>CONCATENATE(Q43,"TYA.csv","")</f>
        <v>725845TYA.csv</v>
      </c>
    </row>
    <row r="53" spans="1:17">
      <c r="B53" s="245" t="s">
        <v>1199</v>
      </c>
    </row>
    <row r="54" spans="1:17">
      <c r="B54" s="245" t="s">
        <v>1200</v>
      </c>
    </row>
    <row r="55" spans="1:17">
      <c r="B55" s="245" t="s">
        <v>1201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02" t="s">
        <v>1033</v>
      </c>
    </row>
    <row r="2" spans="1:3">
      <c r="A2" t="s">
        <v>1040</v>
      </c>
      <c r="B2" t="s">
        <v>1041</v>
      </c>
    </row>
    <row r="7" spans="1:3">
      <c r="A7" t="s">
        <v>1032</v>
      </c>
      <c r="B7" s="376" t="str">
        <f>DehumidType</f>
        <v>No</v>
      </c>
    </row>
    <row r="8" spans="1:3">
      <c r="A8" s="245" t="s">
        <v>1035</v>
      </c>
      <c r="B8" s="418">
        <f>IF(B7="Yes", (IF(A_houseFT&lt;2500,-10,10) + (55-B10)*2 + (18-'Internal gains'!D11*2.2)*(-5/6) + 65), 0)</f>
        <v>0</v>
      </c>
      <c r="C8" s="245"/>
    </row>
    <row r="9" spans="1:3">
      <c r="A9" s="245" t="s">
        <v>1036</v>
      </c>
      <c r="B9" s="419">
        <v>1.85</v>
      </c>
      <c r="C9" s="245"/>
    </row>
    <row r="10" spans="1:3">
      <c r="A10" s="245" t="s">
        <v>1037</v>
      </c>
      <c r="B10" s="419">
        <v>55</v>
      </c>
      <c r="C10" s="245"/>
    </row>
    <row r="11" spans="1:3">
      <c r="A11" s="245" t="s">
        <v>1038</v>
      </c>
      <c r="B11" s="419">
        <v>2.5</v>
      </c>
      <c r="C11" s="245" t="s">
        <v>1039</v>
      </c>
    </row>
    <row r="14" spans="1:3">
      <c r="A14" t="s">
        <v>1042</v>
      </c>
    </row>
    <row r="15" spans="1:3">
      <c r="A15" t="s">
        <v>1043</v>
      </c>
      <c r="B15" t="s">
        <v>1044</v>
      </c>
    </row>
    <row r="16" spans="1:3">
      <c r="A16" t="s">
        <v>1045</v>
      </c>
      <c r="B16">
        <v>1.85</v>
      </c>
    </row>
    <row r="17" spans="1:9">
      <c r="A17" t="s">
        <v>1046</v>
      </c>
      <c r="B17">
        <v>2.8</v>
      </c>
    </row>
    <row r="19" spans="1:9" ht="15" thickBot="1">
      <c r="A19" t="s">
        <v>1048</v>
      </c>
      <c r="E19" s="126" t="s">
        <v>1047</v>
      </c>
    </row>
    <row r="20" spans="1:9" ht="28">
      <c r="A20" s="366" t="s">
        <v>1050</v>
      </c>
      <c r="B20" s="367" t="s">
        <v>1037</v>
      </c>
      <c r="C20" s="367" t="s">
        <v>1051</v>
      </c>
      <c r="D20" s="368" t="s">
        <v>1035</v>
      </c>
      <c r="E20" t="s">
        <v>802</v>
      </c>
      <c r="F20" t="s">
        <v>1049</v>
      </c>
      <c r="G20" t="s">
        <v>1054</v>
      </c>
      <c r="H20" t="s">
        <v>176</v>
      </c>
    </row>
    <row r="21" spans="1:9">
      <c r="A21" s="369" t="s">
        <v>1052</v>
      </c>
      <c r="B21" s="370">
        <v>0.5</v>
      </c>
      <c r="C21" s="235">
        <v>12</v>
      </c>
      <c r="D21" s="371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65">
        <f>SUM(E21:G21)</f>
        <v>-4.9999999999999911</v>
      </c>
      <c r="I21" s="365">
        <f>H21+65</f>
        <v>60.000000000000007</v>
      </c>
    </row>
    <row r="22" spans="1:9">
      <c r="A22" s="369" t="s">
        <v>1052</v>
      </c>
      <c r="B22" s="370">
        <v>0.5</v>
      </c>
      <c r="C22" s="235">
        <v>24</v>
      </c>
      <c r="D22" s="371">
        <v>70</v>
      </c>
      <c r="E22" s="245">
        <f>A$29</f>
        <v>-10</v>
      </c>
      <c r="F22" s="245">
        <f t="shared" si="0"/>
        <v>10.000000000000009</v>
      </c>
      <c r="G22" s="245">
        <f t="shared" si="1"/>
        <v>5</v>
      </c>
      <c r="H22" s="365">
        <f t="shared" ref="H22:H28" si="2">SUM(E22:G22)</f>
        <v>5.0000000000000089</v>
      </c>
      <c r="I22" s="365">
        <f t="shared" ref="I22:I28" si="3">H22+65</f>
        <v>70.000000000000014</v>
      </c>
    </row>
    <row r="23" spans="1:9">
      <c r="A23" s="369" t="s">
        <v>1052</v>
      </c>
      <c r="B23" s="370">
        <v>0.6</v>
      </c>
      <c r="C23" s="235">
        <v>12</v>
      </c>
      <c r="D23" s="371">
        <v>40</v>
      </c>
      <c r="E23" s="245">
        <f>A$29</f>
        <v>-10</v>
      </c>
      <c r="F23" s="245">
        <f t="shared" si="0"/>
        <v>-9.9999999999999858</v>
      </c>
      <c r="G23" s="245">
        <f t="shared" si="1"/>
        <v>-5</v>
      </c>
      <c r="H23" s="365">
        <f t="shared" si="2"/>
        <v>-24.999999999999986</v>
      </c>
      <c r="I23" s="365">
        <f t="shared" si="3"/>
        <v>40.000000000000014</v>
      </c>
    </row>
    <row r="24" spans="1:9">
      <c r="A24" s="369" t="s">
        <v>1052</v>
      </c>
      <c r="B24" s="370">
        <v>0.6</v>
      </c>
      <c r="C24" s="235">
        <v>24</v>
      </c>
      <c r="D24" s="371">
        <v>50</v>
      </c>
      <c r="E24" s="245">
        <f>A$29</f>
        <v>-10</v>
      </c>
      <c r="F24" s="245">
        <f t="shared" si="0"/>
        <v>-9.9999999999999858</v>
      </c>
      <c r="G24" s="245">
        <f t="shared" si="1"/>
        <v>5</v>
      </c>
      <c r="H24" s="365">
        <f t="shared" si="2"/>
        <v>-14.999999999999986</v>
      </c>
      <c r="I24" s="365">
        <f t="shared" si="3"/>
        <v>50.000000000000014</v>
      </c>
    </row>
    <row r="25" spans="1:9">
      <c r="A25" s="369" t="s">
        <v>1053</v>
      </c>
      <c r="B25" s="370">
        <v>0.5</v>
      </c>
      <c r="C25" s="235">
        <v>12</v>
      </c>
      <c r="D25" s="371">
        <v>80</v>
      </c>
      <c r="E25" s="245">
        <f>A$30</f>
        <v>10</v>
      </c>
      <c r="F25" s="245">
        <f t="shared" si="0"/>
        <v>10.000000000000009</v>
      </c>
      <c r="G25" s="245">
        <f t="shared" si="1"/>
        <v>-5</v>
      </c>
      <c r="H25" s="365">
        <f t="shared" si="2"/>
        <v>15.000000000000007</v>
      </c>
      <c r="I25" s="365">
        <f t="shared" si="3"/>
        <v>80</v>
      </c>
    </row>
    <row r="26" spans="1:9">
      <c r="A26" s="369" t="s">
        <v>1053</v>
      </c>
      <c r="B26" s="370">
        <v>0.5</v>
      </c>
      <c r="C26" s="235">
        <v>24</v>
      </c>
      <c r="D26" s="371">
        <v>90</v>
      </c>
      <c r="E26" s="245">
        <f>A$30</f>
        <v>10</v>
      </c>
      <c r="F26" s="245">
        <f t="shared" si="0"/>
        <v>10.000000000000009</v>
      </c>
      <c r="G26" s="245">
        <f t="shared" si="1"/>
        <v>5</v>
      </c>
      <c r="H26" s="365">
        <f t="shared" si="2"/>
        <v>25.000000000000007</v>
      </c>
      <c r="I26" s="365">
        <f t="shared" si="3"/>
        <v>90</v>
      </c>
    </row>
    <row r="27" spans="1:9">
      <c r="A27" s="369" t="s">
        <v>1053</v>
      </c>
      <c r="B27" s="370">
        <v>0.6</v>
      </c>
      <c r="C27" s="235">
        <v>12</v>
      </c>
      <c r="D27" s="371">
        <v>60</v>
      </c>
      <c r="E27" s="245">
        <f>A$30</f>
        <v>10</v>
      </c>
      <c r="F27" s="245">
        <f t="shared" si="0"/>
        <v>-9.9999999999999858</v>
      </c>
      <c r="G27" s="245">
        <f t="shared" si="1"/>
        <v>-5</v>
      </c>
      <c r="H27" s="365">
        <f t="shared" si="2"/>
        <v>-4.9999999999999858</v>
      </c>
      <c r="I27" s="365">
        <f t="shared" si="3"/>
        <v>60.000000000000014</v>
      </c>
    </row>
    <row r="28" spans="1:9" ht="15" thickBot="1">
      <c r="A28" s="372" t="s">
        <v>1053</v>
      </c>
      <c r="B28" s="373">
        <v>0.6</v>
      </c>
      <c r="C28" s="374">
        <v>24</v>
      </c>
      <c r="D28" s="375">
        <v>70</v>
      </c>
      <c r="E28" s="245">
        <f>A$30</f>
        <v>10</v>
      </c>
      <c r="F28" s="245">
        <f t="shared" si="0"/>
        <v>-9.9999999999999858</v>
      </c>
      <c r="G28" s="245">
        <f t="shared" si="1"/>
        <v>5</v>
      </c>
      <c r="H28" s="365">
        <f t="shared" si="2"/>
        <v>5.0000000000000142</v>
      </c>
      <c r="I28" s="365">
        <f t="shared" si="3"/>
        <v>70.000000000000014</v>
      </c>
    </row>
    <row r="29" spans="1:9" s="245" customFormat="1">
      <c r="A29" s="245">
        <v>-10</v>
      </c>
      <c r="B29" s="245">
        <v>10</v>
      </c>
      <c r="C29" s="245">
        <v>-5</v>
      </c>
    </row>
    <row r="30" spans="1:9">
      <c r="A30">
        <v>10</v>
      </c>
      <c r="B30" s="245">
        <v>-10</v>
      </c>
      <c r="C30" s="245">
        <v>5</v>
      </c>
    </row>
    <row r="33" spans="1:5">
      <c r="A33" s="285"/>
    </row>
    <row r="34" spans="1:5">
      <c r="B34" s="285" t="s">
        <v>802</v>
      </c>
      <c r="C34" s="285" t="s">
        <v>806</v>
      </c>
      <c r="D34" s="285" t="s">
        <v>1116</v>
      </c>
    </row>
    <row r="35" spans="1:5">
      <c r="B35" t="s">
        <v>803</v>
      </c>
      <c r="C35" t="s">
        <v>808</v>
      </c>
      <c r="D35" s="363">
        <v>46</v>
      </c>
      <c r="E35" s="363"/>
    </row>
    <row r="36" spans="1:5">
      <c r="C36" t="s">
        <v>807</v>
      </c>
      <c r="D36" s="363">
        <v>52</v>
      </c>
      <c r="E36" s="364"/>
    </row>
    <row r="37" spans="1:5">
      <c r="A37" s="362"/>
      <c r="C37" t="s">
        <v>809</v>
      </c>
      <c r="D37" s="362">
        <v>62</v>
      </c>
      <c r="E37" s="362"/>
    </row>
    <row r="38" spans="1:5">
      <c r="A38" s="362"/>
      <c r="B38" s="364" t="s">
        <v>807</v>
      </c>
      <c r="C38" s="245" t="s">
        <v>808</v>
      </c>
      <c r="D38" s="363">
        <v>46</v>
      </c>
      <c r="E38" s="362"/>
    </row>
    <row r="39" spans="1:5">
      <c r="C39" s="245" t="s">
        <v>807</v>
      </c>
      <c r="D39" s="363">
        <v>52</v>
      </c>
    </row>
    <row r="40" spans="1:5">
      <c r="C40" s="245" t="s">
        <v>809</v>
      </c>
      <c r="D40" s="362">
        <v>62</v>
      </c>
    </row>
    <row r="41" spans="1:5">
      <c r="B41" s="362" t="s">
        <v>804</v>
      </c>
      <c r="C41" s="245" t="s">
        <v>808</v>
      </c>
      <c r="D41" s="363">
        <v>66</v>
      </c>
    </row>
    <row r="42" spans="1:5">
      <c r="C42" s="245" t="s">
        <v>807</v>
      </c>
      <c r="D42" s="363">
        <v>72</v>
      </c>
    </row>
    <row r="43" spans="1:5">
      <c r="C43" s="245" t="s">
        <v>809</v>
      </c>
      <c r="D43" s="36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I18" sqref="I18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45" customFormat="1">
      <c r="A1" s="438" t="s">
        <v>1149</v>
      </c>
      <c r="B1" s="438"/>
      <c r="C1" s="438"/>
      <c r="D1" s="438"/>
      <c r="E1" s="438"/>
      <c r="F1" s="438"/>
      <c r="G1" s="438"/>
      <c r="H1" s="438"/>
    </row>
    <row r="2" spans="1:8" ht="15">
      <c r="A2" s="439" t="s">
        <v>1141</v>
      </c>
      <c r="B2" s="538" t="s">
        <v>1150</v>
      </c>
      <c r="C2" s="538"/>
      <c r="D2" s="538"/>
      <c r="E2" s="440"/>
      <c r="F2" s="440"/>
      <c r="G2" s="440"/>
      <c r="H2" s="438"/>
    </row>
    <row r="3" spans="1:8">
      <c r="A3" s="441">
        <v>1</v>
      </c>
      <c r="B3" s="442">
        <v>0.48</v>
      </c>
      <c r="C3" s="438"/>
      <c r="D3" s="438"/>
      <c r="E3" s="438"/>
      <c r="F3" s="438"/>
      <c r="G3" s="438"/>
      <c r="H3" s="438"/>
    </row>
    <row r="4" spans="1:8">
      <c r="A4" s="441">
        <v>2</v>
      </c>
      <c r="B4" s="442">
        <v>0.59</v>
      </c>
      <c r="C4" s="438"/>
      <c r="D4" s="438"/>
      <c r="E4" s="438"/>
      <c r="F4" s="438"/>
      <c r="G4" s="438"/>
      <c r="H4" s="438"/>
    </row>
    <row r="5" spans="1:8">
      <c r="A5" s="441">
        <v>3</v>
      </c>
      <c r="B5" s="442">
        <v>0.67</v>
      </c>
      <c r="C5" s="438"/>
      <c r="D5" s="438"/>
      <c r="E5" s="438"/>
      <c r="F5" s="438"/>
      <c r="G5" s="438"/>
      <c r="H5" s="438"/>
    </row>
    <row r="6" spans="1:8">
      <c r="A6" s="438"/>
      <c r="B6" s="438"/>
      <c r="C6" s="438"/>
      <c r="D6" s="438"/>
      <c r="E6" s="438"/>
      <c r="F6" s="438"/>
      <c r="G6" s="438"/>
      <c r="H6" s="438"/>
    </row>
    <row r="7" spans="1:8">
      <c r="A7" s="438"/>
      <c r="B7" s="438"/>
      <c r="C7" s="438"/>
      <c r="D7" s="438"/>
      <c r="E7" s="438"/>
      <c r="F7" s="438"/>
      <c r="G7" s="438"/>
      <c r="H7" s="438"/>
    </row>
    <row r="8" spans="1:8" ht="14" customHeight="1">
      <c r="A8" s="443"/>
      <c r="B8" s="443"/>
      <c r="D8" s="449"/>
      <c r="E8" s="440"/>
      <c r="F8" s="440"/>
      <c r="G8" s="440"/>
      <c r="H8" s="438"/>
    </row>
    <row r="9" spans="1:8" ht="22">
      <c r="A9" s="444" t="s">
        <v>1142</v>
      </c>
      <c r="B9" t="s">
        <v>1151</v>
      </c>
      <c r="C9" s="445" t="s">
        <v>1143</v>
      </c>
      <c r="D9" s="450"/>
      <c r="E9" s="440"/>
      <c r="F9" s="440"/>
      <c r="G9" s="440"/>
      <c r="H9" s="438"/>
    </row>
    <row r="10" spans="1:8">
      <c r="A10" s="439" t="s">
        <v>1161</v>
      </c>
      <c r="B10" t="s">
        <v>1127</v>
      </c>
      <c r="C10" s="442">
        <v>0.5</v>
      </c>
      <c r="D10" s="451"/>
      <c r="E10" s="440"/>
      <c r="F10" s="440"/>
      <c r="G10" s="440"/>
      <c r="H10" s="438"/>
    </row>
    <row r="11" spans="1:8">
      <c r="A11" s="441">
        <v>1</v>
      </c>
      <c r="B11" t="s">
        <v>1034</v>
      </c>
      <c r="C11" s="442">
        <v>0.7</v>
      </c>
      <c r="D11" s="451"/>
      <c r="E11" s="440"/>
      <c r="F11" s="440"/>
      <c r="G11" s="440"/>
      <c r="H11" s="438"/>
    </row>
    <row r="12" spans="1:8">
      <c r="A12" s="441">
        <v>2</v>
      </c>
      <c r="B12" t="s">
        <v>1034</v>
      </c>
      <c r="C12" s="442">
        <v>0.64</v>
      </c>
      <c r="D12" s="451"/>
      <c r="E12" s="438"/>
      <c r="F12" s="438"/>
      <c r="G12" s="438"/>
      <c r="H12" s="438"/>
    </row>
    <row r="13" spans="1:8">
      <c r="A13" s="441">
        <v>3</v>
      </c>
      <c r="B13" t="s">
        <v>1034</v>
      </c>
      <c r="C13" s="442">
        <v>0.61</v>
      </c>
      <c r="D13" s="451"/>
      <c r="E13" s="438"/>
      <c r="F13" s="438"/>
      <c r="G13" s="438"/>
      <c r="H13" s="438"/>
    </row>
    <row r="14" spans="1:8" s="245" customFormat="1">
      <c r="A14" s="439"/>
      <c r="B14" s="442"/>
      <c r="C14" s="438"/>
      <c r="D14" s="438"/>
      <c r="E14" s="438"/>
      <c r="F14" s="438"/>
      <c r="G14" s="438"/>
      <c r="H14" s="438"/>
    </row>
    <row r="15" spans="1:8" ht="14" customHeight="1">
      <c r="A15" s="438"/>
      <c r="B15" s="438"/>
      <c r="C15" s="438"/>
      <c r="D15" s="438"/>
      <c r="E15" s="438"/>
      <c r="F15" s="438"/>
      <c r="G15" s="438"/>
      <c r="H15" s="438"/>
    </row>
    <row r="16" spans="1:8">
      <c r="A16" s="446" t="s">
        <v>1153</v>
      </c>
      <c r="B16" s="438"/>
      <c r="C16" s="438"/>
      <c r="D16" s="438"/>
      <c r="E16" s="438"/>
      <c r="F16" s="438"/>
      <c r="G16" s="438"/>
      <c r="H16" s="438"/>
    </row>
    <row r="17" spans="1:8" ht="22">
      <c r="A17" s="439" t="s">
        <v>1141</v>
      </c>
      <c r="B17" s="437" t="s">
        <v>1145</v>
      </c>
      <c r="C17" s="442" t="s">
        <v>1147</v>
      </c>
      <c r="D17" s="442" t="s">
        <v>1148</v>
      </c>
      <c r="E17" s="438"/>
      <c r="F17" s="438"/>
      <c r="G17" s="438"/>
      <c r="H17" s="438"/>
    </row>
    <row r="18" spans="1:8">
      <c r="A18" s="447">
        <v>1</v>
      </c>
      <c r="B18" s="437" t="s">
        <v>1144</v>
      </c>
      <c r="C18" s="442">
        <v>0.156</v>
      </c>
      <c r="D18" s="442">
        <v>0.128</v>
      </c>
      <c r="E18" s="438"/>
      <c r="F18" s="438"/>
      <c r="G18" s="438"/>
      <c r="H18" s="438"/>
    </row>
    <row r="19" spans="1:8">
      <c r="A19" s="447">
        <v>2</v>
      </c>
      <c r="B19" s="437" t="s">
        <v>1144</v>
      </c>
      <c r="C19" s="442">
        <v>0.17</v>
      </c>
      <c r="D19" s="442">
        <v>0.14199999999999999</v>
      </c>
      <c r="E19" s="438"/>
      <c r="F19" s="438"/>
      <c r="G19" s="438"/>
      <c r="H19" s="438"/>
    </row>
    <row r="20" spans="1:8">
      <c r="A20" s="447">
        <v>3</v>
      </c>
      <c r="B20" s="437" t="s">
        <v>1144</v>
      </c>
      <c r="C20" s="442">
        <v>0.17</v>
      </c>
      <c r="D20" s="442">
        <v>0.151</v>
      </c>
      <c r="E20" s="438"/>
      <c r="F20" s="438"/>
      <c r="G20" s="438"/>
      <c r="H20" s="438"/>
    </row>
    <row r="21" spans="1:8">
      <c r="A21" s="447">
        <v>1</v>
      </c>
      <c r="B21" s="437" t="s">
        <v>1146</v>
      </c>
      <c r="C21" s="442">
        <v>0.14199999999999999</v>
      </c>
      <c r="D21" s="442">
        <v>0.128</v>
      </c>
      <c r="E21" s="438"/>
      <c r="F21" s="438"/>
      <c r="G21" s="438"/>
      <c r="H21" s="438"/>
    </row>
    <row r="22" spans="1:8">
      <c r="A22" s="447">
        <v>2</v>
      </c>
      <c r="B22" s="437" t="s">
        <v>1146</v>
      </c>
      <c r="C22" s="442">
        <v>0.156</v>
      </c>
      <c r="D22" s="442">
        <v>0.14199999999999999</v>
      </c>
      <c r="E22" s="438"/>
      <c r="F22" s="438"/>
      <c r="G22" s="438"/>
      <c r="H22" s="438"/>
    </row>
    <row r="23" spans="1:8">
      <c r="A23" s="447">
        <v>3</v>
      </c>
      <c r="B23" s="437" t="s">
        <v>1146</v>
      </c>
      <c r="C23" s="442">
        <v>0.16700000000000001</v>
      </c>
      <c r="D23" s="442">
        <v>0.154</v>
      </c>
      <c r="E23" s="438"/>
      <c r="F23" s="438"/>
      <c r="G23" s="438"/>
      <c r="H23" s="438"/>
    </row>
    <row r="24" spans="1:8" s="245" customFormat="1">
      <c r="A24" s="447"/>
      <c r="B24" s="437"/>
      <c r="C24" s="442"/>
      <c r="D24" s="442"/>
      <c r="E24" s="438"/>
      <c r="F24" s="438"/>
      <c r="G24" s="438"/>
      <c r="H24" s="438"/>
    </row>
    <row r="25" spans="1:8" s="245" customFormat="1">
      <c r="A25" s="447"/>
      <c r="B25" s="437"/>
      <c r="C25" s="442"/>
      <c r="D25" s="442"/>
      <c r="E25" s="438"/>
      <c r="F25" s="438"/>
      <c r="G25" s="438"/>
      <c r="H25" s="438"/>
    </row>
    <row r="26" spans="1:8" ht="22">
      <c r="A26" s="444" t="s">
        <v>1154</v>
      </c>
      <c r="B26" s="438"/>
      <c r="C26" s="438"/>
      <c r="D26" s="438"/>
      <c r="E26" s="438"/>
      <c r="F26" s="438"/>
      <c r="G26" s="438"/>
      <c r="H26" s="438"/>
    </row>
    <row r="27" spans="1:8">
      <c r="A27" s="441" t="s">
        <v>1141</v>
      </c>
      <c r="B27" s="437" t="s">
        <v>1151</v>
      </c>
      <c r="C27" s="448" t="s">
        <v>1152</v>
      </c>
      <c r="D27" s="438"/>
      <c r="E27" s="438"/>
      <c r="F27" s="438"/>
      <c r="G27" s="438"/>
      <c r="H27" s="438"/>
    </row>
    <row r="28" spans="1:8">
      <c r="A28" s="441">
        <v>1</v>
      </c>
      <c r="B28" s="437" t="s">
        <v>1127</v>
      </c>
      <c r="C28" s="442">
        <v>5.3999999999999999E-2</v>
      </c>
      <c r="D28" s="438"/>
      <c r="E28" s="438"/>
      <c r="F28" s="438"/>
      <c r="G28" s="438"/>
      <c r="H28" s="438"/>
    </row>
    <row r="29" spans="1:8">
      <c r="A29" s="441">
        <v>2</v>
      </c>
      <c r="B29" s="437" t="s">
        <v>1127</v>
      </c>
      <c r="C29" s="442">
        <v>7.8E-2</v>
      </c>
      <c r="D29" s="438"/>
      <c r="E29" s="438"/>
      <c r="F29" s="438"/>
      <c r="G29" s="438"/>
      <c r="H29" s="438"/>
    </row>
    <row r="30" spans="1:8">
      <c r="A30" s="441">
        <v>3</v>
      </c>
      <c r="B30" s="437" t="s">
        <v>1127</v>
      </c>
      <c r="C30" s="442">
        <v>9.8000000000000004E-2</v>
      </c>
      <c r="D30" s="440"/>
      <c r="E30" s="440"/>
      <c r="F30" s="440"/>
      <c r="G30" s="440"/>
      <c r="H30" s="438"/>
    </row>
    <row r="31" spans="1:8">
      <c r="A31" s="441">
        <v>1</v>
      </c>
      <c r="B31" s="437" t="s">
        <v>1034</v>
      </c>
      <c r="C31" s="442">
        <v>6.9000000000000006E-2</v>
      </c>
      <c r="D31" s="440"/>
      <c r="E31" s="440"/>
      <c r="F31" s="440"/>
      <c r="G31" s="440"/>
      <c r="H31" s="438"/>
    </row>
    <row r="32" spans="1:8">
      <c r="A32" s="441">
        <v>2</v>
      </c>
      <c r="B32" s="437" t="s">
        <v>1034</v>
      </c>
      <c r="C32" s="442">
        <v>8.8999999999999996E-2</v>
      </c>
      <c r="D32" s="438"/>
      <c r="E32" s="438"/>
      <c r="F32" s="438"/>
      <c r="G32" s="440"/>
      <c r="H32" s="438"/>
    </row>
    <row r="33" spans="1:8">
      <c r="A33" s="441">
        <v>3</v>
      </c>
      <c r="B33" s="437" t="s">
        <v>1034</v>
      </c>
      <c r="C33" s="442">
        <v>0.107</v>
      </c>
      <c r="D33" s="438"/>
      <c r="E33" s="438"/>
      <c r="F33" s="438"/>
      <c r="G33" s="440"/>
      <c r="H33" s="438"/>
    </row>
    <row r="34" spans="1:8">
      <c r="A34" s="438"/>
      <c r="B34" s="438"/>
      <c r="C34" s="438"/>
      <c r="D34" s="438"/>
      <c r="E34" s="438"/>
      <c r="F34" s="438"/>
      <c r="G34" s="440"/>
      <c r="H34" s="438"/>
    </row>
    <row r="35" spans="1:8">
      <c r="A35" s="438"/>
      <c r="B35" s="438"/>
      <c r="C35" s="438"/>
      <c r="D35" s="438"/>
      <c r="E35" s="438"/>
      <c r="F35" s="438"/>
      <c r="G35" s="440"/>
      <c r="H35" s="438"/>
    </row>
    <row r="36" spans="1:8">
      <c r="A36" s="440"/>
      <c r="B36" s="440"/>
      <c r="C36" s="440"/>
      <c r="D36" s="440"/>
      <c r="E36" s="440"/>
      <c r="F36" s="440"/>
      <c r="G36" s="440"/>
      <c r="H36" s="438"/>
    </row>
    <row r="37" spans="1:8">
      <c r="A37" s="438"/>
      <c r="B37" s="438"/>
      <c r="C37" s="438"/>
      <c r="D37" s="438"/>
      <c r="E37" s="438"/>
      <c r="F37" s="438"/>
      <c r="G37" s="438"/>
      <c r="H37" s="438"/>
    </row>
    <row r="38" spans="1:8">
      <c r="A38" s="438"/>
      <c r="B38" s="444"/>
      <c r="C38" s="444"/>
      <c r="D38" s="444"/>
      <c r="E38" s="444"/>
      <c r="F38" s="444"/>
      <c r="G38" s="438"/>
      <c r="H38" s="438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2017-04-18T17:06:41Z</dcterms:modified>
</cp:coreProperties>
</file>