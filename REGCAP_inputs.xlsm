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7629" codeName="{B7FE6334-C1A2-E50D-BD3D-5F4D41BBC2E3}"/>
  <workbookPr codeName="ThisWorkbook" autoCompressPictures="0"/>
  <bookViews>
    <workbookView xWindow="1840" yWindow="0" windowWidth="25600" windowHeight="16060" tabRatio="775" activeTab="2"/>
  </bookViews>
  <sheets>
    <sheet name="Cover" sheetId="18" r:id="rId1"/>
    <sheet name="Parametrics" sheetId="16" r:id="rId2"/>
    <sheet name="Inputs" sheetId="15" r:id="rId3"/>
    <sheet name="InputFiles" sheetId="1" r:id="rId4"/>
    <sheet name="Geometry" sheetId="2" r:id="rId5"/>
    <sheet name="Leakage" sheetId="3" r:id="rId6"/>
    <sheet name="Flue" sheetId="4" r:id="rId7"/>
    <sheet name="UA" sheetId="5" r:id="rId8"/>
    <sheet name="Fans" sheetId="6" r:id="rId9"/>
    <sheet name="Internal gains" sheetId="7" r:id="rId10"/>
    <sheet name="Attic" sheetId="8" r:id="rId11"/>
    <sheet name="Ducts" sheetId="9" r:id="rId12"/>
    <sheet name="HVAC" sheetId="10" r:id="rId13"/>
    <sheet name="Weather" sheetId="12" r:id="rId14"/>
    <sheet name="Humidity" sheetId="13" r:id="rId15"/>
    <sheet name="Dehumidifier" sheetId="17" r:id="rId16"/>
    <sheet name="InfiltrationModelCoefficients" sheetId="19" r:id="rId17"/>
  </sheets>
  <definedNames>
    <definedName name="A_2nd_floor">Geometry!$D$10</definedName>
    <definedName name="A_atticSI">Geometry!#REF!</definedName>
    <definedName name="A_ceilingSI">Geometry!$D$9</definedName>
    <definedName name="A_doors_SI">Geometry!$D$17</definedName>
    <definedName name="A_houseFT">Geometry!$B$8</definedName>
    <definedName name="A_houseSI">Geometry!$D$8</definedName>
    <definedName name="A_wall">Geometry!$D$19</definedName>
    <definedName name="A_windowSI">Geometry!$D$16</definedName>
    <definedName name="Aeq">Fans!$L$2</definedName>
    <definedName name="Age">Parametrics!$C$22</definedName>
    <definedName name="Airtightness">Parametrics!$C$27</definedName>
    <definedName name="BaseName">Parametrics!$K$4</definedName>
    <definedName name="BatchFileName">Parametrics!$K$2</definedName>
    <definedName name="C_name" localSheetId="10">Parametrics!$K$4</definedName>
    <definedName name="C_name">Parametrics!$K$4</definedName>
    <definedName name="C_no">Parametrics!#REF!</definedName>
    <definedName name="DehumidType">Parametrics!$C$40</definedName>
    <definedName name="FanSize">Parametrics!$C$17</definedName>
    <definedName name="H_attic.ventSI">Geometry!$D$27</definedName>
    <definedName name="H_flueSI">Geometry!$D$29</definedName>
    <definedName name="H_peak">Geometry!$D$26</definedName>
    <definedName name="H_soffitSI">Geometry!$D$15</definedName>
    <definedName name="HomeSize">Parametrics!$C$2</definedName>
    <definedName name="HumControl">Parametrics!$G$2</definedName>
    <definedName name="InputFileData">InputFiles!$A$1</definedName>
    <definedName name="L_houseSI">Geometry!$D$6</definedName>
    <definedName name="luAge">Parametrics!$C$23:$C$24</definedName>
    <definedName name="luAirtightness">Parametrics!$C$28:$C$33</definedName>
    <definedName name="luDehumid">Parametrics!$C$41:$C$42</definedName>
    <definedName name="luFanSize">Parametrics!$C$18:$C$20</definedName>
    <definedName name="luHomeSize">Parametrics!$C$3:$C$5</definedName>
    <definedName name="luHumControl">Parametrics!$G$3:$G$23</definedName>
    <definedName name="luInputFile">Parametrics!$L$7:$L$23</definedName>
    <definedName name="luOccDensity">Parametrics!$C$8:$C$10</definedName>
    <definedName name="luStories">Parametrics!$C$13:$C$14</definedName>
    <definedName name="luVentSystem">Parametrics!$C$36:$C$37</definedName>
    <definedName name="n" comment="Pressure Exponent">Leakage!$D$14</definedName>
    <definedName name="N_windoor">Inputs!$C$42</definedName>
    <definedName name="NAtticFan">Inputs!$C$105</definedName>
    <definedName name="Navent">Inputs!$C$93</definedName>
    <definedName name="Nbedrooms">'Internal gains'!$B$23</definedName>
    <definedName name="Nfan">Inputs!$C$48</definedName>
    <definedName name="Nflue">Flue!$B$2</definedName>
    <definedName name="Noccupants">'Internal gains'!$B$22</definedName>
    <definedName name="OccDensity">Parametrics!$C$7</definedName>
    <definedName name="output_11">#REF!</definedName>
    <definedName name="overhang">Geometry!$D$30</definedName>
    <definedName name="planareaSI">Geometry!$D$9</definedName>
    <definedName name="Qtot">Fans!$L$2</definedName>
    <definedName name="rho_air">Leakage!$D$11</definedName>
    <definedName name="RIVEC_fans">Fans!$M$17:$Q$36</definedName>
    <definedName name="Stories" localSheetId="3">Parametrics!$C$12</definedName>
    <definedName name="Stories">Parametrics!$C$12</definedName>
    <definedName name="Type">Parametrics!$C$8:$C$9</definedName>
    <definedName name="V_atticSI">Geometry!#REF!</definedName>
    <definedName name="V_houseSI">Geometry!$D$20</definedName>
    <definedName name="VentSystem">Parametrics!$C$35</definedName>
    <definedName name="W_houseSI">Geometry!$D$7</definedName>
    <definedName name="ws">InputFiles!#REF!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41" i="1" l="1"/>
  <c r="E141" i="1"/>
  <c r="F141" i="1"/>
  <c r="G141" i="1"/>
  <c r="H141" i="1"/>
  <c r="I141" i="1"/>
  <c r="J141" i="1"/>
  <c r="K141" i="1"/>
  <c r="L141" i="1"/>
  <c r="M141" i="1"/>
  <c r="N141" i="1"/>
  <c r="O141" i="1"/>
  <c r="P141" i="1"/>
  <c r="Q141" i="1"/>
  <c r="R141" i="1"/>
  <c r="S141" i="1"/>
  <c r="C141" i="1"/>
  <c r="D15" i="2"/>
  <c r="H34" i="3"/>
  <c r="B9" i="6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C140" i="15"/>
  <c r="C140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P140" i="1"/>
  <c r="Q140" i="1"/>
  <c r="R140" i="1"/>
  <c r="S140" i="1"/>
  <c r="L3" i="6"/>
  <c r="L2" i="6"/>
  <c r="C12" i="15"/>
  <c r="C11" i="15"/>
  <c r="C9" i="15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C10" i="15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H32" i="3"/>
  <c r="H31" i="3"/>
  <c r="D9" i="3"/>
  <c r="D13" i="3"/>
  <c r="J24" i="10"/>
  <c r="K24" i="10"/>
  <c r="L24" i="10"/>
  <c r="M24" i="10"/>
  <c r="N24" i="10"/>
  <c r="O24" i="10"/>
  <c r="P24" i="10"/>
  <c r="Q24" i="10"/>
  <c r="R24" i="10"/>
  <c r="S24" i="10"/>
  <c r="G24" i="10"/>
  <c r="H24" i="10"/>
  <c r="I24" i="10"/>
  <c r="D24" i="10"/>
  <c r="E24" i="10"/>
  <c r="F24" i="10"/>
  <c r="C24" i="10"/>
  <c r="G18" i="10"/>
  <c r="D6" i="2"/>
  <c r="D7" i="2"/>
  <c r="D8" i="2"/>
  <c r="B8" i="2"/>
  <c r="G20" i="10"/>
  <c r="G22" i="10"/>
  <c r="G17" i="10"/>
  <c r="G19" i="10"/>
  <c r="G21" i="10"/>
  <c r="G23" i="10"/>
  <c r="G26" i="10"/>
  <c r="H18" i="10"/>
  <c r="H20" i="10"/>
  <c r="H22" i="10"/>
  <c r="H17" i="10"/>
  <c r="H19" i="10"/>
  <c r="H21" i="10"/>
  <c r="H23" i="10"/>
  <c r="H26" i="10"/>
  <c r="I18" i="10"/>
  <c r="I20" i="10"/>
  <c r="I22" i="10"/>
  <c r="I17" i="10"/>
  <c r="I19" i="10"/>
  <c r="I21" i="10"/>
  <c r="I23" i="10"/>
  <c r="I26" i="10"/>
  <c r="J18" i="10"/>
  <c r="J20" i="10"/>
  <c r="J22" i="10"/>
  <c r="J17" i="10"/>
  <c r="J19" i="10"/>
  <c r="J21" i="10"/>
  <c r="J23" i="10"/>
  <c r="J26" i="10"/>
  <c r="K18" i="10"/>
  <c r="K20" i="10"/>
  <c r="K22" i="10"/>
  <c r="K17" i="10"/>
  <c r="K19" i="10"/>
  <c r="K21" i="10"/>
  <c r="K23" i="10"/>
  <c r="K26" i="10"/>
  <c r="L18" i="10"/>
  <c r="L20" i="10"/>
  <c r="L22" i="10"/>
  <c r="L17" i="10"/>
  <c r="L19" i="10"/>
  <c r="L21" i="10"/>
  <c r="L23" i="10"/>
  <c r="L26" i="10"/>
  <c r="M18" i="10"/>
  <c r="M20" i="10"/>
  <c r="M22" i="10"/>
  <c r="M17" i="10"/>
  <c r="M19" i="10"/>
  <c r="M21" i="10"/>
  <c r="M23" i="10"/>
  <c r="M26" i="10"/>
  <c r="N18" i="10"/>
  <c r="N20" i="10"/>
  <c r="N22" i="10"/>
  <c r="N17" i="10"/>
  <c r="N19" i="10"/>
  <c r="N21" i="10"/>
  <c r="N23" i="10"/>
  <c r="N26" i="10"/>
  <c r="O18" i="10"/>
  <c r="O20" i="10"/>
  <c r="O22" i="10"/>
  <c r="O17" i="10"/>
  <c r="O19" i="10"/>
  <c r="O21" i="10"/>
  <c r="O23" i="10"/>
  <c r="O26" i="10"/>
  <c r="P18" i="10"/>
  <c r="P20" i="10"/>
  <c r="P22" i="10"/>
  <c r="P17" i="10"/>
  <c r="P19" i="10"/>
  <c r="P21" i="10"/>
  <c r="P23" i="10"/>
  <c r="P26" i="10"/>
  <c r="Q18" i="10"/>
  <c r="Q20" i="10"/>
  <c r="Q22" i="10"/>
  <c r="Q17" i="10"/>
  <c r="Q19" i="10"/>
  <c r="Q21" i="10"/>
  <c r="Q23" i="10"/>
  <c r="Q26" i="10"/>
  <c r="R18" i="10"/>
  <c r="R20" i="10"/>
  <c r="R22" i="10"/>
  <c r="R17" i="10"/>
  <c r="R19" i="10"/>
  <c r="R21" i="10"/>
  <c r="R23" i="10"/>
  <c r="R26" i="10"/>
  <c r="S18" i="10"/>
  <c r="S20" i="10"/>
  <c r="S22" i="10"/>
  <c r="S17" i="10"/>
  <c r="S19" i="10"/>
  <c r="S21" i="10"/>
  <c r="S23" i="10"/>
  <c r="S26" i="10"/>
  <c r="E18" i="10"/>
  <c r="E20" i="10"/>
  <c r="E22" i="10"/>
  <c r="E17" i="10"/>
  <c r="E19" i="10"/>
  <c r="E21" i="10"/>
  <c r="E23" i="10"/>
  <c r="E26" i="10"/>
  <c r="F18" i="10"/>
  <c r="F20" i="10"/>
  <c r="F22" i="10"/>
  <c r="F17" i="10"/>
  <c r="F19" i="10"/>
  <c r="F21" i="10"/>
  <c r="F23" i="10"/>
  <c r="F26" i="10"/>
  <c r="D18" i="10"/>
  <c r="D20" i="10"/>
  <c r="D22" i="10"/>
  <c r="D17" i="10"/>
  <c r="D19" i="10"/>
  <c r="D21" i="10"/>
  <c r="D23" i="10"/>
  <c r="D26" i="10"/>
  <c r="C18" i="10"/>
  <c r="C20" i="10"/>
  <c r="C22" i="10"/>
  <c r="C17" i="10"/>
  <c r="C19" i="10"/>
  <c r="C21" i="10"/>
  <c r="C23" i="10"/>
  <c r="C26" i="10"/>
  <c r="D25" i="10"/>
  <c r="E25" i="10"/>
  <c r="F25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S25" i="10"/>
  <c r="D27" i="10"/>
  <c r="E27" i="10"/>
  <c r="F27" i="10"/>
  <c r="G27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D28" i="10"/>
  <c r="E28" i="10"/>
  <c r="F28" i="10"/>
  <c r="G28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D58" i="10"/>
  <c r="J58" i="10"/>
  <c r="K58" i="10"/>
  <c r="D59" i="10"/>
  <c r="D60" i="10"/>
  <c r="D61" i="10"/>
  <c r="K61" i="10"/>
  <c r="D62" i="10"/>
  <c r="D63" i="10"/>
  <c r="D64" i="10"/>
  <c r="D65" i="10"/>
  <c r="J59" i="10"/>
  <c r="K59" i="10"/>
  <c r="J60" i="10"/>
  <c r="K60" i="10"/>
  <c r="J61" i="10"/>
  <c r="J62" i="10"/>
  <c r="K62" i="10"/>
  <c r="J63" i="10"/>
  <c r="K63" i="10"/>
  <c r="J64" i="10"/>
  <c r="K64" i="10"/>
  <c r="J65" i="10"/>
  <c r="K65" i="10"/>
  <c r="D66" i="10"/>
  <c r="J66" i="10"/>
  <c r="K66" i="10"/>
  <c r="D67" i="10"/>
  <c r="J67" i="10"/>
  <c r="K67" i="10"/>
  <c r="D68" i="10"/>
  <c r="J68" i="10"/>
  <c r="K68" i="10"/>
  <c r="D69" i="10"/>
  <c r="J69" i="10"/>
  <c r="K69" i="10"/>
  <c r="D70" i="10"/>
  <c r="J70" i="10"/>
  <c r="K70" i="10"/>
  <c r="D71" i="10"/>
  <c r="J71" i="10"/>
  <c r="K71" i="10"/>
  <c r="D72" i="10"/>
  <c r="J72" i="10"/>
  <c r="K72" i="10"/>
  <c r="D73" i="10"/>
  <c r="J73" i="10"/>
  <c r="K73" i="10"/>
  <c r="D74" i="10"/>
  <c r="J74" i="10"/>
  <c r="K74" i="10"/>
  <c r="D75" i="10"/>
  <c r="J75" i="10"/>
  <c r="K75" i="10"/>
  <c r="B8" i="17"/>
  <c r="D31" i="10"/>
  <c r="E31" i="10"/>
  <c r="F31" i="10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D32" i="10"/>
  <c r="E32" i="10"/>
  <c r="F32" i="10"/>
  <c r="G32" i="10"/>
  <c r="H32" i="10"/>
  <c r="I32" i="10"/>
  <c r="J32" i="10"/>
  <c r="K32" i="10"/>
  <c r="L32" i="10"/>
  <c r="M32" i="10"/>
  <c r="N32" i="10"/>
  <c r="O32" i="10"/>
  <c r="P32" i="10"/>
  <c r="Q32" i="10"/>
  <c r="R32" i="10"/>
  <c r="S32" i="10"/>
  <c r="C27" i="10"/>
  <c r="C32" i="10"/>
  <c r="C31" i="10"/>
  <c r="C43" i="16"/>
  <c r="K4" i="16"/>
  <c r="B7" i="17"/>
  <c r="C42" i="16"/>
  <c r="C41" i="16"/>
  <c r="D10" i="2"/>
  <c r="D9" i="2"/>
  <c r="D10" i="8"/>
  <c r="D11" i="8"/>
  <c r="D12" i="8"/>
  <c r="D35" i="8"/>
  <c r="B35" i="8"/>
  <c r="B36" i="8"/>
  <c r="B37" i="8"/>
  <c r="B42" i="8"/>
  <c r="D20" i="2"/>
  <c r="B38" i="8"/>
  <c r="B39" i="8"/>
  <c r="B41" i="8"/>
  <c r="D15" i="8"/>
  <c r="B40" i="8"/>
  <c r="C125" i="15"/>
  <c r="C124" i="15"/>
  <c r="C117" i="15"/>
  <c r="C116" i="15"/>
  <c r="C22" i="15"/>
  <c r="C19" i="15"/>
  <c r="C16" i="15"/>
  <c r="C16" i="1"/>
  <c r="I11" i="4"/>
  <c r="D9" i="4"/>
  <c r="D10" i="4"/>
  <c r="C20" i="15"/>
  <c r="C9" i="4"/>
  <c r="C10" i="4"/>
  <c r="C17" i="15"/>
  <c r="D8" i="4"/>
  <c r="D23" i="2"/>
  <c r="C83" i="15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H33" i="3"/>
  <c r="C8" i="15"/>
  <c r="C7" i="15"/>
  <c r="C13" i="15"/>
  <c r="C92" i="15"/>
  <c r="C91" i="15"/>
  <c r="C90" i="15"/>
  <c r="C89" i="15"/>
  <c r="B9" i="2"/>
  <c r="C2" i="15"/>
  <c r="C183" i="1"/>
  <c r="D183" i="1"/>
  <c r="E183" i="1"/>
  <c r="F183" i="1"/>
  <c r="G183" i="1"/>
  <c r="H183" i="1"/>
  <c r="I183" i="1"/>
  <c r="J183" i="1"/>
  <c r="K183" i="1"/>
  <c r="L183" i="1"/>
  <c r="M183" i="1"/>
  <c r="N183" i="1"/>
  <c r="O183" i="1"/>
  <c r="P183" i="1"/>
  <c r="Q183" i="1"/>
  <c r="R183" i="1"/>
  <c r="S183" i="1"/>
  <c r="C184" i="1"/>
  <c r="D184" i="1"/>
  <c r="E184" i="1"/>
  <c r="F184" i="1"/>
  <c r="G184" i="1"/>
  <c r="H184" i="1"/>
  <c r="I184" i="1"/>
  <c r="J184" i="1"/>
  <c r="K184" i="1"/>
  <c r="L184" i="1"/>
  <c r="M184" i="1"/>
  <c r="N184" i="1"/>
  <c r="O184" i="1"/>
  <c r="P184" i="1"/>
  <c r="Q184" i="1"/>
  <c r="R184" i="1"/>
  <c r="S184" i="1"/>
  <c r="C185" i="1"/>
  <c r="D185" i="1"/>
  <c r="E185" i="1"/>
  <c r="F185" i="1"/>
  <c r="G185" i="1"/>
  <c r="H185" i="1"/>
  <c r="I185" i="1"/>
  <c r="J185" i="1"/>
  <c r="K185" i="1"/>
  <c r="L185" i="1"/>
  <c r="M185" i="1"/>
  <c r="N185" i="1"/>
  <c r="O185" i="1"/>
  <c r="P185" i="1"/>
  <c r="Q185" i="1"/>
  <c r="R185" i="1"/>
  <c r="S185" i="1"/>
  <c r="C186" i="1"/>
  <c r="D186" i="1"/>
  <c r="E186" i="1"/>
  <c r="F186" i="1"/>
  <c r="G186" i="1"/>
  <c r="H186" i="1"/>
  <c r="I186" i="1"/>
  <c r="J186" i="1"/>
  <c r="K186" i="1"/>
  <c r="L186" i="1"/>
  <c r="M186" i="1"/>
  <c r="N186" i="1"/>
  <c r="O186" i="1"/>
  <c r="P186" i="1"/>
  <c r="Q186" i="1"/>
  <c r="R186" i="1"/>
  <c r="S186" i="1"/>
  <c r="C191" i="1"/>
  <c r="D191" i="1"/>
  <c r="E191" i="1"/>
  <c r="F191" i="1"/>
  <c r="G191" i="1"/>
  <c r="H191" i="1"/>
  <c r="I191" i="1"/>
  <c r="J191" i="1"/>
  <c r="K191" i="1"/>
  <c r="L191" i="1"/>
  <c r="M191" i="1"/>
  <c r="N191" i="1"/>
  <c r="O191" i="1"/>
  <c r="P191" i="1"/>
  <c r="Q191" i="1"/>
  <c r="R191" i="1"/>
  <c r="S191" i="1"/>
  <c r="I8" i="16"/>
  <c r="L8" i="16"/>
  <c r="L9" i="16"/>
  <c r="I10" i="16"/>
  <c r="L10" i="16"/>
  <c r="L11" i="16"/>
  <c r="L12" i="16"/>
  <c r="I13" i="16"/>
  <c r="L13" i="16"/>
  <c r="L14" i="16"/>
  <c r="L15" i="16"/>
  <c r="L16" i="16"/>
  <c r="L17" i="16"/>
  <c r="L18" i="16"/>
  <c r="L19" i="16"/>
  <c r="L20" i="16"/>
  <c r="L21" i="16"/>
  <c r="I22" i="16"/>
  <c r="L22" i="16"/>
  <c r="I23" i="16"/>
  <c r="L23" i="16"/>
  <c r="I7" i="16"/>
  <c r="L7" i="16"/>
  <c r="F2" i="1"/>
  <c r="G2" i="1"/>
  <c r="H2" i="1"/>
  <c r="I2" i="1"/>
  <c r="J2" i="1"/>
  <c r="K2" i="1"/>
  <c r="L2" i="1"/>
  <c r="M2" i="1"/>
  <c r="N2" i="1"/>
  <c r="O2" i="1"/>
  <c r="P2" i="1"/>
  <c r="Q2" i="1"/>
  <c r="Q26" i="12"/>
  <c r="R2" i="1"/>
  <c r="S2" i="1"/>
  <c r="C2" i="1"/>
  <c r="D2" i="1"/>
  <c r="C150" i="15"/>
  <c r="C151" i="15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7" i="16"/>
  <c r="D11" i="7"/>
  <c r="C187" i="15"/>
  <c r="C187" i="1"/>
  <c r="D187" i="1"/>
  <c r="E187" i="1"/>
  <c r="F187" i="1"/>
  <c r="G187" i="1"/>
  <c r="H187" i="1"/>
  <c r="I187" i="1"/>
  <c r="J187" i="1"/>
  <c r="K187" i="1"/>
  <c r="L187" i="1"/>
  <c r="M187" i="1"/>
  <c r="N187" i="1"/>
  <c r="O187" i="1"/>
  <c r="P187" i="1"/>
  <c r="Q187" i="1"/>
  <c r="R187" i="1"/>
  <c r="S187" i="1"/>
  <c r="C188" i="15"/>
  <c r="C188" i="1"/>
  <c r="D188" i="1"/>
  <c r="E188" i="1"/>
  <c r="F188" i="1"/>
  <c r="G188" i="1"/>
  <c r="H188" i="1"/>
  <c r="I188" i="1"/>
  <c r="J188" i="1"/>
  <c r="K188" i="1"/>
  <c r="L188" i="1"/>
  <c r="M188" i="1"/>
  <c r="N188" i="1"/>
  <c r="O188" i="1"/>
  <c r="P188" i="1"/>
  <c r="Q188" i="1"/>
  <c r="R188" i="1"/>
  <c r="S188" i="1"/>
  <c r="C189" i="15"/>
  <c r="C189" i="1"/>
  <c r="D189" i="1"/>
  <c r="E189" i="1"/>
  <c r="F189" i="1"/>
  <c r="G189" i="1"/>
  <c r="H189" i="1"/>
  <c r="I189" i="1"/>
  <c r="J189" i="1"/>
  <c r="K189" i="1"/>
  <c r="L189" i="1"/>
  <c r="M189" i="1"/>
  <c r="N189" i="1"/>
  <c r="O189" i="1"/>
  <c r="P189" i="1"/>
  <c r="Q189" i="1"/>
  <c r="R189" i="1"/>
  <c r="S189" i="1"/>
  <c r="C190" i="15"/>
  <c r="C190" i="1"/>
  <c r="D190" i="1"/>
  <c r="E190" i="1"/>
  <c r="F190" i="1"/>
  <c r="G190" i="1"/>
  <c r="H190" i="1"/>
  <c r="I190" i="1"/>
  <c r="J190" i="1"/>
  <c r="K190" i="1"/>
  <c r="L190" i="1"/>
  <c r="M190" i="1"/>
  <c r="N190" i="1"/>
  <c r="O190" i="1"/>
  <c r="P190" i="1"/>
  <c r="Q190" i="1"/>
  <c r="R190" i="1"/>
  <c r="S190" i="1"/>
  <c r="H22" i="17"/>
  <c r="H23" i="17"/>
  <c r="H24" i="17"/>
  <c r="H25" i="17"/>
  <c r="H26" i="17"/>
  <c r="H27" i="17"/>
  <c r="H28" i="17"/>
  <c r="H21" i="17"/>
  <c r="G22" i="17"/>
  <c r="G23" i="17"/>
  <c r="G24" i="17"/>
  <c r="G25" i="17"/>
  <c r="G26" i="17"/>
  <c r="G27" i="17"/>
  <c r="G28" i="17"/>
  <c r="G21" i="17"/>
  <c r="F22" i="17"/>
  <c r="F23" i="17"/>
  <c r="F24" i="17"/>
  <c r="F25" i="17"/>
  <c r="F26" i="17"/>
  <c r="F27" i="17"/>
  <c r="F28" i="17"/>
  <c r="F21" i="17"/>
  <c r="E26" i="17"/>
  <c r="E27" i="17"/>
  <c r="E28" i="17"/>
  <c r="E25" i="17"/>
  <c r="E22" i="17"/>
  <c r="E23" i="17"/>
  <c r="E24" i="17"/>
  <c r="E21" i="17"/>
  <c r="I22" i="17"/>
  <c r="I23" i="17"/>
  <c r="I24" i="17"/>
  <c r="I25" i="17"/>
  <c r="I26" i="17"/>
  <c r="I27" i="17"/>
  <c r="I28" i="17"/>
  <c r="I21" i="17"/>
  <c r="B6" i="13"/>
  <c r="C153" i="15"/>
  <c r="B7" i="13"/>
  <c r="C154" i="15"/>
  <c r="B5" i="13"/>
  <c r="C152" i="15"/>
  <c r="C142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P142" i="1"/>
  <c r="Q142" i="1"/>
  <c r="R142" i="1"/>
  <c r="S142" i="1"/>
  <c r="C143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P143" i="1"/>
  <c r="Q143" i="1"/>
  <c r="R143" i="1"/>
  <c r="S143" i="1"/>
  <c r="C144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P144" i="1"/>
  <c r="Q144" i="1"/>
  <c r="R144" i="1"/>
  <c r="S144" i="1"/>
  <c r="C145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P145" i="1"/>
  <c r="Q145" i="1"/>
  <c r="R145" i="1"/>
  <c r="S145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P146" i="1"/>
  <c r="Q146" i="1"/>
  <c r="R146" i="1"/>
  <c r="S146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P147" i="1"/>
  <c r="Q147" i="1"/>
  <c r="R147" i="1"/>
  <c r="S147" i="1"/>
  <c r="C148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P148" i="1"/>
  <c r="Q148" i="1"/>
  <c r="R148" i="1"/>
  <c r="S148" i="1"/>
  <c r="C149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R149" i="1"/>
  <c r="S149" i="1"/>
  <c r="C139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P139" i="1"/>
  <c r="Q139" i="1"/>
  <c r="R139" i="1"/>
  <c r="S139" i="1"/>
  <c r="C137" i="15"/>
  <c r="C137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R137" i="1"/>
  <c r="S137" i="1"/>
  <c r="B22" i="7"/>
  <c r="B23" i="7"/>
  <c r="C136" i="15"/>
  <c r="C136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R136" i="1"/>
  <c r="S136" i="1"/>
  <c r="C115" i="15"/>
  <c r="C114" i="15"/>
  <c r="C113" i="15"/>
  <c r="C112" i="15"/>
  <c r="C78" i="15"/>
  <c r="C77" i="15"/>
  <c r="C76" i="15"/>
  <c r="K25" i="16"/>
  <c r="B5" i="6"/>
  <c r="C52" i="15"/>
  <c r="B10" i="6"/>
  <c r="B13" i="6"/>
  <c r="C50" i="15"/>
  <c r="B14" i="6"/>
  <c r="C51" i="15"/>
  <c r="B12" i="6"/>
  <c r="C49" i="15"/>
  <c r="C38" i="15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B9" i="13"/>
  <c r="C180" i="15"/>
  <c r="B10" i="13"/>
  <c r="C181" i="15"/>
  <c r="B11" i="13"/>
  <c r="C182" i="15"/>
  <c r="B8" i="13"/>
  <c r="C179" i="15"/>
  <c r="C138" i="15"/>
  <c r="D24" i="2"/>
  <c r="D27" i="2"/>
  <c r="C99" i="15"/>
  <c r="D26" i="2"/>
  <c r="D29" i="2"/>
  <c r="C21" i="15"/>
  <c r="B5" i="7"/>
  <c r="D5" i="7"/>
  <c r="D6" i="7"/>
  <c r="C178" i="15"/>
  <c r="C177" i="15"/>
  <c r="C176" i="15"/>
  <c r="C175" i="15"/>
  <c r="C174" i="15"/>
  <c r="C173" i="15"/>
  <c r="C172" i="15"/>
  <c r="C171" i="15"/>
  <c r="C170" i="15"/>
  <c r="C169" i="15"/>
  <c r="C168" i="15"/>
  <c r="C167" i="15"/>
  <c r="C166" i="15"/>
  <c r="C165" i="15"/>
  <c r="C164" i="15"/>
  <c r="C163" i="15"/>
  <c r="C162" i="15"/>
  <c r="C161" i="15"/>
  <c r="C160" i="15"/>
  <c r="C159" i="15"/>
  <c r="C158" i="15"/>
  <c r="C157" i="15"/>
  <c r="C156" i="15"/>
  <c r="C155" i="15"/>
  <c r="C138" i="1"/>
  <c r="C135" i="15"/>
  <c r="C29" i="10"/>
  <c r="C133" i="15"/>
  <c r="C28" i="10"/>
  <c r="C30" i="10"/>
  <c r="C132" i="15"/>
  <c r="C131" i="15"/>
  <c r="C130" i="15"/>
  <c r="E131" i="15"/>
  <c r="C25" i="10"/>
  <c r="C129" i="15"/>
  <c r="E129" i="15"/>
  <c r="C128" i="15"/>
  <c r="E128" i="15"/>
  <c r="C123" i="15"/>
  <c r="E123" i="15"/>
  <c r="C122" i="15"/>
  <c r="E122" i="15"/>
  <c r="B9" i="9"/>
  <c r="D9" i="9"/>
  <c r="D16" i="9"/>
  <c r="C118" i="15"/>
  <c r="B10" i="9"/>
  <c r="D10" i="9"/>
  <c r="D17" i="9"/>
  <c r="C119" i="15"/>
  <c r="C120" i="15"/>
  <c r="C121" i="15"/>
  <c r="C126" i="15"/>
  <c r="C127" i="15"/>
  <c r="C104" i="15"/>
  <c r="C102" i="15"/>
  <c r="C100" i="15"/>
  <c r="C95" i="15"/>
  <c r="C96" i="15"/>
  <c r="C88" i="15"/>
  <c r="C87" i="15"/>
  <c r="C86" i="15"/>
  <c r="C85" i="15"/>
  <c r="C84" i="15"/>
  <c r="C82" i="15"/>
  <c r="D25" i="2"/>
  <c r="C81" i="15"/>
  <c r="C80" i="15"/>
  <c r="D12" i="7"/>
  <c r="C79" i="15"/>
  <c r="D16" i="2"/>
  <c r="C75" i="15"/>
  <c r="C74" i="15"/>
  <c r="C73" i="15"/>
  <c r="B6" i="6"/>
  <c r="C65" i="15"/>
  <c r="C64" i="15"/>
  <c r="C62" i="15"/>
  <c r="C61" i="15"/>
  <c r="C59" i="15"/>
  <c r="C58" i="15"/>
  <c r="C56" i="15"/>
  <c r="C55" i="15"/>
  <c r="C53" i="15"/>
  <c r="AC11" i="3"/>
  <c r="AD11" i="3"/>
  <c r="AF11" i="3"/>
  <c r="B67" i="6"/>
  <c r="C67" i="6"/>
  <c r="C78" i="6"/>
  <c r="C99" i="6"/>
  <c r="C7" i="5"/>
  <c r="F12" i="5"/>
  <c r="C41" i="15"/>
  <c r="C8" i="5"/>
  <c r="F13" i="5"/>
  <c r="C40" i="15"/>
  <c r="D11" i="2"/>
  <c r="D19" i="2"/>
  <c r="C6" i="5"/>
  <c r="C9" i="5"/>
  <c r="F11" i="5"/>
  <c r="C39" i="15"/>
  <c r="C37" i="15"/>
  <c r="C36" i="15"/>
  <c r="C35" i="15"/>
  <c r="C33" i="15"/>
  <c r="H20" i="3"/>
  <c r="H21" i="3"/>
  <c r="H22" i="3"/>
  <c r="M6" i="3"/>
  <c r="C25" i="15"/>
  <c r="C26" i="15"/>
  <c r="C30" i="15"/>
  <c r="C29" i="15"/>
  <c r="H23" i="3"/>
  <c r="M5" i="3"/>
  <c r="C23" i="15"/>
  <c r="C24" i="15"/>
  <c r="C28" i="15"/>
  <c r="C27" i="15"/>
  <c r="C18" i="15"/>
  <c r="C8" i="4"/>
  <c r="I7" i="4"/>
  <c r="I9" i="4"/>
  <c r="C15" i="15"/>
  <c r="C14" i="15"/>
  <c r="AC15" i="3"/>
  <c r="AD15" i="3"/>
  <c r="C33" i="16"/>
  <c r="C32" i="16"/>
  <c r="C31" i="16"/>
  <c r="C30" i="16"/>
  <c r="C29" i="16"/>
  <c r="C28" i="16"/>
  <c r="C25" i="16"/>
  <c r="C24" i="16"/>
  <c r="G23" i="16"/>
  <c r="C23" i="16"/>
  <c r="G22" i="16"/>
  <c r="I21" i="16"/>
  <c r="G21" i="16"/>
  <c r="I20" i="16"/>
  <c r="G20" i="16"/>
  <c r="C20" i="16"/>
  <c r="I19" i="16"/>
  <c r="G19" i="16"/>
  <c r="C19" i="16"/>
  <c r="I18" i="16"/>
  <c r="G18" i="16"/>
  <c r="C18" i="16"/>
  <c r="I17" i="16"/>
  <c r="G17" i="16"/>
  <c r="I16" i="16"/>
  <c r="G16" i="16"/>
  <c r="I15" i="16"/>
  <c r="G15" i="16"/>
  <c r="I14" i="16"/>
  <c r="G14" i="16"/>
  <c r="C14" i="16"/>
  <c r="G13" i="16"/>
  <c r="C13" i="16"/>
  <c r="I12" i="16"/>
  <c r="G12" i="16"/>
  <c r="I11" i="16"/>
  <c r="G11" i="16"/>
  <c r="G10" i="16"/>
  <c r="C10" i="16"/>
  <c r="I9" i="16"/>
  <c r="G9" i="16"/>
  <c r="C9" i="16"/>
  <c r="G8" i="16"/>
  <c r="C8" i="16"/>
  <c r="G7" i="16"/>
  <c r="G6" i="16"/>
  <c r="G5" i="16"/>
  <c r="C38" i="16"/>
  <c r="C5" i="16"/>
  <c r="G4" i="16"/>
  <c r="C37" i="16"/>
  <c r="C4" i="16"/>
  <c r="G3" i="16"/>
  <c r="C36" i="16"/>
  <c r="C3" i="16"/>
  <c r="B24" i="7"/>
  <c r="C3" i="15"/>
  <c r="C5" i="13"/>
  <c r="D152" i="1"/>
  <c r="D5" i="13"/>
  <c r="E152" i="1"/>
  <c r="E5" i="13"/>
  <c r="F152" i="1"/>
  <c r="F5" i="13"/>
  <c r="G152" i="1"/>
  <c r="G5" i="13"/>
  <c r="H152" i="1"/>
  <c r="H5" i="13"/>
  <c r="I152" i="1"/>
  <c r="I5" i="13"/>
  <c r="J152" i="1"/>
  <c r="J5" i="13"/>
  <c r="K152" i="1"/>
  <c r="K5" i="13"/>
  <c r="L152" i="1"/>
  <c r="L5" i="13"/>
  <c r="M152" i="1"/>
  <c r="M5" i="13"/>
  <c r="N152" i="1"/>
  <c r="N5" i="13"/>
  <c r="O152" i="1"/>
  <c r="O5" i="13"/>
  <c r="P152" i="1"/>
  <c r="P5" i="13"/>
  <c r="Q152" i="1"/>
  <c r="Q5" i="13"/>
  <c r="R152" i="1"/>
  <c r="R5" i="13"/>
  <c r="S152" i="1"/>
  <c r="C6" i="13"/>
  <c r="D153" i="1"/>
  <c r="D6" i="13"/>
  <c r="E153" i="1"/>
  <c r="E6" i="13"/>
  <c r="F153" i="1"/>
  <c r="F6" i="13"/>
  <c r="G153" i="1"/>
  <c r="G6" i="13"/>
  <c r="H153" i="1"/>
  <c r="H6" i="13"/>
  <c r="I153" i="1"/>
  <c r="I6" i="13"/>
  <c r="J153" i="1"/>
  <c r="J6" i="13"/>
  <c r="K153" i="1"/>
  <c r="K6" i="13"/>
  <c r="L153" i="1"/>
  <c r="L6" i="13"/>
  <c r="M153" i="1"/>
  <c r="M6" i="13"/>
  <c r="N153" i="1"/>
  <c r="N6" i="13"/>
  <c r="O153" i="1"/>
  <c r="O6" i="13"/>
  <c r="P153" i="1"/>
  <c r="P6" i="13"/>
  <c r="Q153" i="1"/>
  <c r="Q6" i="13"/>
  <c r="R153" i="1"/>
  <c r="R6" i="13"/>
  <c r="S153" i="1"/>
  <c r="C7" i="13"/>
  <c r="D154" i="1"/>
  <c r="D7" i="13"/>
  <c r="E154" i="1"/>
  <c r="E7" i="13"/>
  <c r="F154" i="1"/>
  <c r="F7" i="13"/>
  <c r="G154" i="1"/>
  <c r="G7" i="13"/>
  <c r="H154" i="1"/>
  <c r="H7" i="13"/>
  <c r="I154" i="1"/>
  <c r="I7" i="13"/>
  <c r="J154" i="1"/>
  <c r="J7" i="13"/>
  <c r="K154" i="1"/>
  <c r="K7" i="13"/>
  <c r="L154" i="1"/>
  <c r="L7" i="13"/>
  <c r="M154" i="1"/>
  <c r="M7" i="13"/>
  <c r="N154" i="1"/>
  <c r="N7" i="13"/>
  <c r="O154" i="1"/>
  <c r="O7" i="13"/>
  <c r="P154" i="1"/>
  <c r="P7" i="13"/>
  <c r="Q154" i="1"/>
  <c r="Q7" i="13"/>
  <c r="R154" i="1"/>
  <c r="R7" i="13"/>
  <c r="S154" i="1"/>
  <c r="C8" i="13"/>
  <c r="D179" i="1"/>
  <c r="D8" i="13"/>
  <c r="E179" i="1"/>
  <c r="E8" i="13"/>
  <c r="F179" i="1"/>
  <c r="F8" i="13"/>
  <c r="G179" i="1"/>
  <c r="G8" i="13"/>
  <c r="H179" i="1"/>
  <c r="H8" i="13"/>
  <c r="I179" i="1"/>
  <c r="I8" i="13"/>
  <c r="J179" i="1"/>
  <c r="J8" i="13"/>
  <c r="K179" i="1"/>
  <c r="K8" i="13"/>
  <c r="L179" i="1"/>
  <c r="L8" i="13"/>
  <c r="M179" i="1"/>
  <c r="M8" i="13"/>
  <c r="N179" i="1"/>
  <c r="N8" i="13"/>
  <c r="O179" i="1"/>
  <c r="O8" i="13"/>
  <c r="P179" i="1"/>
  <c r="P8" i="13"/>
  <c r="Q179" i="1"/>
  <c r="Q8" i="13"/>
  <c r="R179" i="1"/>
  <c r="R8" i="13"/>
  <c r="S179" i="1"/>
  <c r="C9" i="13"/>
  <c r="D180" i="1"/>
  <c r="D9" i="13"/>
  <c r="E180" i="1"/>
  <c r="E9" i="13"/>
  <c r="F180" i="1"/>
  <c r="F9" i="13"/>
  <c r="G180" i="1"/>
  <c r="G9" i="13"/>
  <c r="H180" i="1"/>
  <c r="H9" i="13"/>
  <c r="I180" i="1"/>
  <c r="I9" i="13"/>
  <c r="J180" i="1"/>
  <c r="J9" i="13"/>
  <c r="K180" i="1"/>
  <c r="K9" i="13"/>
  <c r="L180" i="1"/>
  <c r="L9" i="13"/>
  <c r="M180" i="1"/>
  <c r="M9" i="13"/>
  <c r="N180" i="1"/>
  <c r="N9" i="13"/>
  <c r="O180" i="1"/>
  <c r="O9" i="13"/>
  <c r="P180" i="1"/>
  <c r="P9" i="13"/>
  <c r="Q180" i="1"/>
  <c r="Q9" i="13"/>
  <c r="R180" i="1"/>
  <c r="R9" i="13"/>
  <c r="S180" i="1"/>
  <c r="C10" i="13"/>
  <c r="D181" i="1"/>
  <c r="D10" i="13"/>
  <c r="E181" i="1"/>
  <c r="D75" i="13"/>
  <c r="E10" i="13"/>
  <c r="F181" i="1"/>
  <c r="F10" i="13"/>
  <c r="G181" i="1"/>
  <c r="G10" i="13"/>
  <c r="H181" i="1"/>
  <c r="D76" i="13"/>
  <c r="H10" i="13"/>
  <c r="I181" i="1"/>
  <c r="I10" i="13"/>
  <c r="J181" i="1"/>
  <c r="J10" i="13"/>
  <c r="K181" i="1"/>
  <c r="K10" i="13"/>
  <c r="L181" i="1"/>
  <c r="L10" i="13"/>
  <c r="M181" i="1"/>
  <c r="M10" i="13"/>
  <c r="N181" i="1"/>
  <c r="N10" i="13"/>
  <c r="O181" i="1"/>
  <c r="O10" i="13"/>
  <c r="P181" i="1"/>
  <c r="P10" i="13"/>
  <c r="Q181" i="1"/>
  <c r="Q10" i="13"/>
  <c r="R181" i="1"/>
  <c r="R10" i="13"/>
  <c r="S181" i="1"/>
  <c r="C11" i="13"/>
  <c r="D182" i="1"/>
  <c r="D11" i="13"/>
  <c r="E182" i="1"/>
  <c r="E11" i="13"/>
  <c r="F182" i="1"/>
  <c r="F11" i="13"/>
  <c r="G182" i="1"/>
  <c r="G11" i="13"/>
  <c r="H182" i="1"/>
  <c r="H11" i="13"/>
  <c r="I182" i="1"/>
  <c r="I11" i="13"/>
  <c r="J182" i="1"/>
  <c r="J11" i="13"/>
  <c r="K182" i="1"/>
  <c r="K11" i="13"/>
  <c r="L182" i="1"/>
  <c r="L11" i="13"/>
  <c r="M182" i="1"/>
  <c r="M11" i="13"/>
  <c r="N182" i="1"/>
  <c r="N11" i="13"/>
  <c r="O182" i="1"/>
  <c r="O11" i="13"/>
  <c r="P182" i="1"/>
  <c r="P11" i="13"/>
  <c r="Q182" i="1"/>
  <c r="Q11" i="13"/>
  <c r="R182" i="1"/>
  <c r="R11" i="13"/>
  <c r="S182" i="1"/>
  <c r="C180" i="1"/>
  <c r="C181" i="1"/>
  <c r="C182" i="1"/>
  <c r="C179" i="1"/>
  <c r="C153" i="1"/>
  <c r="C154" i="1"/>
  <c r="C152" i="1"/>
  <c r="I31" i="3"/>
  <c r="C9" i="6"/>
  <c r="C10" i="6"/>
  <c r="C13" i="6"/>
  <c r="C12" i="6"/>
  <c r="D49" i="1"/>
  <c r="J31" i="3"/>
  <c r="D9" i="6"/>
  <c r="D10" i="6"/>
  <c r="D13" i="6"/>
  <c r="D12" i="6"/>
  <c r="E49" i="1"/>
  <c r="K31" i="3"/>
  <c r="E9" i="6"/>
  <c r="E10" i="6"/>
  <c r="E13" i="6"/>
  <c r="E12" i="6"/>
  <c r="F49" i="1"/>
  <c r="L31" i="3"/>
  <c r="F9" i="6"/>
  <c r="F10" i="6"/>
  <c r="F13" i="6"/>
  <c r="F12" i="6"/>
  <c r="G49" i="1"/>
  <c r="M31" i="3"/>
  <c r="G9" i="6"/>
  <c r="G10" i="6"/>
  <c r="G13" i="6"/>
  <c r="G12" i="6"/>
  <c r="H49" i="1"/>
  <c r="N31" i="3"/>
  <c r="H9" i="6"/>
  <c r="H10" i="6"/>
  <c r="H13" i="6"/>
  <c r="H12" i="6"/>
  <c r="I49" i="1"/>
  <c r="O31" i="3"/>
  <c r="I9" i="6"/>
  <c r="I10" i="6"/>
  <c r="I13" i="6"/>
  <c r="I12" i="6"/>
  <c r="J49" i="1"/>
  <c r="P31" i="3"/>
  <c r="J9" i="6"/>
  <c r="J10" i="6"/>
  <c r="J13" i="6"/>
  <c r="J12" i="6"/>
  <c r="K49" i="1"/>
  <c r="Q31" i="3"/>
  <c r="K9" i="6"/>
  <c r="K10" i="6"/>
  <c r="K13" i="6"/>
  <c r="K12" i="6"/>
  <c r="L49" i="1"/>
  <c r="R31" i="3"/>
  <c r="L9" i="6"/>
  <c r="L10" i="6"/>
  <c r="L13" i="6"/>
  <c r="L12" i="6"/>
  <c r="M49" i="1"/>
  <c r="S31" i="3"/>
  <c r="M9" i="6"/>
  <c r="M10" i="6"/>
  <c r="M13" i="6"/>
  <c r="M12" i="6"/>
  <c r="N49" i="1"/>
  <c r="T31" i="3"/>
  <c r="N9" i="6"/>
  <c r="N10" i="6"/>
  <c r="N13" i="6"/>
  <c r="N12" i="6"/>
  <c r="O49" i="1"/>
  <c r="U31" i="3"/>
  <c r="O9" i="6"/>
  <c r="O10" i="6"/>
  <c r="O13" i="6"/>
  <c r="O12" i="6"/>
  <c r="P49" i="1"/>
  <c r="V31" i="3"/>
  <c r="P9" i="6"/>
  <c r="P10" i="6"/>
  <c r="P13" i="6"/>
  <c r="P12" i="6"/>
  <c r="Q49" i="1"/>
  <c r="W31" i="3"/>
  <c r="Q9" i="6"/>
  <c r="Q10" i="6"/>
  <c r="Q13" i="6"/>
  <c r="Q12" i="6"/>
  <c r="R49" i="1"/>
  <c r="X31" i="3"/>
  <c r="R9" i="6"/>
  <c r="R10" i="6"/>
  <c r="R13" i="6"/>
  <c r="R12" i="6"/>
  <c r="S49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C14" i="6"/>
  <c r="D51" i="1"/>
  <c r="D14" i="6"/>
  <c r="E51" i="1"/>
  <c r="E14" i="6"/>
  <c r="F51" i="1"/>
  <c r="F14" i="6"/>
  <c r="G51" i="1"/>
  <c r="G14" i="6"/>
  <c r="H51" i="1"/>
  <c r="H14" i="6"/>
  <c r="I51" i="1"/>
  <c r="I14" i="6"/>
  <c r="J51" i="1"/>
  <c r="J14" i="6"/>
  <c r="K51" i="1"/>
  <c r="K14" i="6"/>
  <c r="L51" i="1"/>
  <c r="L14" i="6"/>
  <c r="M51" i="1"/>
  <c r="M14" i="6"/>
  <c r="N51" i="1"/>
  <c r="N14" i="6"/>
  <c r="O51" i="1"/>
  <c r="O14" i="6"/>
  <c r="P51" i="1"/>
  <c r="P14" i="6"/>
  <c r="Q51" i="1"/>
  <c r="Q14" i="6"/>
  <c r="R51" i="1"/>
  <c r="R14" i="6"/>
  <c r="S51" i="1"/>
  <c r="C50" i="1"/>
  <c r="C51" i="1"/>
  <c r="C49" i="1"/>
  <c r="AC16" i="3"/>
  <c r="AD16" i="3"/>
  <c r="AF16" i="3"/>
  <c r="B72" i="6"/>
  <c r="Q72" i="6"/>
  <c r="Q83" i="6"/>
  <c r="P72" i="6"/>
  <c r="P83" i="6"/>
  <c r="O72" i="6"/>
  <c r="O83" i="6"/>
  <c r="N72" i="6"/>
  <c r="N83" i="6"/>
  <c r="M72" i="6"/>
  <c r="M83" i="6"/>
  <c r="L72" i="6"/>
  <c r="L83" i="6"/>
  <c r="K72" i="6"/>
  <c r="K83" i="6"/>
  <c r="J72" i="6"/>
  <c r="J83" i="6"/>
  <c r="I72" i="6"/>
  <c r="I83" i="6"/>
  <c r="H72" i="6"/>
  <c r="H83" i="6"/>
  <c r="G72" i="6"/>
  <c r="G83" i="6"/>
  <c r="F72" i="6"/>
  <c r="F83" i="6"/>
  <c r="E72" i="6"/>
  <c r="E83" i="6"/>
  <c r="D72" i="6"/>
  <c r="D83" i="6"/>
  <c r="C72" i="6"/>
  <c r="C83" i="6"/>
  <c r="AF15" i="3"/>
  <c r="B71" i="6"/>
  <c r="Q71" i="6"/>
  <c r="Q82" i="6"/>
  <c r="P71" i="6"/>
  <c r="P82" i="6"/>
  <c r="O71" i="6"/>
  <c r="O82" i="6"/>
  <c r="N71" i="6"/>
  <c r="N82" i="6"/>
  <c r="M71" i="6"/>
  <c r="M82" i="6"/>
  <c r="L71" i="6"/>
  <c r="L82" i="6"/>
  <c r="K71" i="6"/>
  <c r="K82" i="6"/>
  <c r="J71" i="6"/>
  <c r="J82" i="6"/>
  <c r="I71" i="6"/>
  <c r="I82" i="6"/>
  <c r="H71" i="6"/>
  <c r="H82" i="6"/>
  <c r="G71" i="6"/>
  <c r="G82" i="6"/>
  <c r="F71" i="6"/>
  <c r="F82" i="6"/>
  <c r="E71" i="6"/>
  <c r="E82" i="6"/>
  <c r="D71" i="6"/>
  <c r="D82" i="6"/>
  <c r="C71" i="6"/>
  <c r="C82" i="6"/>
  <c r="AC14" i="3"/>
  <c r="AD14" i="3"/>
  <c r="AF14" i="3"/>
  <c r="B70" i="6"/>
  <c r="Q70" i="6"/>
  <c r="Q81" i="6"/>
  <c r="P70" i="6"/>
  <c r="P81" i="6"/>
  <c r="O70" i="6"/>
  <c r="O81" i="6"/>
  <c r="N70" i="6"/>
  <c r="N81" i="6"/>
  <c r="M70" i="6"/>
  <c r="M81" i="6"/>
  <c r="L70" i="6"/>
  <c r="L81" i="6"/>
  <c r="K70" i="6"/>
  <c r="K81" i="6"/>
  <c r="J70" i="6"/>
  <c r="J81" i="6"/>
  <c r="I70" i="6"/>
  <c r="I81" i="6"/>
  <c r="H70" i="6"/>
  <c r="H81" i="6"/>
  <c r="G70" i="6"/>
  <c r="G81" i="6"/>
  <c r="F70" i="6"/>
  <c r="F81" i="6"/>
  <c r="E70" i="6"/>
  <c r="E81" i="6"/>
  <c r="D70" i="6"/>
  <c r="D81" i="6"/>
  <c r="C70" i="6"/>
  <c r="C81" i="6"/>
  <c r="AC13" i="3"/>
  <c r="AD13" i="3"/>
  <c r="AF13" i="3"/>
  <c r="B69" i="6"/>
  <c r="Q69" i="6"/>
  <c r="Q80" i="6"/>
  <c r="P69" i="6"/>
  <c r="P80" i="6"/>
  <c r="O69" i="6"/>
  <c r="O80" i="6"/>
  <c r="N69" i="6"/>
  <c r="N80" i="6"/>
  <c r="M69" i="6"/>
  <c r="M80" i="6"/>
  <c r="L69" i="6"/>
  <c r="L80" i="6"/>
  <c r="K69" i="6"/>
  <c r="K80" i="6"/>
  <c r="J69" i="6"/>
  <c r="J80" i="6"/>
  <c r="I69" i="6"/>
  <c r="I80" i="6"/>
  <c r="H69" i="6"/>
  <c r="H80" i="6"/>
  <c r="G69" i="6"/>
  <c r="G80" i="6"/>
  <c r="F69" i="6"/>
  <c r="F80" i="6"/>
  <c r="E69" i="6"/>
  <c r="E80" i="6"/>
  <c r="D69" i="6"/>
  <c r="D80" i="6"/>
  <c r="C69" i="6"/>
  <c r="C80" i="6"/>
  <c r="AC12" i="3"/>
  <c r="AD12" i="3"/>
  <c r="AF12" i="3"/>
  <c r="B68" i="6"/>
  <c r="Q68" i="6"/>
  <c r="Q79" i="6"/>
  <c r="P68" i="6"/>
  <c r="P79" i="6"/>
  <c r="O68" i="6"/>
  <c r="O79" i="6"/>
  <c r="N68" i="6"/>
  <c r="N79" i="6"/>
  <c r="M68" i="6"/>
  <c r="M79" i="6"/>
  <c r="L68" i="6"/>
  <c r="L79" i="6"/>
  <c r="K68" i="6"/>
  <c r="K79" i="6"/>
  <c r="J68" i="6"/>
  <c r="J79" i="6"/>
  <c r="I68" i="6"/>
  <c r="I79" i="6"/>
  <c r="H68" i="6"/>
  <c r="H79" i="6"/>
  <c r="G68" i="6"/>
  <c r="G79" i="6"/>
  <c r="F68" i="6"/>
  <c r="F79" i="6"/>
  <c r="E68" i="6"/>
  <c r="E79" i="6"/>
  <c r="D68" i="6"/>
  <c r="D79" i="6"/>
  <c r="C68" i="6"/>
  <c r="C79" i="6"/>
  <c r="Q67" i="6"/>
  <c r="Q78" i="6"/>
  <c r="P67" i="6"/>
  <c r="P78" i="6"/>
  <c r="O67" i="6"/>
  <c r="O78" i="6"/>
  <c r="N67" i="6"/>
  <c r="N78" i="6"/>
  <c r="M67" i="6"/>
  <c r="M78" i="6"/>
  <c r="L67" i="6"/>
  <c r="L78" i="6"/>
  <c r="K67" i="6"/>
  <c r="K78" i="6"/>
  <c r="J67" i="6"/>
  <c r="J78" i="6"/>
  <c r="I67" i="6"/>
  <c r="I78" i="6"/>
  <c r="H67" i="6"/>
  <c r="H78" i="6"/>
  <c r="G67" i="6"/>
  <c r="G78" i="6"/>
  <c r="F67" i="6"/>
  <c r="F78" i="6"/>
  <c r="E67" i="6"/>
  <c r="E78" i="6"/>
  <c r="D67" i="6"/>
  <c r="D78" i="6"/>
  <c r="D5" i="2"/>
  <c r="B5" i="2"/>
  <c r="G19" i="2"/>
  <c r="C26" i="12"/>
  <c r="D26" i="12"/>
  <c r="E26" i="12"/>
  <c r="F26" i="12"/>
  <c r="G26" i="12"/>
  <c r="H26" i="12"/>
  <c r="I26" i="12"/>
  <c r="J26" i="12"/>
  <c r="K26" i="12"/>
  <c r="L26" i="12"/>
  <c r="M26" i="12"/>
  <c r="N26" i="12"/>
  <c r="O26" i="12"/>
  <c r="P26" i="12"/>
  <c r="R26" i="12"/>
  <c r="B26" i="12"/>
  <c r="E2" i="1"/>
  <c r="G11" i="5"/>
  <c r="D39" i="1"/>
  <c r="H11" i="5"/>
  <c r="E39" i="1"/>
  <c r="I11" i="5"/>
  <c r="F39" i="1"/>
  <c r="J11" i="5"/>
  <c r="G39" i="1"/>
  <c r="K11" i="5"/>
  <c r="H39" i="1"/>
  <c r="L11" i="5"/>
  <c r="I39" i="1"/>
  <c r="M11" i="5"/>
  <c r="J39" i="1"/>
  <c r="N11" i="5"/>
  <c r="K39" i="1"/>
  <c r="O11" i="5"/>
  <c r="L39" i="1"/>
  <c r="P11" i="5"/>
  <c r="M39" i="1"/>
  <c r="Q11" i="5"/>
  <c r="N39" i="1"/>
  <c r="R11" i="5"/>
  <c r="O39" i="1"/>
  <c r="S11" i="5"/>
  <c r="P39" i="1"/>
  <c r="T11" i="5"/>
  <c r="Q39" i="1"/>
  <c r="U11" i="5"/>
  <c r="R39" i="1"/>
  <c r="V11" i="5"/>
  <c r="S39" i="1"/>
  <c r="G13" i="5"/>
  <c r="D40" i="1"/>
  <c r="H13" i="5"/>
  <c r="E40" i="1"/>
  <c r="I13" i="5"/>
  <c r="F40" i="1"/>
  <c r="J13" i="5"/>
  <c r="G40" i="1"/>
  <c r="K13" i="5"/>
  <c r="H40" i="1"/>
  <c r="L13" i="5"/>
  <c r="I40" i="1"/>
  <c r="M13" i="5"/>
  <c r="J40" i="1"/>
  <c r="N13" i="5"/>
  <c r="K40" i="1"/>
  <c r="O13" i="5"/>
  <c r="L40" i="1"/>
  <c r="P13" i="5"/>
  <c r="M40" i="1"/>
  <c r="Q13" i="5"/>
  <c r="N40" i="1"/>
  <c r="R13" i="5"/>
  <c r="O40" i="1"/>
  <c r="S13" i="5"/>
  <c r="P40" i="1"/>
  <c r="T13" i="5"/>
  <c r="Q40" i="1"/>
  <c r="U13" i="5"/>
  <c r="R40" i="1"/>
  <c r="V13" i="5"/>
  <c r="S40" i="1"/>
  <c r="G12" i="5"/>
  <c r="D41" i="1"/>
  <c r="H12" i="5"/>
  <c r="E41" i="1"/>
  <c r="I12" i="5"/>
  <c r="F41" i="1"/>
  <c r="J12" i="5"/>
  <c r="G41" i="1"/>
  <c r="K12" i="5"/>
  <c r="H41" i="1"/>
  <c r="L12" i="5"/>
  <c r="I41" i="1"/>
  <c r="M12" i="5"/>
  <c r="J41" i="1"/>
  <c r="N12" i="5"/>
  <c r="K41" i="1"/>
  <c r="O12" i="5"/>
  <c r="L41" i="1"/>
  <c r="P12" i="5"/>
  <c r="M41" i="1"/>
  <c r="Q12" i="5"/>
  <c r="N41" i="1"/>
  <c r="R12" i="5"/>
  <c r="O41" i="1"/>
  <c r="S12" i="5"/>
  <c r="P41" i="1"/>
  <c r="T12" i="5"/>
  <c r="Q41" i="1"/>
  <c r="U12" i="5"/>
  <c r="R41" i="1"/>
  <c r="V12" i="5"/>
  <c r="S41" i="1"/>
  <c r="C41" i="1"/>
  <c r="C40" i="1"/>
  <c r="C39" i="1"/>
  <c r="F10" i="5"/>
  <c r="F14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C42" i="1"/>
  <c r="C43" i="1"/>
  <c r="H15" i="3"/>
  <c r="U33" i="10"/>
  <c r="D30" i="10"/>
  <c r="E30" i="10"/>
  <c r="F30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D29" i="10"/>
  <c r="E29" i="10"/>
  <c r="F29" i="10"/>
  <c r="G29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B17" i="2"/>
  <c r="B19" i="7"/>
  <c r="F21" i="5"/>
  <c r="F17" i="5"/>
  <c r="U14" i="5"/>
  <c r="U16" i="5"/>
  <c r="V14" i="5"/>
  <c r="V16" i="5"/>
  <c r="V15" i="5"/>
  <c r="U15" i="5"/>
  <c r="F16" i="5"/>
  <c r="F15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D17" i="2"/>
  <c r="B6" i="5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C3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C6" i="1"/>
  <c r="C5" i="1"/>
  <c r="B12" i="9"/>
  <c r="B20" i="5"/>
  <c r="F20" i="5"/>
  <c r="B21" i="5"/>
  <c r="F22" i="5"/>
  <c r="B13" i="5"/>
  <c r="F8" i="5"/>
  <c r="F7" i="5"/>
  <c r="C29" i="7"/>
  <c r="G7" i="5"/>
  <c r="G17" i="5"/>
  <c r="H7" i="5"/>
  <c r="H17" i="5"/>
  <c r="I7" i="5"/>
  <c r="I17" i="5"/>
  <c r="J7" i="5"/>
  <c r="J17" i="5"/>
  <c r="K7" i="5"/>
  <c r="K17" i="5"/>
  <c r="L7" i="5"/>
  <c r="L17" i="5"/>
  <c r="M7" i="5"/>
  <c r="M17" i="5"/>
  <c r="N7" i="5"/>
  <c r="N17" i="5"/>
  <c r="O7" i="5"/>
  <c r="O17" i="5"/>
  <c r="P7" i="5"/>
  <c r="P17" i="5"/>
  <c r="Q7" i="5"/>
  <c r="Q17" i="5"/>
  <c r="R7" i="5"/>
  <c r="R17" i="5"/>
  <c r="S7" i="5"/>
  <c r="S17" i="5"/>
  <c r="T7" i="5"/>
  <c r="T17" i="5"/>
  <c r="C30" i="7"/>
  <c r="C31" i="7"/>
  <c r="C32" i="7"/>
  <c r="C33" i="7"/>
  <c r="C34" i="7"/>
  <c r="C35" i="7"/>
  <c r="C36" i="7"/>
  <c r="C37" i="7"/>
  <c r="D155" i="1"/>
  <c r="E155" i="1"/>
  <c r="F155" i="1"/>
  <c r="G155" i="1"/>
  <c r="H155" i="1"/>
  <c r="I155" i="1"/>
  <c r="J155" i="1"/>
  <c r="K155" i="1"/>
  <c r="L155" i="1"/>
  <c r="M155" i="1"/>
  <c r="N155" i="1"/>
  <c r="O155" i="1"/>
  <c r="P155" i="1"/>
  <c r="Q155" i="1"/>
  <c r="R155" i="1"/>
  <c r="S155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P156" i="1"/>
  <c r="Q156" i="1"/>
  <c r="R156" i="1"/>
  <c r="S156" i="1"/>
  <c r="D157" i="1"/>
  <c r="E157" i="1"/>
  <c r="F157" i="1"/>
  <c r="G157" i="1"/>
  <c r="H157" i="1"/>
  <c r="I157" i="1"/>
  <c r="J157" i="1"/>
  <c r="K157" i="1"/>
  <c r="L157" i="1"/>
  <c r="M157" i="1"/>
  <c r="N157" i="1"/>
  <c r="O157" i="1"/>
  <c r="P157" i="1"/>
  <c r="Q157" i="1"/>
  <c r="R157" i="1"/>
  <c r="S157" i="1"/>
  <c r="D158" i="1"/>
  <c r="E158" i="1"/>
  <c r="F158" i="1"/>
  <c r="G158" i="1"/>
  <c r="H158" i="1"/>
  <c r="I158" i="1"/>
  <c r="J158" i="1"/>
  <c r="K158" i="1"/>
  <c r="L158" i="1"/>
  <c r="M158" i="1"/>
  <c r="N158" i="1"/>
  <c r="O158" i="1"/>
  <c r="P158" i="1"/>
  <c r="Q158" i="1"/>
  <c r="R158" i="1"/>
  <c r="S158" i="1"/>
  <c r="D159" i="1"/>
  <c r="E159" i="1"/>
  <c r="F159" i="1"/>
  <c r="G159" i="1"/>
  <c r="H159" i="1"/>
  <c r="I159" i="1"/>
  <c r="J159" i="1"/>
  <c r="K159" i="1"/>
  <c r="L159" i="1"/>
  <c r="M159" i="1"/>
  <c r="N159" i="1"/>
  <c r="O159" i="1"/>
  <c r="P159" i="1"/>
  <c r="Q159" i="1"/>
  <c r="R159" i="1"/>
  <c r="S159" i="1"/>
  <c r="D160" i="1"/>
  <c r="E160" i="1"/>
  <c r="F160" i="1"/>
  <c r="G160" i="1"/>
  <c r="H160" i="1"/>
  <c r="I160" i="1"/>
  <c r="J160" i="1"/>
  <c r="K160" i="1"/>
  <c r="L160" i="1"/>
  <c r="M160" i="1"/>
  <c r="N160" i="1"/>
  <c r="O160" i="1"/>
  <c r="P160" i="1"/>
  <c r="Q160" i="1"/>
  <c r="R160" i="1"/>
  <c r="S160" i="1"/>
  <c r="D161" i="1"/>
  <c r="E161" i="1"/>
  <c r="F161" i="1"/>
  <c r="G161" i="1"/>
  <c r="H161" i="1"/>
  <c r="I161" i="1"/>
  <c r="J161" i="1"/>
  <c r="K161" i="1"/>
  <c r="L161" i="1"/>
  <c r="M161" i="1"/>
  <c r="N161" i="1"/>
  <c r="O161" i="1"/>
  <c r="P161" i="1"/>
  <c r="Q161" i="1"/>
  <c r="R161" i="1"/>
  <c r="S161" i="1"/>
  <c r="D162" i="1"/>
  <c r="E162" i="1"/>
  <c r="F162" i="1"/>
  <c r="G162" i="1"/>
  <c r="H162" i="1"/>
  <c r="I162" i="1"/>
  <c r="J162" i="1"/>
  <c r="K162" i="1"/>
  <c r="L162" i="1"/>
  <c r="M162" i="1"/>
  <c r="N162" i="1"/>
  <c r="O162" i="1"/>
  <c r="P162" i="1"/>
  <c r="Q162" i="1"/>
  <c r="R162" i="1"/>
  <c r="S162" i="1"/>
  <c r="D163" i="1"/>
  <c r="E163" i="1"/>
  <c r="F163" i="1"/>
  <c r="G163" i="1"/>
  <c r="H163" i="1"/>
  <c r="I163" i="1"/>
  <c r="J163" i="1"/>
  <c r="K163" i="1"/>
  <c r="L163" i="1"/>
  <c r="M163" i="1"/>
  <c r="N163" i="1"/>
  <c r="O163" i="1"/>
  <c r="P163" i="1"/>
  <c r="Q163" i="1"/>
  <c r="R163" i="1"/>
  <c r="S163" i="1"/>
  <c r="D164" i="1"/>
  <c r="E164" i="1"/>
  <c r="F164" i="1"/>
  <c r="G164" i="1"/>
  <c r="H164" i="1"/>
  <c r="I164" i="1"/>
  <c r="J164" i="1"/>
  <c r="K164" i="1"/>
  <c r="L164" i="1"/>
  <c r="M164" i="1"/>
  <c r="N164" i="1"/>
  <c r="O164" i="1"/>
  <c r="P164" i="1"/>
  <c r="Q164" i="1"/>
  <c r="R164" i="1"/>
  <c r="S164" i="1"/>
  <c r="D165" i="1"/>
  <c r="E165" i="1"/>
  <c r="F165" i="1"/>
  <c r="G165" i="1"/>
  <c r="H165" i="1"/>
  <c r="I165" i="1"/>
  <c r="J165" i="1"/>
  <c r="K165" i="1"/>
  <c r="L165" i="1"/>
  <c r="M165" i="1"/>
  <c r="N165" i="1"/>
  <c r="O165" i="1"/>
  <c r="P165" i="1"/>
  <c r="Q165" i="1"/>
  <c r="R165" i="1"/>
  <c r="S165" i="1"/>
  <c r="D166" i="1"/>
  <c r="E166" i="1"/>
  <c r="F166" i="1"/>
  <c r="G166" i="1"/>
  <c r="H166" i="1"/>
  <c r="I166" i="1"/>
  <c r="J166" i="1"/>
  <c r="K166" i="1"/>
  <c r="L166" i="1"/>
  <c r="M166" i="1"/>
  <c r="N166" i="1"/>
  <c r="O166" i="1"/>
  <c r="P166" i="1"/>
  <c r="Q166" i="1"/>
  <c r="R166" i="1"/>
  <c r="S166" i="1"/>
  <c r="D167" i="1"/>
  <c r="E167" i="1"/>
  <c r="F167" i="1"/>
  <c r="G167" i="1"/>
  <c r="H167" i="1"/>
  <c r="I167" i="1"/>
  <c r="J167" i="1"/>
  <c r="K167" i="1"/>
  <c r="L167" i="1"/>
  <c r="M167" i="1"/>
  <c r="N167" i="1"/>
  <c r="O167" i="1"/>
  <c r="P167" i="1"/>
  <c r="Q167" i="1"/>
  <c r="R167" i="1"/>
  <c r="S167" i="1"/>
  <c r="D168" i="1"/>
  <c r="E168" i="1"/>
  <c r="F168" i="1"/>
  <c r="G168" i="1"/>
  <c r="H168" i="1"/>
  <c r="I168" i="1"/>
  <c r="J168" i="1"/>
  <c r="K168" i="1"/>
  <c r="L168" i="1"/>
  <c r="M168" i="1"/>
  <c r="N168" i="1"/>
  <c r="O168" i="1"/>
  <c r="P168" i="1"/>
  <c r="Q168" i="1"/>
  <c r="R168" i="1"/>
  <c r="S168" i="1"/>
  <c r="D169" i="1"/>
  <c r="E169" i="1"/>
  <c r="F169" i="1"/>
  <c r="G169" i="1"/>
  <c r="H169" i="1"/>
  <c r="I169" i="1"/>
  <c r="J169" i="1"/>
  <c r="K169" i="1"/>
  <c r="L169" i="1"/>
  <c r="M169" i="1"/>
  <c r="N169" i="1"/>
  <c r="O169" i="1"/>
  <c r="P169" i="1"/>
  <c r="Q169" i="1"/>
  <c r="R169" i="1"/>
  <c r="S169" i="1"/>
  <c r="D170" i="1"/>
  <c r="E170" i="1"/>
  <c r="F170" i="1"/>
  <c r="G170" i="1"/>
  <c r="H170" i="1"/>
  <c r="I170" i="1"/>
  <c r="J170" i="1"/>
  <c r="K170" i="1"/>
  <c r="L170" i="1"/>
  <c r="M170" i="1"/>
  <c r="N170" i="1"/>
  <c r="O170" i="1"/>
  <c r="P170" i="1"/>
  <c r="Q170" i="1"/>
  <c r="R170" i="1"/>
  <c r="S170" i="1"/>
  <c r="D171" i="1"/>
  <c r="E171" i="1"/>
  <c r="F171" i="1"/>
  <c r="G171" i="1"/>
  <c r="H171" i="1"/>
  <c r="I171" i="1"/>
  <c r="J171" i="1"/>
  <c r="K171" i="1"/>
  <c r="L171" i="1"/>
  <c r="M171" i="1"/>
  <c r="N171" i="1"/>
  <c r="O171" i="1"/>
  <c r="P171" i="1"/>
  <c r="Q171" i="1"/>
  <c r="R171" i="1"/>
  <c r="S171" i="1"/>
  <c r="D172" i="1"/>
  <c r="E172" i="1"/>
  <c r="F172" i="1"/>
  <c r="G172" i="1"/>
  <c r="H172" i="1"/>
  <c r="I172" i="1"/>
  <c r="J172" i="1"/>
  <c r="K172" i="1"/>
  <c r="L172" i="1"/>
  <c r="M172" i="1"/>
  <c r="N172" i="1"/>
  <c r="O172" i="1"/>
  <c r="P172" i="1"/>
  <c r="Q172" i="1"/>
  <c r="R172" i="1"/>
  <c r="S172" i="1"/>
  <c r="D173" i="1"/>
  <c r="E173" i="1"/>
  <c r="F173" i="1"/>
  <c r="G173" i="1"/>
  <c r="H173" i="1"/>
  <c r="I173" i="1"/>
  <c r="J173" i="1"/>
  <c r="K173" i="1"/>
  <c r="L173" i="1"/>
  <c r="M173" i="1"/>
  <c r="N173" i="1"/>
  <c r="O173" i="1"/>
  <c r="P173" i="1"/>
  <c r="Q173" i="1"/>
  <c r="R173" i="1"/>
  <c r="S173" i="1"/>
  <c r="D174" i="1"/>
  <c r="E174" i="1"/>
  <c r="F174" i="1"/>
  <c r="G174" i="1"/>
  <c r="H174" i="1"/>
  <c r="I174" i="1"/>
  <c r="J174" i="1"/>
  <c r="K174" i="1"/>
  <c r="L174" i="1"/>
  <c r="M174" i="1"/>
  <c r="N174" i="1"/>
  <c r="O174" i="1"/>
  <c r="P174" i="1"/>
  <c r="Q174" i="1"/>
  <c r="R174" i="1"/>
  <c r="S174" i="1"/>
  <c r="D175" i="1"/>
  <c r="E175" i="1"/>
  <c r="F175" i="1"/>
  <c r="G175" i="1"/>
  <c r="H175" i="1"/>
  <c r="I175" i="1"/>
  <c r="J175" i="1"/>
  <c r="K175" i="1"/>
  <c r="L175" i="1"/>
  <c r="M175" i="1"/>
  <c r="N175" i="1"/>
  <c r="O175" i="1"/>
  <c r="P175" i="1"/>
  <c r="Q175" i="1"/>
  <c r="R175" i="1"/>
  <c r="S175" i="1"/>
  <c r="D176" i="1"/>
  <c r="E176" i="1"/>
  <c r="F176" i="1"/>
  <c r="G176" i="1"/>
  <c r="H176" i="1"/>
  <c r="I176" i="1"/>
  <c r="J176" i="1"/>
  <c r="K176" i="1"/>
  <c r="L176" i="1"/>
  <c r="M176" i="1"/>
  <c r="N176" i="1"/>
  <c r="O176" i="1"/>
  <c r="P176" i="1"/>
  <c r="Q176" i="1"/>
  <c r="R176" i="1"/>
  <c r="S176" i="1"/>
  <c r="D177" i="1"/>
  <c r="E177" i="1"/>
  <c r="F177" i="1"/>
  <c r="G177" i="1"/>
  <c r="H177" i="1"/>
  <c r="I177" i="1"/>
  <c r="J177" i="1"/>
  <c r="K177" i="1"/>
  <c r="L177" i="1"/>
  <c r="M177" i="1"/>
  <c r="N177" i="1"/>
  <c r="O177" i="1"/>
  <c r="P177" i="1"/>
  <c r="Q177" i="1"/>
  <c r="R177" i="1"/>
  <c r="S177" i="1"/>
  <c r="D178" i="1"/>
  <c r="E178" i="1"/>
  <c r="F178" i="1"/>
  <c r="G178" i="1"/>
  <c r="H178" i="1"/>
  <c r="I178" i="1"/>
  <c r="J178" i="1"/>
  <c r="K178" i="1"/>
  <c r="L178" i="1"/>
  <c r="M178" i="1"/>
  <c r="N178" i="1"/>
  <c r="O178" i="1"/>
  <c r="P178" i="1"/>
  <c r="Q178" i="1"/>
  <c r="R178" i="1"/>
  <c r="S178" i="1"/>
  <c r="C168" i="1"/>
  <c r="C169" i="1"/>
  <c r="C170" i="1"/>
  <c r="C171" i="1"/>
  <c r="C172" i="1"/>
  <c r="C173" i="1"/>
  <c r="C174" i="1"/>
  <c r="C175" i="1"/>
  <c r="C176" i="1"/>
  <c r="C177" i="1"/>
  <c r="C178" i="1"/>
  <c r="C167" i="1"/>
  <c r="C166" i="1"/>
  <c r="C156" i="1"/>
  <c r="C157" i="1"/>
  <c r="C158" i="1"/>
  <c r="C159" i="1"/>
  <c r="C160" i="1"/>
  <c r="C161" i="1"/>
  <c r="C162" i="1"/>
  <c r="C163" i="1"/>
  <c r="C164" i="1"/>
  <c r="C165" i="1"/>
  <c r="C155" i="1"/>
  <c r="R30" i="13"/>
  <c r="Q30" i="13"/>
  <c r="H30" i="13"/>
  <c r="E30" i="13"/>
  <c r="C30" i="13"/>
  <c r="R36" i="13"/>
  <c r="Q36" i="13"/>
  <c r="H36" i="13"/>
  <c r="E36" i="13"/>
  <c r="C36" i="13"/>
  <c r="C150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P150" i="1"/>
  <c r="Q150" i="1"/>
  <c r="R150" i="1"/>
  <c r="S150" i="1"/>
  <c r="C151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P151" i="1"/>
  <c r="Q151" i="1"/>
  <c r="R151" i="1"/>
  <c r="S151" i="1"/>
  <c r="L21" i="7"/>
  <c r="K21" i="7"/>
  <c r="H37" i="7"/>
  <c r="H36" i="7"/>
  <c r="H35" i="7"/>
  <c r="H34" i="7"/>
  <c r="H33" i="7"/>
  <c r="H32" i="7"/>
  <c r="H31" i="7"/>
  <c r="H30" i="7"/>
  <c r="H29" i="7"/>
  <c r="I17" i="6"/>
  <c r="C58" i="1"/>
  <c r="R10" i="10"/>
  <c r="R130" i="1"/>
  <c r="S10" i="10"/>
  <c r="S130" i="1"/>
  <c r="S14" i="10"/>
  <c r="R14" i="10"/>
  <c r="S9" i="10"/>
  <c r="R9" i="10"/>
  <c r="I28" i="5"/>
  <c r="V28" i="5"/>
  <c r="G28" i="5"/>
  <c r="U28" i="5"/>
  <c r="R76" i="1"/>
  <c r="S76" i="1"/>
  <c r="G20" i="5"/>
  <c r="G21" i="5"/>
  <c r="U21" i="5"/>
  <c r="R77" i="1"/>
  <c r="I20" i="5"/>
  <c r="I21" i="5"/>
  <c r="V21" i="5"/>
  <c r="S77" i="1"/>
  <c r="G22" i="5"/>
  <c r="U22" i="5"/>
  <c r="R78" i="1"/>
  <c r="I22" i="5"/>
  <c r="V22" i="5"/>
  <c r="S78" i="1"/>
  <c r="S8" i="1"/>
  <c r="J8" i="9"/>
  <c r="Y14" i="9"/>
  <c r="S112" i="1"/>
  <c r="S113" i="1"/>
  <c r="Y16" i="9"/>
  <c r="S114" i="1"/>
  <c r="S115" i="1"/>
  <c r="S135" i="1"/>
  <c r="S138" i="1"/>
  <c r="U20" i="5"/>
  <c r="V20" i="5"/>
  <c r="U7" i="5"/>
  <c r="V7" i="5"/>
  <c r="G8" i="5"/>
  <c r="U8" i="5"/>
  <c r="I8" i="5"/>
  <c r="V8" i="5"/>
  <c r="V6" i="5"/>
  <c r="U6" i="5"/>
  <c r="C40" i="10"/>
  <c r="E17" i="6"/>
  <c r="H17" i="6"/>
  <c r="H20" i="5"/>
  <c r="J20" i="5"/>
  <c r="K20" i="5"/>
  <c r="L20" i="5"/>
  <c r="M20" i="5"/>
  <c r="N20" i="5"/>
  <c r="O20" i="5"/>
  <c r="P20" i="5"/>
  <c r="Q20" i="5"/>
  <c r="R20" i="5"/>
  <c r="S20" i="5"/>
  <c r="T20" i="5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C8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C130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P135" i="1"/>
  <c r="Q135" i="1"/>
  <c r="R135" i="1"/>
  <c r="C135" i="1"/>
  <c r="H8" i="5"/>
  <c r="J8" i="5"/>
  <c r="K8" i="5"/>
  <c r="L8" i="5"/>
  <c r="M8" i="5"/>
  <c r="N8" i="5"/>
  <c r="O8" i="5"/>
  <c r="P8" i="5"/>
  <c r="Q8" i="5"/>
  <c r="R8" i="5"/>
  <c r="S8" i="5"/>
  <c r="T8" i="5"/>
  <c r="H28" i="5"/>
  <c r="J28" i="5"/>
  <c r="K28" i="5"/>
  <c r="L28" i="5"/>
  <c r="M28" i="5"/>
  <c r="F28" i="5"/>
  <c r="G89" i="5"/>
  <c r="H89" i="5"/>
  <c r="I89" i="5"/>
  <c r="J89" i="5"/>
  <c r="K89" i="5"/>
  <c r="L89" i="5"/>
  <c r="M89" i="5"/>
  <c r="N89" i="5"/>
  <c r="O89" i="5"/>
  <c r="P89" i="5"/>
  <c r="Q89" i="5"/>
  <c r="R89" i="5"/>
  <c r="S89" i="5"/>
  <c r="T89" i="5"/>
  <c r="F89" i="5"/>
  <c r="B18" i="2"/>
  <c r="B13" i="2"/>
  <c r="B14" i="2"/>
  <c r="B12" i="2"/>
  <c r="C17" i="6"/>
  <c r="C64" i="1"/>
  <c r="B6" i="2"/>
  <c r="G107" i="6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H29" i="6"/>
  <c r="J29" i="6"/>
  <c r="H30" i="6"/>
  <c r="J30" i="6"/>
  <c r="H31" i="6"/>
  <c r="J31" i="6"/>
  <c r="H41" i="6"/>
  <c r="C41" i="6"/>
  <c r="H42" i="6"/>
  <c r="J42" i="6"/>
  <c r="H50" i="6"/>
  <c r="J50" i="6"/>
  <c r="H52" i="6"/>
  <c r="J52" i="6"/>
  <c r="C77" i="1"/>
  <c r="D129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B133" i="5"/>
  <c r="B134" i="5"/>
  <c r="D127" i="5"/>
  <c r="D126" i="5"/>
  <c r="D128" i="5"/>
  <c r="D125" i="5"/>
  <c r="Y1" i="5"/>
  <c r="A37" i="5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C70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C134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P134" i="1"/>
  <c r="Q134" i="1"/>
  <c r="AC13" i="9"/>
  <c r="L14" i="9"/>
  <c r="M14" i="9"/>
  <c r="G112" i="1"/>
  <c r="R14" i="9"/>
  <c r="L112" i="1"/>
  <c r="X14" i="9"/>
  <c r="R112" i="1"/>
  <c r="R18" i="7"/>
  <c r="Q18" i="7"/>
  <c r="C5" i="12"/>
  <c r="G5" i="12"/>
  <c r="K5" i="12"/>
  <c r="O5" i="12"/>
  <c r="F54" i="10"/>
  <c r="X7" i="5"/>
  <c r="X14" i="5"/>
  <c r="I18" i="6"/>
  <c r="C55" i="1"/>
  <c r="E18" i="6"/>
  <c r="H18" i="6"/>
  <c r="E20" i="6"/>
  <c r="C20" i="6"/>
  <c r="C53" i="1"/>
  <c r="C42" i="6"/>
  <c r="C60" i="6"/>
  <c r="C59" i="6"/>
  <c r="C58" i="6"/>
  <c r="H57" i="6"/>
  <c r="C57" i="6"/>
  <c r="H56" i="6"/>
  <c r="C56" i="6"/>
  <c r="H55" i="6"/>
  <c r="C55" i="6"/>
  <c r="H39" i="6"/>
  <c r="C39" i="6"/>
  <c r="H40" i="6"/>
  <c r="C40" i="6"/>
  <c r="H38" i="6"/>
  <c r="C38" i="6"/>
  <c r="H37" i="6"/>
  <c r="C37" i="6"/>
  <c r="H32" i="6"/>
  <c r="C32" i="6"/>
  <c r="H33" i="6"/>
  <c r="C33" i="6"/>
  <c r="H34" i="6"/>
  <c r="C34" i="6"/>
  <c r="C30" i="6"/>
  <c r="C29" i="6"/>
  <c r="H25" i="6"/>
  <c r="C25" i="6"/>
  <c r="H24" i="6"/>
  <c r="C24" i="6"/>
  <c r="H46" i="6"/>
  <c r="C46" i="6"/>
  <c r="H47" i="6"/>
  <c r="C47" i="6"/>
  <c r="H48" i="6"/>
  <c r="C48" i="6"/>
  <c r="H49" i="6"/>
  <c r="C49" i="6"/>
  <c r="H51" i="6"/>
  <c r="C51" i="6"/>
  <c r="C52" i="6"/>
  <c r="H45" i="6"/>
  <c r="C45" i="6"/>
  <c r="C18" i="4"/>
  <c r="C19" i="4"/>
  <c r="C20" i="4"/>
  <c r="D18" i="4"/>
  <c r="D19" i="4"/>
  <c r="D20" i="4"/>
  <c r="E18" i="4"/>
  <c r="E19" i="4"/>
  <c r="E20" i="4"/>
  <c r="F18" i="4"/>
  <c r="F19" i="4"/>
  <c r="F20" i="4"/>
  <c r="G18" i="4"/>
  <c r="G19" i="4"/>
  <c r="G20" i="4"/>
  <c r="H18" i="4"/>
  <c r="H19" i="4"/>
  <c r="H20" i="4"/>
  <c r="I18" i="4"/>
  <c r="I19" i="4"/>
  <c r="I20" i="4"/>
  <c r="J18" i="4"/>
  <c r="J19" i="4"/>
  <c r="J20" i="4"/>
  <c r="K18" i="4"/>
  <c r="K19" i="4"/>
  <c r="K20" i="4"/>
  <c r="L18" i="4"/>
  <c r="L19" i="4"/>
  <c r="L20" i="4"/>
  <c r="M18" i="4"/>
  <c r="M19" i="4"/>
  <c r="M20" i="4"/>
  <c r="N18" i="4"/>
  <c r="N19" i="4"/>
  <c r="N20" i="4"/>
  <c r="B18" i="4"/>
  <c r="B19" i="4"/>
  <c r="B20" i="4"/>
  <c r="B60" i="6"/>
  <c r="B59" i="6"/>
  <c r="B58" i="6"/>
  <c r="M12" i="3"/>
  <c r="X57" i="5"/>
  <c r="X33" i="5"/>
  <c r="X34" i="5"/>
  <c r="T33" i="5"/>
  <c r="F33" i="5"/>
  <c r="F34" i="5"/>
  <c r="T30" i="5"/>
  <c r="X30" i="5"/>
  <c r="X31" i="5"/>
  <c r="F30" i="5"/>
  <c r="F31" i="5"/>
  <c r="T34" i="5"/>
  <c r="T31" i="5"/>
  <c r="Q36" i="6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AM22" i="5"/>
  <c r="D44" i="2"/>
  <c r="D43" i="2"/>
  <c r="D14" i="9"/>
  <c r="B14" i="9"/>
  <c r="Q76" i="1"/>
  <c r="P76" i="1"/>
  <c r="O76" i="1"/>
  <c r="N76" i="1"/>
  <c r="M76" i="1"/>
  <c r="L76" i="1"/>
  <c r="K76" i="1"/>
  <c r="J76" i="1"/>
  <c r="I76" i="1"/>
  <c r="H76" i="1"/>
  <c r="G76" i="1"/>
  <c r="F76" i="1"/>
  <c r="D76" i="1"/>
  <c r="C76" i="1"/>
  <c r="E76" i="1"/>
  <c r="I19" i="6"/>
  <c r="B13" i="9"/>
  <c r="Q24" i="3"/>
  <c r="Q22" i="3"/>
  <c r="C17" i="3"/>
  <c r="D17" i="3"/>
  <c r="E17" i="3"/>
  <c r="Q26" i="6"/>
  <c r="C121" i="1"/>
  <c r="C120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C102" i="1"/>
  <c r="C8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C79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C32" i="4"/>
  <c r="C33" i="4"/>
  <c r="C31" i="4"/>
  <c r="AB16" i="9"/>
  <c r="X16" i="9"/>
  <c r="R115" i="1"/>
  <c r="W16" i="9"/>
  <c r="Q114" i="1"/>
  <c r="V16" i="9"/>
  <c r="U16" i="9"/>
  <c r="O115" i="1"/>
  <c r="T16" i="9"/>
  <c r="N115" i="1"/>
  <c r="S16" i="9"/>
  <c r="M115" i="1"/>
  <c r="R16" i="9"/>
  <c r="L114" i="1"/>
  <c r="Q16" i="9"/>
  <c r="K115" i="1"/>
  <c r="P16" i="9"/>
  <c r="J115" i="1"/>
  <c r="O16" i="9"/>
  <c r="I115" i="1"/>
  <c r="N16" i="9"/>
  <c r="M16" i="9"/>
  <c r="G115" i="1"/>
  <c r="L16" i="9"/>
  <c r="F115" i="1"/>
  <c r="K16" i="9"/>
  <c r="J16" i="9"/>
  <c r="D115" i="1"/>
  <c r="I16" i="9"/>
  <c r="C115" i="1"/>
  <c r="D15" i="9"/>
  <c r="B15" i="9"/>
  <c r="J9" i="9"/>
  <c r="J7" i="9"/>
  <c r="Q27" i="6"/>
  <c r="Q23" i="6"/>
  <c r="Q22" i="6"/>
  <c r="Q21" i="6"/>
  <c r="Q20" i="6"/>
  <c r="Q19" i="6"/>
  <c r="Q18" i="6"/>
  <c r="Q17" i="6"/>
  <c r="AO22" i="5"/>
  <c r="AI22" i="5"/>
  <c r="AC22" i="5"/>
  <c r="X22" i="5"/>
  <c r="O22" i="5"/>
  <c r="L78" i="1"/>
  <c r="J22" i="5"/>
  <c r="G78" i="1"/>
  <c r="AO21" i="5"/>
  <c r="AN21" i="5"/>
  <c r="AM21" i="5"/>
  <c r="AL21" i="5"/>
  <c r="AK21" i="5"/>
  <c r="AJ21" i="5"/>
  <c r="AI21" i="5"/>
  <c r="AH21" i="5"/>
  <c r="AG21" i="5"/>
  <c r="AF21" i="5"/>
  <c r="AE21" i="5"/>
  <c r="AD21" i="5"/>
  <c r="AC21" i="5"/>
  <c r="AB21" i="5"/>
  <c r="AA21" i="5"/>
  <c r="Z21" i="5"/>
  <c r="X21" i="5"/>
  <c r="T21" i="5"/>
  <c r="Q77" i="1"/>
  <c r="S21" i="5"/>
  <c r="P77" i="1"/>
  <c r="R21" i="5"/>
  <c r="O77" i="1"/>
  <c r="Q21" i="5"/>
  <c r="N77" i="1"/>
  <c r="P21" i="5"/>
  <c r="M77" i="1"/>
  <c r="O21" i="5"/>
  <c r="L77" i="1"/>
  <c r="N21" i="5"/>
  <c r="K77" i="1"/>
  <c r="M21" i="5"/>
  <c r="J77" i="1"/>
  <c r="L21" i="5"/>
  <c r="I77" i="1"/>
  <c r="K21" i="5"/>
  <c r="H77" i="1"/>
  <c r="J21" i="5"/>
  <c r="G77" i="1"/>
  <c r="F77" i="1"/>
  <c r="H21" i="5"/>
  <c r="D77" i="1"/>
  <c r="AO12" i="5"/>
  <c r="AN12" i="5"/>
  <c r="AM12" i="5"/>
  <c r="AL12" i="5"/>
  <c r="AK12" i="5"/>
  <c r="AJ12" i="5"/>
  <c r="AI12" i="5"/>
  <c r="AH12" i="5"/>
  <c r="AG12" i="5"/>
  <c r="AF12" i="5"/>
  <c r="AE12" i="5"/>
  <c r="AD12" i="5"/>
  <c r="AC12" i="5"/>
  <c r="AB12" i="5"/>
  <c r="AA12" i="5"/>
  <c r="Z12" i="5"/>
  <c r="AO8" i="5"/>
  <c r="AL8" i="5"/>
  <c r="AK8" i="5"/>
  <c r="AJ8" i="5"/>
  <c r="AH8" i="5"/>
  <c r="Z7" i="5"/>
  <c r="AA7" i="5"/>
  <c r="AB7" i="5"/>
  <c r="AC7" i="5"/>
  <c r="AD7" i="5"/>
  <c r="AE7" i="5"/>
  <c r="AF7" i="5"/>
  <c r="AG7" i="5"/>
  <c r="AH7" i="5"/>
  <c r="AI7" i="5"/>
  <c r="AJ7" i="5"/>
  <c r="AK7" i="5"/>
  <c r="AL7" i="5"/>
  <c r="AM7" i="5"/>
  <c r="AN7" i="5"/>
  <c r="AO7" i="5"/>
  <c r="AO6" i="5"/>
  <c r="AL6" i="5"/>
  <c r="AK6" i="5"/>
  <c r="AJ6" i="5"/>
  <c r="AH6" i="5"/>
  <c r="R9" i="4"/>
  <c r="R10" i="4"/>
  <c r="R11" i="4"/>
  <c r="B25" i="3"/>
  <c r="B26" i="3"/>
  <c r="C24" i="3"/>
  <c r="D24" i="3"/>
  <c r="E24" i="3"/>
  <c r="Q23" i="3"/>
  <c r="Q21" i="3"/>
  <c r="S23" i="3"/>
  <c r="C20" i="3"/>
  <c r="D20" i="3"/>
  <c r="E20" i="3"/>
  <c r="C19" i="3"/>
  <c r="D19" i="3"/>
  <c r="E19" i="3"/>
  <c r="Q18" i="3"/>
  <c r="C18" i="3"/>
  <c r="D18" i="3"/>
  <c r="E18" i="3"/>
  <c r="U16" i="3"/>
  <c r="U17" i="3"/>
  <c r="Q15" i="3"/>
  <c r="Q16" i="3"/>
  <c r="C15" i="1"/>
  <c r="C125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P125" i="1"/>
  <c r="Q125" i="1"/>
  <c r="R125" i="1"/>
  <c r="S125" i="1"/>
  <c r="C124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P124" i="1"/>
  <c r="Q124" i="1"/>
  <c r="C117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P117" i="1"/>
  <c r="Q117" i="1"/>
  <c r="C116" i="1"/>
  <c r="C111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C110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C109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C105" i="1"/>
  <c r="C103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C101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C98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C48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E77" i="1"/>
  <c r="F114" i="1"/>
  <c r="J114" i="1"/>
  <c r="R114" i="1"/>
  <c r="G114" i="1"/>
  <c r="O114" i="1"/>
  <c r="D114" i="1"/>
  <c r="H114" i="1"/>
  <c r="H115" i="1"/>
  <c r="P114" i="1"/>
  <c r="P115" i="1"/>
  <c r="I114" i="1"/>
  <c r="Q115" i="1"/>
  <c r="C87" i="1"/>
  <c r="H13" i="3"/>
  <c r="H14" i="3"/>
  <c r="C14" i="1"/>
  <c r="C25" i="3"/>
  <c r="D25" i="3"/>
  <c r="E25" i="3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C86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S84" i="1"/>
  <c r="D24" i="8"/>
  <c r="E19" i="6"/>
  <c r="H19" i="6"/>
  <c r="C65" i="1"/>
  <c r="G113" i="1"/>
  <c r="K114" i="1"/>
  <c r="C114" i="1"/>
  <c r="M22" i="5"/>
  <c r="J78" i="1"/>
  <c r="E114" i="1"/>
  <c r="K22" i="5"/>
  <c r="H78" i="1"/>
  <c r="Q22" i="5"/>
  <c r="N78" i="1"/>
  <c r="Z22" i="5"/>
  <c r="AF22" i="5"/>
  <c r="AJ22" i="5"/>
  <c r="U14" i="9"/>
  <c r="J14" i="9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Q19" i="3"/>
  <c r="F78" i="1"/>
  <c r="N22" i="5"/>
  <c r="K78" i="1"/>
  <c r="S22" i="5"/>
  <c r="P78" i="1"/>
  <c r="AB22" i="5"/>
  <c r="AH22" i="5"/>
  <c r="AN22" i="5"/>
  <c r="C31" i="6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P14" i="9"/>
  <c r="R113" i="1"/>
  <c r="C78" i="1"/>
  <c r="R22" i="5"/>
  <c r="O78" i="1"/>
  <c r="AA22" i="5"/>
  <c r="AG22" i="5"/>
  <c r="AK22" i="5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S14" i="9"/>
  <c r="K14" i="9"/>
  <c r="AC14" i="9"/>
  <c r="S22" i="3"/>
  <c r="M114" i="1"/>
  <c r="E115" i="1"/>
  <c r="L113" i="1"/>
  <c r="H20" i="6"/>
  <c r="D133" i="5"/>
  <c r="D134" i="5"/>
  <c r="B137" i="5"/>
  <c r="B140" i="5"/>
  <c r="C28" i="8"/>
  <c r="B27" i="3"/>
  <c r="C27" i="3"/>
  <c r="D27" i="3"/>
  <c r="E27" i="3"/>
  <c r="C26" i="3"/>
  <c r="D26" i="3"/>
  <c r="E26" i="3"/>
  <c r="O22" i="6"/>
  <c r="P22" i="6"/>
  <c r="O20" i="6"/>
  <c r="P20" i="6"/>
  <c r="O23" i="6"/>
  <c r="P23" i="6"/>
  <c r="F113" i="1"/>
  <c r="F112" i="1"/>
  <c r="C50" i="6"/>
  <c r="I14" i="9"/>
  <c r="Q14" i="9"/>
  <c r="AB14" i="9"/>
  <c r="AC16" i="9"/>
  <c r="L115" i="1"/>
  <c r="D78" i="1"/>
  <c r="AD22" i="5"/>
  <c r="AL22" i="5"/>
  <c r="W14" i="9"/>
  <c r="O14" i="9"/>
  <c r="H16" i="3"/>
  <c r="N114" i="1"/>
  <c r="H22" i="5"/>
  <c r="L22" i="5"/>
  <c r="I78" i="1"/>
  <c r="P22" i="5"/>
  <c r="M78" i="1"/>
  <c r="T22" i="5"/>
  <c r="Q78" i="1"/>
  <c r="AE22" i="5"/>
  <c r="V14" i="9"/>
  <c r="N14" i="9"/>
  <c r="AD13" i="9"/>
  <c r="T14" i="9"/>
  <c r="J41" i="6"/>
  <c r="J54" i="6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R134" i="1"/>
  <c r="S134" i="1"/>
  <c r="R110" i="1"/>
  <c r="S110" i="1"/>
  <c r="R94" i="1"/>
  <c r="S94" i="1"/>
  <c r="R98" i="1"/>
  <c r="S98" i="1"/>
  <c r="R101" i="1"/>
  <c r="S101" i="1"/>
  <c r="R117" i="1"/>
  <c r="S117" i="1"/>
  <c r="R111" i="1"/>
  <c r="S111" i="1"/>
  <c r="R124" i="1"/>
  <c r="S124" i="1"/>
  <c r="R93" i="1"/>
  <c r="S93" i="1"/>
  <c r="R103" i="1"/>
  <c r="S103" i="1"/>
  <c r="R97" i="1"/>
  <c r="S97" i="1"/>
  <c r="R109" i="1"/>
  <c r="S109" i="1"/>
  <c r="R83" i="1"/>
  <c r="S83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P105" i="1"/>
  <c r="Q105" i="1"/>
  <c r="R105" i="1"/>
  <c r="S10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P116" i="1"/>
  <c r="Q116" i="1"/>
  <c r="R116" i="1"/>
  <c r="S116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R52" i="1"/>
  <c r="S52" i="1"/>
  <c r="R34" i="1"/>
  <c r="S34" i="1"/>
  <c r="R16" i="1"/>
  <c r="S16" i="1"/>
  <c r="R31" i="1"/>
  <c r="S31" i="1"/>
  <c r="R42" i="1"/>
  <c r="S42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19" i="1"/>
  <c r="S19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R102" i="1"/>
  <c r="S102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R87" i="1"/>
  <c r="S87" i="1"/>
  <c r="R88" i="1"/>
  <c r="S88" i="1"/>
  <c r="R32" i="1"/>
  <c r="S32" i="1"/>
  <c r="R60" i="1"/>
  <c r="S60" i="1"/>
  <c r="R33" i="1"/>
  <c r="S33" i="1"/>
  <c r="R22" i="1"/>
  <c r="S22" i="1"/>
  <c r="R54" i="1"/>
  <c r="S54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P121" i="1"/>
  <c r="Q121" i="1"/>
  <c r="R121" i="1"/>
  <c r="S121" i="1"/>
  <c r="R66" i="1"/>
  <c r="S66" i="1"/>
  <c r="R57" i="1"/>
  <c r="S57" i="1"/>
  <c r="R20" i="1"/>
  <c r="S20" i="1"/>
  <c r="R120" i="1"/>
  <c r="S120" i="1"/>
  <c r="R48" i="1"/>
  <c r="S48" i="1"/>
  <c r="R63" i="1"/>
  <c r="S63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O27" i="6"/>
  <c r="P27" i="6"/>
  <c r="O36" i="6"/>
  <c r="P36" i="6"/>
  <c r="O26" i="6"/>
  <c r="P26" i="6"/>
  <c r="C19" i="6"/>
  <c r="C18" i="6"/>
  <c r="C56" i="1"/>
  <c r="O21" i="6"/>
  <c r="P21" i="6"/>
  <c r="O19" i="6"/>
  <c r="P19" i="6"/>
  <c r="O18" i="6"/>
  <c r="P18" i="6"/>
  <c r="O17" i="6"/>
  <c r="P17" i="6"/>
  <c r="J112" i="1"/>
  <c r="J113" i="1"/>
  <c r="O113" i="1"/>
  <c r="O112" i="1"/>
  <c r="D112" i="1"/>
  <c r="D113" i="1"/>
  <c r="M112" i="1"/>
  <c r="M113" i="1"/>
  <c r="E112" i="1"/>
  <c r="E113" i="1"/>
  <c r="I112" i="1"/>
  <c r="I113" i="1"/>
  <c r="K112" i="1"/>
  <c r="K113" i="1"/>
  <c r="E78" i="1"/>
  <c r="C113" i="1"/>
  <c r="C112" i="1"/>
  <c r="Q112" i="1"/>
  <c r="Q113" i="1"/>
  <c r="H113" i="1"/>
  <c r="H112" i="1"/>
  <c r="N113" i="1"/>
  <c r="N112" i="1"/>
  <c r="P112" i="1"/>
  <c r="P113" i="1"/>
  <c r="G21" i="4"/>
  <c r="D21" i="4"/>
  <c r="E21" i="4"/>
  <c r="F21" i="4"/>
  <c r="C21" i="4"/>
  <c r="C17" i="1"/>
  <c r="N21" i="4"/>
  <c r="J21" i="4"/>
  <c r="L21" i="4"/>
  <c r="M21" i="4"/>
  <c r="B21" i="4"/>
  <c r="K21" i="4"/>
  <c r="H21" i="4"/>
  <c r="I21" i="4"/>
  <c r="AD14" i="9"/>
  <c r="AD16" i="9"/>
  <c r="AE13" i="9"/>
  <c r="I13" i="4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AE16" i="9"/>
  <c r="AE14" i="9"/>
  <c r="AF13" i="9"/>
  <c r="AG13" i="9"/>
  <c r="AF16" i="9"/>
  <c r="AF14" i="9"/>
  <c r="AG16" i="9"/>
  <c r="AG14" i="9"/>
  <c r="AH13" i="9"/>
  <c r="AH16" i="9"/>
  <c r="AH14" i="9"/>
  <c r="AI13" i="9"/>
  <c r="AI16" i="9"/>
  <c r="AI14" i="9"/>
  <c r="AJ13" i="9"/>
  <c r="AK13" i="9"/>
  <c r="AJ16" i="9"/>
  <c r="AJ14" i="9"/>
  <c r="AK16" i="9"/>
  <c r="AK14" i="9"/>
  <c r="AL13" i="9"/>
  <c r="AL16" i="9"/>
  <c r="AL14" i="9"/>
  <c r="AM13" i="9"/>
  <c r="AM16" i="9"/>
  <c r="AM14" i="9"/>
  <c r="AN13" i="9"/>
  <c r="AO13" i="9"/>
  <c r="AN16" i="9"/>
  <c r="AN14" i="9"/>
  <c r="AO16" i="9"/>
  <c r="AO14" i="9"/>
  <c r="AP13" i="9"/>
  <c r="AP16" i="9"/>
  <c r="AP14" i="9"/>
  <c r="AQ13" i="9"/>
  <c r="AQ16" i="9"/>
  <c r="AQ14" i="9"/>
  <c r="D36" i="2"/>
  <c r="B7" i="2"/>
  <c r="C27" i="8"/>
  <c r="C29" i="8"/>
  <c r="C30" i="8"/>
  <c r="C32" i="8"/>
  <c r="B11" i="2"/>
  <c r="C81" i="1"/>
  <c r="D31" i="2"/>
  <c r="C25" i="1"/>
  <c r="C29" i="1"/>
  <c r="G43" i="5"/>
  <c r="P35" i="5"/>
  <c r="L35" i="5"/>
  <c r="S43" i="5"/>
  <c r="F35" i="5"/>
  <c r="T35" i="5"/>
  <c r="I43" i="5"/>
  <c r="X35" i="5"/>
  <c r="X10" i="5"/>
  <c r="H43" i="5"/>
  <c r="O35" i="5"/>
  <c r="M43" i="5"/>
  <c r="N43" i="5"/>
  <c r="J35" i="5"/>
  <c r="J43" i="5"/>
  <c r="F43" i="5"/>
  <c r="Q35" i="5"/>
  <c r="G35" i="5"/>
  <c r="M35" i="5"/>
  <c r="L43" i="5"/>
  <c r="H35" i="5"/>
  <c r="O43" i="5"/>
  <c r="T43" i="5"/>
  <c r="N35" i="5"/>
  <c r="K35" i="5"/>
  <c r="I35" i="5"/>
  <c r="R43" i="5"/>
  <c r="R35" i="5"/>
  <c r="K43" i="5"/>
  <c r="S35" i="5"/>
  <c r="Q43" i="5"/>
  <c r="P43" i="5"/>
  <c r="M7" i="3"/>
  <c r="C31" i="8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C27" i="1"/>
  <c r="C23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C30" i="1"/>
  <c r="C26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C28" i="1"/>
  <c r="C24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F5" i="12"/>
  <c r="J5" i="12"/>
  <c r="N5" i="12"/>
  <c r="B5" i="12"/>
  <c r="E5" i="12"/>
  <c r="I5" i="12"/>
  <c r="M5" i="12"/>
  <c r="Q5" i="12"/>
  <c r="D5" i="12"/>
  <c r="H5" i="12"/>
  <c r="L5" i="12"/>
  <c r="P5" i="12"/>
  <c r="C30" i="4"/>
  <c r="R79" i="1"/>
  <c r="S79" i="1"/>
  <c r="R53" i="1"/>
  <c r="S53" i="1"/>
  <c r="R59" i="1"/>
  <c r="S59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R65" i="1"/>
  <c r="S65" i="1"/>
  <c r="R61" i="1"/>
  <c r="S61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C37" i="1"/>
  <c r="C90" i="1"/>
  <c r="B15" i="2"/>
  <c r="C92" i="1"/>
  <c r="C91" i="1"/>
  <c r="C82" i="1"/>
  <c r="D33" i="4"/>
  <c r="D32" i="4"/>
  <c r="D31" i="4"/>
  <c r="B20" i="7"/>
  <c r="C20" i="7"/>
  <c r="C19" i="7"/>
  <c r="L54" i="10"/>
  <c r="I40" i="10"/>
  <c r="C36" i="1"/>
  <c r="B10" i="2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R82" i="1"/>
  <c r="S8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R92" i="1"/>
  <c r="S92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C73" i="1"/>
  <c r="C74" i="1"/>
  <c r="B16" i="2"/>
  <c r="C75" i="1"/>
  <c r="I84" i="6"/>
  <c r="I105" i="6"/>
  <c r="G84" i="6"/>
  <c r="G105" i="6"/>
  <c r="K2" i="6"/>
  <c r="J84" i="6"/>
  <c r="J105" i="6"/>
  <c r="N84" i="6"/>
  <c r="N105" i="6"/>
  <c r="H84" i="6"/>
  <c r="H105" i="6"/>
  <c r="E84" i="6"/>
  <c r="E105" i="6"/>
  <c r="M2" i="6"/>
  <c r="O84" i="6"/>
  <c r="O105" i="6"/>
  <c r="M84" i="6"/>
  <c r="M105" i="6"/>
  <c r="Q84" i="6"/>
  <c r="Q105" i="6"/>
  <c r="N2" i="6"/>
  <c r="D84" i="6"/>
  <c r="D105" i="6"/>
  <c r="L84" i="6"/>
  <c r="L105" i="6"/>
  <c r="I2" i="6"/>
  <c r="C84" i="6"/>
  <c r="C105" i="6"/>
  <c r="K84" i="6"/>
  <c r="K105" i="6"/>
  <c r="O2" i="6"/>
  <c r="P84" i="6"/>
  <c r="P105" i="6"/>
  <c r="J2" i="6"/>
  <c r="F84" i="6"/>
  <c r="F105" i="6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C13" i="1"/>
  <c r="C89" i="1"/>
  <c r="AB11" i="5"/>
  <c r="AN11" i="5"/>
  <c r="N46" i="5"/>
  <c r="AI11" i="5"/>
  <c r="O46" i="5"/>
  <c r="AO11" i="5"/>
  <c r="R46" i="5"/>
  <c r="J46" i="5"/>
  <c r="G46" i="5"/>
  <c r="Z11" i="5"/>
  <c r="AJ11" i="5"/>
  <c r="AG11" i="5"/>
  <c r="X13" i="5"/>
  <c r="I46" i="5"/>
  <c r="AA11" i="5"/>
  <c r="M46" i="5"/>
  <c r="F46" i="5"/>
  <c r="T46" i="5"/>
  <c r="L46" i="5"/>
  <c r="AK11" i="5"/>
  <c r="AH11" i="5"/>
  <c r="AM11" i="5"/>
  <c r="AE11" i="5"/>
  <c r="P46" i="5"/>
  <c r="AL11" i="5"/>
  <c r="K46" i="5"/>
  <c r="AD11" i="5"/>
  <c r="AF11" i="5"/>
  <c r="S46" i="5"/>
  <c r="Q46" i="5"/>
  <c r="AC11" i="5"/>
  <c r="H46" i="5"/>
  <c r="U6" i="3"/>
  <c r="U7" i="3"/>
  <c r="U8" i="3"/>
  <c r="AB6" i="3"/>
  <c r="AB7" i="3"/>
  <c r="C35" i="1"/>
  <c r="L20" i="6"/>
  <c r="B20" i="2"/>
  <c r="K20" i="6"/>
  <c r="AC6" i="3"/>
  <c r="AC7" i="3"/>
  <c r="L19" i="6"/>
  <c r="AD6" i="3"/>
  <c r="AD7" i="3"/>
  <c r="AG6" i="3"/>
  <c r="AG7" i="3"/>
  <c r="L17" i="6"/>
  <c r="AF6" i="3"/>
  <c r="AF7" i="3"/>
  <c r="Y6" i="3"/>
  <c r="Y7" i="3"/>
  <c r="Y8" i="3"/>
  <c r="K17" i="6"/>
  <c r="K19" i="6"/>
  <c r="Q6" i="3"/>
  <c r="Q7" i="3"/>
  <c r="Q8" i="3"/>
  <c r="AE6" i="3"/>
  <c r="AE7" i="3"/>
  <c r="AE11" i="3"/>
  <c r="K18" i="6"/>
  <c r="L18" i="6"/>
  <c r="C99" i="1"/>
  <c r="C95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S95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C80" i="1"/>
  <c r="J40" i="10"/>
  <c r="K40" i="10"/>
  <c r="M54" i="10"/>
  <c r="C104" i="1"/>
  <c r="N131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R7" i="1"/>
  <c r="AG8" i="3"/>
  <c r="AG9" i="3"/>
  <c r="AE14" i="3"/>
  <c r="L7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K133" i="1"/>
  <c r="G133" i="1"/>
  <c r="H133" i="1"/>
  <c r="J133" i="1"/>
  <c r="J131" i="1"/>
  <c r="L131" i="1"/>
  <c r="S131" i="1"/>
  <c r="I133" i="1"/>
  <c r="H131" i="1"/>
  <c r="C118" i="1"/>
  <c r="B16" i="9"/>
  <c r="E131" i="1"/>
  <c r="C131" i="1"/>
  <c r="F131" i="1"/>
  <c r="Q133" i="1"/>
  <c r="G131" i="1"/>
  <c r="B19" i="2"/>
  <c r="K7" i="1"/>
  <c r="AE9" i="3"/>
  <c r="AE8" i="3"/>
  <c r="I7" i="1"/>
  <c r="G7" i="1"/>
  <c r="AC8" i="3"/>
  <c r="AC9" i="3"/>
  <c r="P7" i="1"/>
  <c r="AB9" i="3"/>
  <c r="AB8" i="3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AL10" i="5"/>
  <c r="K45" i="5"/>
  <c r="AG10" i="5"/>
  <c r="AH10" i="5"/>
  <c r="J45" i="5"/>
  <c r="X12" i="5"/>
  <c r="AF10" i="5"/>
  <c r="Z10" i="5"/>
  <c r="T45" i="5"/>
  <c r="AM10" i="5"/>
  <c r="Q45" i="5"/>
  <c r="I45" i="5"/>
  <c r="AO10" i="5"/>
  <c r="AB10" i="5"/>
  <c r="O45" i="5"/>
  <c r="AN10" i="5"/>
  <c r="N45" i="5"/>
  <c r="F45" i="5"/>
  <c r="L45" i="5"/>
  <c r="S45" i="5"/>
  <c r="AD10" i="5"/>
  <c r="AI10" i="5"/>
  <c r="AA10" i="5"/>
  <c r="AE10" i="5"/>
  <c r="G45" i="5"/>
  <c r="P45" i="5"/>
  <c r="AK10" i="5"/>
  <c r="M45" i="5"/>
  <c r="H45" i="5"/>
  <c r="AJ10" i="5"/>
  <c r="R45" i="5"/>
  <c r="AC10" i="5"/>
  <c r="C119" i="1"/>
  <c r="B17" i="9"/>
  <c r="L133" i="1"/>
  <c r="K131" i="1"/>
  <c r="O133" i="1"/>
  <c r="R133" i="1"/>
  <c r="O3" i="6"/>
  <c r="I3" i="6"/>
  <c r="M3" i="6"/>
  <c r="K3" i="6"/>
  <c r="J3" i="6"/>
  <c r="N3" i="6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AE13" i="3"/>
  <c r="M7" i="1"/>
  <c r="O7" i="1"/>
  <c r="Q7" i="1"/>
  <c r="AE16" i="3"/>
  <c r="J7" i="1"/>
  <c r="E7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M131" i="1"/>
  <c r="C21" i="1"/>
  <c r="C18" i="1"/>
  <c r="O131" i="1"/>
  <c r="C133" i="1"/>
  <c r="M133" i="1"/>
  <c r="N133" i="1"/>
  <c r="P133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P131" i="1"/>
  <c r="F133" i="1"/>
  <c r="Q131" i="1"/>
  <c r="S133" i="1"/>
  <c r="D133" i="1"/>
  <c r="D131" i="1"/>
  <c r="I131" i="1"/>
  <c r="R131" i="1"/>
  <c r="D7" i="1"/>
  <c r="F7" i="1"/>
  <c r="H7" i="1"/>
  <c r="AE12" i="3"/>
  <c r="AF8" i="3"/>
  <c r="AF9" i="3"/>
  <c r="N7" i="1"/>
  <c r="AD8" i="3"/>
  <c r="AD9" i="3"/>
  <c r="C7" i="1"/>
  <c r="S7" i="1"/>
  <c r="AE15" i="3"/>
  <c r="C100" i="1"/>
  <c r="C96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S89" i="1"/>
  <c r="B79" i="6"/>
  <c r="B100" i="6"/>
  <c r="B90" i="6"/>
  <c r="B112" i="6"/>
  <c r="B115" i="6"/>
  <c r="B93" i="6"/>
  <c r="B82" i="6"/>
  <c r="B103" i="6"/>
  <c r="E11" i="6"/>
  <c r="P122" i="1"/>
  <c r="O53" i="10"/>
  <c r="P127" i="1"/>
  <c r="P126" i="1"/>
  <c r="I11" i="6"/>
  <c r="O128" i="1"/>
  <c r="O129" i="1"/>
  <c r="L122" i="1"/>
  <c r="L126" i="1"/>
  <c r="L127" i="1"/>
  <c r="O49" i="10"/>
  <c r="J11" i="6"/>
  <c r="R43" i="10"/>
  <c r="S43" i="10"/>
  <c r="F123" i="1"/>
  <c r="E123" i="1"/>
  <c r="R42" i="10"/>
  <c r="S42" i="10"/>
  <c r="D118" i="1"/>
  <c r="E118" i="1"/>
  <c r="F118" i="1"/>
  <c r="G118" i="1"/>
  <c r="H118" i="1"/>
  <c r="I118" i="1"/>
  <c r="J118" i="1"/>
  <c r="K118" i="1"/>
  <c r="L118" i="1"/>
  <c r="M118" i="1"/>
  <c r="N118" i="1"/>
  <c r="O118" i="1"/>
  <c r="P118" i="1"/>
  <c r="Q118" i="1"/>
  <c r="R118" i="1"/>
  <c r="S118" i="1"/>
  <c r="I126" i="1"/>
  <c r="I127" i="1"/>
  <c r="O46" i="10"/>
  <c r="I122" i="1"/>
  <c r="L123" i="1"/>
  <c r="R49" i="10"/>
  <c r="S49" i="10"/>
  <c r="O47" i="10"/>
  <c r="J126" i="1"/>
  <c r="J127" i="1"/>
  <c r="J122" i="1"/>
  <c r="H128" i="1"/>
  <c r="H129" i="1"/>
  <c r="K128" i="1"/>
  <c r="K129" i="1"/>
  <c r="Q11" i="6"/>
  <c r="M11" i="6"/>
  <c r="R123" i="1"/>
  <c r="R132" i="1"/>
  <c r="R67" i="1"/>
  <c r="R41" i="10"/>
  <c r="S41" i="10"/>
  <c r="D123" i="1"/>
  <c r="Q123" i="1"/>
  <c r="R54" i="10"/>
  <c r="S54" i="10"/>
  <c r="M129" i="1"/>
  <c r="M128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L11" i="6"/>
  <c r="R122" i="1"/>
  <c r="R68" i="1"/>
  <c r="R126" i="1"/>
  <c r="R127" i="1"/>
  <c r="L128" i="1"/>
  <c r="L129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P119" i="1"/>
  <c r="Q119" i="1"/>
  <c r="R119" i="1"/>
  <c r="S119" i="1"/>
  <c r="H11" i="6"/>
  <c r="R44" i="10"/>
  <c r="S44" i="10"/>
  <c r="G123" i="1"/>
  <c r="R40" i="10"/>
  <c r="S40" i="10"/>
  <c r="C123" i="1"/>
  <c r="I129" i="1"/>
  <c r="I128" i="1"/>
  <c r="S132" i="1"/>
  <c r="S67" i="1"/>
  <c r="S123" i="1"/>
  <c r="H122" i="1"/>
  <c r="O45" i="10"/>
  <c r="H126" i="1"/>
  <c r="H127" i="1"/>
  <c r="G129" i="1"/>
  <c r="G128" i="1"/>
  <c r="E122" i="1"/>
  <c r="E68" i="1"/>
  <c r="E126" i="1"/>
  <c r="O42" i="10"/>
  <c r="E127" i="1"/>
  <c r="B114" i="6"/>
  <c r="B102" i="6"/>
  <c r="B81" i="6"/>
  <c r="B92" i="6"/>
  <c r="R51" i="10"/>
  <c r="S51" i="10"/>
  <c r="N123" i="1"/>
  <c r="D129" i="1"/>
  <c r="D128" i="1"/>
  <c r="N129" i="1"/>
  <c r="N128" i="1"/>
  <c r="P11" i="6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S100" i="1"/>
  <c r="R11" i="6"/>
  <c r="G11" i="6"/>
  <c r="C11" i="6"/>
  <c r="I123" i="1"/>
  <c r="R46" i="10"/>
  <c r="S46" i="10"/>
  <c r="D127" i="1"/>
  <c r="D122" i="1"/>
  <c r="D126" i="1"/>
  <c r="O41" i="10"/>
  <c r="S127" i="1"/>
  <c r="S122" i="1"/>
  <c r="S126" i="1"/>
  <c r="F126" i="1"/>
  <c r="O43" i="10"/>
  <c r="F127" i="1"/>
  <c r="F122" i="1"/>
  <c r="F68" i="1"/>
  <c r="O50" i="10"/>
  <c r="M126" i="1"/>
  <c r="M122" i="1"/>
  <c r="M127" i="1"/>
  <c r="O40" i="10"/>
  <c r="C122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D11" i="6"/>
  <c r="B83" i="6"/>
  <c r="B104" i="6"/>
  <c r="B116" i="6"/>
  <c r="B94" i="6"/>
  <c r="O127" i="1"/>
  <c r="O122" i="1"/>
  <c r="O52" i="10"/>
  <c r="O126" i="1"/>
  <c r="Q129" i="1"/>
  <c r="Q128" i="1"/>
  <c r="R45" i="10"/>
  <c r="S45" i="10"/>
  <c r="H123" i="1"/>
  <c r="J123" i="1"/>
  <c r="R47" i="10"/>
  <c r="S47" i="10"/>
  <c r="J128" i="1"/>
  <c r="J129" i="1"/>
  <c r="G122" i="1"/>
  <c r="G68" i="1"/>
  <c r="O44" i="10"/>
  <c r="G127" i="1"/>
  <c r="G126" i="1"/>
  <c r="E133" i="1"/>
  <c r="K126" i="1"/>
  <c r="O48" i="10"/>
  <c r="K127" i="1"/>
  <c r="K122" i="1"/>
  <c r="K11" i="6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R96" i="1"/>
  <c r="S96" i="1"/>
  <c r="S128" i="1"/>
  <c r="S129" i="1"/>
  <c r="F128" i="1"/>
  <c r="F129" i="1"/>
  <c r="P123" i="1"/>
  <c r="R53" i="10"/>
  <c r="S53" i="10"/>
  <c r="P128" i="1"/>
  <c r="P129" i="1"/>
  <c r="O51" i="10"/>
  <c r="N127" i="1"/>
  <c r="N122" i="1"/>
  <c r="N68" i="1"/>
  <c r="N126" i="1"/>
  <c r="C128" i="1"/>
  <c r="R52" i="10"/>
  <c r="S52" i="10"/>
  <c r="O123" i="1"/>
  <c r="R50" i="10"/>
  <c r="S50" i="10"/>
  <c r="M123" i="1"/>
  <c r="N11" i="6"/>
  <c r="B113" i="6"/>
  <c r="B91" i="6"/>
  <c r="B101" i="6"/>
  <c r="B80" i="6"/>
  <c r="R129" i="1"/>
  <c r="R128" i="1"/>
  <c r="R48" i="10"/>
  <c r="S48" i="10"/>
  <c r="K123" i="1"/>
  <c r="O11" i="6"/>
  <c r="F11" i="6"/>
  <c r="R44" i="5"/>
  <c r="H44" i="5"/>
  <c r="I44" i="5"/>
  <c r="X11" i="5"/>
  <c r="L44" i="5"/>
  <c r="AB9" i="5"/>
  <c r="AB13" i="5"/>
  <c r="AB14" i="5"/>
  <c r="O44" i="5"/>
  <c r="AC9" i="5"/>
  <c r="AC13" i="5"/>
  <c r="AC14" i="5"/>
  <c r="AD9" i="5"/>
  <c r="AD13" i="5"/>
  <c r="AD14" i="5"/>
  <c r="P44" i="5"/>
  <c r="AA9" i="5"/>
  <c r="AA13" i="5"/>
  <c r="AA14" i="5"/>
  <c r="J44" i="5"/>
  <c r="AE9" i="5"/>
  <c r="AE13" i="5"/>
  <c r="AE14" i="5"/>
  <c r="AN9" i="5"/>
  <c r="AN13" i="5"/>
  <c r="AN14" i="5"/>
  <c r="AJ9" i="5"/>
  <c r="AJ13" i="5"/>
  <c r="AJ14" i="5"/>
  <c r="M44" i="5"/>
  <c r="AH9" i="5"/>
  <c r="AH13" i="5"/>
  <c r="AH14" i="5"/>
  <c r="K44" i="5"/>
  <c r="AO9" i="5"/>
  <c r="AO13" i="5"/>
  <c r="AO14" i="5"/>
  <c r="AM9" i="5"/>
  <c r="AM13" i="5"/>
  <c r="AM14" i="5"/>
  <c r="N44" i="5"/>
  <c r="Q44" i="5"/>
  <c r="F44" i="5"/>
  <c r="S44" i="5"/>
  <c r="AG9" i="5"/>
  <c r="AG13" i="5"/>
  <c r="AG14" i="5"/>
  <c r="AF9" i="5"/>
  <c r="AF13" i="5"/>
  <c r="AF14" i="5"/>
  <c r="AL9" i="5"/>
  <c r="AL13" i="5"/>
  <c r="AL14" i="5"/>
  <c r="AK9" i="5"/>
  <c r="AK13" i="5"/>
  <c r="AK14" i="5"/>
  <c r="T44" i="5"/>
  <c r="Z9" i="5"/>
  <c r="Z13" i="5"/>
  <c r="Z14" i="5"/>
  <c r="AI9" i="5"/>
  <c r="AI13" i="5"/>
  <c r="AI14" i="5"/>
  <c r="G44" i="5"/>
  <c r="Q126" i="1"/>
  <c r="Q127" i="1"/>
  <c r="O54" i="10"/>
  <c r="Q122" i="1"/>
  <c r="Q68" i="1"/>
  <c r="E128" i="1"/>
  <c r="E129" i="1"/>
  <c r="D68" i="1"/>
  <c r="O68" i="1"/>
  <c r="T42" i="10"/>
  <c r="E132" i="1"/>
  <c r="E67" i="1"/>
  <c r="T43" i="10"/>
  <c r="U43" i="10"/>
  <c r="F132" i="1"/>
  <c r="F67" i="1"/>
  <c r="B99" i="6"/>
  <c r="B89" i="6"/>
  <c r="B78" i="6"/>
  <c r="B111" i="6"/>
  <c r="Q41" i="10"/>
  <c r="P41" i="10"/>
  <c r="V46" i="10"/>
  <c r="F48" i="5"/>
  <c r="F49" i="5"/>
  <c r="J16" i="5"/>
  <c r="J15" i="5"/>
  <c r="Q44" i="10"/>
  <c r="P44" i="10"/>
  <c r="T47" i="10"/>
  <c r="U47" i="10"/>
  <c r="J132" i="1"/>
  <c r="J67" i="1"/>
  <c r="Q40" i="10"/>
  <c r="P40" i="10"/>
  <c r="Q43" i="10"/>
  <c r="P43" i="10"/>
  <c r="P42" i="10"/>
  <c r="Q42" i="10"/>
  <c r="T40" i="10"/>
  <c r="C132" i="1"/>
  <c r="V41" i="10"/>
  <c r="V42" i="10"/>
  <c r="U42" i="10"/>
  <c r="V43" i="10"/>
  <c r="P49" i="10"/>
  <c r="Q49" i="10"/>
  <c r="B11" i="6"/>
  <c r="K68" i="1"/>
  <c r="H68" i="1"/>
  <c r="K49" i="5"/>
  <c r="K48" i="5"/>
  <c r="Q54" i="10"/>
  <c r="P54" i="10"/>
  <c r="O16" i="5"/>
  <c r="O15" i="5"/>
  <c r="Q48" i="5"/>
  <c r="Q49" i="5"/>
  <c r="M15" i="5"/>
  <c r="M16" i="5"/>
  <c r="Q15" i="5"/>
  <c r="Q16" i="5"/>
  <c r="L49" i="5"/>
  <c r="L48" i="5"/>
  <c r="R48" i="5"/>
  <c r="R49" i="5"/>
  <c r="V48" i="10"/>
  <c r="V50" i="10"/>
  <c r="C129" i="1"/>
  <c r="V47" i="10"/>
  <c r="V45" i="10"/>
  <c r="P52" i="10"/>
  <c r="Q52" i="10"/>
  <c r="C126" i="1"/>
  <c r="P50" i="10"/>
  <c r="Q50" i="10"/>
  <c r="G49" i="5"/>
  <c r="G48" i="5"/>
  <c r="H16" i="5"/>
  <c r="H15" i="5"/>
  <c r="S15" i="5"/>
  <c r="S16" i="5"/>
  <c r="M48" i="5"/>
  <c r="M49" i="5"/>
  <c r="P16" i="5"/>
  <c r="P15" i="5"/>
  <c r="J49" i="5"/>
  <c r="J48" i="5"/>
  <c r="H49" i="5"/>
  <c r="H48" i="5"/>
  <c r="T48" i="5"/>
  <c r="T49" i="5"/>
  <c r="S49" i="5"/>
  <c r="S48" i="5"/>
  <c r="I16" i="5"/>
  <c r="I15" i="5"/>
  <c r="K15" i="5"/>
  <c r="K16" i="5"/>
  <c r="P48" i="5"/>
  <c r="P49" i="5"/>
  <c r="R15" i="5"/>
  <c r="R16" i="5"/>
  <c r="L15" i="5"/>
  <c r="L16" i="5"/>
  <c r="I48" i="5"/>
  <c r="I49" i="5"/>
  <c r="T48" i="10"/>
  <c r="U48" i="10"/>
  <c r="K132" i="1"/>
  <c r="K67" i="1"/>
  <c r="M132" i="1"/>
  <c r="M67" i="1"/>
  <c r="T50" i="10"/>
  <c r="U50" i="10"/>
  <c r="P51" i="10"/>
  <c r="Q51" i="10"/>
  <c r="H132" i="1"/>
  <c r="H67" i="1"/>
  <c r="T45" i="10"/>
  <c r="U45" i="10"/>
  <c r="C68" i="1"/>
  <c r="I132" i="1"/>
  <c r="I67" i="1"/>
  <c r="T46" i="10"/>
  <c r="U46" i="10"/>
  <c r="T51" i="10"/>
  <c r="U51" i="10"/>
  <c r="N132" i="1"/>
  <c r="N67" i="1"/>
  <c r="Q45" i="10"/>
  <c r="P45" i="10"/>
  <c r="V40" i="10"/>
  <c r="U40" i="10"/>
  <c r="V44" i="10"/>
  <c r="Q132" i="1"/>
  <c r="Q67" i="1"/>
  <c r="T54" i="10"/>
  <c r="U54" i="10"/>
  <c r="T49" i="10"/>
  <c r="U49" i="10"/>
  <c r="L132" i="1"/>
  <c r="L67" i="1"/>
  <c r="Q46" i="10"/>
  <c r="P46" i="10"/>
  <c r="M68" i="1"/>
  <c r="S68" i="1"/>
  <c r="J68" i="1"/>
  <c r="L68" i="1"/>
  <c r="P68" i="1"/>
  <c r="N48" i="5"/>
  <c r="N49" i="5"/>
  <c r="T16" i="5"/>
  <c r="T15" i="5"/>
  <c r="G15" i="5"/>
  <c r="G16" i="5"/>
  <c r="O48" i="5"/>
  <c r="O49" i="5"/>
  <c r="N15" i="5"/>
  <c r="N16" i="5"/>
  <c r="X15" i="5"/>
  <c r="X16" i="5"/>
  <c r="O132" i="1"/>
  <c r="O67" i="1"/>
  <c r="T52" i="10"/>
  <c r="U52" i="10"/>
  <c r="P132" i="1"/>
  <c r="P67" i="1"/>
  <c r="T53" i="10"/>
  <c r="U53" i="10"/>
  <c r="P48" i="10"/>
  <c r="Q48" i="10"/>
  <c r="C127" i="1"/>
  <c r="T44" i="10"/>
  <c r="U44" i="10"/>
  <c r="G132" i="1"/>
  <c r="G67" i="1"/>
  <c r="T41" i="10"/>
  <c r="U41" i="10"/>
  <c r="D132" i="1"/>
  <c r="D67" i="1"/>
  <c r="Q47" i="10"/>
  <c r="P47" i="10"/>
  <c r="P53" i="10"/>
  <c r="Q53" i="10"/>
  <c r="I68" i="1"/>
  <c r="F90" i="6"/>
  <c r="F100" i="6"/>
  <c r="F112" i="6"/>
  <c r="J101" i="6"/>
  <c r="J113" i="6"/>
  <c r="J91" i="6"/>
  <c r="C90" i="6"/>
  <c r="C100" i="6"/>
  <c r="C112" i="6"/>
  <c r="J90" i="6"/>
  <c r="J100" i="6"/>
  <c r="J112" i="6"/>
  <c r="M100" i="6"/>
  <c r="M112" i="6"/>
  <c r="M90" i="6"/>
  <c r="O101" i="6"/>
  <c r="O113" i="6"/>
  <c r="O91" i="6"/>
  <c r="G91" i="6"/>
  <c r="G101" i="6"/>
  <c r="G113" i="6"/>
  <c r="P103" i="6"/>
  <c r="P115" i="6"/>
  <c r="P93" i="6"/>
  <c r="P100" i="6"/>
  <c r="P112" i="6"/>
  <c r="P90" i="6"/>
  <c r="D90" i="6"/>
  <c r="D100" i="6"/>
  <c r="D112" i="6"/>
  <c r="L90" i="6"/>
  <c r="L100" i="6"/>
  <c r="L112" i="6"/>
  <c r="H90" i="6"/>
  <c r="H100" i="6"/>
  <c r="H112" i="6"/>
  <c r="N101" i="6"/>
  <c r="N113" i="6"/>
  <c r="N91" i="6"/>
  <c r="E101" i="6"/>
  <c r="E113" i="6"/>
  <c r="E91" i="6"/>
  <c r="L91" i="6"/>
  <c r="L101" i="6"/>
  <c r="L113" i="6"/>
  <c r="C101" i="6"/>
  <c r="C113" i="6"/>
  <c r="C91" i="6"/>
  <c r="F103" i="6"/>
  <c r="F115" i="6"/>
  <c r="F93" i="6"/>
  <c r="J93" i="6"/>
  <c r="J103" i="6"/>
  <c r="J115" i="6"/>
  <c r="C103" i="6"/>
  <c r="C115" i="6"/>
  <c r="C93" i="6"/>
  <c r="D104" i="6"/>
  <c r="D116" i="6"/>
  <c r="D94" i="6"/>
  <c r="J94" i="6"/>
  <c r="J104" i="6"/>
  <c r="J116" i="6"/>
  <c r="P104" i="6"/>
  <c r="P116" i="6"/>
  <c r="P94" i="6"/>
  <c r="F94" i="6"/>
  <c r="F104" i="6"/>
  <c r="F116" i="6"/>
  <c r="C67" i="1"/>
  <c r="D102" i="6"/>
  <c r="D114" i="6"/>
  <c r="D92" i="6"/>
  <c r="M102" i="6"/>
  <c r="M114" i="6"/>
  <c r="M92" i="6"/>
  <c r="H102" i="6"/>
  <c r="H114" i="6"/>
  <c r="H92" i="6"/>
  <c r="Q102" i="6"/>
  <c r="Q114" i="6"/>
  <c r="Q92" i="6"/>
  <c r="I90" i="6"/>
  <c r="I100" i="6"/>
  <c r="I112" i="6"/>
  <c r="Q101" i="6"/>
  <c r="Q113" i="6"/>
  <c r="Q91" i="6"/>
  <c r="N103" i="6"/>
  <c r="N115" i="6"/>
  <c r="N93" i="6"/>
  <c r="G103" i="6"/>
  <c r="G115" i="6"/>
  <c r="G93" i="6"/>
  <c r="C94" i="6"/>
  <c r="C104" i="6"/>
  <c r="C116" i="6"/>
  <c r="L104" i="6"/>
  <c r="L116" i="6"/>
  <c r="L94" i="6"/>
  <c r="O104" i="6"/>
  <c r="O116" i="6"/>
  <c r="O94" i="6"/>
  <c r="K104" i="6"/>
  <c r="K116" i="6"/>
  <c r="K94" i="6"/>
  <c r="C102" i="6"/>
  <c r="C114" i="6"/>
  <c r="C92" i="6"/>
  <c r="N102" i="6"/>
  <c r="N114" i="6"/>
  <c r="N92" i="6"/>
  <c r="K92" i="6"/>
  <c r="K102" i="6"/>
  <c r="K114" i="6"/>
  <c r="K90" i="6"/>
  <c r="K100" i="6"/>
  <c r="K112" i="6"/>
  <c r="P91" i="6"/>
  <c r="P101" i="6"/>
  <c r="P113" i="6"/>
  <c r="D101" i="6"/>
  <c r="D113" i="6"/>
  <c r="D91" i="6"/>
  <c r="Q93" i="6"/>
  <c r="Q103" i="6"/>
  <c r="Q115" i="6"/>
  <c r="L93" i="6"/>
  <c r="L103" i="6"/>
  <c r="L115" i="6"/>
  <c r="G90" i="6"/>
  <c r="G100" i="6"/>
  <c r="G112" i="6"/>
  <c r="E90" i="6"/>
  <c r="E100" i="6"/>
  <c r="E112" i="6"/>
  <c r="N90" i="6"/>
  <c r="N100" i="6"/>
  <c r="N112" i="6"/>
  <c r="I91" i="6"/>
  <c r="I101" i="6"/>
  <c r="I113" i="6"/>
  <c r="K101" i="6"/>
  <c r="K113" i="6"/>
  <c r="K91" i="6"/>
  <c r="H91" i="6"/>
  <c r="H101" i="6"/>
  <c r="H113" i="6"/>
  <c r="F101" i="6"/>
  <c r="F113" i="6"/>
  <c r="F91" i="6"/>
  <c r="M93" i="6"/>
  <c r="M103" i="6"/>
  <c r="M115" i="6"/>
  <c r="H103" i="6"/>
  <c r="H115" i="6"/>
  <c r="H93" i="6"/>
  <c r="K93" i="6"/>
  <c r="K103" i="6"/>
  <c r="K115" i="6"/>
  <c r="E103" i="6"/>
  <c r="E115" i="6"/>
  <c r="E93" i="6"/>
  <c r="H94" i="6"/>
  <c r="H104" i="6"/>
  <c r="H116" i="6"/>
  <c r="I94" i="6"/>
  <c r="I104" i="6"/>
  <c r="I116" i="6"/>
  <c r="M94" i="6"/>
  <c r="M104" i="6"/>
  <c r="M116" i="6"/>
  <c r="N94" i="6"/>
  <c r="N104" i="6"/>
  <c r="N116" i="6"/>
  <c r="J102" i="6"/>
  <c r="J114" i="6"/>
  <c r="J92" i="6"/>
  <c r="E102" i="6"/>
  <c r="E114" i="6"/>
  <c r="E92" i="6"/>
  <c r="O102" i="6"/>
  <c r="O114" i="6"/>
  <c r="O92" i="6"/>
  <c r="L92" i="6"/>
  <c r="L102" i="6"/>
  <c r="L114" i="6"/>
  <c r="O100" i="6"/>
  <c r="O112" i="6"/>
  <c r="O90" i="6"/>
  <c r="Q90" i="6"/>
  <c r="Q100" i="6"/>
  <c r="Q112" i="6"/>
  <c r="M91" i="6"/>
  <c r="M101" i="6"/>
  <c r="M113" i="6"/>
  <c r="I103" i="6"/>
  <c r="I115" i="6"/>
  <c r="I93" i="6"/>
  <c r="D93" i="6"/>
  <c r="D103" i="6"/>
  <c r="D115" i="6"/>
  <c r="O103" i="6"/>
  <c r="O115" i="6"/>
  <c r="O93" i="6"/>
  <c r="E94" i="6"/>
  <c r="E104" i="6"/>
  <c r="E116" i="6"/>
  <c r="G104" i="6"/>
  <c r="G116" i="6"/>
  <c r="G94" i="6"/>
  <c r="Q94" i="6"/>
  <c r="Q104" i="6"/>
  <c r="Q116" i="6"/>
  <c r="P92" i="6"/>
  <c r="P102" i="6"/>
  <c r="P114" i="6"/>
  <c r="F92" i="6"/>
  <c r="F102" i="6"/>
  <c r="F114" i="6"/>
  <c r="I92" i="6"/>
  <c r="I102" i="6"/>
  <c r="I114" i="6"/>
  <c r="G102" i="6"/>
  <c r="G114" i="6"/>
  <c r="G92" i="6"/>
  <c r="F89" i="6"/>
  <c r="F99" i="6"/>
  <c r="F111" i="6"/>
  <c r="P89" i="6"/>
  <c r="P99" i="6"/>
  <c r="P111" i="6"/>
  <c r="O89" i="6"/>
  <c r="O99" i="6"/>
  <c r="O111" i="6"/>
  <c r="E89" i="6"/>
  <c r="E99" i="6"/>
  <c r="E111" i="6"/>
  <c r="L99" i="6"/>
  <c r="L111" i="6"/>
  <c r="L89" i="6"/>
  <c r="N89" i="6"/>
  <c r="N99" i="6"/>
  <c r="N111" i="6"/>
  <c r="I89" i="6"/>
  <c r="I99" i="6"/>
  <c r="I111" i="6"/>
  <c r="C89" i="6"/>
  <c r="M89" i="6"/>
  <c r="M99" i="6"/>
  <c r="M111" i="6"/>
  <c r="H89" i="6"/>
  <c r="H99" i="6"/>
  <c r="H111" i="6"/>
  <c r="K99" i="6"/>
  <c r="K111" i="6"/>
  <c r="K89" i="6"/>
  <c r="G89" i="6"/>
  <c r="G99" i="6"/>
  <c r="G111" i="6"/>
  <c r="D89" i="6"/>
  <c r="D99" i="6"/>
  <c r="D111" i="6"/>
  <c r="Q89" i="6"/>
  <c r="Q99" i="6"/>
  <c r="Q111" i="6"/>
  <c r="J89" i="6"/>
  <c r="J99" i="6"/>
  <c r="J111" i="6"/>
  <c r="C111" i="6"/>
</calcChain>
</file>

<file path=xl/comments1.xml><?xml version="1.0" encoding="utf-8"?>
<comments xmlns="http://schemas.openxmlformats.org/spreadsheetml/2006/main">
  <authors>
    <author>Will</author>
    <author>Author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A31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  <comment ref="A4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A4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</commentList>
</comments>
</file>

<file path=xl/comments2.xml><?xml version="1.0" encoding="utf-8"?>
<comments xmlns="http://schemas.openxmlformats.org/spreadsheetml/2006/main">
  <authors>
    <author>Will</author>
  </authors>
  <commentList>
    <comment ref="P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New homes; Offerman (2009)</t>
        </r>
      </text>
    </comment>
    <comment ref="T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post-1992</t>
        </r>
      </text>
    </comment>
    <comment ref="X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pre-1986</t>
        </r>
      </text>
    </commen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Discharge Coefficient Cd</t>
        </r>
      </text>
    </comment>
    <comment ref="A1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Envelope Leakage Coefficient. Calculated from Q=cDP^n and ELA=Q(SQRT(rho/2DP)/Cd)</t>
        </r>
      </text>
    </commen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Pressure Exponent (usually 0.65)</t>
        </r>
      </text>
    </comment>
  </commentList>
</comments>
</file>

<file path=xl/comments3.xml><?xml version="1.0" encoding="utf-8"?>
<comments xmlns="http://schemas.openxmlformats.org/spreadsheetml/2006/main">
  <authors>
    <author>Will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Insulation? 1=yes, 0=no
ACM, p. 24</t>
        </r>
      </text>
    </comment>
    <comment ref="A1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Slab-on-Grade Floor? 1 = Yes, 0 = No</t>
        </r>
      </text>
    </comment>
    <comment ref="A2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Heating Insulation?
1=yes, 0=no
ACM, p.24</t>
        </r>
      </text>
    </comment>
    <comment ref="A2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Cooling Insulation?
1=yes, 0=no
ACM, p.24</t>
        </r>
      </text>
    </comment>
    <comment ref="R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Thermal Resistance [m2K/W]</t>
        </r>
      </text>
    </comment>
    <comment ref="X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Effective Surface Conductance
ASHRAE Fundamentals 2004 p. 29.9</t>
        </r>
      </text>
    </comment>
  </commentList>
</comments>
</file>

<file path=xl/comments4.xml><?xml version="1.0" encoding="utf-8"?>
<comments xmlns="http://schemas.openxmlformats.org/spreadsheetml/2006/main">
  <authors>
    <author>Will</author>
  </authors>
  <commentLis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 the fan operation codes from 'Running Regcap' word file</t>
        </r>
      </text>
    </comment>
    <comment ref="M1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Fan operation codes fan(i%).oper</t>
        </r>
      </text>
    </comment>
    <comment ref="M17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Heating/Cooling
Heating: 2 - 6 OFF
Cooling: 14 - 18 OFF
Freq: 10 mins</t>
        </r>
      </text>
    </comment>
    <comment ref="M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Will</author>
  </authors>
  <commentList>
    <comment ref="A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Not including infiltration</t>
        </r>
      </text>
    </comment>
  </commentList>
</comments>
</file>

<file path=xl/connections.xml><?xml version="1.0" encoding="utf-8"?>
<connections xmlns="http://schemas.openxmlformats.org/spreadsheetml/2006/main">
  <connection id="1" name="output" type="6" refreshedVersion="3" background="1" saveData="1">
    <textPr codePage="437" sourceFile="C:\Documents and Settings\dkm\Desktop\output.txt" semicolon="1">
      <textFields count="29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<sst xmlns="http://schemas.openxmlformats.org/spreadsheetml/2006/main" count="2948" uniqueCount="1371">
  <si>
    <t>Description</t>
  </si>
  <si>
    <t>Comment</t>
  </si>
  <si>
    <t>Reference</t>
  </si>
  <si>
    <t>Tab</t>
  </si>
  <si>
    <t>C</t>
  </si>
  <si>
    <t>Total distributed leakage</t>
  </si>
  <si>
    <t>ACM, p. 30</t>
  </si>
  <si>
    <t>Leakage</t>
  </si>
  <si>
    <t>n</t>
  </si>
  <si>
    <t>Envelope pressure exponent</t>
  </si>
  <si>
    <t>Total distributed flow exponent</t>
  </si>
  <si>
    <t>-</t>
  </si>
  <si>
    <t>Eave height, m</t>
  </si>
  <si>
    <t>Same as h_soffit</t>
  </si>
  <si>
    <t>Geometry</t>
  </si>
  <si>
    <t>R</t>
  </si>
  <si>
    <t>REGCAP.out, p. 17</t>
  </si>
  <si>
    <t>Changes with the number of floors in the house</t>
  </si>
  <si>
    <t>X</t>
  </si>
  <si>
    <t>FLUE</t>
  </si>
  <si>
    <t>Number of flues</t>
  </si>
  <si>
    <t>0.0137(6m of 6' duct + loss in/out)</t>
  </si>
  <si>
    <t>Flue</t>
  </si>
  <si>
    <t>Flue height, m</t>
  </si>
  <si>
    <t>Geomtery</t>
  </si>
  <si>
    <t>Flue gas temperature</t>
  </si>
  <si>
    <t>Code -99: Temeprature will vary acc. T_in and T_out</t>
  </si>
  <si>
    <t>LEAKAGE</t>
  </si>
  <si>
    <t>N</t>
  </si>
  <si>
    <t>Can be changed to 0.33 and 0.17 along long and short side of the house respectively</t>
  </si>
  <si>
    <t>S</t>
  </si>
  <si>
    <t>E</t>
  </si>
  <si>
    <t>W</t>
  </si>
  <si>
    <t>Fraction of leakage at floor level below wall 1</t>
  </si>
  <si>
    <t>Same as for leakage in wall above</t>
  </si>
  <si>
    <t>Fraction of leakage at floor level below wall 2</t>
  </si>
  <si>
    <t>Fraction of leakage at floor level below wall 3</t>
  </si>
  <si>
    <t>Wind shelter for roof and flue (almost always =1)</t>
  </si>
  <si>
    <t>Number of passive vents</t>
  </si>
  <si>
    <t>[(#), wall, H, A, Swf, Swoff]</t>
  </si>
  <si>
    <t>Floor height above grade, m</t>
  </si>
  <si>
    <t>Building volume, m3</t>
  </si>
  <si>
    <t>Floor area , m2</t>
  </si>
  <si>
    <t>ACM p. 110</t>
  </si>
  <si>
    <t>Res.com, p. 515-516 + ACM, p. 24</t>
  </si>
  <si>
    <t>UA</t>
  </si>
  <si>
    <t>VENTING</t>
  </si>
  <si>
    <t>Number of open windows and doors</t>
  </si>
  <si>
    <t>MECH.VENT</t>
  </si>
  <si>
    <t>Number of mechanical vent fans</t>
  </si>
  <si>
    <t>Fans</t>
  </si>
  <si>
    <t>fan 1 Q, m^3/s</t>
  </si>
  <si>
    <t>Running REGCAP: p. 2</t>
  </si>
  <si>
    <t>fan 2 Q, m^3/s</t>
  </si>
  <si>
    <t>fan 3 Q, m^3/s</t>
  </si>
  <si>
    <t>Dryer</t>
  </si>
  <si>
    <t>fan 4 Q, m^3/s</t>
  </si>
  <si>
    <t>WINDOWS</t>
  </si>
  <si>
    <t>E/W window area m2</t>
  </si>
  <si>
    <t>E/W is 50% of total window area</t>
  </si>
  <si>
    <t>North facing window area, m2</t>
  </si>
  <si>
    <t>N is 25% of total window area</t>
  </si>
  <si>
    <t>S is 25% of total window area</t>
  </si>
  <si>
    <t>Window shading coefficient, SHGC</t>
  </si>
  <si>
    <t>Res.com, p. 515-516</t>
  </si>
  <si>
    <t>Heating Rvalue of ceiling, m2K/W</t>
  </si>
  <si>
    <t>Cooling Rvalue of ceiling, m2K/W</t>
  </si>
  <si>
    <t>latent load, kg/s</t>
  </si>
  <si>
    <t>Int. gain</t>
  </si>
  <si>
    <t>Internal gains, W</t>
  </si>
  <si>
    <t>ATTIC</t>
  </si>
  <si>
    <t>Att. leakage coefficient, m3/sPAn</t>
  </si>
  <si>
    <t>Flow coeff. are distributed  as fractions of total leakage</t>
  </si>
  <si>
    <t>p. 14</t>
  </si>
  <si>
    <t>Attic</t>
  </si>
  <si>
    <t>Attic pressure exponent</t>
  </si>
  <si>
    <t>Same exponent for all attic leakages</t>
  </si>
  <si>
    <t>Soffitfraction(1)</t>
  </si>
  <si>
    <t>fraction of attic leakage above wall 1</t>
  </si>
  <si>
    <t>fraction of attic leakage above wall 2</t>
  </si>
  <si>
    <t>fraction of attic leakage above wall 3</t>
  </si>
  <si>
    <t>fraction of attic leakage above wall 4</t>
  </si>
  <si>
    <t>fraction of attic leakage in the two pitched roof surfaces</t>
  </si>
  <si>
    <t>Soffit height above wall 1, m</t>
  </si>
  <si>
    <t>Soffit height above wall 2, m</t>
  </si>
  <si>
    <t>Soffit height above wall 3, m</t>
  </si>
  <si>
    <t>Soffit height above wall 4, m</t>
  </si>
  <si>
    <t>ATTIC-VENTS</t>
  </si>
  <si>
    <t>Number of added attic vents</t>
  </si>
  <si>
    <t>Avent wall</t>
  </si>
  <si>
    <t>Avent height</t>
  </si>
  <si>
    <t>Avent area</t>
  </si>
  <si>
    <t>Avent presssure exponent</t>
  </si>
  <si>
    <t>Roof pitch, degrees</t>
  </si>
  <si>
    <t>pitch=4:12</t>
  </si>
  <si>
    <t>P</t>
  </si>
  <si>
    <t>Roof peak orientation, D= perpendicular to front of house (Wall 1), P = parrallel to front of house</t>
  </si>
  <si>
    <t>Number of attic vent fans</t>
  </si>
  <si>
    <t>Roof rvalue - only non-zero if roof deck insulated, the shingle and plywood rvalues are added to this number</t>
  </si>
  <si>
    <t>DUCT</t>
  </si>
  <si>
    <t>Roof type, 1= asphalt shingles, 2= red clay tile, 3= low absorbtiviy clay tile, 4= white coated asphalt shingles</t>
  </si>
  <si>
    <t>Supply insulation thickness, m</t>
  </si>
  <si>
    <t>Ducts</t>
  </si>
  <si>
    <t>Return insulation thickness, m</t>
  </si>
  <si>
    <t>supRval</t>
  </si>
  <si>
    <t>Supply r value, m2k/w</t>
  </si>
  <si>
    <t>retRval</t>
  </si>
  <si>
    <t>Return rvalue, m2k/w</t>
  </si>
  <si>
    <t>Supply ducts length,m</t>
  </si>
  <si>
    <t>Retun ducts length,m</t>
  </si>
  <si>
    <t>Mean supply diameter, m</t>
  </si>
  <si>
    <t>Heat-Cool</t>
  </si>
  <si>
    <t>Heating air flow m^3/s</t>
  </si>
  <si>
    <t>supn</t>
  </si>
  <si>
    <t xml:space="preserve">Supply duct leak pressure exponent </t>
  </si>
  <si>
    <t>retn</t>
  </si>
  <si>
    <t>Return duct leak pressure exponent</t>
  </si>
  <si>
    <t>supC</t>
  </si>
  <si>
    <t>Supply duct leak coefficient, m3/sP^n</t>
  </si>
  <si>
    <t>retC</t>
  </si>
  <si>
    <t>Return duct leak coefficient, m3/sP^n</t>
  </si>
  <si>
    <t>Raw capacity, tons (really only applies to cooling)</t>
  </si>
  <si>
    <t>Ari capacity cooling, kBtu/h</t>
  </si>
  <si>
    <t>EERari cooling (Energy Efficient Ratio) [Btu/Wh]</t>
  </si>
  <si>
    <t>Converts to COP by dividing by 3.41</t>
  </si>
  <si>
    <t>Heating capacity, kBtu/h</t>
  </si>
  <si>
    <t>House properties</t>
  </si>
  <si>
    <t>ATTIC properties</t>
  </si>
  <si>
    <t>HOUSE</t>
  </si>
  <si>
    <t>US- unit</t>
  </si>
  <si>
    <t>[-]</t>
  </si>
  <si>
    <t>SI-unit</t>
  </si>
  <si>
    <t>L_house</t>
  </si>
  <si>
    <t>ft</t>
  </si>
  <si>
    <t>m</t>
  </si>
  <si>
    <t>W_house</t>
  </si>
  <si>
    <t>A_conditioned</t>
  </si>
  <si>
    <t>ft2</t>
  </si>
  <si>
    <t>m2</t>
  </si>
  <si>
    <t>A_2nd floor</t>
  </si>
  <si>
    <t>Perimeter_1st floor</t>
  </si>
  <si>
    <t>H_ground</t>
  </si>
  <si>
    <t>H_storey</t>
  </si>
  <si>
    <t>H_floor</t>
  </si>
  <si>
    <t>H_soffit</t>
  </si>
  <si>
    <t>Height from ground to ceiling</t>
  </si>
  <si>
    <t>A_windows</t>
  </si>
  <si>
    <t>20% of floor area</t>
  </si>
  <si>
    <t>Wall_factor</t>
  </si>
  <si>
    <t>A_wall</t>
  </si>
  <si>
    <t>V_house</t>
  </si>
  <si>
    <t>m3</t>
  </si>
  <si>
    <t>ROOF</t>
  </si>
  <si>
    <t>Pitch_roof</t>
  </si>
  <si>
    <t>degrees</t>
  </si>
  <si>
    <t>H_roof</t>
  </si>
  <si>
    <t>V_attic</t>
  </si>
  <si>
    <t>H_roof peak</t>
  </si>
  <si>
    <t>H_attic,vent</t>
  </si>
  <si>
    <t>H_stack</t>
  </si>
  <si>
    <t>Uniform mech. Code 2000, p. 62</t>
  </si>
  <si>
    <t>Not used</t>
  </si>
  <si>
    <t>H_flue</t>
  </si>
  <si>
    <t>Height from ground to cap</t>
  </si>
  <si>
    <t>Envelope leakage: C</t>
  </si>
  <si>
    <t>Ceiling, floor and wall leakage</t>
  </si>
  <si>
    <t xml:space="preserve">Leakage fraction </t>
  </si>
  <si>
    <t>May be changed to: R=0.6, X=0.4</t>
  </si>
  <si>
    <t>REGCAP outline, p. 26</t>
  </si>
  <si>
    <t>CECVentilationSimulations</t>
  </si>
  <si>
    <t>1 story (Annamaria)</t>
  </si>
  <si>
    <t>2 stories</t>
  </si>
  <si>
    <t>1 story</t>
  </si>
  <si>
    <t>Unit</t>
  </si>
  <si>
    <t>AL5: RIVECVENT.BAS li. 395</t>
  </si>
  <si>
    <t>Long side</t>
  </si>
  <si>
    <t>Short side</t>
  </si>
  <si>
    <t>Sum</t>
  </si>
  <si>
    <t>SLA</t>
  </si>
  <si>
    <t>ELA (AL5)</t>
  </si>
  <si>
    <t>ELA-factor</t>
  </si>
  <si>
    <t>R (ceil+floor)</t>
  </si>
  <si>
    <t>rho_air</t>
  </si>
  <si>
    <t>kg/m3</t>
  </si>
  <si>
    <t>X (ceil-floor)</t>
  </si>
  <si>
    <t>dP</t>
  </si>
  <si>
    <t>LF_floor</t>
  </si>
  <si>
    <t>LF_ceil</t>
  </si>
  <si>
    <t>Annamaria's ventilation rates</t>
  </si>
  <si>
    <t>Danish leakage requirements</t>
  </si>
  <si>
    <t>Leakage in different house sizes (ELA=AL5 in code)</t>
  </si>
  <si>
    <t>LF_wall</t>
  </si>
  <si>
    <t>l/s</t>
  </si>
  <si>
    <t>n50</t>
  </si>
  <si>
    <t>l/s m2</t>
  </si>
  <si>
    <t>A [ft2]</t>
  </si>
  <si>
    <t>SLA [-]</t>
  </si>
  <si>
    <t>ELA [in2]</t>
  </si>
  <si>
    <t>ELA [m2]</t>
  </si>
  <si>
    <t>C [m3/sPan]</t>
  </si>
  <si>
    <t>62.2 + infil</t>
  </si>
  <si>
    <t>ACH</t>
  </si>
  <si>
    <t>h-1</t>
  </si>
  <si>
    <t>A_house</t>
  </si>
  <si>
    <t xml:space="preserve"> =&gt; Danish houses are very very tight compared to CA houses</t>
  </si>
  <si>
    <t>ACH_n50</t>
  </si>
  <si>
    <t>ELA</t>
  </si>
  <si>
    <t>Flue_0.1m</t>
  </si>
  <si>
    <t>Flue_0.2m</t>
  </si>
  <si>
    <t xml:space="preserve"> =&gt; The house Annamaria simulated was very tight</t>
  </si>
  <si>
    <t>Not done: need to know what friction coefficinet was used to do the calculation</t>
  </si>
  <si>
    <t>Note from Iain describes calcuation of friction factor(june 2009)</t>
  </si>
  <si>
    <t>Calculation of friction factor of a 6m flue with a diameter of 0.15m</t>
  </si>
  <si>
    <t>Example from ASHRAE fundamentals handbook</t>
  </si>
  <si>
    <t>L_flue</t>
  </si>
  <si>
    <t>L (given)</t>
  </si>
  <si>
    <t>D_flue</t>
  </si>
  <si>
    <t>in</t>
  </si>
  <si>
    <t>D (given)</t>
  </si>
  <si>
    <t>A_flue</t>
  </si>
  <si>
    <t>C (given)</t>
  </si>
  <si>
    <t>c</t>
  </si>
  <si>
    <t>friction factor, f</t>
  </si>
  <si>
    <t>A</t>
  </si>
  <si>
    <t>sngl. loss</t>
  </si>
  <si>
    <t>C_flue</t>
  </si>
  <si>
    <t>f (calc)</t>
  </si>
  <si>
    <t>Tjeck af C</t>
  </si>
  <si>
    <t>Calculation of C for different flue sizes (Iain - sep 2009)</t>
  </si>
  <si>
    <t>DKM</t>
  </si>
  <si>
    <t>L</t>
  </si>
  <si>
    <t>Q=C*dP^0.5</t>
  </si>
  <si>
    <t>D</t>
  </si>
  <si>
    <t>Q=K*A*(2*P/rho)^0.5</t>
  </si>
  <si>
    <t>L/D</t>
  </si>
  <si>
    <t xml:space="preserve"> =&gt; Q=K*A*(2/rho)^0.5*P^0.5</t>
  </si>
  <si>
    <t>K</t>
  </si>
  <si>
    <t>C=K*A*(2/rho)^0.5</t>
  </si>
  <si>
    <t>C_flue_iain</t>
  </si>
  <si>
    <t>C_flue_dkm</t>
  </si>
  <si>
    <t>Note:</t>
  </si>
  <si>
    <t>Iain looks up friction coefficient and calculate single loss once - after this K is changed according to new length and diameter</t>
  </si>
  <si>
    <t xml:space="preserve">DKM calculates friction coefficient by looking up single losses - after this C is changed according to new length and diameter </t>
  </si>
  <si>
    <t>UA-value: Walls, windows, floor</t>
  </si>
  <si>
    <t>ACM, p. 24</t>
  </si>
  <si>
    <t>PACKAGE D, Res.com, p. 516</t>
  </si>
  <si>
    <t>PACKAGE C, Res.com, p. 515</t>
  </si>
  <si>
    <t>Climate zones</t>
  </si>
  <si>
    <t>Constuction</t>
  </si>
  <si>
    <t>Area (m2)</t>
  </si>
  <si>
    <t>Term</t>
  </si>
  <si>
    <t>Wall</t>
  </si>
  <si>
    <t>R_Wall</t>
  </si>
  <si>
    <t>ft2 F h/Btu</t>
  </si>
  <si>
    <t>Window</t>
  </si>
  <si>
    <t>R_Win</t>
  </si>
  <si>
    <t>Floor</t>
  </si>
  <si>
    <t>R_Floor</t>
  </si>
  <si>
    <t>UA_wall</t>
  </si>
  <si>
    <t>W/K</t>
  </si>
  <si>
    <t>UA_win</t>
  </si>
  <si>
    <t>UA_floor</t>
  </si>
  <si>
    <t>UA_door</t>
  </si>
  <si>
    <t>UA_heat</t>
  </si>
  <si>
    <t>UA_heat=UA_sum</t>
  </si>
  <si>
    <t>UA_cool</t>
  </si>
  <si>
    <t>R-value: Ceiling</t>
  </si>
  <si>
    <t>Construction</t>
  </si>
  <si>
    <t>Degrade</t>
  </si>
  <si>
    <t>Area</t>
  </si>
  <si>
    <t>Ceiling</t>
  </si>
  <si>
    <t>R-Ceiling</t>
  </si>
  <si>
    <t>R_heat</t>
  </si>
  <si>
    <t>R_cool</t>
  </si>
  <si>
    <t>Conversion from Btu/h ft2 F to W/m2K: multiply by 5.6783</t>
  </si>
  <si>
    <t>http://www.the-engineering-page.com/conv/u.html</t>
  </si>
  <si>
    <t>Solar Heat gain Coefficient, Res.com, p. 516</t>
  </si>
  <si>
    <t>SHGC</t>
  </si>
  <si>
    <t>0.5 sone, @0.25 fans</t>
  </si>
  <si>
    <t>ASHRAE 62.2</t>
  </si>
  <si>
    <t>US-unit</t>
  </si>
  <si>
    <t>SI_unit</t>
  </si>
  <si>
    <t>Number of fans</t>
  </si>
  <si>
    <t>power [W]</t>
  </si>
  <si>
    <t>RIVEC - fan.oper</t>
  </si>
  <si>
    <t>Aeq - 4hr</t>
  </si>
  <si>
    <t>Aeq [cfm]</t>
  </si>
  <si>
    <t>Aeq [W]</t>
  </si>
  <si>
    <t>Bathroom</t>
  </si>
  <si>
    <t>cfm</t>
  </si>
  <si>
    <t>Kitchen</t>
  </si>
  <si>
    <t>RIVEC (=62.2 fan)</t>
  </si>
  <si>
    <t>Selected fans</t>
  </si>
  <si>
    <t>Kitchen fans</t>
  </si>
  <si>
    <t>sone</t>
  </si>
  <si>
    <t>SP</t>
  </si>
  <si>
    <t>Page</t>
  </si>
  <si>
    <t>Venmar: ESV1030BL</t>
  </si>
  <si>
    <t>Broan-NuTone LLC: QDE</t>
  </si>
  <si>
    <t>HVI, 36 (EnergyStar row 375)</t>
  </si>
  <si>
    <t>Bathroom fans</t>
  </si>
  <si>
    <t>Panasonic: FV-08VKM2</t>
  </si>
  <si>
    <t>&lt;0.3</t>
  </si>
  <si>
    <t>HVI, 62</t>
  </si>
  <si>
    <t>Panasonic: FV-08VKS2</t>
  </si>
  <si>
    <t>HVI, 63</t>
  </si>
  <si>
    <t>Panasonic:FV-08VKM1</t>
  </si>
  <si>
    <t>Broan-NuTone LLC: QTXE050</t>
  </si>
  <si>
    <t>HVI, 41 (EnegyStar, row 38)</t>
  </si>
  <si>
    <t>RenewAire: V50</t>
  </si>
  <si>
    <t>HVI, 63 (EnergyStar, row 211)</t>
  </si>
  <si>
    <t>62.2 fan</t>
  </si>
  <si>
    <t>Hunter fan comp., 82030</t>
  </si>
  <si>
    <t>NO</t>
  </si>
  <si>
    <t>HVI 57 + ES row 135</t>
  </si>
  <si>
    <t>Hunter fan comp., 82040</t>
  </si>
  <si>
    <t>HVI 57 + ES row 136</t>
  </si>
  <si>
    <t>Nat. HVAC prod- ZONEX, 80</t>
  </si>
  <si>
    <t>HVI 60 + ES 166</t>
  </si>
  <si>
    <t>Prime, PME 70</t>
  </si>
  <si>
    <t>HVI 63 + ES 206</t>
  </si>
  <si>
    <t>Panasonic, FV-08VKS2</t>
  </si>
  <si>
    <t>HVI 61</t>
  </si>
  <si>
    <t>RIVEC fans</t>
  </si>
  <si>
    <t>RenewAire</t>
  </si>
  <si>
    <t>HVI, 63 + ES row 212</t>
  </si>
  <si>
    <t>King of fans, BF-80</t>
  </si>
  <si>
    <t>HVI, 58 + ES row 148</t>
  </si>
  <si>
    <t>King of fans, BF-80L</t>
  </si>
  <si>
    <t>HVI, 58 + ES row 149</t>
  </si>
  <si>
    <t>Bronan, 080UEC</t>
  </si>
  <si>
    <t>?</t>
  </si>
  <si>
    <t>HVI 42 + ES row 64</t>
  </si>
  <si>
    <t>Bronan, UTRE080</t>
  </si>
  <si>
    <t>HVI 31 + ES row 45</t>
  </si>
  <si>
    <t>HVI 61 + ES 192</t>
  </si>
  <si>
    <t>Internal gains</t>
  </si>
  <si>
    <t>SI unit</t>
  </si>
  <si>
    <t>Gain</t>
  </si>
  <si>
    <t>Btu/day</t>
  </si>
  <si>
    <t>kg/day</t>
  </si>
  <si>
    <t>kg/s</t>
  </si>
  <si>
    <t>Attic ventilation</t>
  </si>
  <si>
    <t>RIVCVENT.BAS li. 391</t>
  </si>
  <si>
    <t>Mail fra Iain: 2009-06-15</t>
  </si>
  <si>
    <t>From measured field data: background attic leakage area (i.e., not </t>
  </si>
  <si>
    <t>A_attic, openings</t>
  </si>
  <si>
    <t>1ft2 pr.150ft2</t>
  </si>
  <si>
    <t>A_attic, leakage (AL4)</t>
  </si>
  <si>
    <t>A_attic, vent</t>
  </si>
  <si>
    <t>Difference btw. openings and leakage area</t>
  </si>
  <si>
    <t>Factor</t>
  </si>
  <si>
    <t>C_attic</t>
  </si>
  <si>
    <t>Faction of attic leakage</t>
  </si>
  <si>
    <t>Fraction of attic leakage above wall 1</t>
  </si>
  <si>
    <t>Soffitfraction(2)</t>
  </si>
  <si>
    <t>Fraction of attic leakage above wall 2</t>
  </si>
  <si>
    <t>Soffitfraction(3)</t>
  </si>
  <si>
    <t>Fraction of attic leakage above wall 3</t>
  </si>
  <si>
    <t>Soffitfraction(4)</t>
  </si>
  <si>
    <t>Fraction of attic leakage above wall 4</t>
  </si>
  <si>
    <t>Soffitfraction(5)</t>
  </si>
  <si>
    <t>Fraction of attic leakage in the two pitched roof surfaces</t>
  </si>
  <si>
    <t>Total</t>
  </si>
  <si>
    <t>Insulation</t>
  </si>
  <si>
    <t>ACM, p. 77-79</t>
  </si>
  <si>
    <t>Thickness</t>
  </si>
  <si>
    <t>Ks_1</t>
  </si>
  <si>
    <t>Given in Title 24</t>
  </si>
  <si>
    <t>Ks_2</t>
  </si>
  <si>
    <t>Kr_1</t>
  </si>
  <si>
    <t>Kr_2</t>
  </si>
  <si>
    <t>A_sup</t>
  </si>
  <si>
    <t>A_ret</t>
  </si>
  <si>
    <t>Diameter, perimeter, length</t>
  </si>
  <si>
    <t>d_sup</t>
  </si>
  <si>
    <t>Climate zone</t>
  </si>
  <si>
    <t>d_ret</t>
  </si>
  <si>
    <t>P_sup</t>
  </si>
  <si>
    <t>P_ret</t>
  </si>
  <si>
    <t>Degrade iso</t>
  </si>
  <si>
    <t>L_sup</t>
  </si>
  <si>
    <t>R-value</t>
  </si>
  <si>
    <t>L_ret</t>
  </si>
  <si>
    <t>Cooling and heating</t>
  </si>
  <si>
    <t>Location</t>
  </si>
  <si>
    <t>Cooling Sizing</t>
  </si>
  <si>
    <t>Heating Sizing</t>
  </si>
  <si>
    <t>Cooling/Heating Ratio</t>
  </si>
  <si>
    <t>House UA calculation, p. 1</t>
  </si>
  <si>
    <r>
      <t>tons/1000ft</t>
    </r>
    <r>
      <rPr>
        <vertAlign val="superscript"/>
        <sz val="11"/>
        <color indexed="8"/>
        <rFont val="Calibri"/>
        <family val="2"/>
      </rPr>
      <t>2</t>
    </r>
  </si>
  <si>
    <r>
      <t>kBtu/1000ft</t>
    </r>
    <r>
      <rPr>
        <vertAlign val="superscript"/>
        <sz val="11"/>
        <color indexed="8"/>
        <rFont val="Calibri"/>
        <family val="2"/>
      </rPr>
      <t>2</t>
    </r>
  </si>
  <si>
    <t>tons/100kBtu</t>
  </si>
  <si>
    <t>EER_ari</t>
  </si>
  <si>
    <t>ALL CZ</t>
  </si>
  <si>
    <t>average</t>
  </si>
  <si>
    <t>ACM, p. 71-72</t>
  </si>
  <si>
    <t>max</t>
  </si>
  <si>
    <t>min</t>
  </si>
  <si>
    <t>sdev</t>
  </si>
  <si>
    <t>SEER</t>
  </si>
  <si>
    <t>SEER=13 from note: CECVentilation</t>
  </si>
  <si>
    <t>sdev%</t>
  </si>
  <si>
    <t>ACM, p. 72, eq R3-42</t>
  </si>
  <si>
    <t>Heating and cooling sizing</t>
  </si>
  <si>
    <t>AFUE</t>
  </si>
  <si>
    <t>Sdev%</t>
  </si>
  <si>
    <t>Cooling</t>
  </si>
  <si>
    <t>Max</t>
  </si>
  <si>
    <t>Heating</t>
  </si>
  <si>
    <t>Min</t>
  </si>
  <si>
    <t>tons</t>
  </si>
  <si>
    <t>kBtu/h</t>
  </si>
  <si>
    <t>q_cool</t>
  </si>
  <si>
    <t>m3/s</t>
  </si>
  <si>
    <t>400cfm/ton</t>
  </si>
  <si>
    <t>q_heat</t>
  </si>
  <si>
    <t xml:space="preserve">16.8 cfm/ kBtuh </t>
  </si>
  <si>
    <t>P_fan,cool</t>
  </si>
  <si>
    <t>P_fan,heat</t>
  </si>
  <si>
    <t>C_sup</t>
  </si>
  <si>
    <t>m3/sPa^n</t>
  </si>
  <si>
    <t>cooling air air flow * LK_frac (0.03) = C*25^0.6</t>
  </si>
  <si>
    <t>C_ret</t>
  </si>
  <si>
    <t>Conversion: tons to kBtu/h - mulitiply by 12.</t>
  </si>
  <si>
    <t>One ton of capacity equals 12,000 Btu/h</t>
  </si>
  <si>
    <t xml:space="preserve"> </t>
  </si>
  <si>
    <t>Fraction of leakage in wall 1 - N</t>
  </si>
  <si>
    <t>Fraction of leakage in wall 2 - S</t>
  </si>
  <si>
    <t>Fraction of leakage in wall 3 - E</t>
  </si>
  <si>
    <t>Fraction of leakage in wall 4 - W</t>
  </si>
  <si>
    <t>ELA_envelope</t>
  </si>
  <si>
    <t xml:space="preserve">ELA_stack </t>
  </si>
  <si>
    <t>Pct. ELA from stack</t>
  </si>
  <si>
    <t>Proportion of leakage from stack</t>
  </si>
  <si>
    <t>D (m)</t>
  </si>
  <si>
    <t>(m2)</t>
  </si>
  <si>
    <t>Plan area, m2</t>
  </si>
  <si>
    <t>Hfloor</t>
  </si>
  <si>
    <t>windowWE</t>
  </si>
  <si>
    <t>windowN</t>
  </si>
  <si>
    <t>windowS</t>
  </si>
  <si>
    <t>EERari</t>
  </si>
  <si>
    <t>capacityraw</t>
  </si>
  <si>
    <t>capacityari</t>
  </si>
  <si>
    <t>charge</t>
  </si>
  <si>
    <t>overhang</t>
  </si>
  <si>
    <t>For a house with gables: (W_houseSI + 2 * overhang) / 2 * (D25 - H_soffitSI) * L_houseSI. For a pyramid shaped roof: 1/3*A_ceil*h</t>
  </si>
  <si>
    <t>Roof peak, m</t>
  </si>
  <si>
    <t>ACH-62.2</t>
  </si>
  <si>
    <t>ACH-62.2+infil</t>
  </si>
  <si>
    <t>Pa (standard value)</t>
  </si>
  <si>
    <t>literature value</t>
  </si>
  <si>
    <t>fraction based on reative size</t>
  </si>
  <si>
    <t>of walls</t>
  </si>
  <si>
    <t>Flue gas temperature (-99 means temp in stack changes)</t>
  </si>
  <si>
    <t>leakage for type D 2 story house</t>
  </si>
  <si>
    <t>half width of house</t>
  </si>
  <si>
    <t>length of house</t>
  </si>
  <si>
    <t>area on short end</t>
  </si>
  <si>
    <t>area on long end</t>
  </si>
  <si>
    <t>fraction of area on short end</t>
  </si>
  <si>
    <t>fraction of area on long end</t>
  </si>
  <si>
    <t>Degrade (-)</t>
  </si>
  <si>
    <t>ACH@50</t>
  </si>
  <si>
    <t>House Vol</t>
  </si>
  <si>
    <t>4.8 ACH@50</t>
  </si>
  <si>
    <t>5.2 ACH@50</t>
  </si>
  <si>
    <t>8.6 ACH@50</t>
  </si>
  <si>
    <t>Can be changed so that leakage is 0.33 on the long side of house and  0.17 on short side</t>
  </si>
  <si>
    <t>A_Garage (inc)</t>
  </si>
  <si>
    <t>A_Garage (ex)</t>
  </si>
  <si>
    <r>
      <t>m3/sPa</t>
    </r>
    <r>
      <rPr>
        <vertAlign val="superscript"/>
        <sz val="11"/>
        <color indexed="8"/>
        <rFont val="Calibri"/>
        <family val="2"/>
      </rPr>
      <t>n</t>
    </r>
  </si>
  <si>
    <t>House width</t>
  </si>
  <si>
    <t>House length</t>
  </si>
  <si>
    <t>Short End Area Fraction</t>
  </si>
  <si>
    <t>Long End Area Fraction</t>
  </si>
  <si>
    <t>Improved</t>
  </si>
  <si>
    <t>Ventilation required according to 62.2 Table 5.1</t>
  </si>
  <si>
    <t>Chitwood field survey</t>
  </si>
  <si>
    <t>Iain's Fan</t>
  </si>
  <si>
    <t>HVI, 36 (EnergyStar row 394)</t>
  </si>
  <si>
    <t>Sensible Load</t>
  </si>
  <si>
    <t>Latent Load</t>
  </si>
  <si>
    <r>
      <t>tons/1000ft</t>
    </r>
    <r>
      <rPr>
        <b/>
        <vertAlign val="superscript"/>
        <sz val="11"/>
        <color indexed="8"/>
        <rFont val="Calibri"/>
        <family val="2"/>
      </rPr>
      <t>2</t>
    </r>
  </si>
  <si>
    <r>
      <t>kBtu/1000ft</t>
    </r>
    <r>
      <rPr>
        <b/>
        <vertAlign val="superscript"/>
        <sz val="11"/>
        <color indexed="8"/>
        <rFont val="Calibri"/>
        <family val="2"/>
      </rPr>
      <t>2</t>
    </r>
  </si>
  <si>
    <t>CZ_8</t>
  </si>
  <si>
    <t>CZ_10</t>
  </si>
  <si>
    <t>CZ_11</t>
  </si>
  <si>
    <t>CZ_12</t>
  </si>
  <si>
    <t>CZ_13</t>
  </si>
  <si>
    <t>CZ_15</t>
  </si>
  <si>
    <t>ACM, p. 25</t>
  </si>
  <si>
    <t>AFUE efficiency</t>
  </si>
  <si>
    <t>Heating fan power consumption, W</t>
  </si>
  <si>
    <t>Cooling fan power consumption, W</t>
  </si>
  <si>
    <t>Charge, fraction of full charge</t>
  </si>
  <si>
    <t>Ceiling floor leakage sum</t>
  </si>
  <si>
    <t>Ceiling floor leakage difference</t>
  </si>
  <si>
    <t>Fan(i).oper code</t>
  </si>
  <si>
    <t>ARTI Case</t>
  </si>
  <si>
    <t>Flow in input file</t>
  </si>
  <si>
    <t>1 – always on</t>
  </si>
  <si>
    <t>2, 8</t>
  </si>
  <si>
    <t>-ve for exhaust, +ve for supply</t>
  </si>
  <si>
    <t>2 – bath timer 7:30 – 8:00 a.m.</t>
  </si>
  <si>
    <t>All</t>
  </si>
  <si>
    <t>-ve for exhaust</t>
  </si>
  <si>
    <t>3 – kitchen timer 5:00 – 6:00 p.m.</t>
  </si>
  <si>
    <t>4 – Intermittent off for four hours a day (different hours for heating (1-4 a.m.) and cooling (3-7 p.m.))</t>
  </si>
  <si>
    <t>5 - not used (HRV w/o air handler operation)</t>
  </si>
  <si>
    <t xml:space="preserve">6 – Fan cycler, 20 minute minimum </t>
  </si>
  <si>
    <t>6a</t>
  </si>
  <si>
    <t>-ve</t>
  </si>
  <si>
    <t>7 – “Fresh Vent”, 10 out of 30 minutes on.  7% OA</t>
  </si>
  <si>
    <t xml:space="preserve">Zero – internally calculated based on fan flow and % OA </t>
  </si>
  <si>
    <t>8 – “Fresh Vent” with fixed flow.</t>
  </si>
  <si>
    <t xml:space="preserve">-ve </t>
  </si>
  <si>
    <t>9 – not used</t>
  </si>
  <si>
    <t>10 – Intermittent supply into return, no timer, every minute of heat/cool operation</t>
  </si>
  <si>
    <r>
      <t>-ve, no mech vent power, 0.0236 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/s (far a medium house – i.e., the same as constant exhaust 62.2 rate) added to return leak as mfancyc</t>
    </r>
  </si>
  <si>
    <t>11 – Constant exhaust + at least 10 minutes of a/h operation per hour</t>
  </si>
  <si>
    <t>2a</t>
  </si>
  <si>
    <t>12 – Intermittent exhaust + at least 10 minutes of a/h operation per hour</t>
  </si>
  <si>
    <t>3a</t>
  </si>
  <si>
    <t>13 -  Intermittent supply into return, 20 minutes of every hour</t>
  </si>
  <si>
    <t>5a</t>
  </si>
  <si>
    <t>14 - Intermittent supply into return, no timer, every minute of heat/cool operation + exhaust on when supply off</t>
  </si>
  <si>
    <t>15 - Intermittent supply into return, 20 minutes of every hour + exhaust on when supply off</t>
  </si>
  <si>
    <t>7a</t>
  </si>
  <si>
    <t>16 – HRV, with a/h synchronization</t>
  </si>
  <si>
    <t>Entered as single fan -ve flow (not total just either the inflow or outflow)</t>
  </si>
  <si>
    <t>17 – ERV, with a/h synchronization</t>
  </si>
  <si>
    <t>18 – Exhaust always on + Intermittent supply, no timer, every minute of heat/cool operation</t>
  </si>
  <si>
    <t>20 – 10 minutes of a/h operation per hour (plus const supply fan)</t>
  </si>
  <si>
    <t>8a</t>
  </si>
  <si>
    <t>No flow or power</t>
  </si>
  <si>
    <t>21 – economizer</t>
  </si>
  <si>
    <t>+ve big supply fan</t>
  </si>
  <si>
    <t>22 – economizer + fan cycler</t>
  </si>
  <si>
    <t>19 – Dryer Fan</t>
  </si>
  <si>
    <t>Value</t>
  </si>
  <si>
    <t>South facing window area, m2</t>
  </si>
  <si>
    <t>Attic volume, m3</t>
  </si>
  <si>
    <t>Mean return diameter, m</t>
  </si>
  <si>
    <t>EQUIPMENT</t>
  </si>
  <si>
    <t>If there is only one flue make Cflue2=0</t>
  </si>
  <si>
    <t>ACM, p. 23</t>
  </si>
  <si>
    <t>ASHRAE Values</t>
  </si>
  <si>
    <t>ASHRAE Fundamentals (2009) p.17.10</t>
  </si>
  <si>
    <t>Internal Gain</t>
  </si>
  <si>
    <t>Sensible</t>
  </si>
  <si>
    <t>Latent</t>
  </si>
  <si>
    <t>Occupants</t>
  </si>
  <si>
    <t>kW</t>
  </si>
  <si>
    <t>A_1st floor</t>
  </si>
  <si>
    <r>
      <t>m</t>
    </r>
    <r>
      <rPr>
        <vertAlign val="superscript"/>
        <sz val="11"/>
        <color indexed="8"/>
        <rFont val="Calibri"/>
        <family val="2"/>
      </rPr>
      <t>2</t>
    </r>
  </si>
  <si>
    <r>
      <t>ft</t>
    </r>
    <r>
      <rPr>
        <vertAlign val="superscript"/>
        <sz val="11"/>
        <color indexed="8"/>
        <rFont val="Calibri"/>
        <family val="2"/>
      </rPr>
      <t>2</t>
    </r>
  </si>
  <si>
    <r>
      <t>m</t>
    </r>
    <r>
      <rPr>
        <vertAlign val="superscript"/>
        <sz val="11"/>
        <color indexed="8"/>
        <rFont val="Calibri"/>
        <family val="2"/>
      </rPr>
      <t>3</t>
    </r>
  </si>
  <si>
    <t>Ratio of short side/longside</t>
  </si>
  <si>
    <t>ACM p.112 (4-13)</t>
  </si>
  <si>
    <t>ACM p.53 (3-34)</t>
  </si>
  <si>
    <t>Ref: ACM, p. 109-112</t>
  </si>
  <si>
    <t>CEC Prototypes</t>
  </si>
  <si>
    <r>
      <t>ACM, p. 39 (3-21): Free attic ventilation area should be 1ft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 xml:space="preserve"> pr. 150ft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>.</t>
    </r>
  </si>
  <si>
    <t>fan 5 Q, m^3/s</t>
  </si>
  <si>
    <t>fan 6 Q, m^3/s</t>
  </si>
  <si>
    <t>fan 5 power, W (bathroom 2)</t>
  </si>
  <si>
    <t>fan 6 schedule (default = 2, dynamic = 27)</t>
  </si>
  <si>
    <t>q_tot [l/s]</t>
  </si>
  <si>
    <t>Half-way up attic height</t>
  </si>
  <si>
    <t>Duct location, 1= inside, 0 = attic</t>
  </si>
  <si>
    <t>Leakage for type D 2 story house</t>
  </si>
  <si>
    <t>Number of Occupants</t>
  </si>
  <si>
    <t>Table R3-3 – Seasonal Internal Gain Multipliers</t>
  </si>
  <si>
    <t>Month Multiplier Month Multiplier Month Multiplier</t>
  </si>
  <si>
    <t>Jan 1.19 May 0.84 Sep 0.98</t>
  </si>
  <si>
    <t>Feb 1.11 Jun 0.80 Oct 1.07</t>
  </si>
  <si>
    <t>Mar 1.02 Jul 0.82 Nov 1.16</t>
  </si>
  <si>
    <t>Apr 0.93 Aug 0.88 Dec 1.21</t>
  </si>
  <si>
    <t>Seasonal adjustments</t>
  </si>
  <si>
    <t>62.2-Number of bedrooms</t>
  </si>
  <si>
    <t>Slab floor perimeter, Res. Com Apx B p.5</t>
  </si>
  <si>
    <t>Fenestration, Res. Com,  Apx B p.5</t>
  </si>
  <si>
    <t>Raised floor, Res. Com, Apx B p.5</t>
  </si>
  <si>
    <t>Wood-frame walls, Res. Com, Apx B p.5</t>
  </si>
  <si>
    <t>Res.com, Table 151-D Appendix B p.5</t>
  </si>
  <si>
    <r>
      <t>m</t>
    </r>
    <r>
      <rPr>
        <vertAlign val="superscript"/>
        <sz val="11"/>
        <color rgb="FF006100"/>
        <rFont val="Calibri"/>
        <family val="2"/>
        <scheme val="minor"/>
      </rPr>
      <t>2</t>
    </r>
    <r>
      <rPr>
        <sz val="11"/>
        <color rgb="FF006100"/>
        <rFont val="Calibri"/>
        <family val="2"/>
        <scheme val="minor"/>
      </rPr>
      <t>K/W</t>
    </r>
  </si>
  <si>
    <r>
      <t>ft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 xml:space="preserve"> F h/Btu</t>
    </r>
  </si>
  <si>
    <t>1BTU = 1,055J</t>
  </si>
  <si>
    <t>1 therm = 100,000 BTU = 29.307kWh</t>
  </si>
  <si>
    <t>house occupied by 4 people are generates 2.5 kg of water per day</t>
  </si>
  <si>
    <t>ACM 3.4 (p. 3-20)</t>
  </si>
  <si>
    <t>ACM 3.4 (p. 3-21)</t>
  </si>
  <si>
    <t>A_roof</t>
  </si>
  <si>
    <t>Slab Floor?</t>
  </si>
  <si>
    <t>Moisture Generation Rate</t>
  </si>
  <si>
    <t>(kg/day)</t>
  </si>
  <si>
    <t>Bathing, Cooking and Dishwashing</t>
  </si>
  <si>
    <t>Net Generation Rate</t>
  </si>
  <si>
    <t>(kg/day), (W)</t>
  </si>
  <si>
    <t>4.6, 130</t>
  </si>
  <si>
    <t>8.5, 240</t>
  </si>
  <si>
    <t>9.8, 277</t>
  </si>
  <si>
    <t>10.3, 291</t>
  </si>
  <si>
    <t>House</t>
  </si>
  <si>
    <t>(W)</t>
  </si>
  <si>
    <t>Moisture Generation</t>
  </si>
  <si>
    <r>
      <t xml:space="preserve">Small (1,200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</si>
  <si>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Medium (2,100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</si>
  <si>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Large (2,700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</si>
  <si>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t>Internals loads for the prototype houses based on T24 eq. R3-1 p.3-5 (sensible) and ASHRAE Draft Standard 160P (moisture generation)</t>
  </si>
  <si>
    <t>Internal occupancy based moisture generation rates from ASHRAE Draft Standard 160P</t>
  </si>
  <si>
    <t>Fp [W/mK]</t>
  </si>
  <si>
    <t>200mm block wall, brick facing</t>
  </si>
  <si>
    <t>Insulation [m2W/K]</t>
  </si>
  <si>
    <t>Uninsulated</t>
  </si>
  <si>
    <t>R-0.95</t>
  </si>
  <si>
    <t>4" block wall, brick facing</t>
  </si>
  <si>
    <t>Metal stud wall, stucco</t>
  </si>
  <si>
    <t>Poured concrete wall with</t>
  </si>
  <si>
    <t>duct near perimeter</t>
  </si>
  <si>
    <t>Slab Construction</t>
  </si>
  <si>
    <t>ASHRAE Fundamentals 2005 Table 18 p. 29.13</t>
  </si>
  <si>
    <t>Perimeter</t>
  </si>
  <si>
    <t>Summer</t>
  </si>
  <si>
    <t>Winter</t>
  </si>
  <si>
    <t>Thermostat</t>
  </si>
  <si>
    <t>97.5% Winter Design Temp (F)</t>
  </si>
  <si>
    <t>97.5% Winter Design Temp (C)</t>
  </si>
  <si>
    <r>
      <rPr>
        <sz val="11"/>
        <color indexed="8"/>
        <rFont val="Symbol"/>
        <family val="1"/>
        <charset val="2"/>
      </rPr>
      <t>D</t>
    </r>
    <r>
      <rPr>
        <sz val="11"/>
        <color indexed="8"/>
        <rFont val="Calibri"/>
        <family val="2"/>
      </rPr>
      <t>T (K)</t>
    </r>
  </si>
  <si>
    <t>2.5% Summer Design Temp (F)</t>
  </si>
  <si>
    <t>2.5% Summer Design Temp (C)</t>
  </si>
  <si>
    <t>Slab Heat Loss, Winter [W]</t>
  </si>
  <si>
    <t>UA_cool=UA_wall + UA_win + UA_door</t>
  </si>
  <si>
    <t>Number of stories</t>
  </si>
  <si>
    <t>Q (l/s)</t>
  </si>
  <si>
    <t>ACM, p. 3-59</t>
  </si>
  <si>
    <t>Name</t>
  </si>
  <si>
    <t>CZ</t>
  </si>
  <si>
    <t>kBtuh</t>
  </si>
  <si>
    <t>kW/100m2</t>
  </si>
  <si>
    <t>kBtuh/1000 sq ft</t>
  </si>
  <si>
    <t>Wrightsoft Manual J Calculations 2011 for 2,100 sq ft Pro C</t>
  </si>
  <si>
    <t>tons/1000 sq ft</t>
  </si>
  <si>
    <t>Floor covering</t>
  </si>
  <si>
    <t>Rcr</t>
  </si>
  <si>
    <t>16mm wood floor (oak)</t>
  </si>
  <si>
    <t>ASHRAE HVAC Systems and Equipment 2008 Table 3 p. 6.7</t>
  </si>
  <si>
    <r>
      <t>m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>K/W</t>
    </r>
  </si>
  <si>
    <t>hsrf</t>
  </si>
  <si>
    <t>Airflow</t>
  </si>
  <si>
    <t>UA_Slab (Heat)</t>
  </si>
  <si>
    <t>Townhouse</t>
  </si>
  <si>
    <t>Exponent</t>
  </si>
  <si>
    <t>Weather Factors ASHRAE 136</t>
  </si>
  <si>
    <t>2A</t>
  </si>
  <si>
    <t>2B</t>
  </si>
  <si>
    <t>3A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</si>
  <si>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</si>
  <si>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</si>
  <si>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</si>
  <si>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</si>
  <si>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</si>
  <si>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</si>
  <si>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</si>
  <si>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</si>
  <si>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</si>
  <si>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7</t>
  </si>
  <si>
    <t>w</t>
  </si>
  <si>
    <t>DOE</t>
  </si>
  <si>
    <t>CA</t>
  </si>
  <si>
    <t>Number of bedrooms in the building</t>
  </si>
  <si>
    <t>weatherFactor</t>
  </si>
  <si>
    <t>Infiltration Weather Factor</t>
  </si>
  <si>
    <t>Q (cfm)</t>
  </si>
  <si>
    <t>Panasonic, FV-15VQ4</t>
  </si>
  <si>
    <t>HVI, p.78 1-55</t>
  </si>
  <si>
    <t>Reversomatic, QCF-80ES (S)</t>
  </si>
  <si>
    <t>HVI, p.80 1-57</t>
  </si>
  <si>
    <t>HRV</t>
  </si>
  <si>
    <t>SRE</t>
  </si>
  <si>
    <t>ASE</t>
  </si>
  <si>
    <t>ARIA LifeBreath - 95MAX</t>
  </si>
  <si>
    <t>HVI 2011 S3, 3-7, page 9</t>
  </si>
  <si>
    <t>ARIA LifeBreath - 195DCS</t>
  </si>
  <si>
    <t>HVI 2011 S3, 3-6, page 8</t>
  </si>
  <si>
    <t>LENNOX - HRV3-195</t>
  </si>
  <si>
    <t>HVI 2011 S3, 3-78, page 80</t>
  </si>
  <si>
    <t>VENMAR - AVS Constructo 1.5V</t>
  </si>
  <si>
    <t>http://www.hvi.org/assets/pdfs/CPD/HVICPD_Sec3_01Feb2011.pdf</t>
  </si>
  <si>
    <t>GREENTEK - DH 7.15</t>
  </si>
  <si>
    <t>BROAN-NUTONE - Maytag</t>
  </si>
  <si>
    <t>Iain</t>
  </si>
  <si>
    <t>fan 1 power, W</t>
  </si>
  <si>
    <t>fan 1 schedule 1 (1 or 50 = whole house fan, continuous or RIVEC)</t>
  </si>
  <si>
    <t>fan 2 power, W (dryer)</t>
  </si>
  <si>
    <t>fan 2 schedule (dynamic = 23)</t>
  </si>
  <si>
    <t>fan 3 power, W (kitchen)</t>
  </si>
  <si>
    <t>fan 3 schedule (dynamic = 24)</t>
  </si>
  <si>
    <t>fan 4 power, W (Bathroom 1)</t>
  </si>
  <si>
    <t>fan 4 schedule (dynamic = 25)</t>
  </si>
  <si>
    <t>fan 5 schedule (dynamic = 26)</t>
  </si>
  <si>
    <t>fan 6 power, W (Bathroom 3)</t>
  </si>
  <si>
    <t>fan 6 schedule (dynamic = 27)</t>
  </si>
  <si>
    <t>Q [cfm]</t>
  </si>
  <si>
    <t>Q [m3/s]</t>
  </si>
  <si>
    <t>1A</t>
  </si>
  <si>
    <t>2A Houston, TX</t>
  </si>
  <si>
    <t>2B Phoenix, AZ</t>
  </si>
  <si>
    <t>3A Memphis, TN</t>
  </si>
  <si>
    <t>3B El Paso, TX</t>
  </si>
  <si>
    <t>3C San Francisco, CA</t>
  </si>
  <si>
    <t>4A Baltimore, MD</t>
  </si>
  <si>
    <t>4B Albuquerque, NM</t>
  </si>
  <si>
    <t>4C Salem, OR</t>
  </si>
  <si>
    <t>5A Chicago, IL</t>
  </si>
  <si>
    <t>5B Boise, ID</t>
  </si>
  <si>
    <t>6A Burlington, VT</t>
  </si>
  <si>
    <t>6B Helena, MT</t>
  </si>
  <si>
    <t>7 Duluth, MN</t>
  </si>
  <si>
    <t>8 Fairbanks, AL</t>
  </si>
  <si>
    <t>1A Miami, FL</t>
  </si>
  <si>
    <t>3 stories</t>
  </si>
  <si>
    <t>cfm cool</t>
  </si>
  <si>
    <t>cfm/W</t>
  </si>
  <si>
    <t>cfm heat</t>
  </si>
  <si>
    <t>l/s heat</t>
  </si>
  <si>
    <t>Heat W</t>
  </si>
  <si>
    <t>(6cfm/W =&gt;)</t>
  </si>
  <si>
    <t>h_air flow 0.167W/cfm; 400cfm/ton</t>
  </si>
  <si>
    <t>h_air flow 0.167W/cfm</t>
  </si>
  <si>
    <t>Cooling air flow m^3/s</t>
  </si>
  <si>
    <t>BPM blowers</t>
  </si>
  <si>
    <t>Use 2 cfm/W in high speed mode (same as PSC)</t>
  </si>
  <si>
    <t>Use 10 cfm/W in low speed mode</t>
  </si>
  <si>
    <t>0.5 W/cfm</t>
  </si>
  <si>
    <t>0.1 W/cfm</t>
  </si>
  <si>
    <t>BPM economizer uses low speed mode</t>
  </si>
  <si>
    <t>Number of stories in the building</t>
  </si>
  <si>
    <t>Existing Home</t>
  </si>
  <si>
    <t>Energy Star</t>
  </si>
  <si>
    <t>IECC 2013</t>
  </si>
  <si>
    <t>EnerPHIT</t>
  </si>
  <si>
    <t>PHIUS+</t>
  </si>
  <si>
    <t>2012 IECC Envelope Insulation Requirements</t>
  </si>
  <si>
    <t>Window U-value</t>
  </si>
  <si>
    <t>Window SHGC</t>
  </si>
  <si>
    <t>NA</t>
  </si>
  <si>
    <t>Wood frame wall</t>
  </si>
  <si>
    <t>20 (or 13+5)</t>
  </si>
  <si>
    <t>20+5 (or 13 + 10)</t>
  </si>
  <si>
    <t>Slab</t>
  </si>
  <si>
    <t>10/2ft</t>
  </si>
  <si>
    <t>10/4ft</t>
  </si>
  <si>
    <t>Crawlspace wall</t>
  </si>
  <si>
    <t>5 or 13</t>
  </si>
  <si>
    <t>6 or 13</t>
  </si>
  <si>
    <t>7 or 13</t>
  </si>
  <si>
    <t>10 or 13</t>
  </si>
  <si>
    <t>11 or 13</t>
  </si>
  <si>
    <t>15 or 19</t>
  </si>
  <si>
    <t>16 or 19</t>
  </si>
  <si>
    <t>17 or 19</t>
  </si>
  <si>
    <t>18 or 19</t>
  </si>
  <si>
    <t>19 or 19</t>
  </si>
  <si>
    <t>20 or 19</t>
  </si>
  <si>
    <t>21 or 19</t>
  </si>
  <si>
    <t>Duct Leakage (cfm25 per 100ft2 CFA)</t>
  </si>
  <si>
    <t>Air tightness (ACH50)</t>
  </si>
  <si>
    <t>http://www.greenbuildingadvisor.com/blogs/dept/musings/overview-2012-energy-code</t>
  </si>
  <si>
    <t>HVAC AFUE</t>
  </si>
  <si>
    <t>HVAC SEER</t>
  </si>
  <si>
    <t>HVAC HSPF</t>
  </si>
  <si>
    <t>Whole House Ventilation Fan (cfm/W)</t>
  </si>
  <si>
    <t>DOE Builder's Challenge</t>
  </si>
  <si>
    <t>Window-to-floor-area (%)</t>
  </si>
  <si>
    <t>http://www1.eere.energy.gov/buildings/residential/pdfs/doe_challenge_home_requirementsv3.pdf</t>
  </si>
  <si>
    <t>Source</t>
  </si>
  <si>
    <t>Ducts required to be in conditioned space</t>
  </si>
  <si>
    <t>For existing homes, should we use values from the ResDB?</t>
  </si>
  <si>
    <t>http://apps1.eere.energy.gov/buildings/publications/pdfs/building_america/house_simulation_revised.pdf</t>
  </si>
  <si>
    <t>BA Performance Analysis Procedures Provide Default Values for Existing Homes</t>
  </si>
  <si>
    <t>2x4 framed wall, pre-1979 (Table 24)</t>
  </si>
  <si>
    <t>Window U-value (single pane, wood frame)</t>
  </si>
  <si>
    <t>Window SHGC (single pane, wood frame(</t>
  </si>
  <si>
    <t>Living space walls</t>
  </si>
  <si>
    <t>Basement walls</t>
  </si>
  <si>
    <t>Floors/basement ceiling</t>
  </si>
  <si>
    <t>Attic/top floor ceiling</t>
  </si>
  <si>
    <t>Framing Fraction</t>
  </si>
  <si>
    <t>Frame Spacing (in. on center)</t>
  </si>
  <si>
    <t>Assembly</t>
  </si>
  <si>
    <t>Table 29, BA PAP</t>
  </si>
  <si>
    <t>Space Heating Equipment Type</t>
  </si>
  <si>
    <t>Condensing Gas Furnace</t>
  </si>
  <si>
    <t>Gas furnace, direct-vent/forced-draft, electronic ignition, in conditioned space</t>
  </si>
  <si>
    <t>Gas furnace, natural draft, vent damper, electronic ignitiion, conditioned space</t>
  </si>
  <si>
    <t>Gas furnace, natural draft, standing pilot, in conditioned space</t>
  </si>
  <si>
    <t>Gas furnace, natural draft, standing pilot, no vent damper, in unconditioned space</t>
  </si>
  <si>
    <t>Annual Professional Maintenance</t>
  </si>
  <si>
    <t>Seldom or not maintained</t>
  </si>
  <si>
    <t>Table 30</t>
  </si>
  <si>
    <t>Type of Air Conditioner or Heat Pump</t>
  </si>
  <si>
    <t>Base SEER</t>
  </si>
  <si>
    <t>Base EER</t>
  </si>
  <si>
    <t>Base HSPF</t>
  </si>
  <si>
    <t>Split-central AC, single-speed compressor, PSC motor, cased coil (pre-1981)</t>
  </si>
  <si>
    <t>Split-central HP, single-speed compressor, PSC motor (pre-1981)</t>
  </si>
  <si>
    <t>Table 32</t>
  </si>
  <si>
    <t>Actua AFUE is calculated by multiplying AFUE by (1-Maintenance Factor)^age(in years, up to 20)</t>
  </si>
  <si>
    <t>http://resdb.lbl.gov/main.php?step=2&amp;sub=2&amp;run_env_model=&amp;dtype1=&amp;dtype2=&amp;is_ca=&amp;calc_id=2&amp;floor_area=2200&amp;house_height=8&amp;year_built=1&amp;wap=0&amp;ee_home=0&amp;region=4&amp;zone=7&amp;foundation=1&amp;duct=2</t>
  </si>
  <si>
    <t>Envelope Airtightness, ACH50 (2,200 ft2, 8' ceiling, pre-1960, slab, ducts in attic)</t>
  </si>
  <si>
    <t>Sensible Gains</t>
  </si>
  <si>
    <t>Latent Gains</t>
  </si>
  <si>
    <t>From BA existing homes analysis spreadsheet, downloaded from: http://www1.eere.energy.gov/buildings/residential/docs/analysis_existing_homes.zip</t>
  </si>
  <si>
    <t>These do not vary by house size…do not include lighting or dhw</t>
  </si>
  <si>
    <t>Degrading factors, see ACM p. 25, Table R3-4</t>
  </si>
  <si>
    <t>ACM, Table R3-7, page 3-25 specifies 1/300 vent area</t>
  </si>
  <si>
    <t>Walls</t>
  </si>
  <si>
    <t>Siding</t>
  </si>
  <si>
    <t>Sheathing</t>
  </si>
  <si>
    <t>Cavity</t>
  </si>
  <si>
    <t>Drywall</t>
  </si>
  <si>
    <t>1/2" Douglas Fir plywood</t>
  </si>
  <si>
    <t>1/2" sheetrock</t>
  </si>
  <si>
    <t>Hardboard siding</t>
  </si>
  <si>
    <t>Cavity insulation requirement from code</t>
  </si>
  <si>
    <t>Still air, vertical surface</t>
  </si>
  <si>
    <t>15 mph wind (Winter condition)</t>
  </si>
  <si>
    <t>Insulated Cavity</t>
  </si>
  <si>
    <t>Continuous Insulation</t>
  </si>
  <si>
    <t>Air film (interior)</t>
  </si>
  <si>
    <t>Air film (exterior)</t>
  </si>
  <si>
    <t>U-value</t>
  </si>
  <si>
    <t>19% derating consistent with RESNET Grade III installation, applied from Building America House Simulation Protocols, Table 27, page 36.</t>
  </si>
  <si>
    <t>Cavity Insulation Derated, Grade III? (0=no, 1=yes)</t>
  </si>
  <si>
    <t>Surface Area m2)</t>
  </si>
  <si>
    <t>UA (W/K)</t>
  </si>
  <si>
    <t>No framing factors or degradation for non-wall assemblies? Do we care?</t>
  </si>
  <si>
    <t>R-13 + R-5 continuous</t>
  </si>
  <si>
    <t>R-20</t>
  </si>
  <si>
    <t>Adjusted Assembly U-value</t>
  </si>
  <si>
    <t>R-13</t>
  </si>
  <si>
    <t>R-20 + R-5 cont</t>
  </si>
  <si>
    <t>R-13 + R-10 continuous</t>
  </si>
  <si>
    <t>IECC 2012 Assembly</t>
  </si>
  <si>
    <t>U-value (23% framing)</t>
  </si>
  <si>
    <t>U-value (18% framing)</t>
  </si>
  <si>
    <t>DO NOT INCLUDE CEILING, because ceiling is in attic model</t>
  </si>
  <si>
    <t>Miami</t>
  </si>
  <si>
    <t>Houston</t>
  </si>
  <si>
    <t>Phoenix</t>
  </si>
  <si>
    <t>Memphis</t>
  </si>
  <si>
    <t>El Paso</t>
  </si>
  <si>
    <t>San Francisco</t>
  </si>
  <si>
    <t>Baltimore</t>
  </si>
  <si>
    <t>Albuquerque</t>
  </si>
  <si>
    <t>Salem</t>
  </si>
  <si>
    <t>Chicago</t>
  </si>
  <si>
    <t>Boise</t>
  </si>
  <si>
    <t>Burlington</t>
  </si>
  <si>
    <t>Helena</t>
  </si>
  <si>
    <t>Duluth</t>
  </si>
  <si>
    <t>Fairbanks</t>
  </si>
  <si>
    <t>City</t>
  </si>
  <si>
    <t>TMY3 ID</t>
  </si>
  <si>
    <t>2013 weather factors from Standard 62.2-2013, Appendix B</t>
  </si>
  <si>
    <t>Equation 4.1b</t>
  </si>
  <si>
    <t>Equation 4.1a</t>
  </si>
  <si>
    <t>nL</t>
  </si>
  <si>
    <t>Per equation 4.5b, 62.2-2013</t>
  </si>
  <si>
    <t>nL (assume 488 m3 home)</t>
  </si>
  <si>
    <t>ACH50</t>
  </si>
  <si>
    <t>Per equation 4.6, 62.2-2013</t>
  </si>
  <si>
    <t>Qfan (l/s)</t>
  </si>
  <si>
    <t>Qinf (l/s)</t>
  </si>
  <si>
    <t>CFM</t>
  </si>
  <si>
    <t>Fan</t>
  </si>
  <si>
    <t>CONTROLS</t>
  </si>
  <si>
    <t>Fan power is estimated using the average Watts per l/s of the Panasonic fans in the exisitng list above (0.4361 W/l/s)</t>
  </si>
  <si>
    <t>Fan Power (w)</t>
  </si>
  <si>
    <t>Vary this between the stack-only and wind+stack for each ACH50 level</t>
  </si>
  <si>
    <t>Stories</t>
  </si>
  <si>
    <t>I</t>
  </si>
  <si>
    <t>full</t>
  </si>
  <si>
    <t>Inf+, equation 4.6, 62.2-2013 plus 10%</t>
  </si>
  <si>
    <t>inf+, Fan power is estimated using the average Watts per l/s of the Panasonic fans in the exisitng list above (0.4361 W/l/s), plus 10%</t>
  </si>
  <si>
    <t>new</t>
  </si>
  <si>
    <t>existing</t>
  </si>
  <si>
    <t>ELA (m2)</t>
  </si>
  <si>
    <t>C (m3/sPa^n)</t>
  </si>
  <si>
    <t>Size</t>
  </si>
  <si>
    <t>Small</t>
  </si>
  <si>
    <t>Large</t>
  </si>
  <si>
    <t>DOE CZ</t>
  </si>
  <si>
    <t>FanPower (w)</t>
  </si>
  <si>
    <t>OccDensity</t>
  </si>
  <si>
    <t>Med</t>
  </si>
  <si>
    <t>Low</t>
  </si>
  <si>
    <t>High</t>
  </si>
  <si>
    <t>Bath fans (#)</t>
  </si>
  <si>
    <t>Schedule</t>
  </si>
  <si>
    <t>HouseSize</t>
  </si>
  <si>
    <t>Concatenate</t>
  </si>
  <si>
    <t>Number Occupant</t>
  </si>
  <si>
    <t>Number of bathroom fans</t>
  </si>
  <si>
    <t>Fan Size</t>
  </si>
  <si>
    <t>Orland</t>
  </si>
  <si>
    <t>Charleston</t>
  </si>
  <si>
    <t>Orlando</t>
  </si>
  <si>
    <t>Heating (Btu/hr)</t>
  </si>
  <si>
    <t>Cooling (Btu/hr)</t>
  </si>
  <si>
    <t>Sensible Heat Fraction</t>
  </si>
  <si>
    <t>Rated airflow (cfm/ton)</t>
  </si>
  <si>
    <t xml:space="preserve">Floor area (ft2) </t>
  </si>
  <si>
    <t>Heating Input per 1,000ft2</t>
  </si>
  <si>
    <t>2Ao</t>
  </si>
  <si>
    <t>3Ac</t>
  </si>
  <si>
    <t>2ao</t>
  </si>
  <si>
    <t>CFIS</t>
  </si>
  <si>
    <t>ERV</t>
  </si>
  <si>
    <t>Vent System Type</t>
  </si>
  <si>
    <t>Number of Total BathFan Minutes</t>
  </si>
  <si>
    <t>For  comparison, I ran this in Beopt ManJ sizing run with a 70% ERV (as opposed to simple exhaust), same airflow, and Heating went to 25923 and cooling to 20706.</t>
  </si>
  <si>
    <t>a</t>
  </si>
  <si>
    <t>b</t>
  </si>
  <si>
    <t>This is the sensible gains methods from the RESNET reference home, page 3-18 Table 303.4.1(3) (http://www.resnet.us/standards/RESNET_Mortgage_Industry_National_HERS_Standards.pdf)</t>
  </si>
  <si>
    <t>rivecFlagInd</t>
  </si>
  <si>
    <t>HumContType</t>
  </si>
  <si>
    <t>wCutoff</t>
  </si>
  <si>
    <t>Indicator variable that instructs fan codes 13 and 17 to use rivec controls</t>
  </si>
  <si>
    <t>Various types of humidity control strateges embedded within RIVEC, 1, 2, …n</t>
  </si>
  <si>
    <t>Humidity Ratio cut-off, based on annual percentile (i.e., 90th or 80th)</t>
  </si>
  <si>
    <t>wDiffMaxNeg</t>
  </si>
  <si>
    <t>wDiffMaxPos</t>
  </si>
  <si>
    <t>Miami, FL</t>
  </si>
  <si>
    <t>Orlando, FL</t>
  </si>
  <si>
    <t>Houston, TX</t>
  </si>
  <si>
    <t>Charleston, SC</t>
  </si>
  <si>
    <t>Memphis, TN</t>
  </si>
  <si>
    <t>Baltimore, MD</t>
  </si>
  <si>
    <t>90th Percentile Outdoor Humidity Ratio, based on TMY3 weather file analysis</t>
  </si>
  <si>
    <t>wDiff values calculated from baseline REGCAP simulation humidity data.</t>
  </si>
  <si>
    <t>Maximum indoor - outdoor humidity ratio diffrence, wIN &lt; wOUT</t>
  </si>
  <si>
    <t>Maximum indoor - outdoor humidity ratio diffrence, wIN &gt; wOUT</t>
  </si>
  <si>
    <t>Fan Code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</si>
  <si>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</si>
  <si>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</si>
  <si>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</si>
  <si>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</si>
  <si>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</si>
  <si>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</si>
  <si>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</si>
  <si>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</si>
  <si>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</si>
  <si>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</si>
  <si>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</si>
  <si>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</si>
  <si>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Outdoor Humidity Ratio, 25th percentile values by month and CZ</t>
  </si>
  <si>
    <t>Month</t>
  </si>
  <si>
    <t>Outdoor Humidity Ratio, 75th percentile values by month and CZ</t>
  </si>
  <si>
    <t>W25_1</t>
  </si>
  <si>
    <t>W25_2</t>
  </si>
  <si>
    <t>W25_3</t>
  </si>
  <si>
    <t>W25_4</t>
  </si>
  <si>
    <t>W25_5</t>
  </si>
  <si>
    <t>W25_6</t>
  </si>
  <si>
    <t>W25_7</t>
  </si>
  <si>
    <t>W25_8</t>
  </si>
  <si>
    <t>W25_9</t>
  </si>
  <si>
    <t>W25_10</t>
  </si>
  <si>
    <t>W25_11</t>
  </si>
  <si>
    <t>W25_12</t>
  </si>
  <si>
    <t>W75_1</t>
  </si>
  <si>
    <t>W75_2</t>
  </si>
  <si>
    <t>W75_3</t>
  </si>
  <si>
    <t>W75_4</t>
  </si>
  <si>
    <t>W75_5</t>
  </si>
  <si>
    <t>W75_6</t>
  </si>
  <si>
    <t>W75_7</t>
  </si>
  <si>
    <t>W75_8</t>
  </si>
  <si>
    <t>W75_9</t>
  </si>
  <si>
    <t>W75_10</t>
  </si>
  <si>
    <t>W75_11</t>
  </si>
  <si>
    <t>W75_12</t>
  </si>
  <si>
    <t>25th percentile outdoor W value for January…Dec</t>
  </si>
  <si>
    <t>75th percentile outdoor  W value for January …Dec</t>
  </si>
  <si>
    <t>Residual MELs</t>
  </si>
  <si>
    <t>Interior lighting</t>
  </si>
  <si>
    <t>Refrigerator</t>
  </si>
  <si>
    <t>TVs</t>
  </si>
  <si>
    <t>Range/Oven (elec)(</t>
  </si>
  <si>
    <t>Range/Oven (gas)</t>
  </si>
  <si>
    <t>Clother Dryer (elec)</t>
  </si>
  <si>
    <t>Clothes Dryer (gas)</t>
  </si>
  <si>
    <t>Dish washer</t>
  </si>
  <si>
    <t>Clothers washer</t>
  </si>
  <si>
    <t>General water use</t>
  </si>
  <si>
    <t>THIS IS WHERE THE CURRENT AIRTIGHTNESS INPUTS ARE FROM</t>
  </si>
  <si>
    <t>% 62.2-2013</t>
  </si>
  <si>
    <t>CURRENT FAN SIZES ARE CALCULATED HERE. ALL OTHER STUFF IS REFERENCE OR OTHERWISE.</t>
  </si>
  <si>
    <t>THESE ARE OLD CALCULATION TALBES USED IN THE TEMPERATURE CONTROL PROJECT</t>
  </si>
  <si>
    <t>fanSchedulefileName</t>
  </si>
  <si>
    <t>thermostatFileName</t>
  </si>
  <si>
    <t>occupancyFileName</t>
  </si>
  <si>
    <t>shelterFileName</t>
  </si>
  <si>
    <t>Weather file to use</t>
  </si>
  <si>
    <t>Fan schedule file to use</t>
  </si>
  <si>
    <t>Thermostat file to use</t>
  </si>
  <si>
    <t>Occupancy file to use</t>
  </si>
  <si>
    <t>Shelter file to use</t>
  </si>
  <si>
    <t>bshelter.dat</t>
  </si>
  <si>
    <t>occ_full.txt</t>
  </si>
  <si>
    <t>tstat_std.txt</t>
  </si>
  <si>
    <t>ENVELOPE LEAKAGE</t>
  </si>
  <si>
    <t>FILE NAMES</t>
  </si>
  <si>
    <t>storyHeight</t>
  </si>
  <si>
    <t>Height of one story of the house, m</t>
  </si>
  <si>
    <t>winDoor[i].wall</t>
  </si>
  <si>
    <t>winDoor[i].High</t>
  </si>
  <si>
    <t>winDoor[i].Wide</t>
  </si>
  <si>
    <t>winDoor[i].Top</t>
  </si>
  <si>
    <t>winDoor[i].Bottom</t>
  </si>
  <si>
    <t>terrain</t>
  </si>
  <si>
    <t>Crawl</t>
  </si>
  <si>
    <t>HRV_ASE</t>
  </si>
  <si>
    <t>ERV_SRE</t>
  </si>
  <si>
    <t>ERV_TRE</t>
  </si>
  <si>
    <t>filterLoadingFlag</t>
  </si>
  <si>
    <t>MERV</t>
  </si>
  <si>
    <t>loadingRate</t>
  </si>
  <si>
    <t>AHMotorType</t>
  </si>
  <si>
    <t>Terrain at house location</t>
  </si>
  <si>
    <t>Is there a crawlspace?</t>
  </si>
  <si>
    <t>Apparent Sensible Effectiveness of HRV unit</t>
  </si>
  <si>
    <t>Sensible Recovery Efficiency of ERV unit.</t>
  </si>
  <si>
    <t>Total Recovery Efficiency of ERV unit, includes humidity transfer for moisture subroutine</t>
  </si>
  <si>
    <t>Filter loading flag</t>
  </si>
  <si>
    <t>MERV rating of filter</t>
  </si>
  <si>
    <t>loading rate of filter</t>
  </si>
  <si>
    <t>Air handler motor type (was BPMFlag)</t>
  </si>
  <si>
    <t>1 = large city centres, 2 = urban and suburban, 3 = open terrain, 4 = open sea</t>
  </si>
  <si>
    <t>1 - crawlspace (use first floorFraction), 0 - not a crawlspace (use all floorFractions)</t>
  </si>
  <si>
    <t>Based upon averages from ERV units in HVI directory, as of 5/2015.</t>
  </si>
  <si>
    <t>0 (OFF) or 1 (ON)</t>
  </si>
  <si>
    <t>May be set to 5, 8, 11 or 16</t>
  </si>
  <si>
    <t>0 = low, 1 = med, 2 = high</t>
  </si>
  <si>
    <t>BPM (1) or PSC (0)</t>
  </si>
  <si>
    <t>A_doors</t>
  </si>
  <si>
    <t>Doors</t>
  </si>
  <si>
    <t>R_door</t>
  </si>
  <si>
    <t>Equation gives Btus/day; converted to Btus per hour; then kW per hour</t>
  </si>
  <si>
    <t>Cooling Tons per 1,000ft2</t>
  </si>
  <si>
    <t>1 m3/s = 2119 ft3/min</t>
  </si>
  <si>
    <t>Raw_cool</t>
  </si>
  <si>
    <t>Raw_heat</t>
  </si>
  <si>
    <t>kBtu/hr</t>
  </si>
  <si>
    <t>=</t>
  </si>
  <si>
    <t>Opaque wall element UA, W/K</t>
  </si>
  <si>
    <t>Opaque floor element UA, W/K</t>
  </si>
  <si>
    <t>Window UA, W/K</t>
  </si>
  <si>
    <t>Age</t>
  </si>
  <si>
    <t>FirstCut</t>
  </si>
  <si>
    <t>SecondCut</t>
  </si>
  <si>
    <t>doseTarget</t>
  </si>
  <si>
    <t>HiDose</t>
  </si>
  <si>
    <t>7, 9</t>
  </si>
  <si>
    <t>HiMonths</t>
  </si>
  <si>
    <t>LowMonths</t>
  </si>
  <si>
    <t>LowMonthDose</t>
  </si>
  <si>
    <t>HiMonthDose</t>
  </si>
  <si>
    <t>6, 8, 11, 12</t>
  </si>
  <si>
    <t>Month index for low dose period (&lt;=FirstCut)</t>
  </si>
  <si>
    <t>Mont index for high dose period (&gt;=SecondCut)</t>
  </si>
  <si>
    <t>doseTarget value, generally &lt;1 (assumes high dose target is 1.5)</t>
  </si>
  <si>
    <t>Variable high dose target</t>
  </si>
  <si>
    <t>Months for high dose target</t>
  </si>
  <si>
    <t>Months for low dose target</t>
  </si>
  <si>
    <t>High month dose</t>
  </si>
  <si>
    <t>Low month dose</t>
  </si>
  <si>
    <t>LowDose</t>
  </si>
  <si>
    <t>6, 7, 8, 9, 11, 12</t>
  </si>
  <si>
    <t>C9_Low</t>
  </si>
  <si>
    <t>C9_High</t>
  </si>
  <si>
    <t>C7_Low</t>
  </si>
  <si>
    <t>C7_High</t>
  </si>
  <si>
    <t>cz</t>
  </si>
  <si>
    <t>maxPos</t>
  </si>
  <si>
    <t>maxNeg</t>
  </si>
  <si>
    <t>4,5</t>
  </si>
  <si>
    <t>eaveHeight</t>
  </si>
  <si>
    <t>envPressureExp</t>
  </si>
  <si>
    <t>Batchfile</t>
  </si>
  <si>
    <t>Batchfile Name</t>
  </si>
  <si>
    <t>Parametrics</t>
  </si>
  <si>
    <t>x</t>
  </si>
  <si>
    <t>Base Name:</t>
  </si>
  <si>
    <t>Climate Zone</t>
  </si>
  <si>
    <t>Airtightness</t>
  </si>
  <si>
    <t>fan(0).power</t>
  </si>
  <si>
    <t>fan(0).q</t>
  </si>
  <si>
    <t>fan(0).oper</t>
  </si>
  <si>
    <t>Num</t>
  </si>
  <si>
    <t>Input File</t>
  </si>
  <si>
    <t>weatherFileName</t>
  </si>
  <si>
    <t>numFLues</t>
  </si>
  <si>
    <t>wallFraction[0]</t>
  </si>
  <si>
    <t>wallFraction[1]</t>
  </si>
  <si>
    <t>wallFraction[2]</t>
  </si>
  <si>
    <t>wallFraction[3]</t>
  </si>
  <si>
    <t>floorFraction[0]</t>
  </si>
  <si>
    <t>floorFraction[1]</t>
  </si>
  <si>
    <t>floorFraction[2]</t>
  </si>
  <si>
    <t>floorFraction[3]</t>
  </si>
  <si>
    <t>flueShelterFactor</t>
  </si>
  <si>
    <t>Variable Name</t>
  </si>
  <si>
    <t>flue[0].flue</t>
  </si>
  <si>
    <t>flue[0].flueHeight</t>
  </si>
  <si>
    <t>flue[0].flueTemp</t>
  </si>
  <si>
    <t>flue[1].flue</t>
  </si>
  <si>
    <t>flue[1].flueHeight</t>
  </si>
  <si>
    <t>flue[1].flueTemp</t>
  </si>
  <si>
    <t>Envelope leakage coefficient, m3/sPan</t>
  </si>
  <si>
    <t>numPipes</t>
  </si>
  <si>
    <t>rowOrIsolated</t>
  </si>
  <si>
    <t>houseVolume</t>
  </si>
  <si>
    <t>floorArea</t>
  </si>
  <si>
    <t>planArea</t>
  </si>
  <si>
    <t>Fraction of leakage at floor level below wall 4</t>
  </si>
  <si>
    <t>=3227.98762109796 sq-ft</t>
  </si>
  <si>
    <t>UAWall</t>
  </si>
  <si>
    <t>UAFloor</t>
  </si>
  <si>
    <t>UAWindow</t>
  </si>
  <si>
    <t>numWinDoor</t>
  </si>
  <si>
    <t>numFans</t>
  </si>
  <si>
    <t>UA of opaque wall elements (walls and doors)</t>
  </si>
  <si>
    <t>UA of floor or slab (no solar gain, not used for cooling load)</t>
  </si>
  <si>
    <t>UA of windows for conductive gain</t>
  </si>
  <si>
    <t>fan[1].q</t>
  </si>
  <si>
    <t>fan[1].oper</t>
  </si>
  <si>
    <t>fan[1].power</t>
  </si>
  <si>
    <t>fan[2].power</t>
  </si>
  <si>
    <t>fan[2].q</t>
  </si>
  <si>
    <t>fan[2].oper</t>
  </si>
  <si>
    <t>fan[3].power</t>
  </si>
  <si>
    <t>fan[3].q</t>
  </si>
  <si>
    <t>fan[3].oper</t>
  </si>
  <si>
    <t>fan[4].power</t>
  </si>
  <si>
    <t>fan[4].q</t>
  </si>
  <si>
    <t>fan[4].oper</t>
  </si>
  <si>
    <t>fan[5].power</t>
  </si>
  <si>
    <t>fan[5].q</t>
  </si>
  <si>
    <t>fan[5].oper</t>
  </si>
  <si>
    <t>fan[6].power</t>
  </si>
  <si>
    <t>fan[6].q</t>
  </si>
  <si>
    <t>fan[6].oper</t>
  </si>
  <si>
    <t>fan[7].power</t>
  </si>
  <si>
    <t>fan[7].q</t>
  </si>
  <si>
    <t>fan[7].oper</t>
  </si>
  <si>
    <t>fan[8].power</t>
  </si>
  <si>
    <t>fan[8].q</t>
  </si>
  <si>
    <t>fan[8].oper</t>
  </si>
  <si>
    <t>winShadingCoef</t>
  </si>
  <si>
    <t>ceilRval_heat</t>
  </si>
  <si>
    <t>ceilRval_cool</t>
  </si>
  <si>
    <t>latentLoad</t>
  </si>
  <si>
    <t>internalGains1</t>
  </si>
  <si>
    <t>atticVolume</t>
  </si>
  <si>
    <t>atticC</t>
  </si>
  <si>
    <t>atticPressureExp</t>
  </si>
  <si>
    <t>soffitFraction[0]</t>
  </si>
  <si>
    <t>soffitFraction[1]</t>
  </si>
  <si>
    <t>soffitFraction[2]</t>
  </si>
  <si>
    <t>soffitFraction[3]</t>
  </si>
  <si>
    <t>soffitFraction[4]</t>
  </si>
  <si>
    <t>soffit[0].h</t>
  </si>
  <si>
    <t>soffit[1].h</t>
  </si>
  <si>
    <t>soffit[2].h</t>
  </si>
  <si>
    <t>soffit[3].h</t>
  </si>
  <si>
    <t>numAtticVents</t>
  </si>
  <si>
    <t>roofPitch</t>
  </si>
  <si>
    <t>roofPeakOrient</t>
  </si>
  <si>
    <t>roofPeakHeight</t>
  </si>
  <si>
    <t>numAtticFans</t>
  </si>
  <si>
    <t>atticFan[i].power</t>
  </si>
  <si>
    <t>atticFan[i].q</t>
  </si>
  <si>
    <t>atticFan[i].oper</t>
  </si>
  <si>
    <t>roofRval</t>
  </si>
  <si>
    <t>roofType</t>
  </si>
  <si>
    <t>ductLocation</t>
  </si>
  <si>
    <t>supThickness</t>
  </si>
  <si>
    <t>retThickness</t>
  </si>
  <si>
    <t>supLength</t>
  </si>
  <si>
    <t>retLength</t>
  </si>
  <si>
    <t>supDiameter</t>
  </si>
  <si>
    <t>retDiameter</t>
  </si>
  <si>
    <t>qAH_cool0</t>
  </si>
  <si>
    <t>qAH_heat0</t>
  </si>
  <si>
    <t>hcapacity</t>
  </si>
  <si>
    <t>fanPower_heating0</t>
  </si>
  <si>
    <t>fanPower_cooling0</t>
  </si>
  <si>
    <t>numBedrooms</t>
  </si>
  <si>
    <t>numStories</t>
  </si>
  <si>
    <t>Number Bedrooms</t>
  </si>
  <si>
    <t>Number Occupants</t>
  </si>
  <si>
    <t>Paramater</t>
  </si>
  <si>
    <t>dhCapacity</t>
  </si>
  <si>
    <t>Set to 0 if no dehumidifier</t>
  </si>
  <si>
    <t>dhEnergyFactor</t>
  </si>
  <si>
    <t>dhSetPoint</t>
  </si>
  <si>
    <t>dhDeadBand</t>
  </si>
  <si>
    <t>defaults to 2.5%</t>
  </si>
  <si>
    <t>Dehumidifier capacity (pints/day)</t>
  </si>
  <si>
    <t>Dehumidifier energy factor (L/kWh)</t>
  </si>
  <si>
    <t>Dehumidifier set point (%RH)</t>
  </si>
  <si>
    <t>Dehumidifier dead band (+/-) (%RH)</t>
  </si>
  <si>
    <t>Parameter</t>
  </si>
  <si>
    <t>BUILDING</t>
  </si>
  <si>
    <t>AEQ</t>
  </si>
  <si>
    <t>FAN</t>
  </si>
  <si>
    <t>DEHUMIDIFIER</t>
  </si>
  <si>
    <t>fan 8 power, W</t>
  </si>
  <si>
    <t>fan 7 power, W</t>
  </si>
  <si>
    <t>Weather</t>
  </si>
  <si>
    <t>Total Files;</t>
  </si>
  <si>
    <t>Include Dehumidifier Model?</t>
  </si>
  <si>
    <t>Dehumidifier Inputs</t>
  </si>
  <si>
    <t>Yes</t>
  </si>
  <si>
    <t>Capacity (pints/day)</t>
  </si>
  <si>
    <t>Energy Factor (L/kWh)</t>
  </si>
  <si>
    <t>Set Point (% RH)</t>
  </si>
  <si>
    <t>Dead Band +/- (% RH)</t>
  </si>
  <si>
    <t>default is 2.5%</t>
  </si>
  <si>
    <t>Energy Star partner page</t>
  </si>
  <si>
    <t>https://www.energystar.gov/products/appliances/dehumidifiers/partners</t>
  </si>
  <si>
    <t>Energy Star Spec</t>
  </si>
  <si>
    <t>Product Capacity (Pints/Day)</t>
  </si>
  <si>
    <t>Energy Factor Under Test Conditions (L/kWh)</t>
  </si>
  <si>
    <t>&lt; 75</t>
  </si>
  <si>
    <t>75 - 185</t>
  </si>
  <si>
    <t>http://buildingscience.com/documents/bareports/ba-1310-supplemental-dehumidification-warm-humid-climates/view</t>
  </si>
  <si>
    <t>From BA-1310: Supplemental Dehumidification in Warm-Humid Climates, Table 2</t>
  </si>
  <si>
    <t>Set Point</t>
  </si>
  <si>
    <t>House Size (sqft)</t>
  </si>
  <si>
    <t>Internal moisture generation (lb/day)</t>
  </si>
  <si>
    <t>&lt; 2500</t>
  </si>
  <si>
    <t>&gt; 2500</t>
  </si>
  <si>
    <t>Moisture</t>
  </si>
  <si>
    <t>Dehumidifier</t>
  </si>
  <si>
    <t/>
  </si>
  <si>
    <t>dehumid</t>
  </si>
  <si>
    <t>End of File Mark</t>
  </si>
  <si>
    <t>E_O_F</t>
  </si>
  <si>
    <t>0 0 0</t>
  </si>
  <si>
    <t>REGCAP Input File Generation Sheet</t>
  </si>
  <si>
    <t>Version</t>
  </si>
  <si>
    <t>1.0.0</t>
  </si>
  <si>
    <t>Date</t>
  </si>
  <si>
    <t>Inputs</t>
  </si>
  <si>
    <t>InputFiles</t>
  </si>
  <si>
    <t>Instructions</t>
  </si>
  <si>
    <t>Log</t>
  </si>
  <si>
    <t>Who</t>
  </si>
  <si>
    <t>LIR</t>
  </si>
  <si>
    <t>House site info: R=in a row of houses on a street; I=isolated house</t>
  </si>
  <si>
    <t>Legend</t>
  </si>
  <si>
    <t>Manual Input</t>
  </si>
  <si>
    <t>Varies by Climate Zone</t>
  </si>
  <si>
    <r>
      <t>m</t>
    </r>
    <r>
      <rPr>
        <vertAlign val="superscript"/>
        <sz val="11"/>
        <rFont val="Calibri"/>
        <scheme val="minor"/>
      </rPr>
      <t>3</t>
    </r>
    <r>
      <rPr>
        <sz val="11"/>
        <rFont val="Calibri"/>
        <family val="2"/>
        <scheme val="minor"/>
      </rPr>
      <t>/sPa</t>
    </r>
    <r>
      <rPr>
        <vertAlign val="superscript"/>
        <sz val="11"/>
        <rFont val="Calibri"/>
        <scheme val="minor"/>
      </rPr>
      <t>n</t>
    </r>
  </si>
  <si>
    <t>endOfFile</t>
  </si>
  <si>
    <t>Parametrics, climate zone selection, batch file, create button</t>
  </si>
  <si>
    <t>All the REGCAP inputs, descriptions, and references. These are just for reference.</t>
  </si>
  <si>
    <t>Inputs by climate zone. This is what gets written to the input files.</t>
  </si>
  <si>
    <t>Building geometry inputs</t>
  </si>
  <si>
    <t>Air leakage inputs</t>
  </si>
  <si>
    <t>Combustion flue inputs</t>
  </si>
  <si>
    <t>Envelope UA calculations</t>
  </si>
  <si>
    <t>Exaust fan inputs</t>
  </si>
  <si>
    <t>Sensible and latent load inputs</t>
  </si>
  <si>
    <t>Attic ventilation inputs</t>
  </si>
  <si>
    <t>HVAC duct inputs</t>
  </si>
  <si>
    <t>HVAC</t>
  </si>
  <si>
    <t>Heating and cooling equipment inputs</t>
  </si>
  <si>
    <t>Weather file data</t>
  </si>
  <si>
    <t>Humidity control inputs</t>
  </si>
  <si>
    <t>Dehumidifier inputs</t>
  </si>
  <si>
    <t>2AO</t>
  </si>
  <si>
    <t>3AC</t>
  </si>
  <si>
    <r>
      <t>m3/sPa</t>
    </r>
    <r>
      <rPr>
        <vertAlign val="superscript"/>
        <sz val="11"/>
        <rFont val="Calibri"/>
      </rPr>
      <t>n</t>
    </r>
  </si>
  <si>
    <t>Same for all Climate Zones</t>
  </si>
  <si>
    <t>flue[0].flueC</t>
  </si>
  <si>
    <t>flue[1].flueC</t>
  </si>
  <si>
    <t>n_attic</t>
  </si>
  <si>
    <t>atticVent[0].wall</t>
  </si>
  <si>
    <t>atticVent[0].h</t>
  </si>
  <si>
    <t>atticVent[0].A</t>
  </si>
  <si>
    <t>atticVent[0].n</t>
  </si>
  <si>
    <t>atticVent[1].wall</t>
  </si>
  <si>
    <t>atticVent[1].h</t>
  </si>
  <si>
    <t>atticVent[1].A</t>
  </si>
  <si>
    <t>atticVent[1].n</t>
  </si>
  <si>
    <t>On the Parametrics tab select the options for each input by putting an 'x' in the box to the left</t>
  </si>
  <si>
    <t>Set the batch file name (the .bat extension will be added)</t>
  </si>
  <si>
    <t>On the Inputs tab check that all the inputs are correct</t>
  </si>
  <si>
    <t>Click on the Make Batch File button and select the folder into which to put the input files</t>
  </si>
  <si>
    <t>Initial version</t>
  </si>
  <si>
    <t>Flue 1</t>
  </si>
  <si>
    <t>Flue 2</t>
  </si>
  <si>
    <t>Deg F</t>
  </si>
  <si>
    <t>Flue Gas Temp</t>
  </si>
  <si>
    <t>Areas</t>
  </si>
  <si>
    <t>Humidity</t>
  </si>
  <si>
    <t>Capacity</t>
  </si>
  <si>
    <t>ELAeconomizer</t>
  </si>
  <si>
    <t>Ceconomizer</t>
  </si>
  <si>
    <t>Coriginal (envC)</t>
  </si>
  <si>
    <t>AL4 (atticC)</t>
  </si>
  <si>
    <t>AL4 (envC)</t>
  </si>
  <si>
    <t>AL4 (economizerC)</t>
  </si>
  <si>
    <t>ceilingCecon</t>
  </si>
  <si>
    <t>ceilingCoriginal</t>
  </si>
  <si>
    <t>pitched roof and soffit</t>
  </si>
  <si>
    <t>including roof surface vents) at 4 Pa is about 0.003m2/m2attic floor area (or ceiling area). 0.001 pitched roof and 0.002 soffit.</t>
  </si>
  <si>
    <t>No</t>
  </si>
  <si>
    <t>1.1.0</t>
  </si>
  <si>
    <t>Cover</t>
  </si>
  <si>
    <t>This</t>
  </si>
  <si>
    <t>BDL</t>
  </si>
  <si>
    <t>supLF</t>
  </si>
  <si>
    <t>retLF</t>
  </si>
  <si>
    <t>Supply leak fraction (decimal fraction)</t>
  </si>
  <si>
    <t>Return leakg fraction (decimal fraction)</t>
  </si>
  <si>
    <t>Return leak fraction (decimal fraction)</t>
  </si>
  <si>
    <t>Add dh param, set heat fan cfm at 80% of cooling cfm</t>
  </si>
  <si>
    <t>Fan_cool_raw</t>
  </si>
  <si>
    <t>Fan_heat_raw</t>
  </si>
  <si>
    <t>Raw_heat_normalized</t>
  </si>
  <si>
    <t>Cool Capacity</t>
  </si>
  <si>
    <t>Heat Capacity</t>
  </si>
  <si>
    <t>1.1.1</t>
  </si>
  <si>
    <t>Set sup and ret leak fraction to fraction only, change attic vent area calc</t>
  </si>
  <si>
    <t>Changed default leakage exponent (n) from 0.68 to 0.65, and changed calculation of leakage coefficient (C) to be ELA*1.050 (per Appendix C 62.2-2016)</t>
  </si>
  <si>
    <t>House Height, Stories</t>
  </si>
  <si>
    <t>TABLE C2 Shelter Factor,</t>
  </si>
  <si>
    <t>s</t>
  </si>
  <si>
    <t>No Flue</t>
  </si>
  <si>
    <t>Foundation</t>
  </si>
  <si>
    <t>With Flue</t>
  </si>
  <si>
    <t>Basement or slab on grade</t>
  </si>
  <si>
    <t>Crawlspace</t>
  </si>
  <si>
    <t>Table C1, Wind Speed Multiplier (G)</t>
  </si>
  <si>
    <t>G</t>
  </si>
  <si>
    <t>Flue?</t>
  </si>
  <si>
    <t>Cs</t>
  </si>
  <si>
    <r>
      <t xml:space="preserve">TABLE C3 (SI) Wind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w</t>
    </r>
  </si>
  <si>
    <r>
      <t xml:space="preserve">TABLE C4 (SI) Stack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s</t>
    </r>
  </si>
  <si>
    <t>envC</t>
  </si>
  <si>
    <t>Cw</t>
  </si>
  <si>
    <t>Wind speed multiplier</t>
  </si>
  <si>
    <t>Shelter factor</t>
  </si>
  <si>
    <t>Stack Coefficient</t>
  </si>
  <si>
    <t>Wind Coefficient</t>
  </si>
  <si>
    <t>Any</t>
  </si>
  <si>
    <t>Added InfiltrationModelCoefficients tab with Table values from ASHRAE 62.2-2016. Added input file variables G, s, Cs and Cw for use in the equivalence infiltration calculations.</t>
  </si>
  <si>
    <t>Aeq</t>
  </si>
  <si>
    <t>Total Ventilation Rate from 62.2-2016 (hr-1)</t>
  </si>
  <si>
    <t>InfCalc</t>
  </si>
  <si>
    <t>Infiltration Calculation Index</t>
  </si>
  <si>
    <t>0 = Annual infiltration, wInfil (Qinf, Eq 4.5 62.2-2016) OR 1 = Real Time Infiltration Calculation (62.2-2016 Smaller Time Step Method)</t>
  </si>
  <si>
    <t>Changed AeqCalc to the calculated Aeq value (Qtot (hr-1)), and also added an 'InfCalc' variable that tells the sub_infiltrationModel() to use annual wInfil or real-time infiltration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</si>
</sst>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(* #,##0.00_);_(* \(#,##0.00\);_(* &quot;-&quot;??_);_(@_)"/>
    <numFmt numFmtId="164" formatCode="0.000"/>
    <numFmt numFmtId="165" formatCode="0.0000"/>
    <numFmt numFmtId="166" formatCode="0.0"/>
    <numFmt numFmtId="167" formatCode="0.00000"/>
    <numFmt numFmtId="168" formatCode="#,##0.0000000"/>
    <numFmt numFmtId="169" formatCode="#,##0.0"/>
    <numFmt numFmtId="170" formatCode="0.000000"/>
    <numFmt numFmtId="171" formatCode="m/d/yyyy;@"/>
  </numFmts>
  <fonts count="71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u/>
      <sz val="11"/>
      <color indexed="12"/>
      <name val="Calibri"/>
      <family val="2"/>
    </font>
    <font>
      <sz val="11"/>
      <color indexed="9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i/>
      <sz val="11"/>
      <color indexed="8"/>
      <name val="Calibri"/>
      <family val="2"/>
    </font>
    <font>
      <sz val="10"/>
      <name val="Arial"/>
      <family val="2"/>
    </font>
    <font>
      <sz val="11"/>
      <name val="Calibri"/>
      <family val="2"/>
    </font>
    <font>
      <b/>
      <i/>
      <sz val="11"/>
      <color indexed="8"/>
      <name val="Calibri"/>
      <family val="2"/>
    </font>
    <font>
      <u/>
      <sz val="10"/>
      <color theme="10"/>
      <name val="Arial"/>
      <family val="2"/>
    </font>
    <font>
      <vertAlign val="superscript"/>
      <sz val="11"/>
      <color indexed="8"/>
      <name val="Calibri"/>
      <family val="2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vertAlign val="superscript"/>
      <sz val="11"/>
      <color indexed="8"/>
      <name val="Calibri"/>
      <family val="2"/>
    </font>
    <font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i/>
      <vertAlign val="superscript"/>
      <sz val="11"/>
      <color indexed="8"/>
      <name val="Calibri"/>
      <family val="2"/>
    </font>
    <font>
      <b/>
      <i/>
      <sz val="10"/>
      <color theme="1"/>
      <name val="Arial"/>
      <family val="2"/>
    </font>
    <font>
      <vertAlign val="superscript"/>
      <sz val="11"/>
      <color rgb="FF006100"/>
      <name val="Calibri"/>
      <family val="2"/>
      <scheme val="minor"/>
    </font>
    <font>
      <sz val="10"/>
      <color theme="1"/>
      <name val="Cambria"/>
      <family val="1"/>
    </font>
    <font>
      <sz val="12"/>
      <color theme="1"/>
      <name val="Cambria"/>
      <family val="1"/>
    </font>
    <font>
      <sz val="11"/>
      <color rgb="FF000000"/>
      <name val="Calibri"/>
      <family val="2"/>
    </font>
    <font>
      <vertAlign val="superscript"/>
      <sz val="12"/>
      <color theme="1"/>
      <name val="Cambria"/>
      <family val="1"/>
    </font>
    <font>
      <sz val="10"/>
      <color theme="1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indexed="8"/>
      <name val="Symbol"/>
      <family val="1"/>
      <charset val="2"/>
    </font>
    <font>
      <b/>
      <i/>
      <u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</font>
    <font>
      <sz val="13"/>
      <color theme="1"/>
      <name val="Arial"/>
    </font>
    <font>
      <b/>
      <sz val="12"/>
      <color indexed="8"/>
      <name val="Calibri"/>
    </font>
    <font>
      <b/>
      <sz val="11"/>
      <color rgb="FF0000FF"/>
      <name val="Calibri"/>
    </font>
    <font>
      <b/>
      <sz val="14"/>
      <color theme="1"/>
      <name val="Calibri"/>
      <scheme val="minor"/>
    </font>
    <font>
      <b/>
      <sz val="11"/>
      <name val="Calibri"/>
      <scheme val="minor"/>
    </font>
    <font>
      <b/>
      <sz val="11"/>
      <color rgb="FF0000FF"/>
      <name val="Calibri"/>
      <scheme val="minor"/>
    </font>
    <font>
      <sz val="11"/>
      <color rgb="FF0000FF"/>
      <name val="Calibri"/>
    </font>
    <font>
      <b/>
      <sz val="16"/>
      <color theme="1"/>
      <name val="Calibri"/>
      <scheme val="minor"/>
    </font>
    <font>
      <vertAlign val="superscript"/>
      <sz val="11"/>
      <name val="Calibri"/>
      <scheme val="minor"/>
    </font>
    <font>
      <vertAlign val="superscript"/>
      <sz val="11"/>
      <name val="Calibri"/>
    </font>
    <font>
      <sz val="8"/>
      <name val="Calibri"/>
      <family val="2"/>
      <scheme val="minor"/>
    </font>
    <font>
      <b/>
      <sz val="9"/>
      <name val="Times New Roman"/>
    </font>
    <font>
      <sz val="12"/>
      <name val="Times New Roman"/>
    </font>
    <font>
      <sz val="9"/>
      <name val="Times New Roman"/>
    </font>
    <font>
      <b/>
      <i/>
      <sz val="10"/>
      <name val="Arial"/>
      <family val="2"/>
    </font>
    <font>
      <b/>
      <sz val="8.5"/>
      <name val="Arial"/>
    </font>
    <font>
      <b/>
      <i/>
      <sz val="8.5"/>
      <name val="Arial"/>
    </font>
    <font>
      <b/>
      <i/>
      <sz val="6.5"/>
      <name val="Arial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indexed="42"/>
        <bgColor indexed="28"/>
      </patternFill>
    </fill>
    <fill>
      <patternFill patternType="solid">
        <fgColor indexed="41"/>
        <bgColor indexed="27"/>
      </patternFill>
    </fill>
    <fill>
      <patternFill patternType="solid">
        <fgColor indexed="37"/>
        <bgColor indexed="58"/>
      </patternFill>
    </fill>
    <fill>
      <patternFill patternType="solid">
        <fgColor indexed="39"/>
        <bgColor indexed="32"/>
      </patternFill>
    </fill>
    <fill>
      <patternFill patternType="solid">
        <fgColor indexed="58"/>
        <bgColor indexed="41"/>
      </patternFill>
    </fill>
    <fill>
      <patternFill patternType="solid">
        <fgColor indexed="27"/>
        <bgColor indexed="41"/>
      </patternFill>
    </fill>
    <fill>
      <patternFill patternType="solid">
        <fgColor indexed="18"/>
        <bgColor indexed="39"/>
      </patternFill>
    </fill>
    <fill>
      <patternFill patternType="solid">
        <fgColor indexed="36"/>
        <bgColor indexed="15"/>
      </patternFill>
    </fill>
    <fill>
      <patternFill patternType="solid">
        <fgColor indexed="14"/>
        <bgColor indexed="51"/>
      </patternFill>
    </fill>
    <fill>
      <patternFill patternType="solid">
        <fgColor indexed="28"/>
        <bgColor indexed="42"/>
      </patternFill>
    </fill>
    <fill>
      <patternFill patternType="solid">
        <fgColor indexed="22"/>
        <bgColor indexed="36"/>
      </patternFill>
    </fill>
    <fill>
      <patternFill patternType="solid">
        <fgColor indexed="15"/>
        <bgColor indexed="36"/>
      </patternFill>
    </fill>
    <fill>
      <patternFill patternType="solid">
        <fgColor indexed="13"/>
        <bgColor indexed="47"/>
      </patternFill>
    </fill>
    <fill>
      <patternFill patternType="solid">
        <fgColor indexed="40"/>
        <bgColor indexed="24"/>
      </patternFill>
    </fill>
    <fill>
      <patternFill patternType="solid">
        <fgColor indexed="45"/>
        <bgColor indexed="20"/>
      </patternFill>
    </fill>
    <fill>
      <patternFill patternType="solid">
        <fgColor indexed="34"/>
        <bgColor indexed="11"/>
      </patternFill>
    </fill>
    <fill>
      <patternFill patternType="solid">
        <fgColor indexed="46"/>
        <bgColor indexed="38"/>
      </patternFill>
    </fill>
    <fill>
      <patternFill patternType="solid">
        <fgColor indexed="44"/>
        <bgColor indexed="35"/>
      </patternFill>
    </fill>
    <fill>
      <patternFill patternType="solid">
        <fgColor indexed="51"/>
        <bgColor indexed="47"/>
      </patternFill>
    </fill>
    <fill>
      <patternFill patternType="solid">
        <fgColor indexed="57"/>
        <bgColor indexed="48"/>
      </patternFill>
    </fill>
    <fill>
      <patternFill patternType="solid">
        <fgColor indexed="61"/>
        <bgColor indexed="25"/>
      </patternFill>
    </fill>
    <fill>
      <patternFill patternType="solid">
        <fgColor indexed="50"/>
        <bgColor indexed="21"/>
      </patternFill>
    </fill>
    <fill>
      <patternFill patternType="solid">
        <fgColor indexed="60"/>
        <bgColor indexed="54"/>
      </patternFill>
    </fill>
    <fill>
      <patternFill patternType="solid">
        <fgColor indexed="49"/>
        <bgColor indexed="57"/>
      </patternFill>
    </fill>
    <fill>
      <patternFill patternType="solid">
        <fgColor indexed="29"/>
        <bgColor indexed="59"/>
      </patternFill>
    </fill>
    <fill>
      <patternFill patternType="solid">
        <fgColor indexed="33"/>
        <bgColor indexed="13"/>
      </patternFill>
    </fill>
    <fill>
      <patternFill patternType="solid">
        <fgColor indexed="32"/>
        <bgColor indexed="39"/>
      </patternFill>
    </fill>
    <fill>
      <patternFill patternType="solid">
        <fgColor indexed="38"/>
        <bgColor indexed="30"/>
      </patternFill>
    </fill>
    <fill>
      <patternFill patternType="solid">
        <fgColor indexed="47"/>
        <bgColor indexed="51"/>
      </patternFill>
    </fill>
    <fill>
      <patternFill patternType="solid">
        <fgColor indexed="43"/>
        <bgColor indexed="13"/>
      </patternFill>
    </fill>
    <fill>
      <patternFill patternType="solid">
        <fgColor indexed="26"/>
        <bgColor indexed="39"/>
      </patternFill>
    </fill>
    <fill>
      <patternFill patternType="solid">
        <fgColor indexed="9"/>
        <bgColor indexed="32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28"/>
      </patternFill>
    </fill>
    <fill>
      <patternFill patternType="solid">
        <fgColor theme="8" tint="0.59999389629810485"/>
        <bgColor indexed="28"/>
      </patternFill>
    </fill>
    <fill>
      <patternFill patternType="solid">
        <fgColor theme="6"/>
        <bgColor indexed="28"/>
      </patternFill>
    </fill>
  </fills>
  <borders count="4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8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7"/>
      </bottom>
      <diagonal/>
    </border>
    <border>
      <left/>
      <right/>
      <top/>
      <bottom style="thick">
        <color indexed="35"/>
      </bottom>
      <diagonal/>
    </border>
    <border>
      <left/>
      <right/>
      <top/>
      <bottom style="medium">
        <color indexed="40"/>
      </bottom>
      <diagonal/>
    </border>
    <border>
      <left/>
      <right/>
      <top/>
      <bottom style="double">
        <color indexed="52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7"/>
      </top>
      <bottom style="double">
        <color indexed="57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8"/>
      </top>
      <bottom/>
      <diagonal/>
    </border>
    <border>
      <left style="thin">
        <color indexed="31"/>
      </left>
      <right style="thin">
        <color auto="1"/>
      </right>
      <top style="thin">
        <color indexed="31"/>
      </top>
      <bottom style="thin">
        <color indexed="31"/>
      </bottom>
      <diagonal/>
    </border>
    <border>
      <left/>
      <right style="thin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</borders>
  <cellStyleXfs count="249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1" applyNumberFormat="0" applyAlignment="0" applyProtection="0"/>
    <xf numFmtId="0" fontId="4" fillId="0" borderId="0"/>
    <xf numFmtId="0" fontId="7" fillId="5" borderId="0"/>
    <xf numFmtId="0" fontId="8" fillId="0" borderId="0"/>
    <xf numFmtId="0" fontId="4" fillId="6" borderId="0"/>
    <xf numFmtId="0" fontId="4" fillId="7" borderId="0"/>
    <xf numFmtId="0" fontId="4" fillId="8" borderId="0"/>
    <xf numFmtId="0" fontId="4" fillId="9" borderId="0"/>
    <xf numFmtId="0" fontId="4" fillId="10" borderId="0"/>
    <xf numFmtId="0" fontId="4" fillId="11" borderId="0"/>
    <xf numFmtId="0" fontId="4" fillId="12" borderId="0"/>
    <xf numFmtId="0" fontId="4" fillId="13" borderId="0"/>
    <xf numFmtId="0" fontId="4" fillId="14" borderId="0"/>
    <xf numFmtId="0" fontId="4" fillId="15" borderId="0"/>
    <xf numFmtId="0" fontId="4" fillId="16" borderId="0"/>
    <xf numFmtId="0" fontId="4" fillId="17" borderId="0"/>
    <xf numFmtId="0" fontId="9" fillId="18" borderId="0"/>
    <xf numFmtId="0" fontId="9" fillId="19" borderId="0"/>
    <xf numFmtId="0" fontId="9" fillId="20" borderId="0"/>
    <xf numFmtId="0" fontId="9" fillId="21" borderId="0"/>
    <xf numFmtId="0" fontId="9" fillId="22" borderId="0"/>
    <xf numFmtId="0" fontId="9" fillId="23" borderId="0"/>
    <xf numFmtId="0" fontId="9" fillId="24" borderId="0"/>
    <xf numFmtId="0" fontId="9" fillId="25" borderId="0"/>
    <xf numFmtId="0" fontId="9" fillId="26" borderId="0"/>
    <xf numFmtId="0" fontId="9" fillId="27" borderId="0"/>
    <xf numFmtId="0" fontId="9" fillId="28" borderId="0"/>
    <xf numFmtId="0" fontId="9" fillId="29" borderId="0"/>
    <xf numFmtId="0" fontId="10" fillId="30" borderId="0"/>
    <xf numFmtId="0" fontId="11" fillId="31" borderId="3"/>
    <xf numFmtId="0" fontId="12" fillId="32" borderId="4"/>
    <xf numFmtId="0" fontId="13" fillId="0" borderId="0"/>
    <xf numFmtId="0" fontId="14" fillId="0" borderId="5"/>
    <xf numFmtId="0" fontId="15" fillId="0" borderId="6"/>
    <xf numFmtId="0" fontId="16" fillId="0" borderId="7"/>
    <xf numFmtId="0" fontId="16" fillId="0" borderId="0"/>
    <xf numFmtId="0" fontId="17" fillId="33" borderId="3"/>
    <xf numFmtId="0" fontId="18" fillId="0" borderId="8"/>
    <xf numFmtId="0" fontId="19" fillId="34" borderId="0"/>
    <xf numFmtId="0" fontId="4" fillId="35" borderId="9"/>
    <xf numFmtId="0" fontId="20" fillId="31" borderId="10"/>
    <xf numFmtId="0" fontId="21" fillId="0" borderId="0"/>
    <xf numFmtId="0" fontId="6" fillId="0" borderId="11"/>
    <xf numFmtId="0" fontId="22" fillId="0" borderId="0"/>
    <xf numFmtId="0" fontId="24" fillId="0" borderId="0"/>
    <xf numFmtId="9" fontId="24" fillId="0" borderId="0" applyFill="0" applyBorder="0" applyAlignment="0" applyProtection="0"/>
    <xf numFmtId="0" fontId="27" fillId="0" borderId="0" applyNumberFormat="0" applyFill="0" applyBorder="0" applyAlignment="0" applyProtection="0">
      <alignment vertical="top"/>
      <protection locked="0"/>
    </xf>
    <xf numFmtId="9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</cellStyleXfs>
  <cellXfs count="565">
    <xf numFmtId="0" fontId="0" fillId="0" borderId="0" xfId="0"/>
    <xf numFmtId="0" fontId="4" fillId="0" borderId="0" xfId="4" applyFont="1"/>
    <xf numFmtId="0" fontId="4" fillId="0" borderId="0" xfId="4" applyAlignment="1">
      <alignment horizontal="center"/>
    </xf>
    <xf numFmtId="0" fontId="5" fillId="0" borderId="0" xfId="4" applyFont="1"/>
    <xf numFmtId="0" fontId="6" fillId="0" borderId="0" xfId="4" applyFont="1"/>
    <xf numFmtId="0" fontId="4" fillId="0" borderId="0" xfId="4"/>
    <xf numFmtId="164" fontId="4" fillId="0" borderId="0" xfId="4" applyNumberFormat="1" applyAlignment="1">
      <alignment horizontal="right"/>
    </xf>
    <xf numFmtId="0" fontId="4" fillId="0" borderId="0" xfId="4" applyFont="1" applyAlignment="1">
      <alignment horizontal="center"/>
    </xf>
    <xf numFmtId="166" fontId="4" fillId="0" borderId="0" xfId="4" applyNumberFormat="1" applyAlignment="1">
      <alignment horizontal="right"/>
    </xf>
    <xf numFmtId="1" fontId="2" fillId="3" borderId="0" xfId="2" applyNumberFormat="1" applyAlignment="1">
      <alignment horizontal="right"/>
    </xf>
    <xf numFmtId="166" fontId="2" fillId="3" borderId="0" xfId="2" applyNumberFormat="1" applyAlignment="1">
      <alignment horizontal="right"/>
    </xf>
    <xf numFmtId="2" fontId="2" fillId="3" borderId="0" xfId="2" applyNumberFormat="1" applyAlignment="1">
      <alignment horizontal="right"/>
    </xf>
    <xf numFmtId="164" fontId="2" fillId="3" borderId="0" xfId="2" applyNumberFormat="1" applyAlignment="1">
      <alignment horizontal="right"/>
    </xf>
    <xf numFmtId="0" fontId="4" fillId="0" borderId="0" xfId="4" applyAlignment="1">
      <alignment horizontal="right"/>
    </xf>
    <xf numFmtId="0" fontId="23" fillId="0" borderId="0" xfId="4" applyFont="1"/>
    <xf numFmtId="166" fontId="4" fillId="0" borderId="0" xfId="4" applyNumberFormat="1"/>
    <xf numFmtId="1" fontId="4" fillId="0" borderId="0" xfId="4" applyNumberFormat="1"/>
    <xf numFmtId="2" fontId="4" fillId="0" borderId="0" xfId="4" applyNumberFormat="1"/>
    <xf numFmtId="166" fontId="4" fillId="0" borderId="0" xfId="4" applyNumberFormat="1" applyFont="1"/>
    <xf numFmtId="164" fontId="4" fillId="0" borderId="0" xfId="4" applyNumberFormat="1" applyFont="1"/>
    <xf numFmtId="0" fontId="4" fillId="0" borderId="0" xfId="4" applyFont="1" applyBorder="1"/>
    <xf numFmtId="0" fontId="25" fillId="0" borderId="0" xfId="47" applyFont="1"/>
    <xf numFmtId="165" fontId="4" fillId="0" borderId="0" xfId="4" applyNumberFormat="1" applyFont="1"/>
    <xf numFmtId="0" fontId="26" fillId="0" borderId="0" xfId="4" applyFont="1"/>
    <xf numFmtId="0" fontId="4" fillId="0" borderId="12" xfId="4" applyFont="1" applyBorder="1"/>
    <xf numFmtId="2" fontId="4" fillId="0" borderId="0" xfId="4" applyNumberFormat="1" applyFont="1"/>
    <xf numFmtId="164" fontId="25" fillId="0" borderId="0" xfId="47" applyNumberFormat="1" applyFont="1"/>
    <xf numFmtId="9" fontId="24" fillId="0" borderId="0" xfId="48" applyFont="1"/>
    <xf numFmtId="0" fontId="13" fillId="0" borderId="0" xfId="34" applyNumberFormat="1" applyFont="1" applyFill="1" applyBorder="1" applyAlignment="1" applyProtection="1"/>
    <xf numFmtId="164" fontId="4" fillId="0" borderId="0" xfId="4" applyNumberFormat="1"/>
    <xf numFmtId="165" fontId="4" fillId="0" borderId="0" xfId="4" applyNumberFormat="1"/>
    <xf numFmtId="0" fontId="24" fillId="0" borderId="0" xfId="47"/>
    <xf numFmtId="0" fontId="26" fillId="0" borderId="0" xfId="4" applyFont="1" applyAlignment="1">
      <alignment horizontal="left"/>
    </xf>
    <xf numFmtId="0" fontId="26" fillId="0" borderId="0" xfId="4" applyFont="1" applyAlignment="1">
      <alignment horizontal="center"/>
    </xf>
    <xf numFmtId="0" fontId="4" fillId="0" borderId="0" xfId="4" applyAlignment="1"/>
    <xf numFmtId="2" fontId="4" fillId="0" borderId="0" xfId="4" applyNumberFormat="1" applyAlignment="1"/>
    <xf numFmtId="1" fontId="4" fillId="0" borderId="0" xfId="4" applyNumberFormat="1" applyAlignment="1"/>
    <xf numFmtId="0" fontId="1" fillId="2" borderId="0" xfId="1" applyAlignment="1">
      <alignment horizontal="center"/>
    </xf>
    <xf numFmtId="1" fontId="1" fillId="2" borderId="0" xfId="1" applyNumberFormat="1" applyAlignment="1"/>
    <xf numFmtId="2" fontId="1" fillId="2" borderId="0" xfId="1" applyNumberFormat="1"/>
    <xf numFmtId="0" fontId="27" fillId="0" borderId="0" xfId="49" applyAlignment="1" applyProtection="1"/>
    <xf numFmtId="0" fontId="4" fillId="0" borderId="0" xfId="4" applyNumberFormat="1" applyAlignment="1">
      <alignment horizontal="center"/>
    </xf>
    <xf numFmtId="2" fontId="4" fillId="0" borderId="0" xfId="4" applyNumberFormat="1" applyAlignment="1">
      <alignment horizontal="center"/>
    </xf>
    <xf numFmtId="166" fontId="4" fillId="0" borderId="0" xfId="4" applyNumberFormat="1" applyAlignment="1">
      <alignment horizontal="center"/>
    </xf>
    <xf numFmtId="2" fontId="4" fillId="0" borderId="0" xfId="4" applyNumberFormat="1" applyFont="1" applyAlignment="1">
      <alignment horizontal="center"/>
    </xf>
    <xf numFmtId="0" fontId="23" fillId="0" borderId="0" xfId="4" applyFont="1" applyAlignment="1">
      <alignment horizontal="center"/>
    </xf>
    <xf numFmtId="0" fontId="7" fillId="5" borderId="0" xfId="5" applyNumberFormat="1" applyBorder="1" applyAlignment="1" applyProtection="1">
      <alignment horizontal="center"/>
    </xf>
    <xf numFmtId="9" fontId="7" fillId="5" borderId="0" xfId="5" applyNumberFormat="1" applyBorder="1" applyAlignment="1" applyProtection="1">
      <alignment horizontal="center"/>
    </xf>
    <xf numFmtId="166" fontId="7" fillId="5" borderId="0" xfId="5" applyNumberFormat="1" applyBorder="1" applyAlignment="1" applyProtection="1">
      <alignment horizontal="center"/>
    </xf>
    <xf numFmtId="166" fontId="4" fillId="0" borderId="0" xfId="4" applyNumberFormat="1" applyFont="1" applyAlignment="1">
      <alignment horizontal="center"/>
    </xf>
    <xf numFmtId="0" fontId="4" fillId="0" borderId="2" xfId="4" applyFont="1" applyBorder="1" applyAlignment="1">
      <alignment horizontal="center"/>
    </xf>
    <xf numFmtId="0" fontId="4" fillId="0" borderId="0" xfId="4" applyFont="1" applyBorder="1" applyAlignment="1">
      <alignment horizontal="center"/>
    </xf>
    <xf numFmtId="0" fontId="4" fillId="0" borderId="0" xfId="4" applyFont="1" applyFill="1" applyBorder="1" applyAlignment="1">
      <alignment horizontal="center"/>
    </xf>
    <xf numFmtId="0" fontId="13" fillId="0" borderId="2" xfId="34" applyNumberFormat="1" applyFill="1" applyBorder="1" applyAlignment="1" applyProtection="1">
      <alignment horizontal="center"/>
    </xf>
    <xf numFmtId="0" fontId="13" fillId="0" borderId="0" xfId="34" applyNumberFormat="1" applyFill="1" applyBorder="1" applyAlignment="1" applyProtection="1">
      <alignment horizontal="center"/>
    </xf>
    <xf numFmtId="166" fontId="4" fillId="0" borderId="2" xfId="4" applyNumberFormat="1" applyFont="1" applyBorder="1" applyAlignment="1">
      <alignment horizontal="center"/>
    </xf>
    <xf numFmtId="0" fontId="4" fillId="0" borderId="2" xfId="4" applyBorder="1" applyAlignment="1">
      <alignment horizontal="center"/>
    </xf>
    <xf numFmtId="0" fontId="4" fillId="0" borderId="0" xfId="4" applyFont="1" applyAlignment="1">
      <alignment horizontal="left"/>
    </xf>
    <xf numFmtId="0" fontId="1" fillId="2" borderId="0" xfId="1"/>
    <xf numFmtId="9" fontId="4" fillId="0" borderId="0" xfId="4" applyNumberFormat="1"/>
    <xf numFmtId="0" fontId="4" fillId="0" borderId="0" xfId="4" applyFill="1"/>
    <xf numFmtId="167" fontId="4" fillId="0" borderId="0" xfId="4" applyNumberFormat="1" applyFill="1"/>
    <xf numFmtId="2" fontId="4" fillId="0" borderId="0" xfId="4" applyNumberFormat="1" applyFill="1"/>
    <xf numFmtId="164" fontId="4" fillId="0" borderId="0" xfId="4" applyNumberFormat="1" applyFill="1"/>
    <xf numFmtId="1" fontId="4" fillId="0" borderId="0" xfId="4" applyNumberFormat="1" applyFill="1"/>
    <xf numFmtId="0" fontId="29" fillId="0" borderId="0" xfId="47" applyFont="1"/>
    <xf numFmtId="0" fontId="30" fillId="0" borderId="0" xfId="47" applyFont="1"/>
    <xf numFmtId="0" fontId="6" fillId="0" borderId="0" xfId="4" applyFont="1" applyAlignment="1">
      <alignment horizontal="left"/>
    </xf>
    <xf numFmtId="9" fontId="4" fillId="0" borderId="0" xfId="50" applyFont="1"/>
    <xf numFmtId="0" fontId="0" fillId="0" borderId="0" xfId="0" applyAlignment="1">
      <alignment horizontal="left"/>
    </xf>
    <xf numFmtId="0" fontId="4" fillId="37" borderId="0" xfId="4" applyFill="1"/>
    <xf numFmtId="0" fontId="4" fillId="37" borderId="0" xfId="4" applyFont="1" applyFill="1"/>
    <xf numFmtId="0" fontId="4" fillId="0" borderId="0" xfId="4" applyFont="1" applyFill="1"/>
    <xf numFmtId="0" fontId="6" fillId="37" borderId="0" xfId="4" applyFont="1" applyFill="1"/>
    <xf numFmtId="0" fontId="23" fillId="37" borderId="0" xfId="4" applyFont="1" applyFill="1"/>
    <xf numFmtId="0" fontId="4" fillId="39" borderId="0" xfId="4" applyFont="1" applyFill="1"/>
    <xf numFmtId="1" fontId="4" fillId="39" borderId="0" xfId="4" applyNumberFormat="1" applyFont="1" applyFill="1"/>
    <xf numFmtId="164" fontId="4" fillId="39" borderId="0" xfId="4" applyNumberFormat="1" applyFont="1" applyFill="1"/>
    <xf numFmtId="0" fontId="4" fillId="39" borderId="0" xfId="4" quotePrefix="1" applyFont="1" applyFill="1"/>
    <xf numFmtId="166" fontId="4" fillId="39" borderId="0" xfId="4" applyNumberFormat="1" applyFont="1" applyFill="1"/>
    <xf numFmtId="0" fontId="26" fillId="0" borderId="13" xfId="4" applyFont="1" applyBorder="1" applyAlignment="1"/>
    <xf numFmtId="0" fontId="26" fillId="0" borderId="13" xfId="4" applyFont="1" applyBorder="1" applyAlignment="1">
      <alignment horizontal="center"/>
    </xf>
    <xf numFmtId="0" fontId="26" fillId="0" borderId="15" xfId="4" applyFont="1" applyBorder="1" applyAlignment="1">
      <alignment horizontal="center"/>
    </xf>
    <xf numFmtId="0" fontId="4" fillId="0" borderId="14" xfId="4" applyBorder="1" applyAlignment="1">
      <alignment horizontal="center"/>
    </xf>
    <xf numFmtId="0" fontId="4" fillId="0" borderId="14" xfId="4" applyFont="1" applyBorder="1" applyAlignment="1">
      <alignment horizontal="center"/>
    </xf>
    <xf numFmtId="0" fontId="1" fillId="2" borderId="14" xfId="1" applyFont="1" applyBorder="1" applyAlignment="1">
      <alignment horizontal="center"/>
    </xf>
    <xf numFmtId="0" fontId="1" fillId="2" borderId="14" xfId="1" applyBorder="1" applyAlignment="1">
      <alignment horizontal="center"/>
    </xf>
    <xf numFmtId="0" fontId="4" fillId="0" borderId="0" xfId="4" applyBorder="1"/>
    <xf numFmtId="166" fontId="4" fillId="0" borderId="14" xfId="4" applyNumberFormat="1" applyBorder="1"/>
    <xf numFmtId="0" fontId="4" fillId="0" borderId="15" xfId="4" applyBorder="1"/>
    <xf numFmtId="0" fontId="26" fillId="0" borderId="22" xfId="4" applyFont="1" applyBorder="1"/>
    <xf numFmtId="0" fontId="26" fillId="0" borderId="23" xfId="4" applyFont="1" applyBorder="1"/>
    <xf numFmtId="0" fontId="26" fillId="0" borderId="16" xfId="4" applyFont="1" applyBorder="1"/>
    <xf numFmtId="0" fontId="4" fillId="0" borderId="24" xfId="4" applyBorder="1"/>
    <xf numFmtId="0" fontId="4" fillId="0" borderId="14" xfId="4" applyBorder="1"/>
    <xf numFmtId="0" fontId="4" fillId="0" borderId="19" xfId="4" applyBorder="1" applyAlignment="1">
      <alignment horizontal="center"/>
    </xf>
    <xf numFmtId="0" fontId="26" fillId="0" borderId="22" xfId="4" applyFont="1" applyBorder="1" applyAlignment="1">
      <alignment horizontal="center"/>
    </xf>
    <xf numFmtId="0" fontId="26" fillId="0" borderId="14" xfId="4" applyFont="1" applyBorder="1"/>
    <xf numFmtId="0" fontId="4" fillId="0" borderId="26" xfId="4" applyFont="1" applyBorder="1"/>
    <xf numFmtId="0" fontId="13" fillId="0" borderId="14" xfId="34" applyNumberFormat="1" applyFont="1" applyFill="1" applyBorder="1" applyAlignment="1" applyProtection="1"/>
    <xf numFmtId="0" fontId="4" fillId="0" borderId="14" xfId="4" applyFont="1" applyBorder="1"/>
    <xf numFmtId="0" fontId="13" fillId="0" borderId="26" xfId="34" applyNumberFormat="1" applyFont="1" applyFill="1" applyBorder="1" applyAlignment="1" applyProtection="1"/>
    <xf numFmtId="0" fontId="4" fillId="36" borderId="27" xfId="4" applyFont="1" applyFill="1" applyBorder="1" applyAlignment="1">
      <alignment horizontal="left"/>
    </xf>
    <xf numFmtId="0" fontId="27" fillId="0" borderId="0" xfId="49" applyNumberFormat="1" applyFill="1" applyBorder="1" applyAlignment="1" applyProtection="1">
      <alignment horizontal="center"/>
    </xf>
    <xf numFmtId="0" fontId="4" fillId="0" borderId="13" xfId="4" applyBorder="1"/>
    <xf numFmtId="0" fontId="4" fillId="37" borderId="14" xfId="4" applyFill="1" applyBorder="1" applyAlignment="1">
      <alignment horizontal="center"/>
    </xf>
    <xf numFmtId="0" fontId="4" fillId="37" borderId="14" xfId="4" applyFill="1" applyBorder="1"/>
    <xf numFmtId="0" fontId="6" fillId="0" borderId="15" xfId="4" applyFont="1" applyBorder="1"/>
    <xf numFmtId="0" fontId="26" fillId="0" borderId="15" xfId="4" applyFont="1" applyBorder="1"/>
    <xf numFmtId="0" fontId="26" fillId="0" borderId="13" xfId="4" applyFont="1" applyBorder="1"/>
    <xf numFmtId="0" fontId="26" fillId="37" borderId="15" xfId="4" applyFont="1" applyFill="1" applyBorder="1"/>
    <xf numFmtId="0" fontId="26" fillId="37" borderId="13" xfId="4" applyFont="1" applyFill="1" applyBorder="1"/>
    <xf numFmtId="0" fontId="4" fillId="0" borderId="19" xfId="4" applyBorder="1"/>
    <xf numFmtId="0" fontId="1" fillId="2" borderId="14" xfId="1" applyBorder="1"/>
    <xf numFmtId="0" fontId="4" fillId="0" borderId="18" xfId="4" applyBorder="1"/>
    <xf numFmtId="0" fontId="6" fillId="0" borderId="17" xfId="4" applyFont="1" applyBorder="1"/>
    <xf numFmtId="0" fontId="6" fillId="0" borderId="19" xfId="4" applyFont="1" applyBorder="1"/>
    <xf numFmtId="0" fontId="6" fillId="0" borderId="18" xfId="4" applyFont="1" applyBorder="1"/>
    <xf numFmtId="0" fontId="6" fillId="0" borderId="20" xfId="4" applyFont="1" applyBorder="1"/>
    <xf numFmtId="0" fontId="6" fillId="0" borderId="14" xfId="4" applyFont="1" applyBorder="1"/>
    <xf numFmtId="0" fontId="6" fillId="0" borderId="0" xfId="4" applyFont="1" applyBorder="1"/>
    <xf numFmtId="0" fontId="6" fillId="0" borderId="21" xfId="4" applyFont="1" applyBorder="1"/>
    <xf numFmtId="0" fontId="23" fillId="0" borderId="14" xfId="4" applyFont="1" applyBorder="1"/>
    <xf numFmtId="0" fontId="4" fillId="0" borderId="15" xfId="4" applyFont="1" applyBorder="1"/>
    <xf numFmtId="0" fontId="4" fillId="0" borderId="13" xfId="4" applyFont="1" applyBorder="1"/>
    <xf numFmtId="0" fontId="4" fillId="0" borderId="14" xfId="4" applyFont="1" applyFill="1" applyBorder="1"/>
    <xf numFmtId="0" fontId="4" fillId="37" borderId="14" xfId="4" applyFont="1" applyFill="1" applyBorder="1"/>
    <xf numFmtId="0" fontId="4" fillId="39" borderId="14" xfId="4" applyFont="1" applyFill="1" applyBorder="1"/>
    <xf numFmtId="0" fontId="4" fillId="0" borderId="28" xfId="4" applyFont="1" applyBorder="1"/>
    <xf numFmtId="49" fontId="4" fillId="0" borderId="14" xfId="4" applyNumberFormat="1" applyFont="1" applyBorder="1" applyAlignment="1"/>
    <xf numFmtId="0" fontId="4" fillId="39" borderId="13" xfId="4" applyFont="1" applyFill="1" applyBorder="1"/>
    <xf numFmtId="0" fontId="26" fillId="39" borderId="15" xfId="4" quotePrefix="1" applyFont="1" applyFill="1" applyBorder="1"/>
    <xf numFmtId="0" fontId="0" fillId="39" borderId="14" xfId="0" applyFill="1" applyBorder="1"/>
    <xf numFmtId="0" fontId="4" fillId="0" borderId="0" xfId="4" applyBorder="1" applyAlignment="1">
      <alignment horizontal="center"/>
    </xf>
    <xf numFmtId="0" fontId="4" fillId="0" borderId="13" xfId="4" applyFill="1" applyBorder="1"/>
    <xf numFmtId="0" fontId="4" fillId="0" borderId="0" xfId="4" applyFill="1" applyBorder="1"/>
    <xf numFmtId="0" fontId="4" fillId="0" borderId="0" xfId="4"/>
    <xf numFmtId="166" fontId="4" fillId="0" borderId="0" xfId="4" applyNumberFormat="1"/>
    <xf numFmtId="0" fontId="0" fillId="0" borderId="0" xfId="0"/>
    <xf numFmtId="0" fontId="4" fillId="0" borderId="0" xfId="4"/>
    <xf numFmtId="0" fontId="6" fillId="0" borderId="0" xfId="4" applyFont="1"/>
    <xf numFmtId="0" fontId="23" fillId="0" borderId="0" xfId="4" applyFont="1"/>
    <xf numFmtId="0" fontId="27" fillId="0" borderId="0" xfId="49" applyAlignment="1" applyProtection="1"/>
    <xf numFmtId="0" fontId="23" fillId="0" borderId="0" xfId="4" applyFont="1"/>
    <xf numFmtId="1" fontId="4" fillId="0" borderId="0" xfId="4" applyNumberFormat="1" applyAlignment="1">
      <alignment horizontal="right"/>
    </xf>
    <xf numFmtId="0" fontId="4" fillId="0" borderId="14" xfId="4" applyFill="1" applyBorder="1"/>
    <xf numFmtId="0" fontId="36" fillId="0" borderId="24" xfId="0" applyFont="1" applyBorder="1" applyAlignment="1">
      <alignment horizontal="center" vertical="center" wrapText="1"/>
    </xf>
    <xf numFmtId="2" fontId="4" fillId="0" borderId="0" xfId="4" applyNumberFormat="1" applyFont="1" applyBorder="1"/>
    <xf numFmtId="0" fontId="4" fillId="0" borderId="16" xfId="4" applyBorder="1" applyAlignment="1">
      <alignment horizontal="center"/>
    </xf>
    <xf numFmtId="0" fontId="4" fillId="0" borderId="16" xfId="4" applyBorder="1"/>
    <xf numFmtId="0" fontId="41" fillId="0" borderId="0" xfId="0" applyFont="1"/>
    <xf numFmtId="0" fontId="45" fillId="0" borderId="0" xfId="0" quotePrefix="1" applyFont="1" applyBorder="1" applyAlignment="1">
      <alignment horizontal="left" vertical="center"/>
    </xf>
    <xf numFmtId="0" fontId="43" fillId="0" borderId="19" xfId="0" applyFont="1" applyBorder="1" applyAlignment="1">
      <alignment horizontal="center" vertical="center" wrapText="1"/>
    </xf>
    <xf numFmtId="0" fontId="43" fillId="0" borderId="14" xfId="0" applyFont="1" applyBorder="1" applyAlignment="1">
      <alignment horizontal="center" vertical="center" wrapText="1"/>
    </xf>
    <xf numFmtId="0" fontId="43" fillId="0" borderId="20" xfId="0" applyFont="1" applyBorder="1" applyAlignment="1">
      <alignment horizontal="center" vertical="center" wrapText="1"/>
    </xf>
    <xf numFmtId="0" fontId="43" fillId="0" borderId="21" xfId="0" applyFont="1" applyBorder="1" applyAlignment="1">
      <alignment horizontal="center" vertical="center" wrapText="1"/>
    </xf>
    <xf numFmtId="0" fontId="43" fillId="0" borderId="15" xfId="0" applyFont="1" applyBorder="1" applyAlignment="1">
      <alignment horizontal="center" vertical="center" wrapText="1"/>
    </xf>
    <xf numFmtId="0" fontId="43" fillId="0" borderId="29" xfId="0" applyFont="1" applyBorder="1" applyAlignment="1">
      <alignment horizontal="center" vertical="center" wrapText="1"/>
    </xf>
    <xf numFmtId="0" fontId="43" fillId="0" borderId="25" xfId="0" applyFont="1" applyBorder="1" applyAlignment="1">
      <alignment horizontal="center" vertical="center" wrapText="1"/>
    </xf>
    <xf numFmtId="0" fontId="43" fillId="0" borderId="24" xfId="0" applyFont="1" applyBorder="1" applyAlignment="1">
      <alignment horizontal="center" vertical="center" wrapText="1"/>
    </xf>
    <xf numFmtId="0" fontId="43" fillId="0" borderId="21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6" fillId="0" borderId="13" xfId="4" applyFont="1" applyBorder="1" applyAlignment="1">
      <alignment horizontal="left" vertical="center"/>
    </xf>
    <xf numFmtId="0" fontId="26" fillId="0" borderId="13" xfId="4" applyFont="1" applyBorder="1" applyAlignment="1">
      <alignment horizontal="center" vertical="center"/>
    </xf>
    <xf numFmtId="0" fontId="23" fillId="0" borderId="0" xfId="4" applyFont="1" applyAlignment="1">
      <alignment horizontal="left" vertical="center"/>
    </xf>
    <xf numFmtId="166" fontId="4" fillId="0" borderId="16" xfId="4" applyNumberFormat="1" applyBorder="1"/>
    <xf numFmtId="0" fontId="4" fillId="0" borderId="0" xfId="4" applyAlignment="1">
      <alignment horizontal="left" vertical="center"/>
    </xf>
    <xf numFmtId="0" fontId="4" fillId="0" borderId="19" xfId="4" applyBorder="1" applyAlignment="1">
      <alignment horizontal="left" vertical="center"/>
    </xf>
    <xf numFmtId="166" fontId="4" fillId="0" borderId="18" xfId="4" applyNumberFormat="1" applyBorder="1" applyAlignment="1">
      <alignment horizontal="center"/>
    </xf>
    <xf numFmtId="2" fontId="4" fillId="0" borderId="0" xfId="4" applyNumberFormat="1" applyAlignment="1">
      <alignment horizontal="right"/>
    </xf>
    <xf numFmtId="0" fontId="4" fillId="0" borderId="0" xfId="4" applyAlignment="1">
      <alignment horizontal="left"/>
    </xf>
    <xf numFmtId="166" fontId="4" fillId="0" borderId="14" xfId="4" applyNumberFormat="1" applyBorder="1" applyAlignment="1">
      <alignment horizontal="center"/>
    </xf>
    <xf numFmtId="0" fontId="26" fillId="0" borderId="0" xfId="4" applyFont="1" applyBorder="1" applyAlignment="1">
      <alignment horizontal="center"/>
    </xf>
    <xf numFmtId="0" fontId="4" fillId="0" borderId="13" xfId="4" applyBorder="1" applyAlignment="1">
      <alignment horizontal="left"/>
    </xf>
    <xf numFmtId="0" fontId="4" fillId="0" borderId="15" xfId="4" applyBorder="1" applyAlignment="1">
      <alignment horizontal="center"/>
    </xf>
    <xf numFmtId="166" fontId="4" fillId="0" borderId="19" xfId="4" applyNumberFormat="1" applyBorder="1" applyAlignment="1">
      <alignment horizontal="center"/>
    </xf>
    <xf numFmtId="3" fontId="4" fillId="0" borderId="0" xfId="4" applyNumberFormat="1" applyAlignment="1">
      <alignment horizontal="right"/>
    </xf>
    <xf numFmtId="0" fontId="4" fillId="0" borderId="25" xfId="4" applyFill="1" applyBorder="1"/>
    <xf numFmtId="0" fontId="4" fillId="0" borderId="24" xfId="4" applyFill="1" applyBorder="1"/>
    <xf numFmtId="0" fontId="4" fillId="0" borderId="0" xfId="4" applyFill="1" applyAlignment="1">
      <alignment horizontal="right"/>
    </xf>
    <xf numFmtId="166" fontId="4" fillId="0" borderId="0" xfId="4" applyNumberFormat="1" applyFill="1"/>
    <xf numFmtId="0" fontId="26" fillId="0" borderId="15" xfId="4" quotePrefix="1" applyFont="1" applyBorder="1" applyAlignment="1">
      <alignment horizontal="center"/>
    </xf>
    <xf numFmtId="2" fontId="4" fillId="38" borderId="0" xfId="4" applyNumberFormat="1" applyFill="1" applyAlignment="1">
      <alignment horizontal="right"/>
    </xf>
    <xf numFmtId="0" fontId="0" fillId="0" borderId="0" xfId="0" applyFont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quotePrefix="1"/>
    <xf numFmtId="0" fontId="0" fillId="0" borderId="14" xfId="0" applyBorder="1"/>
    <xf numFmtId="0" fontId="46" fillId="0" borderId="0" xfId="0" applyFont="1"/>
    <xf numFmtId="0" fontId="46" fillId="0" borderId="14" xfId="0" applyFont="1" applyBorder="1"/>
    <xf numFmtId="0" fontId="46" fillId="0" borderId="13" xfId="0" applyFont="1" applyBorder="1"/>
    <xf numFmtId="0" fontId="46" fillId="0" borderId="15" xfId="0" applyFont="1" applyBorder="1"/>
    <xf numFmtId="0" fontId="46" fillId="0" borderId="13" xfId="0" applyFont="1" applyBorder="1" applyAlignment="1">
      <alignment horizontal="center"/>
    </xf>
    <xf numFmtId="0" fontId="46" fillId="0" borderId="15" xfId="0" applyFont="1" applyBorder="1" applyAlignment="1">
      <alignment horizontal="center"/>
    </xf>
    <xf numFmtId="0" fontId="46" fillId="0" borderId="0" xfId="0" applyFont="1" applyBorder="1"/>
    <xf numFmtId="2" fontId="4" fillId="0" borderId="14" xfId="4" applyNumberFormat="1" applyBorder="1"/>
    <xf numFmtId="0" fontId="46" fillId="0" borderId="15" xfId="0" applyFont="1" applyBorder="1" applyAlignment="1">
      <alignment horizontal="left"/>
    </xf>
    <xf numFmtId="169" fontId="0" fillId="0" borderId="0" xfId="0" applyNumberFormat="1"/>
    <xf numFmtId="169" fontId="0" fillId="0" borderId="14" xfId="0" applyNumberFormat="1" applyBorder="1"/>
    <xf numFmtId="0" fontId="26" fillId="0" borderId="13" xfId="4" applyFont="1" applyBorder="1" applyAlignment="1">
      <alignment horizontal="left"/>
    </xf>
    <xf numFmtId="0" fontId="23" fillId="0" borderId="0" xfId="4" applyFont="1" applyAlignment="1">
      <alignment horizontal="left"/>
    </xf>
    <xf numFmtId="2" fontId="4" fillId="0" borderId="13" xfId="4" applyNumberFormat="1" applyBorder="1"/>
    <xf numFmtId="0" fontId="26" fillId="0" borderId="21" xfId="4" applyFont="1" applyBorder="1"/>
    <xf numFmtId="0" fontId="46" fillId="0" borderId="24" xfId="0" applyFont="1" applyBorder="1"/>
    <xf numFmtId="0" fontId="46" fillId="0" borderId="25" xfId="0" applyFont="1" applyBorder="1" applyAlignment="1">
      <alignment horizontal="center"/>
    </xf>
    <xf numFmtId="0" fontId="4" fillId="0" borderId="24" xfId="4" applyFont="1" applyBorder="1"/>
    <xf numFmtId="0" fontId="4" fillId="0" borderId="25" xfId="4" applyFont="1" applyBorder="1"/>
    <xf numFmtId="2" fontId="0" fillId="0" borderId="0" xfId="0" applyNumberFormat="1"/>
    <xf numFmtId="0" fontId="48" fillId="0" borderId="0" xfId="0" applyFont="1"/>
    <xf numFmtId="0" fontId="46" fillId="0" borderId="14" xfId="0" quotePrefix="1" applyFont="1" applyBorder="1"/>
    <xf numFmtId="2" fontId="0" fillId="0" borderId="0" xfId="0" applyNumberFormat="1" applyAlignment="1">
      <alignment horizontal="center"/>
    </xf>
    <xf numFmtId="0" fontId="46" fillId="0" borderId="0" xfId="0" applyFont="1" applyFill="1" applyBorder="1"/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1" fontId="4" fillId="0" borderId="13" xfId="4" applyNumberFormat="1" applyBorder="1" applyAlignment="1">
      <alignment horizontal="right"/>
    </xf>
    <xf numFmtId="164" fontId="4" fillId="0" borderId="0" xfId="4" applyNumberFormat="1" applyBorder="1" applyAlignment="1">
      <alignment horizontal="right"/>
    </xf>
    <xf numFmtId="0" fontId="48" fillId="0" borderId="0" xfId="0" applyFont="1" applyFill="1" applyBorder="1"/>
    <xf numFmtId="166" fontId="4" fillId="0" borderId="20" xfId="4" applyNumberFormat="1" applyFont="1" applyBorder="1" applyAlignment="1">
      <alignment horizontal="center"/>
    </xf>
    <xf numFmtId="167" fontId="4" fillId="0" borderId="0" xfId="4" applyNumberFormat="1" applyAlignment="1">
      <alignment horizontal="right"/>
    </xf>
    <xf numFmtId="166" fontId="4" fillId="0" borderId="18" xfId="4" applyNumberFormat="1" applyBorder="1" applyAlignment="1">
      <alignment horizontal="right"/>
    </xf>
    <xf numFmtId="0" fontId="4" fillId="37" borderId="0" xfId="4" applyFont="1" applyFill="1" applyAlignment="1">
      <alignment horizontal="center"/>
    </xf>
    <xf numFmtId="1" fontId="4" fillId="0" borderId="2" xfId="4" applyNumberFormat="1" applyFont="1" applyBorder="1" applyAlignment="1">
      <alignment horizontal="center"/>
    </xf>
    <xf numFmtId="166" fontId="4" fillId="37" borderId="0" xfId="4" applyNumberFormat="1" applyFont="1" applyFill="1" applyAlignment="1">
      <alignment horizontal="center"/>
    </xf>
    <xf numFmtId="3" fontId="4" fillId="0" borderId="0" xfId="4" applyNumberFormat="1" applyFont="1" applyAlignment="1">
      <alignment horizontal="center"/>
    </xf>
    <xf numFmtId="166" fontId="4" fillId="0" borderId="0" xfId="4" applyNumberFormat="1" applyFont="1" applyFill="1"/>
    <xf numFmtId="165" fontId="4" fillId="0" borderId="0" xfId="4" applyNumberFormat="1" applyAlignment="1">
      <alignment horizontal="right"/>
    </xf>
    <xf numFmtId="165" fontId="4" fillId="0" borderId="0" xfId="4" applyNumberFormat="1" applyFont="1" applyBorder="1" applyAlignment="1">
      <alignment horizontal="center"/>
    </xf>
    <xf numFmtId="0" fontId="4" fillId="0" borderId="0" xfId="4" applyFont="1" applyAlignment="1">
      <alignment horizontal="center"/>
    </xf>
    <xf numFmtId="0" fontId="23" fillId="0" borderId="0" xfId="4" applyFont="1" applyAlignment="1">
      <alignment horizontal="center"/>
    </xf>
    <xf numFmtId="0" fontId="4" fillId="0" borderId="14" xfId="4" applyBorder="1"/>
    <xf numFmtId="165" fontId="4" fillId="0" borderId="0" xfId="4" applyNumberFormat="1" applyFont="1" applyAlignment="1">
      <alignment horizontal="center"/>
    </xf>
    <xf numFmtId="166" fontId="4" fillId="0" borderId="0" xfId="4" applyNumberFormat="1" applyFont="1" applyAlignment="1">
      <alignment horizontal="center"/>
    </xf>
    <xf numFmtId="0" fontId="26" fillId="0" borderId="13" xfId="4" applyFont="1" applyBorder="1" applyAlignment="1">
      <alignment horizontal="center"/>
    </xf>
    <xf numFmtId="165" fontId="4" fillId="37" borderId="0" xfId="4" applyNumberFormat="1" applyFont="1" applyFill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0" xfId="4" applyFont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4" fillId="0" borderId="0" xfId="4" applyAlignment="1">
      <alignment horizontal="center"/>
    </xf>
    <xf numFmtId="0" fontId="4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22" xfId="4" applyFont="1" applyBorder="1" applyAlignment="1">
      <alignment horizontal="center"/>
    </xf>
    <xf numFmtId="165" fontId="4" fillId="37" borderId="0" xfId="4" applyNumberFormat="1" applyFont="1" applyFill="1" applyBorder="1" applyAlignment="1">
      <alignment horizontal="center"/>
    </xf>
    <xf numFmtId="1" fontId="4" fillId="0" borderId="18" xfId="4" applyNumberFormat="1" applyBorder="1" applyAlignment="1">
      <alignment horizontal="right"/>
    </xf>
    <xf numFmtId="0" fontId="26" fillId="37" borderId="13" xfId="4" applyFont="1" applyFill="1" applyBorder="1" applyAlignment="1"/>
    <xf numFmtId="0" fontId="4" fillId="37" borderId="0" xfId="4" applyFill="1" applyAlignment="1"/>
    <xf numFmtId="1" fontId="4" fillId="37" borderId="0" xfId="4" applyNumberFormat="1" applyFill="1" applyAlignment="1">
      <alignment horizontal="right"/>
    </xf>
    <xf numFmtId="1" fontId="4" fillId="37" borderId="0" xfId="4" applyNumberFormat="1" applyFill="1" applyAlignment="1"/>
    <xf numFmtId="1" fontId="1" fillId="37" borderId="0" xfId="1" applyNumberFormat="1" applyFill="1" applyAlignment="1"/>
    <xf numFmtId="0" fontId="4" fillId="37" borderId="0" xfId="4" applyFill="1" applyAlignment="1">
      <alignment horizontal="center"/>
    </xf>
    <xf numFmtId="0" fontId="4" fillId="37" borderId="0" xfId="4" applyFill="1" applyAlignment="1">
      <alignment horizontal="right"/>
    </xf>
    <xf numFmtId="2" fontId="1" fillId="37" borderId="0" xfId="1" applyNumberFormat="1" applyFill="1" applyAlignment="1">
      <alignment horizontal="right"/>
    </xf>
    <xf numFmtId="0" fontId="26" fillId="37" borderId="13" xfId="4" applyFont="1" applyFill="1" applyBorder="1" applyAlignment="1">
      <alignment horizontal="center"/>
    </xf>
    <xf numFmtId="2" fontId="4" fillId="37" borderId="0" xfId="4" applyNumberFormat="1" applyFill="1" applyAlignment="1">
      <alignment horizontal="right"/>
    </xf>
    <xf numFmtId="0" fontId="0" fillId="37" borderId="0" xfId="0" applyFill="1" applyAlignment="1">
      <alignment horizontal="right"/>
    </xf>
    <xf numFmtId="166" fontId="4" fillId="37" borderId="0" xfId="4" applyNumberFormat="1" applyFill="1" applyAlignment="1">
      <alignment horizontal="right"/>
    </xf>
    <xf numFmtId="166" fontId="4" fillId="37" borderId="13" xfId="4" applyNumberFormat="1" applyFill="1" applyBorder="1" applyAlignment="1">
      <alignment horizontal="right"/>
    </xf>
    <xf numFmtId="0" fontId="0" fillId="37" borderId="0" xfId="0" applyFill="1" applyBorder="1"/>
    <xf numFmtId="3" fontId="4" fillId="37" borderId="0" xfId="4" applyNumberFormat="1" applyFill="1" applyAlignment="1">
      <alignment horizontal="right"/>
    </xf>
    <xf numFmtId="2" fontId="4" fillId="0" borderId="0" xfId="4" applyNumberFormat="1" applyFill="1" applyAlignment="1">
      <alignment horizontal="right"/>
    </xf>
    <xf numFmtId="0" fontId="0" fillId="0" borderId="0" xfId="0" applyFill="1" applyBorder="1"/>
    <xf numFmtId="166" fontId="4" fillId="0" borderId="0" xfId="4" applyNumberFormat="1" applyFill="1" applyAlignment="1">
      <alignment horizontal="right"/>
    </xf>
    <xf numFmtId="0" fontId="0" fillId="0" borderId="0" xfId="0" applyBorder="1" applyAlignment="1">
      <alignment horizontal="center"/>
    </xf>
    <xf numFmtId="0" fontId="26" fillId="0" borderId="13" xfId="4" applyFont="1" applyFill="1" applyBorder="1" applyAlignment="1"/>
    <xf numFmtId="1" fontId="4" fillId="0" borderId="0" xfId="4" applyNumberFormat="1" applyFill="1" applyAlignment="1">
      <alignment horizontal="right"/>
    </xf>
    <xf numFmtId="0" fontId="26" fillId="0" borderId="0" xfId="4" applyFont="1" applyFill="1" applyAlignment="1">
      <alignment horizontal="left"/>
    </xf>
    <xf numFmtId="0" fontId="0" fillId="0" borderId="0" xfId="0" applyFill="1" applyAlignment="1">
      <alignment horizontal="right"/>
    </xf>
    <xf numFmtId="166" fontId="4" fillId="0" borderId="13" xfId="4" applyNumberFormat="1" applyFill="1" applyBorder="1" applyAlignment="1">
      <alignment horizontal="right"/>
    </xf>
    <xf numFmtId="3" fontId="4" fillId="0" borderId="0" xfId="4" applyNumberFormat="1" applyFill="1" applyAlignment="1">
      <alignment horizontal="right"/>
    </xf>
    <xf numFmtId="1" fontId="4" fillId="0" borderId="0" xfId="4" applyNumberFormat="1" applyFill="1" applyAlignment="1"/>
    <xf numFmtId="0" fontId="4" fillId="0" borderId="0" xfId="4" applyAlignment="1"/>
    <xf numFmtId="166" fontId="4" fillId="0" borderId="0" xfId="4" applyNumberFormat="1" applyAlignment="1"/>
    <xf numFmtId="0" fontId="4" fillId="0" borderId="0" xfId="4" applyAlignment="1">
      <alignment horizontal="right"/>
    </xf>
    <xf numFmtId="166" fontId="4" fillId="0" borderId="0" xfId="4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/>
    <xf numFmtId="166" fontId="4" fillId="0" borderId="13" xfId="4" applyNumberFormat="1" applyBorder="1" applyAlignment="1">
      <alignment horizontal="right"/>
    </xf>
    <xf numFmtId="166" fontId="0" fillId="0" borderId="0" xfId="0" applyNumberFormat="1" applyAlignment="1">
      <alignment horizontal="right"/>
    </xf>
    <xf numFmtId="0" fontId="23" fillId="0" borderId="0" xfId="4" applyFont="1" applyFill="1"/>
    <xf numFmtId="169" fontId="0" fillId="0" borderId="17" xfId="0" applyNumberFormat="1" applyBorder="1"/>
    <xf numFmtId="166" fontId="4" fillId="0" borderId="0" xfId="4" applyNumberFormat="1" applyFill="1" applyBorder="1"/>
    <xf numFmtId="0" fontId="4" fillId="0" borderId="0" xfId="4" applyFill="1" applyAlignment="1"/>
    <xf numFmtId="0" fontId="0" fillId="0" borderId="0" xfId="0"/>
    <xf numFmtId="0" fontId="4" fillId="0" borderId="0" xfId="4" applyFill="1"/>
    <xf numFmtId="1" fontId="4" fillId="0" borderId="0" xfId="4" applyNumberFormat="1" applyFill="1"/>
    <xf numFmtId="0" fontId="4" fillId="0" borderId="0" xfId="4" applyFill="1" applyBorder="1"/>
    <xf numFmtId="166" fontId="4" fillId="0" borderId="0" xfId="4" applyNumberFormat="1" applyFill="1"/>
    <xf numFmtId="0" fontId="0" fillId="0" borderId="0" xfId="0"/>
    <xf numFmtId="0" fontId="4" fillId="0" borderId="0" xfId="4"/>
    <xf numFmtId="20" fontId="4" fillId="0" borderId="0" xfId="4" applyNumberFormat="1" applyFont="1"/>
    <xf numFmtId="1" fontId="4" fillId="0" borderId="0" xfId="4" applyNumberFormat="1"/>
    <xf numFmtId="1" fontId="1" fillId="2" borderId="0" xfId="1" applyNumberFormat="1" applyAlignment="1"/>
    <xf numFmtId="2" fontId="1" fillId="2" borderId="0" xfId="1" applyNumberFormat="1"/>
    <xf numFmtId="166" fontId="4" fillId="0" borderId="0" xfId="4" applyNumberFormat="1" applyFont="1" applyAlignment="1">
      <alignment horizontal="center"/>
    </xf>
    <xf numFmtId="0" fontId="26" fillId="0" borderId="13" xfId="4" applyFont="1" applyBorder="1" applyAlignment="1"/>
    <xf numFmtId="0" fontId="26" fillId="0" borderId="13" xfId="4" applyFont="1" applyBorder="1" applyAlignment="1">
      <alignment horizontal="center"/>
    </xf>
    <xf numFmtId="2" fontId="1" fillId="2" borderId="0" xfId="1" applyNumberFormat="1" applyAlignment="1">
      <alignment horizontal="right"/>
    </xf>
    <xf numFmtId="0" fontId="4" fillId="0" borderId="0" xfId="4" applyFill="1" applyAlignment="1">
      <alignment horizontal="center"/>
    </xf>
    <xf numFmtId="0" fontId="0" fillId="0" borderId="14" xfId="0" applyBorder="1" applyAlignment="1">
      <alignment horizontal="center"/>
    </xf>
    <xf numFmtId="169" fontId="0" fillId="0" borderId="0" xfId="0" applyNumberFormat="1"/>
    <xf numFmtId="169" fontId="0" fillId="0" borderId="14" xfId="0" applyNumberFormat="1" applyBorder="1" applyAlignment="1">
      <alignment horizontal="center"/>
    </xf>
    <xf numFmtId="169" fontId="0" fillId="0" borderId="14" xfId="0" quotePrefix="1" applyNumberFormat="1" applyBorder="1" applyAlignment="1">
      <alignment horizontal="center"/>
    </xf>
    <xf numFmtId="0" fontId="4" fillId="0" borderId="0" xfId="4"/>
    <xf numFmtId="0" fontId="26" fillId="0" borderId="13" xfId="4" applyFont="1" applyBorder="1" applyAlignment="1"/>
    <xf numFmtId="0" fontId="4" fillId="0" borderId="24" xfId="4" applyBorder="1"/>
    <xf numFmtId="0" fontId="46" fillId="0" borderId="15" xfId="0" applyFont="1" applyBorder="1"/>
    <xf numFmtId="169" fontId="0" fillId="0" borderId="0" xfId="0" applyNumberFormat="1"/>
    <xf numFmtId="169" fontId="0" fillId="0" borderId="14" xfId="0" applyNumberFormat="1" applyBorder="1"/>
    <xf numFmtId="169" fontId="0" fillId="0" borderId="14" xfId="0" applyNumberFormat="1" applyBorder="1" applyAlignment="1">
      <alignment horizontal="center"/>
    </xf>
    <xf numFmtId="166" fontId="4" fillId="0" borderId="0" xfId="4" applyNumberFormat="1"/>
    <xf numFmtId="0" fontId="4" fillId="0" borderId="0" xfId="4" applyFill="1"/>
    <xf numFmtId="0" fontId="26" fillId="0" borderId="13" xfId="4" applyFont="1" applyBorder="1" applyAlignment="1"/>
    <xf numFmtId="166" fontId="4" fillId="0" borderId="14" xfId="4" applyNumberFormat="1" applyBorder="1"/>
    <xf numFmtId="0" fontId="46" fillId="0" borderId="14" xfId="0" applyFont="1" applyBorder="1"/>
    <xf numFmtId="169" fontId="0" fillId="0" borderId="0" xfId="0" applyNumberFormat="1"/>
    <xf numFmtId="2" fontId="0" fillId="0" borderId="0" xfId="0" applyNumberFormat="1" applyAlignment="1">
      <alignment horizontal="center"/>
    </xf>
    <xf numFmtId="2" fontId="29" fillId="0" borderId="0" xfId="1" applyNumberFormat="1" applyFont="1" applyFill="1"/>
    <xf numFmtId="1" fontId="4" fillId="0" borderId="0" xfId="4" applyNumberFormat="1" applyFill="1" applyBorder="1"/>
    <xf numFmtId="2" fontId="4" fillId="0" borderId="0" xfId="4" applyNumberFormat="1" applyBorder="1" applyAlignment="1">
      <alignment horizontal="right"/>
    </xf>
    <xf numFmtId="1" fontId="2" fillId="40" borderId="0" xfId="2" applyNumberFormat="1" applyFill="1" applyAlignment="1">
      <alignment horizontal="right"/>
    </xf>
    <xf numFmtId="1" fontId="2" fillId="41" borderId="0" xfId="2" applyNumberFormat="1" applyFill="1" applyAlignment="1">
      <alignment horizontal="right"/>
    </xf>
    <xf numFmtId="2" fontId="2" fillId="41" borderId="0" xfId="2" applyNumberFormat="1" applyFill="1" applyAlignment="1">
      <alignment horizontal="right"/>
    </xf>
    <xf numFmtId="2" fontId="2" fillId="40" borderId="0" xfId="2" applyNumberFormat="1" applyFill="1" applyAlignment="1">
      <alignment horizontal="right"/>
    </xf>
    <xf numFmtId="0" fontId="0" fillId="42" borderId="0" xfId="0" applyFill="1"/>
    <xf numFmtId="0" fontId="4" fillId="42" borderId="0" xfId="4" applyFill="1"/>
    <xf numFmtId="166" fontId="4" fillId="42" borderId="0" xfId="4" applyNumberFormat="1" applyFill="1"/>
    <xf numFmtId="1" fontId="4" fillId="42" borderId="0" xfId="4" applyNumberFormat="1" applyFill="1"/>
    <xf numFmtId="0" fontId="0" fillId="0" borderId="0" xfId="0" applyFill="1"/>
    <xf numFmtId="16" fontId="4" fillId="0" borderId="0" xfId="4" applyNumberFormat="1" applyAlignment="1">
      <alignment horizontal="center"/>
    </xf>
    <xf numFmtId="0" fontId="6" fillId="0" borderId="0" xfId="4" applyFont="1" applyAlignment="1">
      <alignment horizontal="center"/>
    </xf>
    <xf numFmtId="0" fontId="36" fillId="0" borderId="0" xfId="0" applyFont="1"/>
    <xf numFmtId="164" fontId="4" fillId="0" borderId="0" xfId="4" applyNumberFormat="1" applyAlignment="1">
      <alignment horizontal="center"/>
    </xf>
    <xf numFmtId="0" fontId="49" fillId="0" borderId="0" xfId="0" applyFont="1"/>
    <xf numFmtId="43" fontId="4" fillId="0" borderId="0" xfId="51" applyFont="1"/>
    <xf numFmtId="166" fontId="4" fillId="43" borderId="0" xfId="4" applyNumberFormat="1" applyFill="1"/>
    <xf numFmtId="0" fontId="0" fillId="37" borderId="0" xfId="0" applyFill="1"/>
    <xf numFmtId="0" fontId="50" fillId="0" borderId="0" xfId="0" applyFont="1"/>
    <xf numFmtId="0" fontId="6" fillId="37" borderId="0" xfId="4" applyFont="1" applyFill="1" applyAlignment="1">
      <alignment horizontal="left"/>
    </xf>
    <xf numFmtId="0" fontId="0" fillId="0" borderId="0" xfId="0" applyNumberFormat="1" applyFill="1" applyBorder="1"/>
    <xf numFmtId="0" fontId="0" fillId="0" borderId="14" xfId="0" applyFill="1" applyBorder="1"/>
    <xf numFmtId="49" fontId="0" fillId="0" borderId="0" xfId="0" applyNumberFormat="1" applyAlignment="1">
      <alignment horizontal="left"/>
    </xf>
    <xf numFmtId="0" fontId="4" fillId="37" borderId="0" xfId="4" applyFont="1" applyFill="1" applyBorder="1"/>
    <xf numFmtId="0" fontId="4" fillId="43" borderId="0" xfId="4" applyFont="1" applyFill="1"/>
    <xf numFmtId="166" fontId="4" fillId="43" borderId="0" xfId="4" applyNumberFormat="1" applyFont="1" applyFill="1"/>
    <xf numFmtId="0" fontId="4" fillId="43" borderId="0" xfId="4" applyFont="1" applyFill="1" applyAlignment="1">
      <alignment horizontal="center"/>
    </xf>
    <xf numFmtId="164" fontId="4" fillId="0" borderId="0" xfId="4" applyNumberFormat="1" applyFont="1" applyAlignment="1">
      <alignment horizontal="center"/>
    </xf>
    <xf numFmtId="2" fontId="4" fillId="43" borderId="0" xfId="4" applyNumberFormat="1" applyFill="1"/>
    <xf numFmtId="0" fontId="32" fillId="0" borderId="0" xfId="0" applyFont="1"/>
    <xf numFmtId="0" fontId="26" fillId="0" borderId="0" xfId="4" applyFont="1" applyFill="1" applyBorder="1" applyAlignment="1"/>
    <xf numFmtId="3" fontId="52" fillId="0" borderId="0" xfId="4" applyNumberFormat="1" applyFont="1"/>
    <xf numFmtId="0" fontId="0" fillId="0" borderId="0" xfId="0" applyFont="1" applyFill="1" applyBorder="1"/>
    <xf numFmtId="170" fontId="0" fillId="0" borderId="0" xfId="0" applyNumberFormat="1"/>
    <xf numFmtId="0" fontId="23" fillId="43" borderId="0" xfId="4" applyFont="1" applyFill="1" applyAlignment="1">
      <alignment horizontal="center"/>
    </xf>
    <xf numFmtId="164" fontId="4" fillId="43" borderId="0" xfId="4" applyNumberFormat="1" applyFont="1" applyFill="1" applyAlignment="1">
      <alignment horizontal="center"/>
    </xf>
    <xf numFmtId="166" fontId="4" fillId="43" borderId="0" xfId="4" applyNumberFormat="1" applyFont="1" applyFill="1" applyAlignment="1">
      <alignment horizontal="center"/>
    </xf>
    <xf numFmtId="0" fontId="53" fillId="0" borderId="0" xfId="0" applyFont="1"/>
    <xf numFmtId="0" fontId="25" fillId="42" borderId="0" xfId="4" applyFont="1" applyFill="1" applyAlignment="1">
      <alignment horizontal="center"/>
    </xf>
    <xf numFmtId="0" fontId="25" fillId="42" borderId="14" xfId="4" applyFont="1" applyFill="1" applyBorder="1" applyAlignment="1">
      <alignment horizontal="center"/>
    </xf>
    <xf numFmtId="1" fontId="25" fillId="42" borderId="0" xfId="4" applyNumberFormat="1" applyFont="1" applyFill="1" applyAlignment="1"/>
    <xf numFmtId="0" fontId="1" fillId="0" borderId="0" xfId="1" applyFill="1" applyAlignment="1">
      <alignment horizontal="center"/>
    </xf>
    <xf numFmtId="0" fontId="1" fillId="0" borderId="14" xfId="1" applyFont="1" applyFill="1" applyBorder="1" applyAlignment="1">
      <alignment horizontal="center"/>
    </xf>
    <xf numFmtId="1" fontId="1" fillId="0" borderId="0" xfId="1" applyNumberFormat="1" applyFill="1" applyAlignment="1"/>
    <xf numFmtId="0" fontId="4" fillId="0" borderId="33" xfId="4" applyFont="1" applyBorder="1"/>
    <xf numFmtId="0" fontId="4" fillId="0" borderId="34" xfId="4" applyFont="1" applyBorder="1"/>
    <xf numFmtId="0" fontId="4" fillId="0" borderId="35" xfId="4" applyFont="1" applyBorder="1"/>
    <xf numFmtId="0" fontId="4" fillId="0" borderId="37" xfId="4" applyFont="1" applyBorder="1"/>
    <xf numFmtId="0" fontId="4" fillId="0" borderId="33" xfId="4" applyBorder="1" applyAlignment="1">
      <alignment horizontal="right"/>
    </xf>
    <xf numFmtId="0" fontId="4" fillId="0" borderId="35" xfId="4" applyBorder="1" applyAlignment="1">
      <alignment horizontal="right"/>
    </xf>
    <xf numFmtId="0" fontId="0" fillId="44" borderId="31" xfId="0" applyFill="1" applyBorder="1"/>
    <xf numFmtId="0" fontId="55" fillId="44" borderId="32" xfId="4" applyFont="1" applyFill="1" applyBorder="1"/>
    <xf numFmtId="0" fontId="4" fillId="0" borderId="38" xfId="4" applyFont="1" applyBorder="1"/>
    <xf numFmtId="0" fontId="56" fillId="0" borderId="0" xfId="0" applyFont="1"/>
    <xf numFmtId="0" fontId="54" fillId="44" borderId="30" xfId="4" applyFont="1" applyFill="1" applyBorder="1"/>
    <xf numFmtId="0" fontId="6" fillId="0" borderId="40" xfId="4" applyFont="1" applyBorder="1"/>
    <xf numFmtId="0" fontId="57" fillId="0" borderId="41" xfId="3" applyFont="1" applyFill="1" applyBorder="1"/>
    <xf numFmtId="0" fontId="58" fillId="0" borderId="16" xfId="0" applyFont="1" applyBorder="1"/>
    <xf numFmtId="0" fontId="58" fillId="0" borderId="36" xfId="0" applyFont="1" applyBorder="1"/>
    <xf numFmtId="0" fontId="55" fillId="0" borderId="16" xfId="4" applyNumberFormat="1" applyFont="1" applyBorder="1" applyAlignment="1">
      <alignment horizontal="left"/>
    </xf>
    <xf numFmtId="0" fontId="55" fillId="0" borderId="16" xfId="4" applyFont="1" applyBorder="1" applyAlignment="1">
      <alignment horizontal="left"/>
    </xf>
    <xf numFmtId="0" fontId="32" fillId="0" borderId="39" xfId="0" applyFont="1" applyBorder="1"/>
    <xf numFmtId="0" fontId="0" fillId="0" borderId="33" xfId="0" applyBorder="1"/>
    <xf numFmtId="0" fontId="0" fillId="0" borderId="35" xfId="0" applyBorder="1"/>
    <xf numFmtId="0" fontId="55" fillId="0" borderId="16" xfId="4" applyFont="1" applyBorder="1"/>
    <xf numFmtId="0" fontId="59" fillId="0" borderId="16" xfId="0" applyFont="1" applyBorder="1"/>
    <xf numFmtId="0" fontId="59" fillId="0" borderId="36" xfId="0" applyFont="1" applyBorder="1"/>
    <xf numFmtId="0" fontId="39" fillId="0" borderId="42" xfId="0" applyFont="1" applyBorder="1" applyAlignment="1">
      <alignment vertical="center" wrapText="1"/>
    </xf>
    <xf numFmtId="0" fontId="39" fillId="0" borderId="44" xfId="0" applyFont="1" applyBorder="1" applyAlignment="1">
      <alignment vertical="center" wrapText="1"/>
    </xf>
    <xf numFmtId="0" fontId="39" fillId="0" borderId="43" xfId="0" applyFont="1" applyBorder="1" applyAlignment="1">
      <alignment vertical="center" wrapText="1"/>
    </xf>
    <xf numFmtId="0" fontId="36" fillId="0" borderId="45" xfId="0" applyFont="1" applyBorder="1" applyAlignment="1">
      <alignment vertical="center" wrapText="1"/>
    </xf>
    <xf numFmtId="0" fontId="36" fillId="0" borderId="34" xfId="0" applyFont="1" applyBorder="1" applyAlignment="1">
      <alignment vertical="center" wrapText="1"/>
    </xf>
    <xf numFmtId="0" fontId="36" fillId="0" borderId="46" xfId="0" applyFont="1" applyBorder="1" applyAlignment="1">
      <alignment vertical="center" wrapText="1"/>
    </xf>
    <xf numFmtId="0" fontId="36" fillId="0" borderId="47" xfId="0" applyFont="1" applyBorder="1" applyAlignment="1">
      <alignment vertical="center" wrapText="1"/>
    </xf>
    <xf numFmtId="0" fontId="36" fillId="0" borderId="37" xfId="0" applyFont="1" applyBorder="1" applyAlignment="1">
      <alignment vertical="center" wrapText="1"/>
    </xf>
    <xf numFmtId="0" fontId="4" fillId="44" borderId="32" xfId="4" applyFill="1" applyBorder="1"/>
    <xf numFmtId="0" fontId="4" fillId="0" borderId="45" xfId="4" applyFont="1" applyBorder="1"/>
    <xf numFmtId="0" fontId="4" fillId="0" borderId="46" xfId="4" applyFont="1" applyBorder="1"/>
    <xf numFmtId="0" fontId="25" fillId="42" borderId="0" xfId="5" applyNumberFormat="1" applyFont="1" applyFill="1" applyBorder="1" applyAlignment="1" applyProtection="1">
      <alignment horizontal="right"/>
    </xf>
    <xf numFmtId="1" fontId="4" fillId="42" borderId="0" xfId="4" applyNumberFormat="1" applyFill="1" applyBorder="1" applyAlignment="1">
      <alignment horizontal="right"/>
    </xf>
    <xf numFmtId="170" fontId="4" fillId="0" borderId="0" xfId="4" applyNumberFormat="1" applyAlignment="1">
      <alignment horizontal="right"/>
    </xf>
    <xf numFmtId="164" fontId="4" fillId="0" borderId="18" xfId="4" applyNumberFormat="1" applyBorder="1" applyAlignment="1">
      <alignment horizontal="right"/>
    </xf>
    <xf numFmtId="0" fontId="4" fillId="42" borderId="0" xfId="4" applyFill="1" applyAlignment="1">
      <alignment horizontal="right"/>
    </xf>
    <xf numFmtId="0" fontId="55" fillId="0" borderId="16" xfId="4" applyFont="1" applyBorder="1" applyAlignment="1">
      <alignment horizontal="right"/>
    </xf>
    <xf numFmtId="2" fontId="55" fillId="0" borderId="16" xfId="4" applyNumberFormat="1" applyFont="1" applyBorder="1" applyAlignment="1">
      <alignment horizontal="right"/>
    </xf>
    <xf numFmtId="1" fontId="4" fillId="43" borderId="0" xfId="4" applyNumberFormat="1" applyFill="1"/>
    <xf numFmtId="0" fontId="5" fillId="0" borderId="0" xfId="4" applyFont="1" applyFill="1"/>
    <xf numFmtId="0" fontId="0" fillId="0" borderId="13" xfId="0" applyBorder="1"/>
    <xf numFmtId="0" fontId="55" fillId="0" borderId="25" xfId="4" applyFont="1" applyBorder="1" applyAlignment="1">
      <alignment horizontal="right"/>
    </xf>
    <xf numFmtId="0" fontId="5" fillId="0" borderId="13" xfId="4" applyFont="1" applyBorder="1"/>
    <xf numFmtId="166" fontId="55" fillId="0" borderId="25" xfId="4" applyNumberFormat="1" applyFont="1" applyBorder="1" applyAlignment="1">
      <alignment horizontal="right"/>
    </xf>
    <xf numFmtId="0" fontId="0" fillId="46" borderId="0" xfId="0" applyFill="1"/>
    <xf numFmtId="0" fontId="0" fillId="40" borderId="0" xfId="0" applyFill="1"/>
    <xf numFmtId="164" fontId="7" fillId="47" borderId="0" xfId="5" applyNumberFormat="1" applyFill="1" applyBorder="1" applyAlignment="1" applyProtection="1">
      <alignment horizontal="right"/>
    </xf>
    <xf numFmtId="0" fontId="7" fillId="48" borderId="0" xfId="5" applyNumberFormat="1" applyFill="1" applyBorder="1" applyAlignment="1" applyProtection="1">
      <alignment horizontal="right"/>
    </xf>
    <xf numFmtId="0" fontId="7" fillId="48" borderId="13" xfId="5" applyNumberFormat="1" applyFill="1" applyBorder="1" applyAlignment="1" applyProtection="1">
      <alignment horizontal="right"/>
    </xf>
    <xf numFmtId="2" fontId="7" fillId="48" borderId="0" xfId="5" applyNumberFormat="1" applyFill="1" applyBorder="1" applyAlignment="1" applyProtection="1">
      <alignment horizontal="right"/>
    </xf>
    <xf numFmtId="2" fontId="7" fillId="48" borderId="13" xfId="5" applyNumberFormat="1" applyFill="1" applyBorder="1" applyAlignment="1" applyProtection="1">
      <alignment horizontal="right"/>
    </xf>
    <xf numFmtId="166" fontId="7" fillId="48" borderId="0" xfId="5" applyNumberFormat="1" applyFill="1" applyBorder="1" applyAlignment="1" applyProtection="1">
      <alignment horizontal="right"/>
    </xf>
    <xf numFmtId="1" fontId="7" fillId="47" borderId="0" xfId="5" applyNumberFormat="1" applyFill="1" applyBorder="1" applyAlignment="1" applyProtection="1">
      <alignment horizontal="right"/>
    </xf>
    <xf numFmtId="1" fontId="7" fillId="47" borderId="13" xfId="5" applyNumberFormat="1" applyFill="1" applyBorder="1" applyAlignment="1" applyProtection="1">
      <alignment horizontal="right"/>
    </xf>
    <xf numFmtId="2" fontId="7" fillId="47" borderId="18" xfId="5" applyNumberFormat="1" applyFill="1" applyBorder="1" applyAlignment="1" applyProtection="1">
      <alignment horizontal="right"/>
    </xf>
    <xf numFmtId="164" fontId="7" fillId="48" borderId="0" xfId="5" applyNumberFormat="1" applyFill="1" applyBorder="1" applyAlignment="1" applyProtection="1">
      <alignment horizontal="right"/>
    </xf>
    <xf numFmtId="1" fontId="7" fillId="48" borderId="0" xfId="5" applyNumberFormat="1" applyFill="1" applyBorder="1" applyAlignment="1" applyProtection="1">
      <alignment horizontal="right"/>
    </xf>
    <xf numFmtId="167" fontId="7" fillId="48" borderId="0" xfId="5" applyNumberFormat="1" applyFill="1" applyBorder="1" applyAlignment="1" applyProtection="1">
      <alignment horizontal="right"/>
    </xf>
    <xf numFmtId="166" fontId="7" fillId="48" borderId="13" xfId="5" applyNumberFormat="1" applyFill="1" applyBorder="1" applyAlignment="1" applyProtection="1">
      <alignment horizontal="right"/>
    </xf>
    <xf numFmtId="2" fontId="7" fillId="47" borderId="0" xfId="5" applyNumberFormat="1" applyFill="1" applyBorder="1" applyAlignment="1" applyProtection="1">
      <alignment horizontal="right"/>
    </xf>
    <xf numFmtId="166" fontId="7" fillId="47" borderId="0" xfId="5" applyNumberFormat="1" applyFill="1" applyBorder="1" applyAlignment="1" applyProtection="1">
      <alignment horizontal="right"/>
    </xf>
    <xf numFmtId="165" fontId="7" fillId="47" borderId="0" xfId="5" applyNumberFormat="1" applyFill="1" applyBorder="1" applyAlignment="1" applyProtection="1">
      <alignment horizontal="right"/>
    </xf>
    <xf numFmtId="165" fontId="7" fillId="47" borderId="13" xfId="5" applyNumberFormat="1" applyFill="1" applyBorder="1" applyAlignment="1" applyProtection="1">
      <alignment horizontal="right"/>
    </xf>
    <xf numFmtId="0" fontId="7" fillId="47" borderId="0" xfId="5" applyNumberFormat="1" applyFill="1" applyBorder="1" applyAlignment="1" applyProtection="1">
      <alignment horizontal="right"/>
    </xf>
    <xf numFmtId="2" fontId="4" fillId="40" borderId="22" xfId="4" applyNumberFormat="1" applyFill="1" applyBorder="1" applyAlignment="1">
      <alignment horizontal="right"/>
    </xf>
    <xf numFmtId="2" fontId="4" fillId="40" borderId="0" xfId="4" applyNumberFormat="1" applyFill="1" applyAlignment="1">
      <alignment horizontal="right"/>
    </xf>
    <xf numFmtId="0" fontId="4" fillId="46" borderId="0" xfId="4" applyFill="1" applyBorder="1" applyAlignment="1">
      <alignment horizontal="right"/>
    </xf>
    <xf numFmtId="0" fontId="4" fillId="46" borderId="0" xfId="4" applyFill="1" applyAlignment="1">
      <alignment horizontal="right"/>
    </xf>
    <xf numFmtId="0" fontId="4" fillId="46" borderId="0" xfId="4" applyNumberFormat="1" applyFill="1" applyAlignment="1">
      <alignment horizontal="right"/>
    </xf>
    <xf numFmtId="0" fontId="4" fillId="40" borderId="0" xfId="4" applyFill="1"/>
    <xf numFmtId="0" fontId="4" fillId="40" borderId="13" xfId="4" applyFill="1" applyBorder="1"/>
    <xf numFmtId="0" fontId="4" fillId="40" borderId="0" xfId="4" applyFill="1" applyAlignment="1">
      <alignment horizontal="right"/>
    </xf>
    <xf numFmtId="0" fontId="4" fillId="40" borderId="13" xfId="4" applyFill="1" applyBorder="1" applyAlignment="1">
      <alignment horizontal="right"/>
    </xf>
    <xf numFmtId="0" fontId="25" fillId="40" borderId="0" xfId="4" applyFont="1" applyFill="1" applyBorder="1" applyAlignment="1">
      <alignment horizontal="right"/>
    </xf>
    <xf numFmtId="0" fontId="25" fillId="40" borderId="13" xfId="4" applyFont="1" applyFill="1" applyBorder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/>
    <xf numFmtId="9" fontId="0" fillId="0" borderId="0" xfId="0" applyNumberFormat="1" applyAlignment="1">
      <alignment wrapText="1"/>
    </xf>
    <xf numFmtId="166" fontId="0" fillId="0" borderId="0" xfId="0" applyNumberFormat="1"/>
    <xf numFmtId="0" fontId="0" fillId="0" borderId="30" xfId="0" applyBorder="1"/>
    <xf numFmtId="0" fontId="0" fillId="0" borderId="31" xfId="0" applyBorder="1" applyAlignment="1">
      <alignment wrapText="1"/>
    </xf>
    <xf numFmtId="0" fontId="0" fillId="0" borderId="32" xfId="0" applyBorder="1" applyAlignment="1">
      <alignment wrapText="1"/>
    </xf>
    <xf numFmtId="0" fontId="0" fillId="0" borderId="45" xfId="0" applyBorder="1"/>
    <xf numFmtId="9" fontId="0" fillId="0" borderId="0" xfId="0" applyNumberFormat="1" applyBorder="1"/>
    <xf numFmtId="0" fontId="0" fillId="0" borderId="34" xfId="0" applyBorder="1"/>
    <xf numFmtId="0" fontId="0" fillId="0" borderId="46" xfId="0" applyBorder="1"/>
    <xf numFmtId="9" fontId="0" fillId="0" borderId="48" xfId="0" applyNumberFormat="1" applyBorder="1"/>
    <xf numFmtId="0" fontId="0" fillId="0" borderId="48" xfId="0" applyBorder="1"/>
    <xf numFmtId="0" fontId="0" fillId="0" borderId="37" xfId="0" applyBorder="1"/>
    <xf numFmtId="0" fontId="58" fillId="0" borderId="29" xfId="0" applyFont="1" applyBorder="1"/>
    <xf numFmtId="1" fontId="55" fillId="46" borderId="0" xfId="4" applyNumberFormat="1" applyFont="1" applyFill="1" applyBorder="1" applyAlignment="1">
      <alignment horizontal="right"/>
    </xf>
    <xf numFmtId="2" fontId="55" fillId="46" borderId="0" xfId="4" applyNumberFormat="1" applyFont="1" applyFill="1" applyBorder="1" applyAlignment="1">
      <alignment horizontal="right"/>
    </xf>
    <xf numFmtId="166" fontId="55" fillId="46" borderId="0" xfId="4" applyNumberFormat="1" applyFont="1" applyFill="1" applyBorder="1" applyAlignment="1">
      <alignment horizontal="right"/>
    </xf>
    <xf numFmtId="1" fontId="55" fillId="46" borderId="18" xfId="4" applyNumberFormat="1" applyFont="1" applyFill="1" applyBorder="1" applyAlignment="1">
      <alignment horizontal="right"/>
    </xf>
    <xf numFmtId="0" fontId="32" fillId="45" borderId="30" xfId="0" applyFont="1" applyFill="1" applyBorder="1"/>
    <xf numFmtId="0" fontId="0" fillId="45" borderId="31" xfId="0" applyFill="1" applyBorder="1"/>
    <xf numFmtId="0" fontId="32" fillId="45" borderId="32" xfId="0" applyFont="1" applyFill="1" applyBorder="1" applyAlignment="1">
      <alignment horizontal="left"/>
    </xf>
    <xf numFmtId="0" fontId="6" fillId="0" borderId="34" xfId="4" applyFont="1" applyBorder="1" applyAlignment="1">
      <alignment horizontal="left"/>
    </xf>
    <xf numFmtId="0" fontId="4" fillId="0" borderId="48" xfId="4" applyFont="1" applyBorder="1"/>
    <xf numFmtId="0" fontId="6" fillId="0" borderId="37" xfId="4" applyFont="1" applyBorder="1" applyAlignment="1">
      <alignment horizontal="left"/>
    </xf>
    <xf numFmtId="0" fontId="0" fillId="0" borderId="40" xfId="0" applyBorder="1"/>
    <xf numFmtId="0" fontId="0" fillId="0" borderId="41" xfId="0" applyBorder="1"/>
    <xf numFmtId="0" fontId="60" fillId="0" borderId="0" xfId="0" applyFont="1"/>
    <xf numFmtId="16" fontId="0" fillId="0" borderId="0" xfId="0" applyNumberFormat="1"/>
    <xf numFmtId="171" fontId="0" fillId="0" borderId="0" xfId="0" applyNumberFormat="1" applyAlignment="1">
      <alignment horizontal="left"/>
    </xf>
    <xf numFmtId="0" fontId="32" fillId="45" borderId="32" xfId="0" applyFont="1" applyFill="1" applyBorder="1"/>
    <xf numFmtId="0" fontId="32" fillId="45" borderId="0" xfId="0" applyFont="1" applyFill="1"/>
    <xf numFmtId="0" fontId="6" fillId="0" borderId="0" xfId="4" applyFont="1" applyFill="1"/>
    <xf numFmtId="0" fontId="26" fillId="0" borderId="0" xfId="4" applyFont="1" applyFill="1"/>
    <xf numFmtId="0" fontId="4" fillId="42" borderId="0" xfId="4" applyFont="1" applyFill="1"/>
    <xf numFmtId="1" fontId="4" fillId="0" borderId="0" xfId="4" applyNumberFormat="1" applyFont="1" applyFill="1"/>
    <xf numFmtId="164" fontId="4" fillId="0" borderId="0" xfId="4" applyNumberFormat="1" applyFont="1" applyFill="1"/>
    <xf numFmtId="0" fontId="4" fillId="42" borderId="0" xfId="4" applyFont="1" applyFill="1" applyAlignment="1">
      <alignment horizontal="center"/>
    </xf>
    <xf numFmtId="166" fontId="4" fillId="42" borderId="0" xfId="4" applyNumberFormat="1" applyFont="1" applyFill="1" applyAlignment="1">
      <alignment horizontal="center"/>
    </xf>
    <xf numFmtId="165" fontId="4" fillId="42" borderId="0" xfId="4" applyNumberFormat="1" applyFont="1" applyFill="1" applyAlignment="1">
      <alignment horizontal="center"/>
    </xf>
    <xf numFmtId="165" fontId="4" fillId="42" borderId="0" xfId="4" applyNumberFormat="1" applyFill="1" applyAlignment="1">
      <alignment horizontal="center"/>
    </xf>
    <xf numFmtId="2" fontId="1" fillId="42" borderId="0" xfId="1" applyNumberFormat="1" applyFill="1" applyAlignment="1"/>
    <xf numFmtId="2" fontId="1" fillId="42" borderId="0" xfId="1" applyNumberFormat="1" applyFill="1" applyAlignment="1">
      <alignment horizontal="right"/>
    </xf>
    <xf numFmtId="2" fontId="4" fillId="42" borderId="0" xfId="4" applyNumberFormat="1" applyFill="1" applyAlignment="1"/>
    <xf numFmtId="2" fontId="4" fillId="42" borderId="0" xfId="4" applyNumberFormat="1" applyFont="1" applyFill="1" applyAlignment="1">
      <alignment horizontal="right"/>
    </xf>
    <xf numFmtId="2" fontId="4" fillId="42" borderId="0" xfId="4" applyNumberFormat="1" applyFill="1" applyAlignment="1">
      <alignment horizontal="center"/>
    </xf>
    <xf numFmtId="2" fontId="4" fillId="42" borderId="0" xfId="4" applyNumberFormat="1" applyFill="1" applyAlignment="1">
      <alignment horizontal="right"/>
    </xf>
    <xf numFmtId="168" fontId="4" fillId="42" borderId="0" xfId="4" applyNumberFormat="1" applyFill="1"/>
    <xf numFmtId="0" fontId="1" fillId="0" borderId="0" xfId="1" applyFill="1"/>
    <xf numFmtId="0" fontId="29" fillId="0" borderId="14" xfId="1" applyFont="1" applyFill="1" applyBorder="1"/>
    <xf numFmtId="0" fontId="29" fillId="0" borderId="0" xfId="1" applyFont="1" applyFill="1"/>
    <xf numFmtId="2" fontId="29" fillId="42" borderId="0" xfId="1" applyNumberFormat="1" applyFont="1" applyFill="1"/>
    <xf numFmtId="0" fontId="25" fillId="49" borderId="0" xfId="5" applyNumberFormat="1" applyFont="1" applyFill="1" applyBorder="1" applyAlignment="1" applyProtection="1"/>
    <xf numFmtId="2" fontId="4" fillId="42" borderId="0" xfId="4" applyNumberFormat="1" applyFont="1" applyFill="1"/>
    <xf numFmtId="0" fontId="25" fillId="0" borderId="14" xfId="1" applyFont="1" applyFill="1" applyBorder="1"/>
    <xf numFmtId="166" fontId="25" fillId="0" borderId="0" xfId="1" applyNumberFormat="1" applyFont="1" applyFill="1"/>
    <xf numFmtId="0" fontId="25" fillId="0" borderId="0" xfId="1" applyFont="1" applyFill="1"/>
    <xf numFmtId="0" fontId="25" fillId="0" borderId="14" xfId="4" applyFont="1" applyFill="1" applyBorder="1"/>
    <xf numFmtId="166" fontId="25" fillId="0" borderId="0" xfId="4" applyNumberFormat="1" applyFont="1" applyFill="1"/>
    <xf numFmtId="0" fontId="25" fillId="0" borderId="0" xfId="4" applyFont="1" applyFill="1"/>
    <xf numFmtId="0" fontId="25" fillId="42" borderId="0" xfId="1" applyFont="1" applyFill="1"/>
    <xf numFmtId="166" fontId="25" fillId="42" borderId="0" xfId="1" applyNumberFormat="1" applyFont="1" applyFill="1"/>
    <xf numFmtId="0" fontId="29" fillId="42" borderId="0" xfId="1" applyFont="1" applyFill="1"/>
    <xf numFmtId="166" fontId="29" fillId="42" borderId="0" xfId="1" applyNumberFormat="1" applyFont="1" applyFill="1"/>
    <xf numFmtId="1" fontId="29" fillId="42" borderId="0" xfId="1" applyNumberFormat="1" applyFont="1" applyFill="1"/>
    <xf numFmtId="165" fontId="29" fillId="42" borderId="0" xfId="1" applyNumberFormat="1" applyFont="1" applyFill="1"/>
    <xf numFmtId="2" fontId="25" fillId="42" borderId="0" xfId="4" applyNumberFormat="1" applyFont="1" applyFill="1"/>
    <xf numFmtId="0" fontId="25" fillId="42" borderId="0" xfId="4" applyFont="1" applyFill="1"/>
    <xf numFmtId="0" fontId="26" fillId="42" borderId="0" xfId="4" applyFont="1" applyFill="1" applyBorder="1" applyAlignment="1"/>
    <xf numFmtId="0" fontId="0" fillId="42" borderId="0" xfId="0" applyFill="1" applyBorder="1"/>
    <xf numFmtId="1" fontId="25" fillId="42" borderId="16" xfId="4" applyNumberFormat="1" applyFont="1" applyFill="1" applyBorder="1" applyAlignment="1">
      <alignment horizontal="right"/>
    </xf>
    <xf numFmtId="0" fontId="25" fillId="42" borderId="16" xfId="4" applyFont="1" applyFill="1" applyBorder="1" applyAlignment="1">
      <alignment horizontal="right"/>
    </xf>
    <xf numFmtId="165" fontId="25" fillId="42" borderId="0" xfId="5" applyNumberFormat="1" applyFont="1" applyFill="1" applyBorder="1" applyAlignment="1" applyProtection="1"/>
    <xf numFmtId="0" fontId="25" fillId="0" borderId="14" xfId="5" applyNumberFormat="1" applyFont="1" applyFill="1" applyBorder="1" applyAlignment="1" applyProtection="1"/>
    <xf numFmtId="0" fontId="25" fillId="0" borderId="0" xfId="5" applyNumberFormat="1" applyFont="1" applyFill="1" applyBorder="1" applyAlignment="1" applyProtection="1"/>
    <xf numFmtId="0" fontId="55" fillId="42" borderId="0" xfId="4" applyFont="1" applyFill="1" applyBorder="1" applyAlignment="1">
      <alignment horizontal="right"/>
    </xf>
    <xf numFmtId="0" fontId="7" fillId="48" borderId="18" xfId="5" applyNumberFormat="1" applyFill="1" applyBorder="1" applyAlignment="1" applyProtection="1">
      <alignment horizontal="right"/>
    </xf>
    <xf numFmtId="165" fontId="7" fillId="48" borderId="0" xfId="5" applyNumberFormat="1" applyFill="1" applyBorder="1" applyAlignment="1" applyProtection="1">
      <alignment horizontal="right"/>
    </xf>
    <xf numFmtId="0" fontId="55" fillId="0" borderId="0" xfId="4" applyFont="1" applyFill="1" applyBorder="1" applyAlignment="1">
      <alignment horizontal="right"/>
    </xf>
    <xf numFmtId="0" fontId="6" fillId="0" borderId="13" xfId="4" applyFont="1" applyBorder="1"/>
    <xf numFmtId="2" fontId="7" fillId="47" borderId="13" xfId="5" applyNumberFormat="1" applyFill="1" applyBorder="1" applyAlignment="1" applyProtection="1">
      <alignment horizontal="right"/>
    </xf>
    <xf numFmtId="0" fontId="4" fillId="0" borderId="0" xfId="4" applyAlignment="1">
      <alignment horizontal="left" wrapText="1"/>
    </xf>
    <xf numFmtId="0" fontId="6" fillId="0" borderId="0" xfId="4" applyFont="1" applyAlignment="1">
      <alignment horizontal="left" wrapText="1"/>
    </xf>
    <xf numFmtId="0" fontId="36" fillId="0" borderId="0" xfId="0" applyFont="1" applyAlignment="1">
      <alignment horizontal="right"/>
    </xf>
    <xf numFmtId="0" fontId="4" fillId="0" borderId="0" xfId="4" applyAlignment="1">
      <alignment horizontal="center" wrapText="1"/>
    </xf>
    <xf numFmtId="0" fontId="49" fillId="0" borderId="0" xfId="0" applyFont="1" applyAlignment="1">
      <alignment wrapText="1"/>
    </xf>
    <xf numFmtId="14" fontId="0" fillId="0" borderId="0" xfId="0" applyNumberFormat="1"/>
    <xf numFmtId="1" fontId="29" fillId="0" borderId="0" xfId="1" applyNumberFormat="1" applyFont="1" applyFill="1"/>
    <xf numFmtId="165" fontId="52" fillId="0" borderId="0" xfId="4" applyNumberFormat="1" applyFont="1"/>
    <xf numFmtId="167" fontId="4" fillId="0" borderId="0" xfId="4" applyNumberFormat="1" applyFont="1" applyFill="1"/>
    <xf numFmtId="0" fontId="64" fillId="0" borderId="0" xfId="0" applyFont="1" applyFill="1" applyBorder="1" applyAlignment="1">
      <alignment horizontal="center" vertical="center" wrapText="1"/>
    </xf>
    <xf numFmtId="0" fontId="29" fillId="0" borderId="0" xfId="0" applyFont="1" applyFill="1"/>
    <xf numFmtId="0" fontId="64" fillId="0" borderId="0" xfId="0" applyFont="1" applyFill="1" applyBorder="1" applyAlignment="1">
      <alignment vertical="center" wrapText="1"/>
    </xf>
    <xf numFmtId="0" fontId="29" fillId="0" borderId="0" xfId="0" applyFont="1" applyFill="1" applyBorder="1"/>
    <xf numFmtId="0" fontId="64" fillId="0" borderId="0" xfId="0" applyFont="1" applyFill="1" applyBorder="1" applyAlignment="1">
      <alignment horizontal="left" vertical="center" wrapText="1"/>
    </xf>
    <xf numFmtId="0" fontId="66" fillId="0" borderId="0" xfId="0" applyFont="1" applyFill="1" applyBorder="1" applyAlignment="1">
      <alignment horizontal="center" vertical="center" wrapText="1"/>
    </xf>
    <xf numFmtId="0" fontId="67" fillId="0" borderId="0" xfId="0" applyFont="1" applyFill="1" applyBorder="1" applyAlignment="1">
      <alignment vertical="center" wrapText="1"/>
    </xf>
    <xf numFmtId="0" fontId="68" fillId="0" borderId="0" xfId="0" applyFont="1" applyFill="1" applyBorder="1" applyAlignment="1">
      <alignment vertical="center" wrapText="1"/>
    </xf>
    <xf numFmtId="0" fontId="69" fillId="0" borderId="0" xfId="0" applyFont="1" applyFill="1" applyBorder="1" applyAlignment="1">
      <alignment vertical="center" wrapText="1"/>
    </xf>
    <xf numFmtId="0" fontId="68" fillId="0" borderId="0" xfId="0" applyFont="1" applyFill="1" applyBorder="1" applyAlignment="1">
      <alignment vertical="center"/>
    </xf>
    <xf numFmtId="0" fontId="29" fillId="0" borderId="0" xfId="0" applyFont="1" applyFill="1" applyAlignment="1">
      <alignment horizontal="left"/>
    </xf>
    <xf numFmtId="0" fontId="29" fillId="0" borderId="0" xfId="0" applyFont="1" applyFill="1" applyAlignment="1">
      <alignment horizontal="center"/>
    </xf>
    <xf numFmtId="0" fontId="65" fillId="0" borderId="0" xfId="0" applyFont="1" applyFill="1" applyBorder="1" applyAlignment="1">
      <alignment vertical="center" wrapText="1"/>
    </xf>
    <xf numFmtId="0" fontId="69" fillId="0" borderId="0" xfId="0" applyFont="1" applyAlignment="1">
      <alignment vertical="center" wrapText="1"/>
    </xf>
    <xf numFmtId="0" fontId="66" fillId="0" borderId="0" xfId="0" applyFont="1" applyAlignment="1">
      <alignment horizontal="center" vertical="center" wrapText="1"/>
    </xf>
    <xf numFmtId="0" fontId="4" fillId="0" borderId="0" xfId="4" applyAlignment="1">
      <alignment horizontal="center" vertical="center"/>
    </xf>
    <xf numFmtId="0" fontId="4" fillId="0" borderId="0" xfId="4" quotePrefix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14" xfId="0" applyBorder="1" applyAlignment="1">
      <alignment vertical="center"/>
    </xf>
    <xf numFmtId="0" fontId="4" fillId="0" borderId="20" xfId="4" quotePrefix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26" fillId="0" borderId="21" xfId="4" quotePrefix="1" applyFont="1" applyBorder="1" applyAlignment="1">
      <alignment horizontal="left" vertical="center"/>
    </xf>
    <xf numFmtId="0" fontId="46" fillId="0" borderId="13" xfId="0" applyFont="1" applyBorder="1" applyAlignment="1">
      <alignment horizontal="left" vertical="center"/>
    </xf>
    <xf numFmtId="0" fontId="46" fillId="0" borderId="13" xfId="0" applyFont="1" applyBorder="1" applyAlignment="1">
      <alignment vertical="center"/>
    </xf>
    <xf numFmtId="0" fontId="46" fillId="0" borderId="15" xfId="0" applyFont="1" applyBorder="1" applyAlignment="1">
      <alignment vertical="center"/>
    </xf>
    <xf numFmtId="0" fontId="26" fillId="0" borderId="13" xfId="4" applyFont="1" applyBorder="1" applyAlignment="1">
      <alignment horizontal="left" vertical="center"/>
    </xf>
    <xf numFmtId="0" fontId="46" fillId="0" borderId="15" xfId="0" applyFont="1" applyBorder="1" applyAlignment="1">
      <alignment horizontal="left" vertical="center"/>
    </xf>
    <xf numFmtId="0" fontId="43" fillId="0" borderId="17" xfId="0" applyFont="1" applyBorder="1" applyAlignment="1">
      <alignment horizontal="center" vertical="center" wrapText="1"/>
    </xf>
    <xf numFmtId="0" fontId="43" fillId="0" borderId="21" xfId="0" applyFont="1" applyBorder="1" applyAlignment="1">
      <alignment horizontal="center" vertical="center" wrapText="1"/>
    </xf>
    <xf numFmtId="0" fontId="43" fillId="0" borderId="29" xfId="0" applyFont="1" applyBorder="1" applyAlignment="1">
      <alignment horizontal="center" vertical="center" wrapText="1"/>
    </xf>
    <xf numFmtId="0" fontId="43" fillId="0" borderId="25" xfId="0" applyFont="1" applyBorder="1" applyAlignment="1">
      <alignment horizontal="center" vertical="center" wrapText="1"/>
    </xf>
    <xf numFmtId="0" fontId="65" fillId="0" borderId="0" xfId="0" applyFont="1" applyFill="1" applyBorder="1" applyAlignment="1">
      <alignment vertical="center" wrapText="1"/>
    </xf>
  </cellXfs>
  <cellStyles count="249">
    <cellStyle name="Check Cell" xfId="3" builtinId="23"/>
    <cellStyle name="Comma" xfId="51" builtinId="3"/>
    <cellStyle name="Excel Built-in 20% - Accent1" xfId="7"/>
    <cellStyle name="Excel Built-in 20% - Accent2" xfId="8"/>
    <cellStyle name="Excel Built-in 20% - Accent3" xfId="9"/>
    <cellStyle name="Excel Built-in 20% - Accent4" xfId="10"/>
    <cellStyle name="Excel Built-in 20% - Accent5" xfId="11"/>
    <cellStyle name="Excel Built-in 20% - Accent6" xfId="12"/>
    <cellStyle name="Excel Built-in 40% - Accent1" xfId="13"/>
    <cellStyle name="Excel Built-in 40% - Accent2" xfId="14"/>
    <cellStyle name="Excel Built-in 40% - Accent3" xfId="15"/>
    <cellStyle name="Excel Built-in 40% - Accent4" xfId="16"/>
    <cellStyle name="Excel Built-in 40% - Accent5" xfId="17"/>
    <cellStyle name="Excel Built-in 40% - Accent6" xfId="18"/>
    <cellStyle name="Excel Built-in 60% - Accent1" xfId="19"/>
    <cellStyle name="Excel Built-in 60% - Accent2" xfId="20"/>
    <cellStyle name="Excel Built-in 60% - Accent3" xfId="21"/>
    <cellStyle name="Excel Built-in 60% - Accent4" xfId="22"/>
    <cellStyle name="Excel Built-in 60% - Accent5" xfId="23"/>
    <cellStyle name="Excel Built-in 60% - Accent6" xfId="24"/>
    <cellStyle name="Excel Built-in Accent1" xfId="25"/>
    <cellStyle name="Excel Built-in Accent2" xfId="26"/>
    <cellStyle name="Excel Built-in Accent3" xfId="27"/>
    <cellStyle name="Excel Built-in Accent4" xfId="28"/>
    <cellStyle name="Excel Built-in Accent5" xfId="29"/>
    <cellStyle name="Excel Built-in Accent6" xfId="30"/>
    <cellStyle name="Excel Built-in Bad" xfId="31"/>
    <cellStyle name="Excel Built-in Calculation" xfId="32"/>
    <cellStyle name="Excel Built-in Check Cell" xfId="33"/>
    <cellStyle name="Excel Built-in Explanatory Text" xfId="34"/>
    <cellStyle name="Excel Built-in Good" xfId="5"/>
    <cellStyle name="Excel Built-in Heading 1" xfId="35"/>
    <cellStyle name="Excel Built-in Heading 2" xfId="36"/>
    <cellStyle name="Excel Built-in Heading 3" xfId="37"/>
    <cellStyle name="Excel Built-in Heading 4" xfId="38"/>
    <cellStyle name="Excel Built-in Hyperlink" xfId="6"/>
    <cellStyle name="Excel Built-in Input" xfId="39"/>
    <cellStyle name="Excel Built-in Linked Cell" xfId="40"/>
    <cellStyle name="Excel Built-in Neutral" xfId="41"/>
    <cellStyle name="Excel Built-in Normal" xfId="4"/>
    <cellStyle name="Excel Built-in Note" xfId="42"/>
    <cellStyle name="Excel Built-in Output" xfId="43"/>
    <cellStyle name="Excel Built-in Title" xfId="44"/>
    <cellStyle name="Excel Built-in Total" xfId="45"/>
    <cellStyle name="Excel Built-in Warning Text" xfId="46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Followed Hyperlink" xfId="243" builtinId="9" hidden="1"/>
    <cellStyle name="Followed Hyperlink" xfId="244" builtinId="9" hidden="1"/>
    <cellStyle name="Followed Hyperlink" xfId="245" builtinId="9" hidden="1"/>
    <cellStyle name="Followed Hyperlink" xfId="246" builtinId="9" hidden="1"/>
    <cellStyle name="Followed Hyperlink" xfId="247" builtinId="9" hidden="1"/>
    <cellStyle name="Followed Hyperlink" xfId="248" builtinId="9" hidden="1"/>
    <cellStyle name="Good" xfId="1" builtinId="26"/>
    <cellStyle name="Hyperlink" xfId="49" builtinId="8"/>
    <cellStyle name="Neutral" xfId="2" builtinId="28"/>
    <cellStyle name="Normal" xfId="0" builtinId="0"/>
    <cellStyle name="Normal 2" xfId="47"/>
    <cellStyle name="Percent" xfId="50" builtinId="5"/>
    <cellStyle name="Percent 2" xfId="4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connections" Target="connection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14</xdr:col>
      <xdr:colOff>444500</xdr:colOff>
      <xdr:row>3</xdr:row>
      <xdr:rowOff>139700</xdr:rowOff>
    </xdr:to>
    <xdr:sp macro="[0]!Regcap_input_new" textlink="">
      <xdr:nvSpPr>
        <xdr:cNvPr id="2" name="Rectangle 1"/>
        <xdr:cNvSpPr/>
      </xdr:nvSpPr>
      <xdr:spPr bwMode="auto">
        <a:xfrm>
          <a:off x="9448800" y="431800"/>
          <a:ext cx="1270000" cy="3302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Make Batch File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1" name="Picture 1" descr="clip_image001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2" name="Picture 2" descr="clip_image002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://www.energy.ca.gov/title24/2008standards/prerulemaking/documents/2006-03-28_workshop/2006-03-27_RES_STARTS-PROTOTYPES.PDF" TargetMode="External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://www.the-engineering-page.com/conv/u.html" TargetMode="External"/><Relationship Id="rId2" Type="http://schemas.openxmlformats.org/officeDocument/2006/relationships/vmlDrawing" Target="../drawings/vmlDrawing3.vml"/><Relationship Id="rId3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4" Type="http://schemas.openxmlformats.org/officeDocument/2006/relationships/comments" Target="../comments4.xml"/><Relationship Id="rId1" Type="http://schemas.openxmlformats.org/officeDocument/2006/relationships/hyperlink" Target="../../../AppData/Users/wjnturner/Dropbox/Users/wjnturner/AppData/Roaming/Microsoft/Regcap%20Documents/Fans/Energy%20start-vent_fan_prod_list.xls" TargetMode="External"/><Relationship Id="rId2" Type="http://schemas.openxmlformats.org/officeDocument/2006/relationships/hyperlink" Target="../../../AppData/Users/wjnturner/Dropbox/Users/wjnturner/AppData/Roaming/Microsoft/Regcap%20Documents/Fans/Energy%20start-vent_fan_prod_list.xl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://buildingscience.com/documents/bareports/ba-1310-supplemental-dehumidification-warm-humid-climates/view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D36"/>
  <sheetViews>
    <sheetView topLeftCell="A5" workbookViewId="0">
      <selection activeCell="L15" sqref="L15"/>
    </sheetView>
  </sheetViews>
  <sheetFormatPr baseColWidth="10" defaultRowHeight="14" x14ac:dyDescent="0"/>
  <cols>
    <col min="1" max="1" width="14.1640625" customWidth="1"/>
    <col min="2" max="2" width="72.5" customWidth="1"/>
  </cols>
  <sheetData>
    <row r="1" spans="1:2" ht="20">
      <c r="A1" s="470" t="s">
        <v>1255</v>
      </c>
    </row>
    <row r="3" spans="1:2">
      <c r="A3" s="350" t="s">
        <v>1256</v>
      </c>
      <c r="B3" s="184" t="s">
        <v>1340</v>
      </c>
    </row>
    <row r="4" spans="1:2">
      <c r="A4" s="350" t="s">
        <v>1258</v>
      </c>
      <c r="B4" s="472">
        <v>42605</v>
      </c>
    </row>
    <row r="5" spans="1:2" ht="15" thickBot="1"/>
    <row r="6" spans="1:2">
      <c r="A6" s="462" t="s">
        <v>3</v>
      </c>
      <c r="B6" s="473" t="s">
        <v>0</v>
      </c>
    </row>
    <row r="7" spans="1:2">
      <c r="A7" s="450" t="s">
        <v>1326</v>
      </c>
      <c r="B7" s="452" t="s">
        <v>1327</v>
      </c>
    </row>
    <row r="8" spans="1:2" s="290" customFormat="1">
      <c r="A8" s="450" t="s">
        <v>1095</v>
      </c>
      <c r="B8" s="452" t="s">
        <v>1271</v>
      </c>
    </row>
    <row r="9" spans="1:2">
      <c r="A9" s="450" t="s">
        <v>1259</v>
      </c>
      <c r="B9" s="452" t="s">
        <v>1272</v>
      </c>
    </row>
    <row r="10" spans="1:2">
      <c r="A10" s="450" t="s">
        <v>1260</v>
      </c>
      <c r="B10" s="452" t="s">
        <v>1273</v>
      </c>
    </row>
    <row r="11" spans="1:2">
      <c r="A11" s="450" t="s">
        <v>14</v>
      </c>
      <c r="B11" s="452" t="s">
        <v>1274</v>
      </c>
    </row>
    <row r="12" spans="1:2">
      <c r="A12" s="450" t="s">
        <v>7</v>
      </c>
      <c r="B12" s="452" t="s">
        <v>1275</v>
      </c>
    </row>
    <row r="13" spans="1:2">
      <c r="A13" s="450" t="s">
        <v>22</v>
      </c>
      <c r="B13" s="452" t="s">
        <v>1276</v>
      </c>
    </row>
    <row r="14" spans="1:2">
      <c r="A14" s="450" t="s">
        <v>45</v>
      </c>
      <c r="B14" s="452" t="s">
        <v>1277</v>
      </c>
    </row>
    <row r="15" spans="1:2">
      <c r="A15" s="450" t="s">
        <v>50</v>
      </c>
      <c r="B15" s="452" t="s">
        <v>1278</v>
      </c>
    </row>
    <row r="16" spans="1:2">
      <c r="A16" s="450" t="s">
        <v>336</v>
      </c>
      <c r="B16" s="452" t="s">
        <v>1279</v>
      </c>
    </row>
    <row r="17" spans="1:4">
      <c r="A17" s="450" t="s">
        <v>74</v>
      </c>
      <c r="B17" s="452" t="s">
        <v>1280</v>
      </c>
    </row>
    <row r="18" spans="1:4">
      <c r="A18" s="450" t="s">
        <v>102</v>
      </c>
      <c r="B18" s="452" t="s">
        <v>1281</v>
      </c>
    </row>
    <row r="19" spans="1:4">
      <c r="A19" s="450" t="s">
        <v>1282</v>
      </c>
      <c r="B19" s="452" t="s">
        <v>1283</v>
      </c>
    </row>
    <row r="20" spans="1:4">
      <c r="A20" s="450" t="s">
        <v>1224</v>
      </c>
      <c r="B20" s="452" t="s">
        <v>1284</v>
      </c>
    </row>
    <row r="21" spans="1:4">
      <c r="A21" s="450" t="s">
        <v>1312</v>
      </c>
      <c r="B21" s="452" t="s">
        <v>1285</v>
      </c>
    </row>
    <row r="22" spans="1:4" ht="15" thickBot="1">
      <c r="A22" s="453" t="s">
        <v>1249</v>
      </c>
      <c r="B22" s="456" t="s">
        <v>1286</v>
      </c>
    </row>
    <row r="24" spans="1:4" ht="18">
      <c r="A24" s="374" t="s">
        <v>1261</v>
      </c>
    </row>
    <row r="25" spans="1:4">
      <c r="A25">
        <v>1</v>
      </c>
      <c r="B25" t="s">
        <v>1302</v>
      </c>
    </row>
    <row r="26" spans="1:4">
      <c r="A26">
        <v>2</v>
      </c>
      <c r="B26" t="s">
        <v>1303</v>
      </c>
    </row>
    <row r="27" spans="1:4">
      <c r="A27">
        <v>3</v>
      </c>
      <c r="B27" t="s">
        <v>1304</v>
      </c>
    </row>
    <row r="28" spans="1:4">
      <c r="A28">
        <v>4</v>
      </c>
      <c r="B28" t="s">
        <v>1305</v>
      </c>
    </row>
    <row r="29" spans="1:4" ht="18">
      <c r="A29" s="374" t="s">
        <v>1262</v>
      </c>
    </row>
    <row r="30" spans="1:4">
      <c r="A30" s="474" t="s">
        <v>1256</v>
      </c>
      <c r="B30" s="474" t="s">
        <v>0</v>
      </c>
      <c r="C30" s="474" t="s">
        <v>1258</v>
      </c>
      <c r="D30" s="474" t="s">
        <v>1263</v>
      </c>
    </row>
    <row r="31" spans="1:4">
      <c r="A31" t="s">
        <v>1257</v>
      </c>
      <c r="B31" t="s">
        <v>1306</v>
      </c>
      <c r="C31" s="471">
        <v>42465</v>
      </c>
      <c r="D31" t="s">
        <v>1264</v>
      </c>
    </row>
    <row r="32" spans="1:4">
      <c r="A32" t="s">
        <v>1325</v>
      </c>
      <c r="B32" s="443" t="s">
        <v>1334</v>
      </c>
      <c r="C32" s="529">
        <v>42585</v>
      </c>
      <c r="D32" t="s">
        <v>1328</v>
      </c>
    </row>
    <row r="33" spans="1:4">
      <c r="A33" s="290" t="s">
        <v>1340</v>
      </c>
      <c r="B33" s="443" t="s">
        <v>1341</v>
      </c>
      <c r="C33" s="529">
        <v>42605</v>
      </c>
      <c r="D33" t="s">
        <v>1264</v>
      </c>
    </row>
    <row r="34" spans="1:4">
      <c r="B34" t="s">
        <v>1342</v>
      </c>
      <c r="C34" s="529">
        <v>42710</v>
      </c>
      <c r="D34" t="s">
        <v>1328</v>
      </c>
    </row>
    <row r="35" spans="1:4">
      <c r="B35" t="s">
        <v>1364</v>
      </c>
      <c r="C35" s="529">
        <v>42710</v>
      </c>
      <c r="D35" t="s">
        <v>1328</v>
      </c>
    </row>
    <row r="36" spans="1:4">
      <c r="B36" t="s">
        <v>1370</v>
      </c>
      <c r="C36" s="529">
        <v>42711</v>
      </c>
      <c r="D36" t="s">
        <v>1328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Q43"/>
  <sheetViews>
    <sheetView workbookViewId="0">
      <selection activeCell="K4" sqref="K4"/>
    </sheetView>
  </sheetViews>
  <sheetFormatPr baseColWidth="10" defaultRowHeight="14" x14ac:dyDescent="0"/>
  <cols>
    <col min="2" max="2" width="2.1640625" bestFit="1" customWidth="1"/>
    <col min="6" max="6" width="2.1640625" bestFit="1" customWidth="1"/>
    <col min="9" max="9" width="12.6640625" bestFit="1" customWidth="1"/>
    <col min="10" max="10" width="2.1640625" bestFit="1" customWidth="1"/>
    <col min="11" max="11" width="13.6640625" bestFit="1" customWidth="1"/>
    <col min="12" max="12" width="15.33203125" bestFit="1" customWidth="1"/>
  </cols>
  <sheetData>
    <row r="1" spans="1:17" ht="19" thickBot="1">
      <c r="A1" s="374" t="s">
        <v>1095</v>
      </c>
      <c r="B1" s="290"/>
      <c r="C1" s="290"/>
      <c r="E1" s="290"/>
      <c r="F1" s="290"/>
      <c r="G1" s="290"/>
      <c r="H1" s="290"/>
      <c r="I1" s="290"/>
      <c r="J1" s="290"/>
      <c r="K1" s="290"/>
      <c r="L1" s="290"/>
      <c r="M1" s="290"/>
      <c r="N1" s="290"/>
      <c r="O1" s="290"/>
      <c r="P1" s="290"/>
      <c r="Q1" s="290"/>
    </row>
    <row r="2" spans="1:17" ht="15">
      <c r="A2" s="375" t="s">
        <v>892</v>
      </c>
      <c r="B2" s="371"/>
      <c r="C2" s="372" t="s">
        <v>893</v>
      </c>
      <c r="E2" s="375" t="s">
        <v>929</v>
      </c>
      <c r="F2" s="371"/>
      <c r="G2" s="372">
        <v>0</v>
      </c>
      <c r="I2" s="350" t="s">
        <v>1094</v>
      </c>
      <c r="J2" s="290"/>
      <c r="K2" s="380" t="s">
        <v>1251</v>
      </c>
      <c r="M2" s="290"/>
    </row>
    <row r="3" spans="1:17" ht="15" thickBot="1">
      <c r="A3" s="365" t="s">
        <v>893</v>
      </c>
      <c r="B3" s="378" t="s">
        <v>1096</v>
      </c>
      <c r="C3" s="366" t="str">
        <f>IF(B3&lt;&gt;"",A3,"")</f>
        <v>Small</v>
      </c>
      <c r="E3" s="365">
        <v>0</v>
      </c>
      <c r="F3" s="378" t="s">
        <v>1096</v>
      </c>
      <c r="G3" s="366">
        <f t="shared" ref="G3:G23" si="0">IF(F3&lt;&gt;"",E3,"")</f>
        <v>0</v>
      </c>
      <c r="J3" s="290"/>
      <c r="M3" s="290"/>
    </row>
    <row r="4" spans="1:17" ht="15" thickBot="1">
      <c r="A4" s="365" t="s">
        <v>898</v>
      </c>
      <c r="B4" s="378" t="s">
        <v>1096</v>
      </c>
      <c r="C4" s="366" t="str">
        <f>IF(B4&lt;&gt;"",A4,"")</f>
        <v>Med</v>
      </c>
      <c r="E4" s="365">
        <v>1</v>
      </c>
      <c r="F4" s="378" t="s">
        <v>1096</v>
      </c>
      <c r="G4" s="366">
        <f t="shared" si="0"/>
        <v>1</v>
      </c>
      <c r="I4" s="382" t="s">
        <v>1097</v>
      </c>
      <c r="J4" s="376"/>
      <c r="K4" s="377" t="str">
        <f>LEFT(HomeSize, 1) &amp; "_" &amp; LEFT(OccDensity,1) &amp; "_" &amp; FanSize &amp; "_" &amp; LEFT(DehumidType,1) &amp; "_" &amp; HumControl</f>
        <v>S_M_1_N_0</v>
      </c>
      <c r="M4" s="290"/>
      <c r="N4" s="290"/>
    </row>
    <row r="5" spans="1:17" ht="15" thickBot="1">
      <c r="A5" s="367" t="s">
        <v>894</v>
      </c>
      <c r="B5" s="379" t="s">
        <v>1096</v>
      </c>
      <c r="C5" s="368" t="str">
        <f>IF(B5&lt;&gt;"",A5,"")</f>
        <v>Large</v>
      </c>
      <c r="E5" s="365">
        <v>2</v>
      </c>
      <c r="F5" s="378" t="s">
        <v>1096</v>
      </c>
      <c r="G5" s="366">
        <f t="shared" si="0"/>
        <v>2</v>
      </c>
      <c r="M5" s="290"/>
      <c r="N5" s="290"/>
    </row>
    <row r="6" spans="1:17" ht="15" thickBot="1">
      <c r="E6" s="369">
        <v>3</v>
      </c>
      <c r="F6" s="378" t="s">
        <v>1096</v>
      </c>
      <c r="G6" s="366">
        <f t="shared" si="0"/>
        <v>3</v>
      </c>
      <c r="I6" s="462" t="s">
        <v>1098</v>
      </c>
      <c r="J6" s="463"/>
      <c r="K6" s="463"/>
      <c r="L6" s="464" t="s">
        <v>1093</v>
      </c>
      <c r="M6" s="290"/>
      <c r="N6" s="5"/>
    </row>
    <row r="7" spans="1:17" ht="15">
      <c r="A7" s="375" t="s">
        <v>897</v>
      </c>
      <c r="B7" s="371"/>
      <c r="C7" s="372" t="s">
        <v>898</v>
      </c>
      <c r="E7" s="369">
        <v>4</v>
      </c>
      <c r="F7" s="378" t="s">
        <v>1096</v>
      </c>
      <c r="G7" s="366">
        <f t="shared" si="0"/>
        <v>4</v>
      </c>
      <c r="I7" s="383">
        <f>InputFiles!C1</f>
        <v>1</v>
      </c>
      <c r="J7" s="378" t="s">
        <v>1096</v>
      </c>
      <c r="K7" s="20">
        <f t="shared" ref="K7:K23" si="1">IF(J7&lt;&gt;"",I7,"")</f>
        <v>1</v>
      </c>
      <c r="L7" s="465" t="str">
        <f t="shared" ref="L7:L23" si="2">IF(J7&lt;&gt;"",BaseName &amp; "_" &amp; IF(ISNUMBER(I7),I7,LEFT(I7,1)),"")</f>
        <v>S_M_1_N_0_1</v>
      </c>
      <c r="M7" s="140"/>
      <c r="N7" s="5"/>
    </row>
    <row r="8" spans="1:17">
      <c r="A8" s="365" t="s">
        <v>899</v>
      </c>
      <c r="B8" s="378" t="s">
        <v>1096</v>
      </c>
      <c r="C8" s="366" t="str">
        <f>IF(B8&lt;&gt;"",A8,"")</f>
        <v>Low</v>
      </c>
      <c r="E8" s="369">
        <v>5</v>
      </c>
      <c r="F8" s="378" t="s">
        <v>1096</v>
      </c>
      <c r="G8" s="366">
        <f t="shared" si="0"/>
        <v>5</v>
      </c>
      <c r="I8" s="383">
        <f>InputFiles!D1</f>
        <v>2</v>
      </c>
      <c r="J8" s="378" t="s">
        <v>1096</v>
      </c>
      <c r="K8" s="20">
        <f t="shared" si="1"/>
        <v>2</v>
      </c>
      <c r="L8" s="465" t="str">
        <f t="shared" si="2"/>
        <v>S_M_1_N_0_2</v>
      </c>
      <c r="M8" s="140"/>
      <c r="N8" s="5"/>
    </row>
    <row r="9" spans="1:17">
      <c r="A9" s="365" t="s">
        <v>898</v>
      </c>
      <c r="B9" s="378" t="s">
        <v>1096</v>
      </c>
      <c r="C9" s="366" t="str">
        <f>IF(B9&lt;&gt;"",A9,"")</f>
        <v>Med</v>
      </c>
      <c r="E9" s="369">
        <v>6</v>
      </c>
      <c r="F9" s="378" t="s">
        <v>1096</v>
      </c>
      <c r="G9" s="366">
        <f t="shared" si="0"/>
        <v>6</v>
      </c>
      <c r="I9" s="383">
        <f>InputFiles!E1</f>
        <v>3</v>
      </c>
      <c r="J9" s="378"/>
      <c r="K9" s="20" t="str">
        <f t="shared" si="1"/>
        <v/>
      </c>
      <c r="L9" s="465" t="str">
        <f t="shared" si="2"/>
        <v/>
      </c>
      <c r="M9" s="140"/>
      <c r="N9" s="5"/>
    </row>
    <row r="10" spans="1:17" ht="15" thickBot="1">
      <c r="A10" s="367" t="s">
        <v>900</v>
      </c>
      <c r="B10" s="379" t="s">
        <v>1096</v>
      </c>
      <c r="C10" s="368" t="str">
        <f>IF(B10&lt;&gt;"",A10,"")</f>
        <v>High</v>
      </c>
      <c r="E10" s="369">
        <v>7</v>
      </c>
      <c r="F10" s="378" t="s">
        <v>1096</v>
      </c>
      <c r="G10" s="366">
        <f t="shared" si="0"/>
        <v>7</v>
      </c>
      <c r="I10" s="383">
        <f>InputFiles!F1</f>
        <v>4</v>
      </c>
      <c r="J10" s="378" t="s">
        <v>1096</v>
      </c>
      <c r="K10" s="20">
        <f t="shared" si="1"/>
        <v>4</v>
      </c>
      <c r="L10" s="465" t="str">
        <f t="shared" si="2"/>
        <v>S_M_1_N_0_4</v>
      </c>
      <c r="M10" s="140"/>
      <c r="N10" s="5"/>
    </row>
    <row r="11" spans="1:17" ht="15" thickBot="1">
      <c r="E11" s="369">
        <v>8</v>
      </c>
      <c r="F11" s="378" t="s">
        <v>1096</v>
      </c>
      <c r="G11" s="366">
        <f t="shared" si="0"/>
        <v>8</v>
      </c>
      <c r="I11" s="383">
        <f>InputFiles!G1</f>
        <v>5</v>
      </c>
      <c r="J11" s="378"/>
      <c r="K11" s="20" t="str">
        <f t="shared" si="1"/>
        <v/>
      </c>
      <c r="L11" s="465" t="str">
        <f t="shared" si="2"/>
        <v/>
      </c>
      <c r="M11" s="140"/>
      <c r="N11" s="5"/>
    </row>
    <row r="12" spans="1:17" ht="15">
      <c r="A12" s="375" t="s">
        <v>883</v>
      </c>
      <c r="B12" s="371"/>
      <c r="C12" s="372">
        <v>1</v>
      </c>
      <c r="E12" s="369">
        <v>9</v>
      </c>
      <c r="F12" s="378" t="s">
        <v>1096</v>
      </c>
      <c r="G12" s="366">
        <f t="shared" si="0"/>
        <v>9</v>
      </c>
      <c r="I12" s="383">
        <f>InputFiles!H1</f>
        <v>6</v>
      </c>
      <c r="J12" s="378"/>
      <c r="K12" s="20" t="str">
        <f t="shared" si="1"/>
        <v/>
      </c>
      <c r="L12" s="465" t="str">
        <f t="shared" si="2"/>
        <v/>
      </c>
      <c r="M12" s="140"/>
      <c r="N12" s="5"/>
    </row>
    <row r="13" spans="1:17">
      <c r="A13" s="365">
        <v>1</v>
      </c>
      <c r="B13" s="378" t="s">
        <v>1096</v>
      </c>
      <c r="C13" s="366">
        <f>IF(B13&lt;&gt;"",A13,"")</f>
        <v>1</v>
      </c>
      <c r="E13" s="369">
        <v>10</v>
      </c>
      <c r="F13" s="378" t="s">
        <v>1096</v>
      </c>
      <c r="G13" s="366">
        <f t="shared" si="0"/>
        <v>10</v>
      </c>
      <c r="I13" s="383">
        <f>InputFiles!I1</f>
        <v>7</v>
      </c>
      <c r="J13" s="378" t="s">
        <v>1096</v>
      </c>
      <c r="K13" s="20">
        <f t="shared" si="1"/>
        <v>7</v>
      </c>
      <c r="L13" s="465" t="str">
        <f t="shared" si="2"/>
        <v>S_M_1_N_0_7</v>
      </c>
      <c r="M13" s="140"/>
      <c r="N13" s="5"/>
    </row>
    <row r="14" spans="1:17">
      <c r="A14" s="365">
        <v>2</v>
      </c>
      <c r="B14" s="378"/>
      <c r="C14" s="366" t="str">
        <f>IF(B14&lt;&gt;"",A14,"")</f>
        <v/>
      </c>
      <c r="E14" s="369">
        <v>11</v>
      </c>
      <c r="F14" s="378" t="s">
        <v>1096</v>
      </c>
      <c r="G14" s="366">
        <f t="shared" si="0"/>
        <v>11</v>
      </c>
      <c r="I14" s="383">
        <f>InputFiles!J1</f>
        <v>8</v>
      </c>
      <c r="J14" s="378"/>
      <c r="K14" s="20" t="str">
        <f t="shared" si="1"/>
        <v/>
      </c>
      <c r="L14" s="465" t="str">
        <f t="shared" si="2"/>
        <v/>
      </c>
      <c r="M14" s="140"/>
      <c r="N14" s="5"/>
    </row>
    <row r="15" spans="1:17" ht="15" thickBot="1">
      <c r="A15" s="367"/>
      <c r="B15" s="379"/>
      <c r="C15" s="368"/>
      <c r="E15" s="369">
        <v>12</v>
      </c>
      <c r="F15" s="378" t="s">
        <v>1096</v>
      </c>
      <c r="G15" s="366">
        <f t="shared" si="0"/>
        <v>12</v>
      </c>
      <c r="I15" s="383">
        <f>InputFiles!K1</f>
        <v>9</v>
      </c>
      <c r="J15" s="378"/>
      <c r="K15" s="20" t="str">
        <f t="shared" si="1"/>
        <v/>
      </c>
      <c r="L15" s="465" t="str">
        <f t="shared" si="2"/>
        <v/>
      </c>
      <c r="M15" s="140"/>
      <c r="N15" s="5"/>
    </row>
    <row r="16" spans="1:17" ht="15" thickBot="1">
      <c r="E16" s="369">
        <v>13</v>
      </c>
      <c r="F16" s="378" t="s">
        <v>1096</v>
      </c>
      <c r="G16" s="366">
        <f t="shared" si="0"/>
        <v>13</v>
      </c>
      <c r="I16" s="383">
        <f>InputFiles!L1</f>
        <v>10</v>
      </c>
      <c r="J16" s="378"/>
      <c r="K16" s="20" t="str">
        <f t="shared" si="1"/>
        <v/>
      </c>
      <c r="L16" s="465" t="str">
        <f t="shared" si="2"/>
        <v/>
      </c>
      <c r="M16" s="140"/>
      <c r="N16" s="5"/>
    </row>
    <row r="17" spans="1:17" ht="15">
      <c r="A17" s="375" t="s">
        <v>907</v>
      </c>
      <c r="B17" s="371"/>
      <c r="C17" s="372">
        <v>1</v>
      </c>
      <c r="E17" s="369">
        <v>14</v>
      </c>
      <c r="F17" s="378" t="s">
        <v>1096</v>
      </c>
      <c r="G17" s="366">
        <f t="shared" si="0"/>
        <v>14</v>
      </c>
      <c r="I17" s="383">
        <f>InputFiles!M1</f>
        <v>11</v>
      </c>
      <c r="J17" s="378"/>
      <c r="K17" s="20" t="str">
        <f t="shared" si="1"/>
        <v/>
      </c>
      <c r="L17" s="465" t="str">
        <f t="shared" si="2"/>
        <v/>
      </c>
      <c r="M17" s="140"/>
      <c r="N17" s="5"/>
    </row>
    <row r="18" spans="1:17">
      <c r="A18" s="365">
        <v>0</v>
      </c>
      <c r="B18" s="378" t="s">
        <v>1096</v>
      </c>
      <c r="C18" s="366">
        <f>IF(B18&lt;&gt;"",A18,"")</f>
        <v>0</v>
      </c>
      <c r="E18" s="369">
        <v>15</v>
      </c>
      <c r="F18" s="378"/>
      <c r="G18" s="366" t="str">
        <f t="shared" si="0"/>
        <v/>
      </c>
      <c r="I18" s="383">
        <f>InputFiles!N1</f>
        <v>12</v>
      </c>
      <c r="J18" s="378"/>
      <c r="K18" s="20" t="str">
        <f t="shared" si="1"/>
        <v/>
      </c>
      <c r="L18" s="465" t="str">
        <f t="shared" si="2"/>
        <v/>
      </c>
      <c r="M18" s="140"/>
      <c r="N18" s="5"/>
    </row>
    <row r="19" spans="1:17">
      <c r="A19" s="365">
        <v>0.5</v>
      </c>
      <c r="B19" s="378" t="s">
        <v>1096</v>
      </c>
      <c r="C19" s="366">
        <f>IF(B19&lt;&gt;"",A19,"")</f>
        <v>0.5</v>
      </c>
      <c r="E19" s="369">
        <v>16</v>
      </c>
      <c r="F19" s="378"/>
      <c r="G19" s="366" t="str">
        <f t="shared" si="0"/>
        <v/>
      </c>
      <c r="I19" s="383">
        <f>InputFiles!O1</f>
        <v>13</v>
      </c>
      <c r="J19" s="378"/>
      <c r="K19" s="20" t="str">
        <f t="shared" si="1"/>
        <v/>
      </c>
      <c r="L19" s="465" t="str">
        <f t="shared" si="2"/>
        <v/>
      </c>
      <c r="M19" s="140"/>
      <c r="N19" s="5"/>
    </row>
    <row r="20" spans="1:17" ht="15" thickBot="1">
      <c r="A20" s="367">
        <v>1</v>
      </c>
      <c r="B20" s="379" t="s">
        <v>1096</v>
      </c>
      <c r="C20" s="373">
        <f>IF(B20&lt;&gt;"",A20,"")</f>
        <v>1</v>
      </c>
      <c r="E20" s="369">
        <v>17</v>
      </c>
      <c r="F20" s="378"/>
      <c r="G20" s="366" t="str">
        <f t="shared" si="0"/>
        <v/>
      </c>
      <c r="I20" s="383">
        <f>InputFiles!P1</f>
        <v>14</v>
      </c>
      <c r="J20" s="378"/>
      <c r="K20" s="20" t="str">
        <f t="shared" si="1"/>
        <v/>
      </c>
      <c r="L20" s="465" t="str">
        <f t="shared" si="2"/>
        <v/>
      </c>
      <c r="M20" s="140"/>
      <c r="N20" s="5"/>
    </row>
    <row r="21" spans="1:17" ht="15" thickBot="1">
      <c r="E21" s="369">
        <v>18</v>
      </c>
      <c r="F21" s="378"/>
      <c r="G21" s="366" t="str">
        <f t="shared" si="0"/>
        <v/>
      </c>
      <c r="I21" s="383">
        <f>InputFiles!Q1</f>
        <v>15</v>
      </c>
      <c r="J21" s="378"/>
      <c r="K21" s="20" t="str">
        <f t="shared" si="1"/>
        <v/>
      </c>
      <c r="L21" s="465" t="str">
        <f t="shared" si="2"/>
        <v/>
      </c>
      <c r="M21" s="140"/>
      <c r="N21" s="5"/>
    </row>
    <row r="22" spans="1:17" ht="15">
      <c r="A22" s="375" t="s">
        <v>1062</v>
      </c>
      <c r="B22" s="371"/>
      <c r="C22" s="372" t="s">
        <v>1250</v>
      </c>
      <c r="E22" s="369">
        <v>19</v>
      </c>
      <c r="F22" s="378"/>
      <c r="G22" s="366" t="str">
        <f t="shared" si="0"/>
        <v/>
      </c>
      <c r="I22" s="383" t="str">
        <f>InputFiles!R1</f>
        <v>Orlando</v>
      </c>
      <c r="J22" s="378" t="s">
        <v>1096</v>
      </c>
      <c r="K22" s="20" t="str">
        <f t="shared" si="1"/>
        <v>Orlando</v>
      </c>
      <c r="L22" s="465" t="str">
        <f t="shared" si="2"/>
        <v>S_M_1_N_0_O</v>
      </c>
      <c r="M22" s="140"/>
      <c r="N22" s="5"/>
    </row>
    <row r="23" spans="1:17" ht="15" thickBot="1">
      <c r="A23" s="365" t="s">
        <v>888</v>
      </c>
      <c r="B23" s="378" t="s">
        <v>1096</v>
      </c>
      <c r="C23" s="366" t="str">
        <f>IF(B23&lt;&gt;"",A23,"")</f>
        <v>new</v>
      </c>
      <c r="E23" s="370">
        <v>20</v>
      </c>
      <c r="F23" s="379"/>
      <c r="G23" s="368" t="str">
        <f t="shared" si="0"/>
        <v/>
      </c>
      <c r="I23" s="384" t="str">
        <f>InputFiles!S1</f>
        <v>Charleston</v>
      </c>
      <c r="J23" s="379" t="s">
        <v>1096</v>
      </c>
      <c r="K23" s="466" t="str">
        <f t="shared" si="1"/>
        <v>Charleston</v>
      </c>
      <c r="L23" s="467" t="str">
        <f t="shared" si="2"/>
        <v>S_M_1_N_0_C</v>
      </c>
      <c r="M23" s="140"/>
      <c r="N23" s="5"/>
    </row>
    <row r="24" spans="1:17" ht="15" thickBot="1">
      <c r="A24" s="365" t="s">
        <v>889</v>
      </c>
      <c r="B24" s="378"/>
      <c r="C24" s="366" t="str">
        <f>IF(B24&lt;&gt;"",A24,"")</f>
        <v/>
      </c>
      <c r="F24" s="140"/>
      <c r="G24" s="5"/>
      <c r="H24" s="13"/>
      <c r="J24" s="140"/>
      <c r="K24" s="2"/>
      <c r="M24" s="140"/>
      <c r="N24" s="5"/>
      <c r="P24" s="140"/>
      <c r="Q24" s="5"/>
    </row>
    <row r="25" spans="1:17" ht="15" thickBot="1">
      <c r="A25" s="367"/>
      <c r="B25" s="379"/>
      <c r="C25" s="373" t="str">
        <f>IF(B25&lt;&gt;"",A25,"")</f>
        <v/>
      </c>
      <c r="F25" s="290"/>
      <c r="I25" s="382" t="s">
        <v>1225</v>
      </c>
      <c r="J25" s="468"/>
      <c r="K25" s="469">
        <f>COUNTA(B3:B5)*COUNTA(B8:B10)*COUNTA(B13:B14)*COUNTA(B18:B20) * COUNTA(B28:B33)*COUNTA(B36:B37)*COUNTA(F3:F23)*COUNTA(J7:J23)</f>
        <v>2430</v>
      </c>
      <c r="M25" s="290"/>
      <c r="P25" s="290"/>
    </row>
    <row r="26" spans="1:17" ht="15" thickBot="1">
      <c r="F26" s="290"/>
      <c r="J26" s="290"/>
      <c r="M26" s="290"/>
      <c r="P26" s="290"/>
    </row>
    <row r="27" spans="1:17" ht="15">
      <c r="A27" s="375" t="s">
        <v>1099</v>
      </c>
      <c r="B27" s="371"/>
      <c r="C27" s="372">
        <v>1.5</v>
      </c>
      <c r="F27" s="290"/>
      <c r="M27" s="290"/>
      <c r="P27" s="290"/>
    </row>
    <row r="28" spans="1:17">
      <c r="A28" s="365">
        <v>10</v>
      </c>
      <c r="B28" s="385"/>
      <c r="C28" s="366" t="str">
        <f t="shared" ref="C28:C33" si="3">IF(B28&lt;&gt;"",A28,"")</f>
        <v/>
      </c>
      <c r="F28" s="290"/>
      <c r="J28" s="290"/>
      <c r="M28" s="290"/>
      <c r="P28" s="290"/>
    </row>
    <row r="29" spans="1:17">
      <c r="A29" s="365">
        <v>7</v>
      </c>
      <c r="B29" s="386"/>
      <c r="C29" s="366" t="str">
        <f t="shared" si="3"/>
        <v/>
      </c>
      <c r="F29" s="290"/>
      <c r="J29" s="290"/>
      <c r="M29" s="290"/>
      <c r="P29" s="290"/>
    </row>
    <row r="30" spans="1:17">
      <c r="A30" s="365">
        <v>5</v>
      </c>
      <c r="B30" s="386"/>
      <c r="C30" s="366" t="str">
        <f t="shared" si="3"/>
        <v/>
      </c>
      <c r="F30" s="290"/>
      <c r="J30" s="290"/>
      <c r="M30" s="290"/>
      <c r="P30" s="290"/>
    </row>
    <row r="31" spans="1:17">
      <c r="A31" s="365">
        <v>3</v>
      </c>
      <c r="B31" s="386" t="s">
        <v>1096</v>
      </c>
      <c r="C31" s="366">
        <f t="shared" si="3"/>
        <v>3</v>
      </c>
      <c r="F31" s="290"/>
      <c r="J31" s="290"/>
      <c r="M31" s="290"/>
      <c r="P31" s="290"/>
    </row>
    <row r="32" spans="1:17">
      <c r="A32" s="365">
        <v>1.5</v>
      </c>
      <c r="B32" s="386"/>
      <c r="C32" s="366" t="str">
        <f t="shared" si="3"/>
        <v/>
      </c>
      <c r="F32" s="290"/>
      <c r="J32" s="290"/>
      <c r="M32" s="290"/>
      <c r="P32" s="290"/>
    </row>
    <row r="33" spans="1:16" ht="15" thickBot="1">
      <c r="A33" s="367">
        <v>0.6</v>
      </c>
      <c r="B33" s="387"/>
      <c r="C33" s="368" t="str">
        <f t="shared" si="3"/>
        <v/>
      </c>
      <c r="F33" s="290"/>
      <c r="J33" s="290"/>
      <c r="M33" s="290"/>
      <c r="P33" s="290"/>
    </row>
    <row r="34" spans="1:16" ht="15" thickBot="1"/>
    <row r="35" spans="1:16" ht="15">
      <c r="A35" s="375" t="s">
        <v>922</v>
      </c>
      <c r="B35" s="371"/>
      <c r="C35" s="372" t="s">
        <v>920</v>
      </c>
    </row>
    <row r="36" spans="1:16">
      <c r="A36" s="365" t="s">
        <v>920</v>
      </c>
      <c r="B36" s="378" t="s">
        <v>1096</v>
      </c>
      <c r="C36" s="366" t="str">
        <f>IF(B36&lt;&gt;"",A36,"")</f>
        <v>CFIS</v>
      </c>
    </row>
    <row r="37" spans="1:16">
      <c r="A37" s="365" t="s">
        <v>921</v>
      </c>
      <c r="B37" s="378"/>
      <c r="C37" s="366" t="str">
        <f>IF(B37&lt;&gt;"",A37,"")</f>
        <v/>
      </c>
    </row>
    <row r="38" spans="1:16" ht="15" thickBot="1">
      <c r="A38" s="367"/>
      <c r="B38" s="379"/>
      <c r="C38" s="368" t="str">
        <f>IF(B38&lt;&gt;"",A38,"")</f>
        <v/>
      </c>
    </row>
    <row r="39" spans="1:16" ht="15" thickBot="1"/>
    <row r="40" spans="1:16" ht="15">
      <c r="A40" s="375" t="s">
        <v>1249</v>
      </c>
      <c r="B40" s="371"/>
      <c r="C40" s="372" t="s">
        <v>1324</v>
      </c>
    </row>
    <row r="41" spans="1:16">
      <c r="A41" s="365" t="s">
        <v>1228</v>
      </c>
      <c r="B41" s="378" t="s">
        <v>1096</v>
      </c>
      <c r="C41" s="366" t="str">
        <f>IF(B41&lt;&gt;"",A41,"")</f>
        <v>Yes</v>
      </c>
    </row>
    <row r="42" spans="1:16">
      <c r="A42" s="365" t="s">
        <v>1324</v>
      </c>
      <c r="B42" s="378" t="s">
        <v>1096</v>
      </c>
      <c r="C42" s="366" t="str">
        <f>IF(B42&lt;&gt;"",A42,"")</f>
        <v>No</v>
      </c>
    </row>
    <row r="43" spans="1:16" ht="15" thickBot="1">
      <c r="A43" s="367"/>
      <c r="B43" s="379"/>
      <c r="C43" s="368" t="str">
        <f>IF(B43&lt;&gt;"",A43,"")</f>
        <v/>
      </c>
    </row>
  </sheetData>
  <dataValidations count="9">
    <dataValidation type="list" allowBlank="1" showInputMessage="1" showErrorMessage="1" sqref="C27">
      <formula1>luAirtightness</formula1>
    </dataValidation>
    <dataValidation type="list" allowBlank="1" showInputMessage="1" showErrorMessage="1" sqref="C12">
      <formula1>luStories</formula1>
    </dataValidation>
    <dataValidation type="list" allowBlank="1" showInputMessage="1" showErrorMessage="1" sqref="C2">
      <formula1>luHomeSize</formula1>
    </dataValidation>
    <dataValidation type="list" allowBlank="1" showInputMessage="1" showErrorMessage="1" sqref="C7">
      <formula1>luOccDensity</formula1>
    </dataValidation>
    <dataValidation type="list" allowBlank="1" showInputMessage="1" showErrorMessage="1" sqref="C17">
      <formula1>luFanSize</formula1>
    </dataValidation>
    <dataValidation type="list" allowBlank="1" showInputMessage="1" showErrorMessage="1" sqref="C22">
      <formula1>luAge</formula1>
    </dataValidation>
    <dataValidation type="list" allowBlank="1" showInputMessage="1" showErrorMessage="1" sqref="C35">
      <formula1>luVentSystem</formula1>
    </dataValidation>
    <dataValidation type="list" allowBlank="1" showInputMessage="1" showErrorMessage="1" sqref="G2">
      <formula1>luHumControl</formula1>
    </dataValidation>
    <dataValidation type="list" allowBlank="1" showInputMessage="1" showErrorMessage="1" sqref="C40">
      <formula1>luDehumid</formula1>
    </dataValidation>
  </dataValidation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Y191"/>
  <sheetViews>
    <sheetView tabSelected="1" workbookViewId="0">
      <pane ySplit="1" topLeftCell="A13" activePane="bottomLeft" state="frozen"/>
      <selection pane="bottomLeft" activeCell="F34" sqref="F34"/>
    </sheetView>
  </sheetViews>
  <sheetFormatPr baseColWidth="10" defaultRowHeight="14" x14ac:dyDescent="0"/>
  <cols>
    <col min="1" max="1" width="16.33203125" style="290" bestFit="1" customWidth="1"/>
    <col min="2" max="2" width="18.5" bestFit="1" customWidth="1"/>
    <col min="3" max="3" width="14.83203125" customWidth="1"/>
    <col min="4" max="4" width="43.5" bestFit="1" customWidth="1"/>
    <col min="5" max="5" width="40.6640625" customWidth="1"/>
    <col min="6" max="6" width="26.33203125" bestFit="1" customWidth="1"/>
    <col min="7" max="7" width="11.33203125" bestFit="1" customWidth="1"/>
    <col min="8" max="8" width="3.1640625" customWidth="1"/>
    <col min="9" max="9" width="20.6640625" customWidth="1"/>
    <col min="10" max="10" width="7" bestFit="1" customWidth="1"/>
    <col min="11" max="11" width="2" style="290" bestFit="1" customWidth="1"/>
    <col min="13" max="13" width="3.6640625" customWidth="1"/>
    <col min="14" max="14" width="13.1640625" bestFit="1" customWidth="1"/>
    <col min="15" max="15" width="2" style="290" bestFit="1" customWidth="1"/>
    <col min="16" max="16" width="5" customWidth="1"/>
    <col min="18" max="18" width="2" style="290" bestFit="1" customWidth="1"/>
    <col min="20" max="20" width="16.1640625" bestFit="1" customWidth="1"/>
    <col min="21" max="21" width="2" style="290" bestFit="1" customWidth="1"/>
    <col min="22" max="22" width="13.6640625" bestFit="1" customWidth="1"/>
    <col min="23" max="23" width="8.1640625" bestFit="1" customWidth="1"/>
    <col min="24" max="24" width="13.1640625" bestFit="1" customWidth="1"/>
    <col min="25" max="25" width="2" style="290" bestFit="1" customWidth="1"/>
  </cols>
  <sheetData>
    <row r="1" spans="1:23" s="290" customFormat="1" ht="25" customHeight="1">
      <c r="A1" s="374" t="s">
        <v>1104</v>
      </c>
      <c r="B1" s="290" t="s">
        <v>1116</v>
      </c>
      <c r="C1" s="290" t="s">
        <v>541</v>
      </c>
      <c r="D1" s="290" t="s">
        <v>0</v>
      </c>
      <c r="E1" s="290" t="s">
        <v>1</v>
      </c>
      <c r="F1" s="290" t="s">
        <v>2</v>
      </c>
      <c r="G1" s="290" t="s">
        <v>3</v>
      </c>
    </row>
    <row r="2" spans="1:23">
      <c r="A2" s="290" t="s">
        <v>1016</v>
      </c>
      <c r="B2" t="s">
        <v>1105</v>
      </c>
      <c r="C2" s="413" t="str">
        <f>Weather!B26</f>
        <v>722020TYA.CSV</v>
      </c>
      <c r="D2" t="s">
        <v>1007</v>
      </c>
      <c r="G2" t="s">
        <v>1224</v>
      </c>
      <c r="I2" s="350" t="s">
        <v>1266</v>
      </c>
    </row>
    <row r="3" spans="1:23">
      <c r="B3" s="290" t="s">
        <v>1003</v>
      </c>
      <c r="C3" s="412" t="str">
        <f>'Internal gains'!B24</f>
        <v>sched1.txt</v>
      </c>
      <c r="D3" t="s">
        <v>1008</v>
      </c>
      <c r="G3" t="s">
        <v>336</v>
      </c>
      <c r="I3" s="381" t="s">
        <v>1267</v>
      </c>
    </row>
    <row r="4" spans="1:23">
      <c r="B4" s="290" t="s">
        <v>1004</v>
      </c>
      <c r="C4" s="381" t="s">
        <v>1014</v>
      </c>
      <c r="D4" t="s">
        <v>1009</v>
      </c>
      <c r="G4" t="s">
        <v>11</v>
      </c>
      <c r="I4" s="412" t="s">
        <v>1290</v>
      </c>
    </row>
    <row r="5" spans="1:23">
      <c r="B5" s="290" t="s">
        <v>1005</v>
      </c>
      <c r="C5" s="381" t="s">
        <v>1013</v>
      </c>
      <c r="D5" t="s">
        <v>1010</v>
      </c>
      <c r="G5" t="s">
        <v>11</v>
      </c>
      <c r="I5" s="413" t="s">
        <v>1268</v>
      </c>
    </row>
    <row r="6" spans="1:23">
      <c r="A6" s="408"/>
      <c r="B6" s="408" t="s">
        <v>1006</v>
      </c>
      <c r="C6" s="381" t="s">
        <v>1012</v>
      </c>
      <c r="D6" s="408" t="s">
        <v>1011</v>
      </c>
      <c r="E6" s="408"/>
      <c r="F6" s="408"/>
      <c r="G6" s="408" t="s">
        <v>11</v>
      </c>
      <c r="W6" s="5"/>
    </row>
    <row r="7" spans="1:23">
      <c r="A7" s="1" t="s">
        <v>1015</v>
      </c>
      <c r="B7" t="s">
        <v>1357</v>
      </c>
      <c r="C7" s="414">
        <f>Leakage!H32</f>
        <v>1.5620281250000001E-2</v>
      </c>
      <c r="D7" t="s">
        <v>1123</v>
      </c>
      <c r="E7" t="s">
        <v>5</v>
      </c>
      <c r="F7" t="s">
        <v>6</v>
      </c>
      <c r="G7" t="s">
        <v>7</v>
      </c>
      <c r="W7" s="5"/>
    </row>
    <row r="8" spans="1:23">
      <c r="B8" t="s">
        <v>1092</v>
      </c>
      <c r="C8" s="415">
        <f>n</f>
        <v>0.65</v>
      </c>
      <c r="D8" t="s">
        <v>9</v>
      </c>
      <c r="E8" t="s">
        <v>10</v>
      </c>
      <c r="G8" t="s">
        <v>7</v>
      </c>
      <c r="W8" s="5"/>
    </row>
    <row r="9" spans="1:23" s="290" customFormat="1">
      <c r="B9" s="290" t="s">
        <v>1352</v>
      </c>
      <c r="C9" s="415">
        <f>VLOOKUP(Stories, InfiltrationModelCoefficients!A3:B5, 2, FALSE)</f>
        <v>0.48</v>
      </c>
      <c r="D9" s="290" t="s">
        <v>1359</v>
      </c>
      <c r="W9" s="305"/>
    </row>
    <row r="10" spans="1:23" s="290" customFormat="1">
      <c r="B10" s="263" t="s">
        <v>1345</v>
      </c>
      <c r="C10" s="415">
        <f>IF(Nflue=0,InfiltrationModelCoefficients!C10,VLOOKUP(Stories,InfiltrationModelCoefficients!A11:C13,3,FALSE))</f>
        <v>0.5</v>
      </c>
      <c r="D10" s="263" t="s">
        <v>1360</v>
      </c>
      <c r="W10" s="305"/>
    </row>
    <row r="11" spans="1:23" s="290" customFormat="1">
      <c r="B11" s="263" t="s">
        <v>1354</v>
      </c>
      <c r="C11" s="415">
        <f>IF(Nflue=0,VLOOKUP(Stories, InfiltrationModelCoefficients!A28:C30,3,FALSE),VLOOKUP(Stories,InfiltrationModelCoefficients!A31:C33,3,FALSE))</f>
        <v>5.3999999999999999E-2</v>
      </c>
      <c r="D11" s="263" t="s">
        <v>1361</v>
      </c>
      <c r="W11" s="305"/>
    </row>
    <row r="12" spans="1:23" s="290" customFormat="1">
      <c r="B12" s="263" t="s">
        <v>1358</v>
      </c>
      <c r="C12" s="415">
        <f>IF(Nflue=0,  VLOOKUP(Stories, InfiltrationModelCoefficients!A18:D20,4, FALSE), VLOOKUP(Stories, InfiltrationModelCoefficients!A21:D23, 4, FALSE))</f>
        <v>0.128</v>
      </c>
      <c r="D12" s="263" t="s">
        <v>1362</v>
      </c>
      <c r="W12" s="305"/>
    </row>
    <row r="13" spans="1:23">
      <c r="B13" t="s">
        <v>1091</v>
      </c>
      <c r="C13" s="415">
        <f>H_soffitSI</f>
        <v>2.9499999999999997</v>
      </c>
      <c r="D13" t="s">
        <v>12</v>
      </c>
      <c r="E13" t="s">
        <v>13</v>
      </c>
      <c r="G13" t="s">
        <v>14</v>
      </c>
      <c r="W13" s="5"/>
    </row>
    <row r="14" spans="1:23">
      <c r="B14" t="s">
        <v>15</v>
      </c>
      <c r="C14" s="415">
        <f>Leakage!H10</f>
        <v>0.5</v>
      </c>
      <c r="D14" t="s">
        <v>497</v>
      </c>
      <c r="E14" t="s">
        <v>17</v>
      </c>
      <c r="F14" t="s">
        <v>16</v>
      </c>
      <c r="G14" t="s">
        <v>7</v>
      </c>
      <c r="W14" s="5"/>
    </row>
    <row r="15" spans="1:23">
      <c r="A15" s="408"/>
      <c r="B15" s="408" t="s">
        <v>18</v>
      </c>
      <c r="C15" s="416">
        <f>Leakage!H11</f>
        <v>0</v>
      </c>
      <c r="D15" s="408" t="s">
        <v>498</v>
      </c>
      <c r="E15" s="408"/>
      <c r="F15" s="408" t="s">
        <v>16</v>
      </c>
      <c r="G15" s="408" t="s">
        <v>7</v>
      </c>
      <c r="W15" s="5"/>
    </row>
    <row r="16" spans="1:23">
      <c r="A16" s="290" t="s">
        <v>19</v>
      </c>
      <c r="B16" t="s">
        <v>1106</v>
      </c>
      <c r="C16" s="519">
        <f>Nflue</f>
        <v>0</v>
      </c>
      <c r="D16" t="s">
        <v>20</v>
      </c>
      <c r="G16" t="s">
        <v>22</v>
      </c>
      <c r="W16" s="5"/>
    </row>
    <row r="17" spans="1:25">
      <c r="B17" t="s">
        <v>1291</v>
      </c>
      <c r="C17" s="520">
        <f>Flue!C10</f>
        <v>1.9281086206186945E-2</v>
      </c>
      <c r="E17" t="s">
        <v>21</v>
      </c>
      <c r="F17" t="s">
        <v>16</v>
      </c>
      <c r="G17" t="s">
        <v>22</v>
      </c>
      <c r="W17" s="5"/>
    </row>
    <row r="18" spans="1:25">
      <c r="B18" t="s">
        <v>1118</v>
      </c>
      <c r="C18" s="417">
        <f>H_flueSI</f>
        <v>4.128333333333333</v>
      </c>
      <c r="D18" t="s">
        <v>23</v>
      </c>
      <c r="G18" t="s">
        <v>24</v>
      </c>
      <c r="W18" s="5"/>
    </row>
    <row r="19" spans="1:25">
      <c r="B19" t="s">
        <v>1119</v>
      </c>
      <c r="C19" s="424">
        <f>Flue!C11</f>
        <v>-99</v>
      </c>
      <c r="D19" t="s">
        <v>455</v>
      </c>
      <c r="E19" t="s">
        <v>26</v>
      </c>
      <c r="G19" s="290" t="s">
        <v>22</v>
      </c>
      <c r="W19" s="5"/>
    </row>
    <row r="20" spans="1:25">
      <c r="B20" s="290" t="s">
        <v>1292</v>
      </c>
      <c r="C20" s="520">
        <f>Flue!D10</f>
        <v>1.9281086206186945E-2</v>
      </c>
      <c r="E20" t="s">
        <v>546</v>
      </c>
      <c r="G20" t="s">
        <v>22</v>
      </c>
      <c r="W20" s="5"/>
    </row>
    <row r="21" spans="1:25">
      <c r="B21" s="290" t="s">
        <v>1121</v>
      </c>
      <c r="C21" s="417">
        <f>H_flueSI</f>
        <v>4.128333333333333</v>
      </c>
      <c r="D21" t="s">
        <v>23</v>
      </c>
      <c r="G21" t="s">
        <v>24</v>
      </c>
      <c r="W21" s="5"/>
    </row>
    <row r="22" spans="1:25">
      <c r="A22" s="408"/>
      <c r="B22" s="408" t="s">
        <v>1122</v>
      </c>
      <c r="C22" s="416">
        <f>Flue!D11</f>
        <v>-99</v>
      </c>
      <c r="D22" s="408" t="s">
        <v>25</v>
      </c>
      <c r="E22" s="408"/>
      <c r="F22" s="408"/>
      <c r="G22" s="408" t="s">
        <v>22</v>
      </c>
      <c r="W22" s="5"/>
    </row>
    <row r="23" spans="1:25">
      <c r="A23" s="290" t="s">
        <v>27</v>
      </c>
      <c r="B23" t="s">
        <v>1107</v>
      </c>
      <c r="C23" s="417">
        <f>Leakage!M5</f>
        <v>0.33333333333333331</v>
      </c>
      <c r="D23" t="s">
        <v>427</v>
      </c>
      <c r="E23" t="s">
        <v>29</v>
      </c>
      <c r="G23" t="s">
        <v>7</v>
      </c>
      <c r="W23" s="5"/>
    </row>
    <row r="24" spans="1:25">
      <c r="B24" t="s">
        <v>1108</v>
      </c>
      <c r="C24" s="417">
        <f>C23</f>
        <v>0.33333333333333331</v>
      </c>
      <c r="D24" t="s">
        <v>428</v>
      </c>
      <c r="G24" t="s">
        <v>7</v>
      </c>
      <c r="W24" s="5"/>
    </row>
    <row r="25" spans="1:25">
      <c r="B25" t="s">
        <v>1109</v>
      </c>
      <c r="C25" s="417">
        <f>Leakage!M6</f>
        <v>0.16666666666666666</v>
      </c>
      <c r="D25" t="s">
        <v>429</v>
      </c>
      <c r="G25" t="s">
        <v>7</v>
      </c>
      <c r="W25" s="5"/>
    </row>
    <row r="26" spans="1:25">
      <c r="B26" s="408" t="s">
        <v>1110</v>
      </c>
      <c r="C26" s="418">
        <f>C25</f>
        <v>0.16666666666666666</v>
      </c>
      <c r="D26" s="408" t="s">
        <v>430</v>
      </c>
      <c r="E26" s="408"/>
      <c r="F26" s="408"/>
      <c r="G26" s="408" t="s">
        <v>7</v>
      </c>
      <c r="W26" s="5"/>
    </row>
    <row r="27" spans="1:25">
      <c r="B27" t="s">
        <v>1111</v>
      </c>
      <c r="C27" s="417">
        <f>C23</f>
        <v>0.33333333333333331</v>
      </c>
      <c r="D27" t="s">
        <v>33</v>
      </c>
      <c r="E27" t="s">
        <v>34</v>
      </c>
      <c r="G27" t="s">
        <v>7</v>
      </c>
      <c r="W27" s="5"/>
    </row>
    <row r="28" spans="1:25">
      <c r="B28" t="s">
        <v>1112</v>
      </c>
      <c r="C28" s="417">
        <f>C24</f>
        <v>0.33333333333333331</v>
      </c>
      <c r="D28" t="s">
        <v>35</v>
      </c>
      <c r="G28" t="s">
        <v>7</v>
      </c>
      <c r="W28" s="5"/>
      <c r="Y28" s="140"/>
    </row>
    <row r="29" spans="1:25">
      <c r="B29" t="s">
        <v>1113</v>
      </c>
      <c r="C29" s="417">
        <f>C25</f>
        <v>0.16666666666666666</v>
      </c>
      <c r="D29" t="s">
        <v>36</v>
      </c>
      <c r="G29" t="s">
        <v>7</v>
      </c>
    </row>
    <row r="30" spans="1:25">
      <c r="B30" s="408" t="s">
        <v>1114</v>
      </c>
      <c r="C30" s="418">
        <f>C26</f>
        <v>0.16666666666666666</v>
      </c>
      <c r="D30" s="408" t="s">
        <v>1129</v>
      </c>
      <c r="E30" s="408"/>
      <c r="F30" s="408"/>
      <c r="G30" s="408" t="s">
        <v>7</v>
      </c>
    </row>
    <row r="31" spans="1:25">
      <c r="B31" t="s">
        <v>1115</v>
      </c>
      <c r="C31" s="409">
        <v>1</v>
      </c>
      <c r="D31" t="s">
        <v>37</v>
      </c>
      <c r="G31" t="s">
        <v>11</v>
      </c>
    </row>
    <row r="32" spans="1:25">
      <c r="A32" s="408"/>
      <c r="B32" s="408" t="s">
        <v>1124</v>
      </c>
      <c r="C32" s="404">
        <v>0</v>
      </c>
      <c r="D32" s="408" t="s">
        <v>38</v>
      </c>
      <c r="E32" s="408" t="s">
        <v>39</v>
      </c>
      <c r="F32" s="408"/>
      <c r="G32" s="408" t="s">
        <v>11</v>
      </c>
    </row>
    <row r="33" spans="1:7">
      <c r="A33" s="290" t="s">
        <v>1218</v>
      </c>
      <c r="B33" t="s">
        <v>438</v>
      </c>
      <c r="C33" s="415">
        <f>Geometry!D12</f>
        <v>0.30000000000000004</v>
      </c>
      <c r="D33" t="s">
        <v>40</v>
      </c>
      <c r="G33" t="s">
        <v>14</v>
      </c>
    </row>
    <row r="34" spans="1:7">
      <c r="B34" t="s">
        <v>1125</v>
      </c>
      <c r="C34" s="404" t="s">
        <v>884</v>
      </c>
      <c r="D34" t="s">
        <v>1265</v>
      </c>
      <c r="G34" t="s">
        <v>11</v>
      </c>
    </row>
    <row r="35" spans="1:7">
      <c r="B35" t="s">
        <v>1126</v>
      </c>
      <c r="C35" s="419">
        <f>V_houseSI</f>
        <v>249.92450000000002</v>
      </c>
      <c r="D35" t="s">
        <v>41</v>
      </c>
      <c r="G35" t="s">
        <v>14</v>
      </c>
    </row>
    <row r="36" spans="1:7">
      <c r="B36" t="s">
        <v>1127</v>
      </c>
      <c r="C36" s="419">
        <f>A_houseSI</f>
        <v>99.969800000000006</v>
      </c>
      <c r="D36" t="s">
        <v>42</v>
      </c>
      <c r="E36" t="s">
        <v>1130</v>
      </c>
      <c r="F36" t="s">
        <v>43</v>
      </c>
      <c r="G36" t="s">
        <v>14</v>
      </c>
    </row>
    <row r="37" spans="1:7">
      <c r="B37" t="s">
        <v>1128</v>
      </c>
      <c r="C37" s="419">
        <f>planareaSI</f>
        <v>99.969800000000006</v>
      </c>
      <c r="D37" t="s">
        <v>437</v>
      </c>
      <c r="G37" t="s">
        <v>14</v>
      </c>
    </row>
    <row r="38" spans="1:7">
      <c r="B38" t="s">
        <v>1017</v>
      </c>
      <c r="C38" s="419">
        <f>Geometry!D13</f>
        <v>2.5</v>
      </c>
      <c r="D38" t="s">
        <v>1018</v>
      </c>
      <c r="G38" s="290" t="s">
        <v>14</v>
      </c>
    </row>
    <row r="39" spans="1:7">
      <c r="B39" t="s">
        <v>1131</v>
      </c>
      <c r="C39" s="420">
        <f>UA!F11</f>
        <v>44.902018008074606</v>
      </c>
      <c r="D39" t="s">
        <v>1059</v>
      </c>
      <c r="E39" t="s">
        <v>1136</v>
      </c>
      <c r="F39" t="s">
        <v>44</v>
      </c>
      <c r="G39" t="s">
        <v>45</v>
      </c>
    </row>
    <row r="40" spans="1:7">
      <c r="B40" t="s">
        <v>1132</v>
      </c>
      <c r="C40" s="420">
        <f>UA!F13</f>
        <v>43.663732646153854</v>
      </c>
      <c r="D40" t="s">
        <v>1060</v>
      </c>
      <c r="E40" t="s">
        <v>1137</v>
      </c>
      <c r="F40" t="s">
        <v>44</v>
      </c>
      <c r="G40" t="s">
        <v>45</v>
      </c>
    </row>
    <row r="41" spans="1:7">
      <c r="A41" s="408"/>
      <c r="B41" s="408" t="s">
        <v>1133</v>
      </c>
      <c r="C41" s="421">
        <f>UA!F12</f>
        <v>45.410281951999998</v>
      </c>
      <c r="D41" s="408" t="s">
        <v>1061</v>
      </c>
      <c r="E41" s="408" t="s">
        <v>1138</v>
      </c>
      <c r="F41" s="408"/>
      <c r="G41" s="408" t="s">
        <v>45</v>
      </c>
    </row>
    <row r="42" spans="1:7">
      <c r="A42" s="290" t="s">
        <v>46</v>
      </c>
      <c r="B42" t="s">
        <v>1134</v>
      </c>
      <c r="C42" s="409">
        <v>0</v>
      </c>
      <c r="D42" t="s">
        <v>47</v>
      </c>
      <c r="G42" t="s">
        <v>11</v>
      </c>
    </row>
    <row r="43" spans="1:7">
      <c r="B43" t="s">
        <v>1019</v>
      </c>
      <c r="C43" s="404">
        <v>0</v>
      </c>
    </row>
    <row r="44" spans="1:7">
      <c r="B44" t="s">
        <v>1020</v>
      </c>
      <c r="C44" s="404">
        <v>0</v>
      </c>
    </row>
    <row r="45" spans="1:7">
      <c r="B45" t="s">
        <v>1021</v>
      </c>
      <c r="C45" s="404">
        <v>0</v>
      </c>
    </row>
    <row r="46" spans="1:7">
      <c r="B46" t="s">
        <v>1022</v>
      </c>
      <c r="C46" s="404">
        <v>0</v>
      </c>
    </row>
    <row r="47" spans="1:7">
      <c r="A47" s="408"/>
      <c r="B47" s="408" t="s">
        <v>1023</v>
      </c>
      <c r="C47" s="404">
        <v>0</v>
      </c>
      <c r="D47" s="408"/>
      <c r="E47" s="408"/>
      <c r="F47" s="408"/>
      <c r="G47" s="408"/>
    </row>
    <row r="48" spans="1:7">
      <c r="A48" s="290" t="s">
        <v>48</v>
      </c>
      <c r="B48" t="s">
        <v>1135</v>
      </c>
      <c r="C48" s="409">
        <v>6</v>
      </c>
      <c r="D48" t="s">
        <v>49</v>
      </c>
      <c r="G48" t="s">
        <v>11</v>
      </c>
    </row>
    <row r="49" spans="2:7">
      <c r="B49" t="s">
        <v>1141</v>
      </c>
      <c r="C49" s="422">
        <f>Fans!B12</f>
        <v>0</v>
      </c>
      <c r="D49" t="s">
        <v>694</v>
      </c>
      <c r="G49" t="s">
        <v>50</v>
      </c>
    </row>
    <row r="50" spans="2:7">
      <c r="B50" t="s">
        <v>1139</v>
      </c>
      <c r="C50" s="427">
        <f>Fans!B13</f>
        <v>-7.3979788097507534E-2</v>
      </c>
      <c r="D50" t="s">
        <v>51</v>
      </c>
      <c r="G50" t="s">
        <v>50</v>
      </c>
    </row>
    <row r="51" spans="2:7">
      <c r="B51" s="408" t="s">
        <v>1140</v>
      </c>
      <c r="C51" s="523">
        <f>Fans!B14</f>
        <v>13</v>
      </c>
      <c r="D51" s="408" t="s">
        <v>695</v>
      </c>
      <c r="E51" s="408"/>
      <c r="F51" s="408" t="s">
        <v>52</v>
      </c>
      <c r="G51" s="408" t="s">
        <v>50</v>
      </c>
    </row>
    <row r="52" spans="2:7">
      <c r="B52" s="290" t="s">
        <v>1142</v>
      </c>
      <c r="C52" s="415">
        <f>Fans!I20</f>
        <v>0</v>
      </c>
      <c r="D52" t="s">
        <v>696</v>
      </c>
      <c r="G52" t="s">
        <v>50</v>
      </c>
    </row>
    <row r="53" spans="2:7">
      <c r="B53" s="290" t="s">
        <v>1143</v>
      </c>
      <c r="C53" s="423">
        <f>Fans!C20</f>
        <v>-7.0788107597923547E-2</v>
      </c>
      <c r="D53" t="s">
        <v>53</v>
      </c>
      <c r="G53" t="s">
        <v>50</v>
      </c>
    </row>
    <row r="54" spans="2:7">
      <c r="B54" s="408" t="s">
        <v>1144</v>
      </c>
      <c r="C54" s="404">
        <v>23</v>
      </c>
      <c r="D54" s="408" t="s">
        <v>697</v>
      </c>
      <c r="E54" s="408"/>
      <c r="F54" s="408"/>
      <c r="G54" s="408"/>
    </row>
    <row r="55" spans="2:7">
      <c r="B55" s="290" t="s">
        <v>1145</v>
      </c>
      <c r="C55" s="424">
        <f>Fans!I18</f>
        <v>37.200000000000003</v>
      </c>
      <c r="D55" t="s">
        <v>698</v>
      </c>
      <c r="G55" t="s">
        <v>50</v>
      </c>
    </row>
    <row r="56" spans="2:7">
      <c r="B56" s="290" t="s">
        <v>1146</v>
      </c>
      <c r="C56" s="423">
        <f>Fans!C18</f>
        <v>-4.7192071731949031E-2</v>
      </c>
      <c r="D56" t="s">
        <v>54</v>
      </c>
      <c r="G56" t="s">
        <v>50</v>
      </c>
    </row>
    <row r="57" spans="2:7">
      <c r="B57" s="408" t="s">
        <v>1147</v>
      </c>
      <c r="C57" s="404">
        <v>24</v>
      </c>
      <c r="D57" s="408" t="s">
        <v>699</v>
      </c>
      <c r="E57" s="408"/>
      <c r="F57" s="408"/>
      <c r="G57" s="408"/>
    </row>
    <row r="58" spans="2:7">
      <c r="B58" s="290" t="s">
        <v>1148</v>
      </c>
      <c r="C58" s="415">
        <f>IF(Fans!B6&gt;0,Fans!I17,0)</f>
        <v>10.199999999999999</v>
      </c>
      <c r="D58" t="s">
        <v>700</v>
      </c>
      <c r="G58" t="s">
        <v>50</v>
      </c>
    </row>
    <row r="59" spans="2:7">
      <c r="B59" s="290" t="s">
        <v>1149</v>
      </c>
      <c r="C59" s="423">
        <f>IF(Fans!B6&gt;0,Fans!C17,0)</f>
        <v>-2.3596035865974516E-2</v>
      </c>
      <c r="D59" t="s">
        <v>56</v>
      </c>
      <c r="G59" t="s">
        <v>50</v>
      </c>
    </row>
    <row r="60" spans="2:7">
      <c r="B60" s="408" t="s">
        <v>1150</v>
      </c>
      <c r="C60" s="404">
        <v>25</v>
      </c>
      <c r="D60" s="408" t="s">
        <v>701</v>
      </c>
      <c r="E60" s="408"/>
      <c r="F60" s="408"/>
      <c r="G60" s="408"/>
    </row>
    <row r="61" spans="2:7">
      <c r="B61" s="290" t="s">
        <v>1151</v>
      </c>
      <c r="C61" s="415">
        <f>IF(Fans!B6&gt;1,Fans!I17,0)</f>
        <v>10.199999999999999</v>
      </c>
      <c r="D61" t="s">
        <v>567</v>
      </c>
      <c r="G61" s="290" t="s">
        <v>50</v>
      </c>
    </row>
    <row r="62" spans="2:7">
      <c r="B62" s="290" t="s">
        <v>1152</v>
      </c>
      <c r="C62" s="423">
        <f>IF(Fans!B6&gt;1,Fans!C17,0)</f>
        <v>-2.3596035865974516E-2</v>
      </c>
      <c r="D62" t="s">
        <v>565</v>
      </c>
      <c r="G62" s="290" t="s">
        <v>50</v>
      </c>
    </row>
    <row r="63" spans="2:7">
      <c r="B63" s="408" t="s">
        <v>1153</v>
      </c>
      <c r="C63" s="404">
        <v>26</v>
      </c>
      <c r="D63" s="408" t="s">
        <v>702</v>
      </c>
      <c r="E63" s="408"/>
      <c r="F63" s="408"/>
      <c r="G63" s="408"/>
    </row>
    <row r="64" spans="2:7">
      <c r="B64" s="290" t="s">
        <v>1154</v>
      </c>
      <c r="C64" s="415">
        <f>IF(Fans!B6&gt;2,Fans!I17,0)</f>
        <v>0</v>
      </c>
      <c r="D64" t="s">
        <v>703</v>
      </c>
      <c r="G64" s="290" t="s">
        <v>50</v>
      </c>
    </row>
    <row r="65" spans="1:7">
      <c r="B65" s="290" t="s">
        <v>1155</v>
      </c>
      <c r="C65" s="423">
        <f>IF(Fans!B6&gt;2,Fans!C17,0)</f>
        <v>0</v>
      </c>
      <c r="D65" t="s">
        <v>566</v>
      </c>
      <c r="G65" s="290" t="s">
        <v>50</v>
      </c>
    </row>
    <row r="66" spans="1:7">
      <c r="B66" s="408" t="s">
        <v>1156</v>
      </c>
      <c r="C66" s="404">
        <v>27</v>
      </c>
      <c r="D66" s="408" t="s">
        <v>704</v>
      </c>
      <c r="E66" s="408"/>
      <c r="F66" s="408"/>
      <c r="G66" s="408"/>
    </row>
    <row r="67" spans="1:7">
      <c r="B67" s="290" t="s">
        <v>1157</v>
      </c>
      <c r="C67" s="411">
        <v>0</v>
      </c>
      <c r="D67" t="s">
        <v>1223</v>
      </c>
      <c r="G67" s="290"/>
    </row>
    <row r="68" spans="1:7">
      <c r="B68" s="290" t="s">
        <v>1158</v>
      </c>
      <c r="C68" s="405">
        <v>0</v>
      </c>
      <c r="D68" t="s">
        <v>566</v>
      </c>
      <c r="G68" s="290"/>
    </row>
    <row r="69" spans="1:7">
      <c r="B69" s="408" t="s">
        <v>1159</v>
      </c>
      <c r="C69" s="404">
        <v>0</v>
      </c>
      <c r="D69" s="408" t="s">
        <v>568</v>
      </c>
      <c r="E69" s="408"/>
      <c r="F69" s="408"/>
      <c r="G69" s="408"/>
    </row>
    <row r="70" spans="1:7">
      <c r="B70" s="290" t="s">
        <v>1160</v>
      </c>
      <c r="C70" s="411">
        <v>0</v>
      </c>
      <c r="D70" t="s">
        <v>1222</v>
      </c>
      <c r="G70" s="290"/>
    </row>
    <row r="71" spans="1:7">
      <c r="B71" s="290" t="s">
        <v>1161</v>
      </c>
      <c r="C71" s="405">
        <v>0</v>
      </c>
      <c r="D71" t="s">
        <v>566</v>
      </c>
      <c r="G71" s="290"/>
    </row>
    <row r="72" spans="1:7">
      <c r="A72" s="408"/>
      <c r="B72" s="408" t="s">
        <v>1162</v>
      </c>
      <c r="C72" s="404">
        <v>0</v>
      </c>
      <c r="D72" s="408" t="s">
        <v>568</v>
      </c>
      <c r="E72" s="408"/>
      <c r="F72" s="408"/>
      <c r="G72" s="408"/>
    </row>
    <row r="73" spans="1:7">
      <c r="A73" s="290" t="s">
        <v>57</v>
      </c>
      <c r="B73" t="s">
        <v>439</v>
      </c>
      <c r="C73" s="417">
        <f>A_windowSI/4*2</f>
        <v>9.9969800000000006</v>
      </c>
      <c r="D73" t="s">
        <v>58</v>
      </c>
      <c r="E73" t="s">
        <v>59</v>
      </c>
      <c r="G73" t="s">
        <v>14</v>
      </c>
    </row>
    <row r="74" spans="1:7">
      <c r="B74" t="s">
        <v>440</v>
      </c>
      <c r="C74" s="417">
        <f>A_windowSI/4</f>
        <v>4.9984900000000003</v>
      </c>
      <c r="D74" t="s">
        <v>60</v>
      </c>
      <c r="E74" t="s">
        <v>61</v>
      </c>
      <c r="G74" t="s">
        <v>14</v>
      </c>
    </row>
    <row r="75" spans="1:7">
      <c r="B75" t="s">
        <v>441</v>
      </c>
      <c r="C75" s="417">
        <f>A_windowSI/4</f>
        <v>4.9984900000000003</v>
      </c>
      <c r="D75" t="s">
        <v>542</v>
      </c>
      <c r="E75" t="s">
        <v>62</v>
      </c>
      <c r="G75" t="s">
        <v>14</v>
      </c>
    </row>
    <row r="76" spans="1:7">
      <c r="B76" t="s">
        <v>1163</v>
      </c>
      <c r="C76" s="427">
        <f>UA!F28</f>
        <v>0.25</v>
      </c>
      <c r="D76" t="s">
        <v>63</v>
      </c>
      <c r="F76" t="s">
        <v>64</v>
      </c>
      <c r="G76" t="s">
        <v>45</v>
      </c>
    </row>
    <row r="77" spans="1:7">
      <c r="B77" t="s">
        <v>1164</v>
      </c>
      <c r="C77" s="428">
        <f>UA!F21</f>
        <v>3.3022190912293063</v>
      </c>
      <c r="D77" t="s">
        <v>65</v>
      </c>
      <c r="F77" t="s">
        <v>64</v>
      </c>
      <c r="G77" t="s">
        <v>45</v>
      </c>
    </row>
    <row r="78" spans="1:7">
      <c r="B78" t="s">
        <v>1165</v>
      </c>
      <c r="C78" s="428">
        <f>UA!F22</f>
        <v>4.5943917791016435</v>
      </c>
      <c r="D78" t="s">
        <v>66</v>
      </c>
      <c r="G78" t="s">
        <v>45</v>
      </c>
    </row>
    <row r="79" spans="1:7">
      <c r="B79" t="s">
        <v>1166</v>
      </c>
      <c r="C79" s="425">
        <f>'Internal gains'!D12</f>
        <v>7.5231481481481474E-5</v>
      </c>
      <c r="D79" t="s">
        <v>67</v>
      </c>
      <c r="G79" t="s">
        <v>68</v>
      </c>
    </row>
    <row r="80" spans="1:7">
      <c r="A80" s="408"/>
      <c r="B80" s="408" t="s">
        <v>1167</v>
      </c>
      <c r="C80" s="426">
        <f>'Internal gains'!D6</f>
        <v>590.30007406477318</v>
      </c>
      <c r="D80" s="408" t="s">
        <v>69</v>
      </c>
      <c r="E80" s="408"/>
      <c r="F80" s="408"/>
      <c r="G80" s="408" t="s">
        <v>68</v>
      </c>
    </row>
    <row r="81" spans="1:7">
      <c r="A81" s="290" t="s">
        <v>70</v>
      </c>
      <c r="B81" t="s">
        <v>1168</v>
      </c>
      <c r="C81" s="419">
        <f>Geometry!D25</f>
        <v>58.898873833333326</v>
      </c>
      <c r="D81" t="s">
        <v>543</v>
      </c>
      <c r="G81" s="290" t="s">
        <v>14</v>
      </c>
    </row>
    <row r="82" spans="1:7">
      <c r="B82" t="s">
        <v>1169</v>
      </c>
      <c r="C82" s="417">
        <f>Attic!D15</f>
        <v>0.18869339761941342</v>
      </c>
      <c r="D82" t="s">
        <v>71</v>
      </c>
      <c r="E82" t="s">
        <v>72</v>
      </c>
      <c r="F82" t="s">
        <v>73</v>
      </c>
      <c r="G82" t="s">
        <v>74</v>
      </c>
    </row>
    <row r="83" spans="1:7">
      <c r="B83" s="408" t="s">
        <v>1170</v>
      </c>
      <c r="C83" s="418">
        <f>Attic!D14</f>
        <v>0.65</v>
      </c>
      <c r="D83" s="408" t="s">
        <v>75</v>
      </c>
      <c r="E83" s="408" t="s">
        <v>76</v>
      </c>
      <c r="F83" s="408" t="s">
        <v>73</v>
      </c>
      <c r="G83" s="408" t="s">
        <v>74</v>
      </c>
    </row>
    <row r="84" spans="1:7">
      <c r="B84" t="s">
        <v>1171</v>
      </c>
      <c r="C84" s="415">
        <f>Attic!D19</f>
        <v>0.35</v>
      </c>
      <c r="D84" t="s">
        <v>78</v>
      </c>
      <c r="E84" t="s">
        <v>28</v>
      </c>
      <c r="G84" t="s">
        <v>74</v>
      </c>
    </row>
    <row r="85" spans="1:7">
      <c r="B85" t="s">
        <v>1172</v>
      </c>
      <c r="C85" s="415">
        <f>Attic!D20</f>
        <v>0.35</v>
      </c>
      <c r="D85" t="s">
        <v>79</v>
      </c>
      <c r="E85" t="s">
        <v>30</v>
      </c>
      <c r="G85" t="s">
        <v>74</v>
      </c>
    </row>
    <row r="86" spans="1:7">
      <c r="B86" t="s">
        <v>1173</v>
      </c>
      <c r="C86" s="415">
        <f>Attic!D21</f>
        <v>0.1</v>
      </c>
      <c r="D86" t="s">
        <v>80</v>
      </c>
      <c r="E86" t="s">
        <v>31</v>
      </c>
      <c r="G86" t="s">
        <v>74</v>
      </c>
    </row>
    <row r="87" spans="1:7">
      <c r="B87" t="s">
        <v>1174</v>
      </c>
      <c r="C87" s="415">
        <f>Attic!D22</f>
        <v>0.1</v>
      </c>
      <c r="D87" t="s">
        <v>81</v>
      </c>
      <c r="E87" t="s">
        <v>32</v>
      </c>
      <c r="G87" t="s">
        <v>74</v>
      </c>
    </row>
    <row r="88" spans="1:7">
      <c r="B88" s="408" t="s">
        <v>1175</v>
      </c>
      <c r="C88" s="416">
        <f>Attic!D23</f>
        <v>0.1</v>
      </c>
      <c r="D88" s="408" t="s">
        <v>82</v>
      </c>
      <c r="E88" s="408"/>
      <c r="F88" s="408"/>
      <c r="G88" s="408" t="s">
        <v>74</v>
      </c>
    </row>
    <row r="89" spans="1:7">
      <c r="B89" t="s">
        <v>1176</v>
      </c>
      <c r="C89" s="415">
        <f>H_soffitSI</f>
        <v>2.9499999999999997</v>
      </c>
      <c r="D89" t="s">
        <v>83</v>
      </c>
      <c r="G89" t="s">
        <v>14</v>
      </c>
    </row>
    <row r="90" spans="1:7">
      <c r="B90" t="s">
        <v>1177</v>
      </c>
      <c r="C90" s="415">
        <f>H_soffitSI</f>
        <v>2.9499999999999997</v>
      </c>
      <c r="D90" t="s">
        <v>84</v>
      </c>
      <c r="G90" t="s">
        <v>14</v>
      </c>
    </row>
    <row r="91" spans="1:7">
      <c r="B91" t="s">
        <v>1178</v>
      </c>
      <c r="C91" s="415">
        <f>H_soffitSI</f>
        <v>2.9499999999999997</v>
      </c>
      <c r="D91" t="s">
        <v>85</v>
      </c>
      <c r="G91" t="s">
        <v>14</v>
      </c>
    </row>
    <row r="92" spans="1:7">
      <c r="A92" s="408"/>
      <c r="B92" s="408" t="s">
        <v>1179</v>
      </c>
      <c r="C92" s="416">
        <f>H_soffitSI</f>
        <v>2.9499999999999997</v>
      </c>
      <c r="D92" s="408" t="s">
        <v>86</v>
      </c>
      <c r="E92" s="408"/>
      <c r="F92" s="408"/>
      <c r="G92" s="408" t="s">
        <v>14</v>
      </c>
    </row>
    <row r="93" spans="1:7">
      <c r="A93" s="290" t="s">
        <v>87</v>
      </c>
      <c r="B93" t="s">
        <v>1180</v>
      </c>
      <c r="C93" s="409">
        <v>2</v>
      </c>
      <c r="D93" t="s">
        <v>88</v>
      </c>
      <c r="G93" t="s">
        <v>11</v>
      </c>
    </row>
    <row r="94" spans="1:7">
      <c r="B94" t="s">
        <v>1294</v>
      </c>
      <c r="C94" s="404">
        <v>1</v>
      </c>
      <c r="D94" t="s">
        <v>89</v>
      </c>
      <c r="G94" t="s">
        <v>74</v>
      </c>
    </row>
    <row r="95" spans="1:7">
      <c r="B95" t="s">
        <v>1295</v>
      </c>
      <c r="C95" s="417">
        <f>H_attic.ventSI</f>
        <v>3.5391666666666666</v>
      </c>
      <c r="D95" t="s">
        <v>90</v>
      </c>
      <c r="G95" s="290" t="s">
        <v>14</v>
      </c>
    </row>
    <row r="96" spans="1:7">
      <c r="B96" t="s">
        <v>1296</v>
      </c>
      <c r="C96" s="417">
        <f>Attic!D12*Attic!D19*2</f>
        <v>9.3305146666666658E-2</v>
      </c>
      <c r="D96" t="s">
        <v>91</v>
      </c>
      <c r="G96" t="s">
        <v>74</v>
      </c>
    </row>
    <row r="97" spans="1:7">
      <c r="B97" s="408" t="s">
        <v>1297</v>
      </c>
      <c r="C97" s="404">
        <v>0.5</v>
      </c>
      <c r="D97" s="408" t="s">
        <v>92</v>
      </c>
      <c r="E97" s="408"/>
      <c r="F97" s="408"/>
      <c r="G97" s="408" t="s">
        <v>11</v>
      </c>
    </row>
    <row r="98" spans="1:7">
      <c r="B98" s="290" t="s">
        <v>1298</v>
      </c>
      <c r="C98" s="409">
        <v>3</v>
      </c>
      <c r="D98" t="s">
        <v>89</v>
      </c>
      <c r="G98" t="s">
        <v>11</v>
      </c>
    </row>
    <row r="99" spans="1:7">
      <c r="B99" s="290" t="s">
        <v>1299</v>
      </c>
      <c r="C99" s="417">
        <f>H_attic.ventSI</f>
        <v>3.5391666666666666</v>
      </c>
      <c r="D99" t="s">
        <v>90</v>
      </c>
      <c r="G99" s="290" t="s">
        <v>14</v>
      </c>
    </row>
    <row r="100" spans="1:7">
      <c r="B100" s="290" t="s">
        <v>1300</v>
      </c>
      <c r="C100" s="417">
        <f>Attic!D12*Attic!D21*2</f>
        <v>2.6658613333333331E-2</v>
      </c>
      <c r="D100" t="s">
        <v>91</v>
      </c>
      <c r="G100" t="s">
        <v>74</v>
      </c>
    </row>
    <row r="101" spans="1:7">
      <c r="A101" s="408"/>
      <c r="B101" s="408" t="s">
        <v>1301</v>
      </c>
      <c r="C101" s="404">
        <v>0.5</v>
      </c>
      <c r="D101" s="408" t="s">
        <v>92</v>
      </c>
      <c r="E101" s="408"/>
      <c r="F101" s="408"/>
      <c r="G101" s="408" t="s">
        <v>11</v>
      </c>
    </row>
    <row r="102" spans="1:7">
      <c r="A102" s="290" t="s">
        <v>152</v>
      </c>
      <c r="B102" t="s">
        <v>1181</v>
      </c>
      <c r="C102" s="417">
        <f>Geometry!D23</f>
        <v>18.43494882292201</v>
      </c>
      <c r="D102" s="87" t="s">
        <v>93</v>
      </c>
      <c r="E102" s="292" t="s">
        <v>94</v>
      </c>
      <c r="F102" s="305"/>
      <c r="G102" s="3" t="s">
        <v>14</v>
      </c>
    </row>
    <row r="103" spans="1:7">
      <c r="B103" t="s">
        <v>1182</v>
      </c>
      <c r="C103" s="404" t="s">
        <v>95</v>
      </c>
      <c r="D103" s="305" t="s">
        <v>96</v>
      </c>
      <c r="E103" s="305"/>
      <c r="F103" s="305"/>
      <c r="G103" s="3" t="s">
        <v>11</v>
      </c>
    </row>
    <row r="104" spans="1:7">
      <c r="B104" t="s">
        <v>1183</v>
      </c>
      <c r="C104" s="419">
        <f>H_peak</f>
        <v>4.128333333333333</v>
      </c>
      <c r="D104" s="305" t="s">
        <v>448</v>
      </c>
      <c r="E104" s="305"/>
      <c r="F104" s="305"/>
      <c r="G104" s="3" t="s">
        <v>14</v>
      </c>
    </row>
    <row r="105" spans="1:7">
      <c r="B105" t="s">
        <v>1184</v>
      </c>
      <c r="C105" s="404">
        <v>0</v>
      </c>
      <c r="D105" s="305" t="s">
        <v>97</v>
      </c>
      <c r="E105" s="305"/>
      <c r="F105" s="305"/>
      <c r="G105" s="3" t="s">
        <v>11</v>
      </c>
    </row>
    <row r="106" spans="1:7">
      <c r="B106" t="s">
        <v>1185</v>
      </c>
    </row>
    <row r="107" spans="1:7">
      <c r="B107" t="s">
        <v>1186</v>
      </c>
    </row>
    <row r="108" spans="1:7">
      <c r="B108" t="s">
        <v>1187</v>
      </c>
    </row>
    <row r="109" spans="1:7">
      <c r="B109" t="s">
        <v>1188</v>
      </c>
      <c r="C109" s="404">
        <v>0</v>
      </c>
      <c r="D109" s="305" t="s">
        <v>98</v>
      </c>
      <c r="E109" s="305"/>
      <c r="F109" s="305"/>
      <c r="G109" s="3" t="s">
        <v>11</v>
      </c>
    </row>
    <row r="110" spans="1:7">
      <c r="A110" s="408"/>
      <c r="B110" s="408" t="s">
        <v>1189</v>
      </c>
      <c r="C110" s="404">
        <v>1</v>
      </c>
      <c r="D110" s="104" t="s">
        <v>100</v>
      </c>
      <c r="E110" s="104"/>
      <c r="F110" s="104"/>
      <c r="G110" s="410" t="s">
        <v>11</v>
      </c>
    </row>
    <row r="111" spans="1:7">
      <c r="A111" s="290" t="s">
        <v>99</v>
      </c>
      <c r="B111" t="s">
        <v>1190</v>
      </c>
      <c r="C111" s="409">
        <v>1</v>
      </c>
      <c r="D111" s="305" t="s">
        <v>571</v>
      </c>
      <c r="E111" s="305"/>
      <c r="F111" s="305"/>
      <c r="G111" s="3" t="s">
        <v>11</v>
      </c>
    </row>
    <row r="112" spans="1:7">
      <c r="B112" t="s">
        <v>1191</v>
      </c>
      <c r="C112" s="427">
        <f>Ducts!I14</f>
        <v>0.05</v>
      </c>
      <c r="D112" s="305" t="s">
        <v>101</v>
      </c>
      <c r="E112" s="305"/>
      <c r="F112" s="305"/>
      <c r="G112" s="3" t="s">
        <v>102</v>
      </c>
    </row>
    <row r="113" spans="1:7">
      <c r="B113" t="s">
        <v>1192</v>
      </c>
      <c r="C113" s="427">
        <f>Ducts!I14</f>
        <v>0.05</v>
      </c>
      <c r="D113" s="305" t="s">
        <v>103</v>
      </c>
      <c r="E113" s="305"/>
      <c r="F113" s="305"/>
      <c r="G113" s="3" t="s">
        <v>102</v>
      </c>
    </row>
    <row r="114" spans="1:7">
      <c r="B114" t="s">
        <v>104</v>
      </c>
      <c r="C114" s="427">
        <f>Ducts!I16</f>
        <v>1.5322296583303978</v>
      </c>
      <c r="D114" s="305" t="s">
        <v>105</v>
      </c>
      <c r="E114" s="305"/>
      <c r="F114" s="305"/>
      <c r="G114" s="3" t="s">
        <v>102</v>
      </c>
    </row>
    <row r="115" spans="1:7">
      <c r="B115" t="s">
        <v>106</v>
      </c>
      <c r="C115" s="427">
        <f>Ducts!I16</f>
        <v>1.5322296583303978</v>
      </c>
      <c r="D115" s="305" t="s">
        <v>107</v>
      </c>
      <c r="E115" s="305"/>
      <c r="F115" s="305"/>
      <c r="G115" s="3" t="s">
        <v>102</v>
      </c>
    </row>
    <row r="116" spans="1:7">
      <c r="B116" t="s">
        <v>1329</v>
      </c>
      <c r="C116" s="424">
        <f>Ducts!D18</f>
        <v>0</v>
      </c>
      <c r="D116" s="313" t="s">
        <v>1331</v>
      </c>
      <c r="E116" s="305"/>
      <c r="F116" s="305"/>
      <c r="G116" s="3" t="s">
        <v>102</v>
      </c>
    </row>
    <row r="117" spans="1:7">
      <c r="B117" t="s">
        <v>1330</v>
      </c>
      <c r="C117" s="424">
        <f>Ducts!D19</f>
        <v>0</v>
      </c>
      <c r="D117" s="313" t="s">
        <v>1332</v>
      </c>
      <c r="E117" s="305"/>
      <c r="F117" s="305"/>
      <c r="G117" s="3" t="s">
        <v>102</v>
      </c>
    </row>
    <row r="118" spans="1:7">
      <c r="B118" t="s">
        <v>1193</v>
      </c>
      <c r="C118" s="419">
        <f>Ducts!D16</f>
        <v>34.368210319066286</v>
      </c>
      <c r="D118" s="305" t="s">
        <v>108</v>
      </c>
      <c r="E118" s="305"/>
      <c r="F118" s="305"/>
      <c r="G118" s="3" t="s">
        <v>102</v>
      </c>
    </row>
    <row r="119" spans="1:7">
      <c r="B119" t="s">
        <v>1194</v>
      </c>
      <c r="C119" s="419">
        <f>Ducts!D17</f>
        <v>3.5358241068998235</v>
      </c>
      <c r="D119" s="305" t="s">
        <v>109</v>
      </c>
      <c r="E119" s="305"/>
      <c r="F119" s="305"/>
      <c r="G119" s="3" t="s">
        <v>102</v>
      </c>
    </row>
    <row r="120" spans="1:7">
      <c r="B120" t="s">
        <v>1195</v>
      </c>
      <c r="C120" s="415">
        <f>Ducts!D12</f>
        <v>0.25</v>
      </c>
      <c r="D120" s="305" t="s">
        <v>110</v>
      </c>
      <c r="E120" s="305"/>
      <c r="F120" s="305"/>
      <c r="G120" s="3" t="s">
        <v>102</v>
      </c>
    </row>
    <row r="121" spans="1:7">
      <c r="B121" t="s">
        <v>1196</v>
      </c>
      <c r="C121" s="415">
        <f>Ducts!D13</f>
        <v>0.45</v>
      </c>
      <c r="D121" s="305" t="s">
        <v>544</v>
      </c>
      <c r="E121" s="305"/>
      <c r="F121" s="305"/>
      <c r="G121" s="3" t="s">
        <v>102</v>
      </c>
    </row>
    <row r="122" spans="1:7">
      <c r="B122" t="s">
        <v>1197</v>
      </c>
      <c r="C122" s="427">
        <f>HVAC!C27</f>
        <v>0.25145359773696002</v>
      </c>
      <c r="D122" s="305" t="s">
        <v>732</v>
      </c>
      <c r="E122" s="305" t="str">
        <f>"q=" &amp;TEXT(Inputs!C122/0.3048^3*60,"0")&amp; " CFM"</f>
        <v>q=533 CFM</v>
      </c>
      <c r="F122" s="305"/>
      <c r="G122" s="3" t="s">
        <v>111</v>
      </c>
    </row>
    <row r="123" spans="1:7">
      <c r="B123" t="s">
        <v>1198</v>
      </c>
      <c r="C123" s="427">
        <f>HVAC!C28</f>
        <v>0.23784804152902314</v>
      </c>
      <c r="D123" s="305" t="s">
        <v>112</v>
      </c>
      <c r="E123" s="305" t="str">
        <f>"q=" &amp;TEXT(Inputs!C123/0.3048^3*60,"0")&amp; " CFM"</f>
        <v>q=504 CFM</v>
      </c>
      <c r="F123" s="305"/>
      <c r="G123" s="3" t="s">
        <v>111</v>
      </c>
    </row>
    <row r="124" spans="1:7">
      <c r="B124" t="s">
        <v>113</v>
      </c>
      <c r="C124" s="415">
        <f>Ducts!D20</f>
        <v>0.6</v>
      </c>
      <c r="D124" s="305" t="s">
        <v>114</v>
      </c>
      <c r="E124" s="305"/>
      <c r="F124" s="305"/>
      <c r="G124" s="3" t="s">
        <v>102</v>
      </c>
    </row>
    <row r="125" spans="1:7">
      <c r="B125" t="s">
        <v>115</v>
      </c>
      <c r="C125" s="415">
        <f>Ducts!D21</f>
        <v>0.6</v>
      </c>
      <c r="D125" s="305" t="s">
        <v>116</v>
      </c>
      <c r="E125" s="305"/>
      <c r="F125" s="305"/>
      <c r="G125" s="3" t="s">
        <v>102</v>
      </c>
    </row>
    <row r="126" spans="1:7">
      <c r="B126" t="s">
        <v>117</v>
      </c>
      <c r="C126" s="429">
        <f>HVAC!C31</f>
        <v>0</v>
      </c>
      <c r="D126" s="305" t="s">
        <v>118</v>
      </c>
      <c r="E126" s="305"/>
      <c r="F126" s="305"/>
      <c r="G126" s="3" t="s">
        <v>111</v>
      </c>
    </row>
    <row r="127" spans="1:7">
      <c r="A127" s="408"/>
      <c r="B127" s="408" t="s">
        <v>119</v>
      </c>
      <c r="C127" s="430">
        <f>HVAC!C32</f>
        <v>0</v>
      </c>
      <c r="D127" s="104" t="s">
        <v>120</v>
      </c>
      <c r="E127" s="104"/>
      <c r="F127" s="104"/>
      <c r="G127" s="410" t="s">
        <v>111</v>
      </c>
    </row>
    <row r="128" spans="1:7">
      <c r="A128" s="290" t="s">
        <v>545</v>
      </c>
      <c r="B128" t="s">
        <v>443</v>
      </c>
      <c r="C128" s="431">
        <f>HVAC!C24</f>
        <v>1.5</v>
      </c>
      <c r="D128" s="305" t="s">
        <v>121</v>
      </c>
      <c r="E128" s="305" t="str">
        <f>"= "&amp;TEXT(Inputs!C128*12*1055/1000,"0.0")&amp;"kJ"</f>
        <v>= 19.0kJ</v>
      </c>
      <c r="F128" s="305"/>
      <c r="G128" s="3" t="s">
        <v>111</v>
      </c>
    </row>
    <row r="129" spans="1:7">
      <c r="B129" t="s">
        <v>444</v>
      </c>
      <c r="C129" s="431">
        <f>HVAC!C25</f>
        <v>18</v>
      </c>
      <c r="D129" s="305" t="s">
        <v>122</v>
      </c>
      <c r="E129" s="305" t="str">
        <f>"= "&amp;TEXT(Inputs!C129*1055*1000/(3600)/1000,"0.0")&amp;"kW"</f>
        <v>= 5.3kW</v>
      </c>
      <c r="F129" s="305"/>
      <c r="G129" s="3" t="s">
        <v>111</v>
      </c>
    </row>
    <row r="130" spans="1:7">
      <c r="B130" t="s">
        <v>442</v>
      </c>
      <c r="C130" s="428">
        <f>HVAC!C10</f>
        <v>15.2</v>
      </c>
      <c r="D130" s="305" t="s">
        <v>123</v>
      </c>
      <c r="E130" s="305" t="s">
        <v>124</v>
      </c>
      <c r="F130" s="305"/>
      <c r="G130" s="3" t="s">
        <v>111</v>
      </c>
    </row>
    <row r="131" spans="1:7">
      <c r="B131" t="s">
        <v>1199</v>
      </c>
      <c r="C131" s="428">
        <f>HVAC!C26</f>
        <v>30</v>
      </c>
      <c r="D131" s="305" t="s">
        <v>125</v>
      </c>
      <c r="E131" s="305" t="str">
        <f>"= "&amp;TEXT(Inputs!C131*1055*1000/(3600)/1000,"0.0")&amp;"kW"</f>
        <v>= 8.8kW</v>
      </c>
      <c r="F131" s="305"/>
      <c r="G131" s="3" t="s">
        <v>111</v>
      </c>
    </row>
    <row r="132" spans="1:7">
      <c r="B132" t="s">
        <v>1200</v>
      </c>
      <c r="C132" s="428">
        <f>HVAC!C30</f>
        <v>84.168000000000021</v>
      </c>
      <c r="D132" s="305" t="s">
        <v>494</v>
      </c>
      <c r="E132" s="305"/>
      <c r="F132" s="305"/>
      <c r="G132" s="3" t="s">
        <v>111</v>
      </c>
    </row>
    <row r="133" spans="1:7">
      <c r="B133" t="s">
        <v>1201</v>
      </c>
      <c r="C133" s="428">
        <f>HVAC!C29</f>
        <v>88.982638991971257</v>
      </c>
      <c r="D133" s="305" t="s">
        <v>495</v>
      </c>
      <c r="E133" s="305"/>
      <c r="F133" s="305"/>
      <c r="G133" s="3" t="s">
        <v>111</v>
      </c>
    </row>
    <row r="134" spans="1:7">
      <c r="B134" t="s">
        <v>445</v>
      </c>
      <c r="C134" s="404">
        <v>1</v>
      </c>
      <c r="D134" s="87" t="s">
        <v>496</v>
      </c>
      <c r="E134" s="305"/>
      <c r="F134" s="305"/>
      <c r="G134" s="3" t="s">
        <v>11</v>
      </c>
    </row>
    <row r="135" spans="1:7">
      <c r="A135" s="408"/>
      <c r="B135" s="408" t="s">
        <v>405</v>
      </c>
      <c r="C135" s="432">
        <f>HVAC!C14</f>
        <v>0.8</v>
      </c>
      <c r="D135" s="134" t="s">
        <v>493</v>
      </c>
      <c r="E135" s="104"/>
      <c r="F135" s="104"/>
      <c r="G135" s="410" t="s">
        <v>111</v>
      </c>
    </row>
    <row r="136" spans="1:7">
      <c r="A136" s="290" t="s">
        <v>1219</v>
      </c>
      <c r="B136" t="s">
        <v>1202</v>
      </c>
      <c r="C136" s="434">
        <f>Nbedrooms</f>
        <v>3</v>
      </c>
      <c r="D136" t="s">
        <v>672</v>
      </c>
      <c r="G136" s="407" t="s">
        <v>336</v>
      </c>
    </row>
    <row r="137" spans="1:7">
      <c r="B137" t="s">
        <v>1203</v>
      </c>
      <c r="C137" s="435">
        <f>Stories</f>
        <v>1</v>
      </c>
      <c r="D137" t="s">
        <v>739</v>
      </c>
      <c r="G137" s="407" t="s">
        <v>1206</v>
      </c>
    </row>
    <row r="138" spans="1:7">
      <c r="B138" t="s">
        <v>673</v>
      </c>
      <c r="C138" s="433">
        <f>Weather!B25</f>
        <v>0.41</v>
      </c>
      <c r="D138" t="s">
        <v>674</v>
      </c>
      <c r="G138" s="407" t="s">
        <v>1224</v>
      </c>
    </row>
    <row r="139" spans="1:7">
      <c r="B139" t="s">
        <v>1024</v>
      </c>
      <c r="C139" s="404">
        <v>2</v>
      </c>
      <c r="D139" t="s">
        <v>1033</v>
      </c>
      <c r="E139" t="s">
        <v>1042</v>
      </c>
    </row>
    <row r="140" spans="1:7">
      <c r="B140" t="s">
        <v>1365</v>
      </c>
      <c r="C140" s="404">
        <f>Qtot/1000*3600/V_houseSI</f>
        <v>0.41766090159228086</v>
      </c>
      <c r="D140" t="s">
        <v>1366</v>
      </c>
    </row>
    <row r="141" spans="1:7" s="290" customFormat="1">
      <c r="B141" s="290" t="s">
        <v>1367</v>
      </c>
      <c r="C141" s="404">
        <v>0</v>
      </c>
      <c r="D141" s="290" t="s">
        <v>1368</v>
      </c>
      <c r="E141" s="290" t="s">
        <v>1369</v>
      </c>
    </row>
    <row r="142" spans="1:7">
      <c r="A142" s="408"/>
      <c r="B142" s="408" t="s">
        <v>1025</v>
      </c>
      <c r="C142" s="404">
        <v>1</v>
      </c>
      <c r="D142" s="408" t="s">
        <v>1034</v>
      </c>
      <c r="E142" s="408" t="s">
        <v>1043</v>
      </c>
      <c r="F142" s="408"/>
      <c r="G142" s="408"/>
    </row>
    <row r="143" spans="1:7">
      <c r="A143" s="290" t="s">
        <v>1220</v>
      </c>
      <c r="B143" t="s">
        <v>1026</v>
      </c>
      <c r="C143" s="409">
        <v>0.82</v>
      </c>
      <c r="D143" t="s">
        <v>1035</v>
      </c>
    </row>
    <row r="144" spans="1:7">
      <c r="B144" t="s">
        <v>1027</v>
      </c>
      <c r="C144" s="404">
        <v>0.63</v>
      </c>
      <c r="D144" t="s">
        <v>1036</v>
      </c>
      <c r="E144" t="s">
        <v>1044</v>
      </c>
    </row>
    <row r="145" spans="1:7">
      <c r="B145" t="s">
        <v>1028</v>
      </c>
      <c r="C145" s="404">
        <v>0.51</v>
      </c>
      <c r="D145" t="s">
        <v>1037</v>
      </c>
      <c r="E145" t="s">
        <v>1044</v>
      </c>
    </row>
    <row r="146" spans="1:7">
      <c r="B146" t="s">
        <v>1029</v>
      </c>
      <c r="C146" s="404">
        <v>0</v>
      </c>
      <c r="D146" t="s">
        <v>1038</v>
      </c>
      <c r="E146" t="s">
        <v>1045</v>
      </c>
    </row>
    <row r="147" spans="1:7">
      <c r="B147" t="s">
        <v>1030</v>
      </c>
      <c r="C147" s="404">
        <v>8</v>
      </c>
      <c r="D147" t="s">
        <v>1039</v>
      </c>
      <c r="E147" t="s">
        <v>1046</v>
      </c>
    </row>
    <row r="148" spans="1:7">
      <c r="B148" t="s">
        <v>1031</v>
      </c>
      <c r="C148" s="404">
        <v>0</v>
      </c>
      <c r="D148" t="s">
        <v>1040</v>
      </c>
      <c r="E148" t="s">
        <v>1047</v>
      </c>
    </row>
    <row r="149" spans="1:7">
      <c r="A149" s="408"/>
      <c r="B149" s="408" t="s">
        <v>1032</v>
      </c>
      <c r="C149" s="404">
        <v>1</v>
      </c>
      <c r="D149" s="408" t="s">
        <v>1041</v>
      </c>
      <c r="E149" s="408" t="s">
        <v>1048</v>
      </c>
      <c r="F149" s="408"/>
      <c r="G149" s="408"/>
    </row>
    <row r="150" spans="1:7">
      <c r="A150" s="290" t="s">
        <v>879</v>
      </c>
      <c r="B150" t="s">
        <v>928</v>
      </c>
      <c r="C150" s="436">
        <f>IF(HumControl=0,0,1)</f>
        <v>0</v>
      </c>
      <c r="D150" t="s">
        <v>931</v>
      </c>
      <c r="E150" t="s">
        <v>882</v>
      </c>
    </row>
    <row r="151" spans="1:7">
      <c r="B151" t="s">
        <v>929</v>
      </c>
      <c r="C151" s="436">
        <f>HumControl</f>
        <v>0</v>
      </c>
      <c r="D151" t="s">
        <v>932</v>
      </c>
      <c r="G151" t="s">
        <v>1217</v>
      </c>
    </row>
    <row r="152" spans="1:7">
      <c r="B152" t="s">
        <v>930</v>
      </c>
      <c r="C152" s="441">
        <f>Humidity!B5</f>
        <v>1.8143650428724283E-2</v>
      </c>
      <c r="D152" t="s">
        <v>933</v>
      </c>
      <c r="E152">
        <v>13</v>
      </c>
      <c r="G152" t="s">
        <v>1312</v>
      </c>
    </row>
    <row r="153" spans="1:7">
      <c r="B153" t="s">
        <v>934</v>
      </c>
      <c r="C153" s="441">
        <f>Humidity!B6</f>
        <v>0</v>
      </c>
      <c r="D153" t="s">
        <v>944</v>
      </c>
      <c r="E153" t="s">
        <v>1090</v>
      </c>
      <c r="G153" t="s">
        <v>1312</v>
      </c>
    </row>
    <row r="154" spans="1:7">
      <c r="B154" s="408" t="s">
        <v>935</v>
      </c>
      <c r="C154" s="442">
        <f>Humidity!B7</f>
        <v>0</v>
      </c>
      <c r="D154" s="408" t="s">
        <v>945</v>
      </c>
      <c r="E154" s="408" t="s">
        <v>1090</v>
      </c>
      <c r="F154" s="408"/>
      <c r="G154" s="408" t="s">
        <v>1312</v>
      </c>
    </row>
    <row r="155" spans="1:7">
      <c r="B155" s="305" t="s">
        <v>962</v>
      </c>
      <c r="C155" s="437">
        <f>Humidity!B42</f>
        <v>7.6169999999999996E-3</v>
      </c>
      <c r="D155" s="305" t="s">
        <v>986</v>
      </c>
      <c r="E155" s="305">
        <v>14</v>
      </c>
      <c r="G155" t="s">
        <v>1312</v>
      </c>
    </row>
    <row r="156" spans="1:7">
      <c r="B156" s="305" t="s">
        <v>963</v>
      </c>
      <c r="C156" s="437">
        <f>Humidity!B43</f>
        <v>7.8799999999999999E-3</v>
      </c>
      <c r="D156" s="305" t="s">
        <v>986</v>
      </c>
      <c r="E156" s="305">
        <v>14</v>
      </c>
      <c r="G156" t="s">
        <v>1312</v>
      </c>
    </row>
    <row r="157" spans="1:7">
      <c r="B157" s="305" t="s">
        <v>964</v>
      </c>
      <c r="C157" s="437">
        <f>Humidity!B44</f>
        <v>8.541E-3</v>
      </c>
      <c r="D157" s="305" t="s">
        <v>986</v>
      </c>
      <c r="E157" s="305">
        <v>14</v>
      </c>
      <c r="G157" t="s">
        <v>1312</v>
      </c>
    </row>
    <row r="158" spans="1:7">
      <c r="B158" s="305" t="s">
        <v>965</v>
      </c>
      <c r="C158" s="437">
        <f>Humidity!B45</f>
        <v>1.1350000000000001E-2</v>
      </c>
      <c r="D158" s="305" t="s">
        <v>986</v>
      </c>
      <c r="E158" s="305">
        <v>14</v>
      </c>
      <c r="G158" t="s">
        <v>1312</v>
      </c>
    </row>
    <row r="159" spans="1:7">
      <c r="B159" s="305" t="s">
        <v>966</v>
      </c>
      <c r="C159" s="437">
        <f>Humidity!B46</f>
        <v>1.4200000000000001E-2</v>
      </c>
      <c r="D159" s="305" t="s">
        <v>986</v>
      </c>
      <c r="E159" s="305">
        <v>14</v>
      </c>
      <c r="G159" t="s">
        <v>1312</v>
      </c>
    </row>
    <row r="160" spans="1:7">
      <c r="B160" s="305" t="s">
        <v>967</v>
      </c>
      <c r="C160" s="437">
        <f>Humidity!B47</f>
        <v>1.6289999999999999E-2</v>
      </c>
      <c r="D160" s="305" t="s">
        <v>986</v>
      </c>
      <c r="E160" s="305">
        <v>14</v>
      </c>
      <c r="G160" t="s">
        <v>1312</v>
      </c>
    </row>
    <row r="161" spans="2:7">
      <c r="B161" s="305" t="s">
        <v>968</v>
      </c>
      <c r="C161" s="437">
        <f>Humidity!B48</f>
        <v>1.6670000000000001E-2</v>
      </c>
      <c r="D161" s="305" t="s">
        <v>986</v>
      </c>
      <c r="E161" s="305">
        <v>14</v>
      </c>
      <c r="G161" t="s">
        <v>1312</v>
      </c>
    </row>
    <row r="162" spans="2:7">
      <c r="B162" s="305" t="s">
        <v>969</v>
      </c>
      <c r="C162" s="437">
        <f>Humidity!B49</f>
        <v>1.686E-2</v>
      </c>
      <c r="D162" s="305" t="s">
        <v>986</v>
      </c>
      <c r="E162" s="305">
        <v>14</v>
      </c>
      <c r="G162" t="s">
        <v>1312</v>
      </c>
    </row>
    <row r="163" spans="2:7">
      <c r="B163" s="305" t="s">
        <v>970</v>
      </c>
      <c r="C163" s="437">
        <f>Humidity!B50</f>
        <v>1.6320000000000001E-2</v>
      </c>
      <c r="D163" s="305" t="s">
        <v>986</v>
      </c>
      <c r="E163" s="305">
        <v>14</v>
      </c>
      <c r="G163" t="s">
        <v>1312</v>
      </c>
    </row>
    <row r="164" spans="2:7">
      <c r="B164" s="305" t="s">
        <v>971</v>
      </c>
      <c r="C164" s="437">
        <f>Humidity!B51</f>
        <v>1.4590000000000001E-2</v>
      </c>
      <c r="D164" s="305" t="s">
        <v>986</v>
      </c>
      <c r="E164" s="305">
        <v>14</v>
      </c>
      <c r="G164" t="s">
        <v>1312</v>
      </c>
    </row>
    <row r="165" spans="2:7">
      <c r="B165" s="305" t="s">
        <v>972</v>
      </c>
      <c r="C165" s="437">
        <f>Humidity!B52</f>
        <v>1.225E-2</v>
      </c>
      <c r="D165" s="305" t="s">
        <v>986</v>
      </c>
      <c r="E165" s="305">
        <v>14</v>
      </c>
      <c r="G165" t="s">
        <v>1312</v>
      </c>
    </row>
    <row r="166" spans="2:7">
      <c r="B166" s="104" t="s">
        <v>973</v>
      </c>
      <c r="C166" s="438">
        <f>Humidity!B53</f>
        <v>8.7150000000000005E-3</v>
      </c>
      <c r="D166" s="104" t="s">
        <v>986</v>
      </c>
      <c r="E166" s="104">
        <v>14</v>
      </c>
      <c r="F166" s="408"/>
      <c r="G166" s="408" t="s">
        <v>1312</v>
      </c>
    </row>
    <row r="167" spans="2:7">
      <c r="B167" s="305" t="s">
        <v>974</v>
      </c>
      <c r="C167" s="439">
        <f>Humidity!B59</f>
        <v>1.3089999999999999E-2</v>
      </c>
      <c r="D167" s="305" t="s">
        <v>987</v>
      </c>
      <c r="E167" s="305">
        <v>14</v>
      </c>
      <c r="G167" t="s">
        <v>1312</v>
      </c>
    </row>
    <row r="168" spans="2:7">
      <c r="B168" s="305" t="s">
        <v>975</v>
      </c>
      <c r="C168" s="439">
        <f>Humidity!B60</f>
        <v>1.312E-2</v>
      </c>
      <c r="D168" s="305" t="s">
        <v>987</v>
      </c>
      <c r="E168" s="305">
        <v>14</v>
      </c>
      <c r="G168" t="s">
        <v>1312</v>
      </c>
    </row>
    <row r="169" spans="2:7">
      <c r="B169" s="305" t="s">
        <v>976</v>
      </c>
      <c r="C169" s="439">
        <f>Humidity!B61</f>
        <v>1.418E-2</v>
      </c>
      <c r="D169" s="305" t="s">
        <v>987</v>
      </c>
      <c r="E169" s="305">
        <v>14</v>
      </c>
      <c r="G169" t="s">
        <v>1312</v>
      </c>
    </row>
    <row r="170" spans="2:7">
      <c r="B170" s="305" t="s">
        <v>977</v>
      </c>
      <c r="C170" s="439">
        <f>Humidity!B62</f>
        <v>1.405E-2</v>
      </c>
      <c r="D170" s="305" t="s">
        <v>987</v>
      </c>
      <c r="E170" s="305">
        <v>14</v>
      </c>
      <c r="G170" t="s">
        <v>1312</v>
      </c>
    </row>
    <row r="171" spans="2:7">
      <c r="B171" s="305" t="s">
        <v>978</v>
      </c>
      <c r="C171" s="439">
        <f>Humidity!B63</f>
        <v>1.6299999999999999E-2</v>
      </c>
      <c r="D171" s="305" t="s">
        <v>987</v>
      </c>
      <c r="E171" s="305">
        <v>14</v>
      </c>
      <c r="G171" t="s">
        <v>1312</v>
      </c>
    </row>
    <row r="172" spans="2:7">
      <c r="B172" s="305" t="s">
        <v>979</v>
      </c>
      <c r="C172" s="439">
        <f>Humidity!B64</f>
        <v>1.805E-2</v>
      </c>
      <c r="D172" s="305" t="s">
        <v>987</v>
      </c>
      <c r="E172" s="305">
        <v>14</v>
      </c>
      <c r="G172" t="s">
        <v>1312</v>
      </c>
    </row>
    <row r="173" spans="2:7">
      <c r="B173" s="305" t="s">
        <v>980</v>
      </c>
      <c r="C173" s="439">
        <f>Humidity!B65</f>
        <v>1.8460000000000001E-2</v>
      </c>
      <c r="D173" s="305" t="s">
        <v>987</v>
      </c>
      <c r="E173" s="305">
        <v>14</v>
      </c>
      <c r="G173" t="s">
        <v>1312</v>
      </c>
    </row>
    <row r="174" spans="2:7">
      <c r="B174" s="305" t="s">
        <v>981</v>
      </c>
      <c r="C174" s="439">
        <f>Humidity!B66</f>
        <v>1.8519999999999998E-2</v>
      </c>
      <c r="D174" s="305" t="s">
        <v>987</v>
      </c>
      <c r="E174" s="305">
        <v>14</v>
      </c>
      <c r="G174" t="s">
        <v>1312</v>
      </c>
    </row>
    <row r="175" spans="2:7">
      <c r="B175" s="305" t="s">
        <v>982</v>
      </c>
      <c r="C175" s="439">
        <f>Humidity!B67</f>
        <v>1.8010000000000002E-2</v>
      </c>
      <c r="D175" s="305" t="s">
        <v>987</v>
      </c>
      <c r="E175" s="305">
        <v>14</v>
      </c>
      <c r="G175" t="s">
        <v>1312</v>
      </c>
    </row>
    <row r="176" spans="2:7">
      <c r="B176" s="305" t="s">
        <v>983</v>
      </c>
      <c r="C176" s="439">
        <f>Humidity!B68</f>
        <v>1.7479999999999999E-2</v>
      </c>
      <c r="D176" s="305" t="s">
        <v>987</v>
      </c>
      <c r="E176" s="305">
        <v>14</v>
      </c>
      <c r="G176" t="s">
        <v>1312</v>
      </c>
    </row>
    <row r="177" spans="1:7">
      <c r="B177" s="305" t="s">
        <v>984</v>
      </c>
      <c r="C177" s="439">
        <f>Humidity!B69</f>
        <v>1.6619999999999999E-2</v>
      </c>
      <c r="D177" s="305" t="s">
        <v>987</v>
      </c>
      <c r="E177" s="305">
        <v>14</v>
      </c>
      <c r="G177" t="s">
        <v>1312</v>
      </c>
    </row>
    <row r="178" spans="1:7">
      <c r="B178" s="104" t="s">
        <v>985</v>
      </c>
      <c r="C178" s="440">
        <f>Humidity!B70</f>
        <v>1.452E-2</v>
      </c>
      <c r="D178" s="104" t="s">
        <v>987</v>
      </c>
      <c r="E178" s="104">
        <v>14</v>
      </c>
      <c r="F178" s="408"/>
      <c r="G178" s="408" t="s">
        <v>1312</v>
      </c>
    </row>
    <row r="179" spans="1:7">
      <c r="B179" s="305" t="s">
        <v>1063</v>
      </c>
      <c r="C179" s="413">
        <f>Humidity!B8</f>
        <v>0</v>
      </c>
      <c r="D179" s="305" t="s">
        <v>1073</v>
      </c>
      <c r="E179" s="305" t="s">
        <v>1072</v>
      </c>
      <c r="G179" t="s">
        <v>1312</v>
      </c>
    </row>
    <row r="180" spans="1:7">
      <c r="B180" s="305" t="s">
        <v>1064</v>
      </c>
      <c r="C180" s="413">
        <f>Humidity!B9</f>
        <v>0</v>
      </c>
      <c r="D180" s="305" t="s">
        <v>1074</v>
      </c>
      <c r="E180" s="305" t="s">
        <v>1072</v>
      </c>
      <c r="G180" t="s">
        <v>1312</v>
      </c>
    </row>
    <row r="181" spans="1:7">
      <c r="B181" s="305" t="s">
        <v>1065</v>
      </c>
      <c r="C181" s="413">
        <f>Humidity!B10</f>
        <v>0</v>
      </c>
      <c r="D181" s="305" t="s">
        <v>1075</v>
      </c>
      <c r="E181" s="305" t="s">
        <v>1082</v>
      </c>
      <c r="G181" t="s">
        <v>1312</v>
      </c>
    </row>
    <row r="182" spans="1:7">
      <c r="B182" s="305" t="s">
        <v>1066</v>
      </c>
      <c r="C182" s="413">
        <f>Humidity!B11</f>
        <v>0</v>
      </c>
      <c r="D182" s="305" t="s">
        <v>1076</v>
      </c>
      <c r="E182" s="305" t="s">
        <v>1067</v>
      </c>
      <c r="G182" t="s">
        <v>1312</v>
      </c>
    </row>
    <row r="183" spans="1:7">
      <c r="B183" s="305" t="s">
        <v>1068</v>
      </c>
      <c r="C183" s="404" t="s">
        <v>1254</v>
      </c>
      <c r="D183" s="305" t="s">
        <v>1077</v>
      </c>
      <c r="E183" s="305">
        <v>11</v>
      </c>
      <c r="G183" t="s">
        <v>1312</v>
      </c>
    </row>
    <row r="184" spans="1:7">
      <c r="B184" s="305" t="s">
        <v>1069</v>
      </c>
      <c r="C184" s="404" t="s">
        <v>1254</v>
      </c>
      <c r="D184" s="305" t="s">
        <v>1078</v>
      </c>
      <c r="E184" s="305">
        <v>11</v>
      </c>
      <c r="G184" t="s">
        <v>1312</v>
      </c>
    </row>
    <row r="185" spans="1:7">
      <c r="B185" s="305" t="s">
        <v>1071</v>
      </c>
      <c r="C185" s="404">
        <v>0</v>
      </c>
      <c r="D185" s="305" t="s">
        <v>1079</v>
      </c>
      <c r="E185" s="305">
        <v>11</v>
      </c>
      <c r="G185" t="s">
        <v>1312</v>
      </c>
    </row>
    <row r="186" spans="1:7">
      <c r="A186" s="408"/>
      <c r="B186" s="104" t="s">
        <v>1070</v>
      </c>
      <c r="C186" s="404">
        <v>0</v>
      </c>
      <c r="D186" s="104" t="s">
        <v>1080</v>
      </c>
      <c r="E186" s="104">
        <v>11</v>
      </c>
      <c r="F186" s="408"/>
      <c r="G186" s="408" t="s">
        <v>1312</v>
      </c>
    </row>
    <row r="187" spans="1:7">
      <c r="A187" s="290" t="s">
        <v>1221</v>
      </c>
      <c r="B187" t="s">
        <v>1207</v>
      </c>
      <c r="C187" s="461">
        <f>Dehumidifier!B8</f>
        <v>0</v>
      </c>
      <c r="D187" t="s">
        <v>1213</v>
      </c>
      <c r="E187" t="s">
        <v>1208</v>
      </c>
      <c r="G187" t="s">
        <v>1249</v>
      </c>
    </row>
    <row r="188" spans="1:7">
      <c r="B188" t="s">
        <v>1209</v>
      </c>
      <c r="C188" s="459">
        <f>Dehumidifier!B9</f>
        <v>1.85</v>
      </c>
      <c r="D188" t="s">
        <v>1214</v>
      </c>
      <c r="G188" t="s">
        <v>1249</v>
      </c>
    </row>
    <row r="189" spans="1:7">
      <c r="B189" t="s">
        <v>1210</v>
      </c>
      <c r="C189" s="458">
        <f>Dehumidifier!B10</f>
        <v>55</v>
      </c>
      <c r="D189" t="s">
        <v>1215</v>
      </c>
      <c r="G189" s="290" t="s">
        <v>1249</v>
      </c>
    </row>
    <row r="190" spans="1:7">
      <c r="B190" t="s">
        <v>1211</v>
      </c>
      <c r="C190" s="460">
        <f>Dehumidifier!B11</f>
        <v>2.5</v>
      </c>
      <c r="D190" t="s">
        <v>1216</v>
      </c>
      <c r="E190" t="s">
        <v>1212</v>
      </c>
      <c r="G190" s="290" t="s">
        <v>1249</v>
      </c>
    </row>
    <row r="191" spans="1:7">
      <c r="A191" s="305" t="s">
        <v>1252</v>
      </c>
      <c r="B191" t="s">
        <v>1270</v>
      </c>
      <c r="C191" s="404" t="s">
        <v>1253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B050"/>
  </sheetPr>
  <dimension ref="A1:Z193"/>
  <sheetViews>
    <sheetView zoomScale="85" zoomScaleNormal="85" zoomScalePageLayoutView="85" workbookViewId="0">
      <pane xSplit="2" ySplit="1" topLeftCell="C118" activePane="bottomRight" state="frozen"/>
      <selection pane="topRight" activeCell="C1" sqref="C1"/>
      <selection pane="bottomLeft" activeCell="A2" sqref="A2"/>
      <selection pane="bottomRight" activeCell="U141" sqref="U141"/>
    </sheetView>
  </sheetViews>
  <sheetFormatPr baseColWidth="10" defaultColWidth="8.6640625" defaultRowHeight="15" customHeight="1" outlineLevelCol="1" x14ac:dyDescent="0"/>
  <cols>
    <col min="1" max="1" width="16.5" style="305" bestFit="1" customWidth="1"/>
    <col min="2" max="2" width="17.83203125" style="305" bestFit="1" customWidth="1"/>
    <col min="3" max="13" width="13.33203125" style="13" bestFit="1" customWidth="1" outlineLevel="1"/>
    <col min="14" max="19" width="13.33203125" style="179" bestFit="1" customWidth="1" outlineLevel="1"/>
    <col min="20" max="20" width="17.1640625" style="69" customWidth="1" outlineLevel="1"/>
    <col min="21" max="21" width="9.5" style="5" customWidth="1" outlineLevel="1"/>
    <col min="22" max="16384" width="8.6640625" style="5"/>
  </cols>
  <sheetData>
    <row r="1" spans="1:26" s="1" customFormat="1" ht="49.5" customHeight="1"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242" t="s">
        <v>910</v>
      </c>
      <c r="S1" s="242" t="s">
        <v>909</v>
      </c>
      <c r="V1" s="5"/>
    </row>
    <row r="2" spans="1:26" s="140" customFormat="1" ht="14">
      <c r="A2" s="140" t="s">
        <v>1016</v>
      </c>
      <c r="B2" s="140" t="s">
        <v>1105</v>
      </c>
      <c r="C2" s="57" t="str">
        <f>Weather!B26</f>
        <v>722020TYA.CSV</v>
      </c>
      <c r="D2" s="57" t="str">
        <f>Weather!C26</f>
        <v>722430TYA.CSV</v>
      </c>
      <c r="E2" s="57" t="str">
        <f>Weather!D26</f>
        <v>722780TYA.CSV</v>
      </c>
      <c r="F2" s="57" t="str">
        <f>Weather!E26</f>
        <v>723340TYA.CSV</v>
      </c>
      <c r="G2" s="57" t="str">
        <f>Weather!F26</f>
        <v>722700TYA.CSV</v>
      </c>
      <c r="H2" s="57" t="str">
        <f>Weather!G26</f>
        <v>724940TYA.CSV</v>
      </c>
      <c r="I2" s="57" t="str">
        <f>Weather!H26</f>
        <v>724060TYA.CSV</v>
      </c>
      <c r="J2" s="57" t="str">
        <f>Weather!I26</f>
        <v>723650TYA.CSV</v>
      </c>
      <c r="K2" s="57" t="str">
        <f>Weather!J26</f>
        <v>726940TYA.CSV</v>
      </c>
      <c r="L2" s="57" t="str">
        <f>Weather!K26</f>
        <v>725300TYA.CSV</v>
      </c>
      <c r="M2" s="57" t="str">
        <f>Weather!L26</f>
        <v>726810TYA.CSV</v>
      </c>
      <c r="N2" s="57" t="str">
        <f>Weather!M26</f>
        <v>726170TYA.CSV</v>
      </c>
      <c r="O2" s="57" t="str">
        <f>Weather!N26</f>
        <v>727720TYA.CSV</v>
      </c>
      <c r="P2" s="57" t="str">
        <f>Weather!O26</f>
        <v>727450TYA.CSV</v>
      </c>
      <c r="Q2" s="57" t="str">
        <f>Weather!P26</f>
        <v>702610TYA.CSV</v>
      </c>
      <c r="R2" s="57" t="str">
        <f>Weather!Q26</f>
        <v>722050TYA.CSV</v>
      </c>
      <c r="S2" s="57" t="str">
        <f>Weather!R26</f>
        <v>722080TYA.CSV</v>
      </c>
      <c r="Z2" s="1"/>
    </row>
    <row r="3" spans="1:26" s="140" customFormat="1" ht="14">
      <c r="B3" s="140" t="s">
        <v>1003</v>
      </c>
      <c r="C3" s="57" t="str">
        <f>'Internal gains'!$B$24</f>
        <v>sched1.txt</v>
      </c>
      <c r="D3" s="57" t="str">
        <f>'Internal gains'!$B$24</f>
        <v>sched1.txt</v>
      </c>
      <c r="E3" s="57" t="str">
        <f>'Internal gains'!$B$24</f>
        <v>sched1.txt</v>
      </c>
      <c r="F3" s="57" t="str">
        <f>'Internal gains'!$B$24</f>
        <v>sched1.txt</v>
      </c>
      <c r="G3" s="57" t="str">
        <f>'Internal gains'!$B$24</f>
        <v>sched1.txt</v>
      </c>
      <c r="H3" s="57" t="str">
        <f>'Internal gains'!$B$24</f>
        <v>sched1.txt</v>
      </c>
      <c r="I3" s="57" t="str">
        <f>'Internal gains'!$B$24</f>
        <v>sched1.txt</v>
      </c>
      <c r="J3" s="57" t="str">
        <f>'Internal gains'!$B$24</f>
        <v>sched1.txt</v>
      </c>
      <c r="K3" s="57" t="str">
        <f>'Internal gains'!$B$24</f>
        <v>sched1.txt</v>
      </c>
      <c r="L3" s="57" t="str">
        <f>'Internal gains'!$B$24</f>
        <v>sched1.txt</v>
      </c>
      <c r="M3" s="57" t="str">
        <f>'Internal gains'!$B$24</f>
        <v>sched1.txt</v>
      </c>
      <c r="N3" s="57" t="str">
        <f>'Internal gains'!$B$24</f>
        <v>sched1.txt</v>
      </c>
      <c r="O3" s="57" t="str">
        <f>'Internal gains'!$B$24</f>
        <v>sched1.txt</v>
      </c>
      <c r="P3" s="57" t="str">
        <f>'Internal gains'!$B$24</f>
        <v>sched1.txt</v>
      </c>
      <c r="Q3" s="57" t="str">
        <f>'Internal gains'!$B$24</f>
        <v>sched1.txt</v>
      </c>
      <c r="R3" s="57" t="str">
        <f>'Internal gains'!$B$24</f>
        <v>sched1.txt</v>
      </c>
      <c r="S3" s="57" t="str">
        <f>'Internal gains'!$B$24</f>
        <v>sched1.txt</v>
      </c>
      <c r="Z3" s="1"/>
    </row>
    <row r="4" spans="1:26" s="140" customFormat="1" ht="14">
      <c r="B4" s="140" t="s">
        <v>1004</v>
      </c>
      <c r="C4" s="57" t="str">
        <f>Inputs!$C$4</f>
        <v>tstat_std.txt</v>
      </c>
      <c r="D4" s="57" t="str">
        <f>Inputs!$C$4</f>
        <v>tstat_std.txt</v>
      </c>
      <c r="E4" s="57" t="str">
        <f>Inputs!$C$4</f>
        <v>tstat_std.txt</v>
      </c>
      <c r="F4" s="57" t="str">
        <f>Inputs!$C$4</f>
        <v>tstat_std.txt</v>
      </c>
      <c r="G4" s="57" t="str">
        <f>Inputs!$C$4</f>
        <v>tstat_std.txt</v>
      </c>
      <c r="H4" s="57" t="str">
        <f>Inputs!$C$4</f>
        <v>tstat_std.txt</v>
      </c>
      <c r="I4" s="57" t="str">
        <f>Inputs!$C$4</f>
        <v>tstat_std.txt</v>
      </c>
      <c r="J4" s="57" t="str">
        <f>Inputs!$C$4</f>
        <v>tstat_std.txt</v>
      </c>
      <c r="K4" s="57" t="str">
        <f>Inputs!$C$4</f>
        <v>tstat_std.txt</v>
      </c>
      <c r="L4" s="57" t="str">
        <f>Inputs!$C$4</f>
        <v>tstat_std.txt</v>
      </c>
      <c r="M4" s="57" t="str">
        <f>Inputs!$C$4</f>
        <v>tstat_std.txt</v>
      </c>
      <c r="N4" s="57" t="str">
        <f>Inputs!$C$4</f>
        <v>tstat_std.txt</v>
      </c>
      <c r="O4" s="57" t="str">
        <f>Inputs!$C$4</f>
        <v>tstat_std.txt</v>
      </c>
      <c r="P4" s="57" t="str">
        <f>Inputs!$C$4</f>
        <v>tstat_std.txt</v>
      </c>
      <c r="Q4" s="57" t="str">
        <f>Inputs!$C$4</f>
        <v>tstat_std.txt</v>
      </c>
      <c r="R4" s="57" t="str">
        <f>Inputs!$C$4</f>
        <v>tstat_std.txt</v>
      </c>
      <c r="S4" s="57" t="str">
        <f>Inputs!$C$4</f>
        <v>tstat_std.txt</v>
      </c>
      <c r="Z4" s="1"/>
    </row>
    <row r="5" spans="1:26" s="140" customFormat="1" ht="14">
      <c r="B5" s="140" t="s">
        <v>1005</v>
      </c>
      <c r="C5" s="57" t="str">
        <f>Inputs!$C$5</f>
        <v>occ_full.txt</v>
      </c>
      <c r="D5" s="57" t="str">
        <f>Inputs!$C$5</f>
        <v>occ_full.txt</v>
      </c>
      <c r="E5" s="57" t="str">
        <f>Inputs!$C$5</f>
        <v>occ_full.txt</v>
      </c>
      <c r="F5" s="57" t="str">
        <f>Inputs!$C$5</f>
        <v>occ_full.txt</v>
      </c>
      <c r="G5" s="57" t="str">
        <f>Inputs!$C$5</f>
        <v>occ_full.txt</v>
      </c>
      <c r="H5" s="57" t="str">
        <f>Inputs!$C$5</f>
        <v>occ_full.txt</v>
      </c>
      <c r="I5" s="57" t="str">
        <f>Inputs!$C$5</f>
        <v>occ_full.txt</v>
      </c>
      <c r="J5" s="57" t="str">
        <f>Inputs!$C$5</f>
        <v>occ_full.txt</v>
      </c>
      <c r="K5" s="57" t="str">
        <f>Inputs!$C$5</f>
        <v>occ_full.txt</v>
      </c>
      <c r="L5" s="57" t="str">
        <f>Inputs!$C$5</f>
        <v>occ_full.txt</v>
      </c>
      <c r="M5" s="57" t="str">
        <f>Inputs!$C$5</f>
        <v>occ_full.txt</v>
      </c>
      <c r="N5" s="57" t="str">
        <f>Inputs!$C$5</f>
        <v>occ_full.txt</v>
      </c>
      <c r="O5" s="57" t="str">
        <f>Inputs!$C$5</f>
        <v>occ_full.txt</v>
      </c>
      <c r="P5" s="57" t="str">
        <f>Inputs!$C$5</f>
        <v>occ_full.txt</v>
      </c>
      <c r="Q5" s="57" t="str">
        <f>Inputs!$C$5</f>
        <v>occ_full.txt</v>
      </c>
      <c r="R5" s="57" t="str">
        <f>Inputs!$C$5</f>
        <v>occ_full.txt</v>
      </c>
      <c r="S5" s="57" t="str">
        <f>Inputs!$C$5</f>
        <v>occ_full.txt</v>
      </c>
      <c r="Z5" s="1"/>
    </row>
    <row r="6" spans="1:26" s="140" customFormat="1" ht="14">
      <c r="B6" s="140" t="s">
        <v>1006</v>
      </c>
      <c r="C6" s="57" t="str">
        <f>Inputs!$C$6</f>
        <v>bshelter.dat</v>
      </c>
      <c r="D6" s="57" t="str">
        <f>Inputs!$C$6</f>
        <v>bshelter.dat</v>
      </c>
      <c r="E6" s="57" t="str">
        <f>Inputs!$C$6</f>
        <v>bshelter.dat</v>
      </c>
      <c r="F6" s="57" t="str">
        <f>Inputs!$C$6</f>
        <v>bshelter.dat</v>
      </c>
      <c r="G6" s="57" t="str">
        <f>Inputs!$C$6</f>
        <v>bshelter.dat</v>
      </c>
      <c r="H6" s="57" t="str">
        <f>Inputs!$C$6</f>
        <v>bshelter.dat</v>
      </c>
      <c r="I6" s="57" t="str">
        <f>Inputs!$C$6</f>
        <v>bshelter.dat</v>
      </c>
      <c r="J6" s="57" t="str">
        <f>Inputs!$C$6</f>
        <v>bshelter.dat</v>
      </c>
      <c r="K6" s="57" t="str">
        <f>Inputs!$C$6</f>
        <v>bshelter.dat</v>
      </c>
      <c r="L6" s="57" t="str">
        <f>Inputs!$C$6</f>
        <v>bshelter.dat</v>
      </c>
      <c r="M6" s="57" t="str">
        <f>Inputs!$C$6</f>
        <v>bshelter.dat</v>
      </c>
      <c r="N6" s="57" t="str">
        <f>Inputs!$C$6</f>
        <v>bshelter.dat</v>
      </c>
      <c r="O6" s="57" t="str">
        <f>Inputs!$C$6</f>
        <v>bshelter.dat</v>
      </c>
      <c r="P6" s="57" t="str">
        <f>Inputs!$C$6</f>
        <v>bshelter.dat</v>
      </c>
      <c r="Q6" s="57" t="str">
        <f>Inputs!$C$6</f>
        <v>bshelter.dat</v>
      </c>
      <c r="R6" s="57" t="str">
        <f>Inputs!$C$6</f>
        <v>bshelter.dat</v>
      </c>
      <c r="S6" s="57" t="str">
        <f>Inputs!$C$6</f>
        <v>bshelter.dat</v>
      </c>
      <c r="Z6" s="1"/>
    </row>
    <row r="7" spans="1:26" ht="15" customHeight="1">
      <c r="A7" s="305" t="s">
        <v>1015</v>
      </c>
      <c r="B7" s="305" t="s">
        <v>1357</v>
      </c>
      <c r="C7" s="6">
        <f>Leakage!H32</f>
        <v>1.5620281250000001E-2</v>
      </c>
      <c r="D7" s="6">
        <f>Leakage!I32</f>
        <v>1.5620281250000001E-2</v>
      </c>
      <c r="E7" s="6">
        <f>Leakage!J32</f>
        <v>1.5620281250000001E-2</v>
      </c>
      <c r="F7" s="6">
        <f>Leakage!K32</f>
        <v>1.3016901041666668E-2</v>
      </c>
      <c r="G7" s="6">
        <f>Leakage!L32</f>
        <v>1.3016901041666668E-2</v>
      </c>
      <c r="H7" s="6">
        <f>Leakage!M32</f>
        <v>1.3016901041666668E-2</v>
      </c>
      <c r="I7" s="6">
        <f>Leakage!N32</f>
        <v>1.3016901041666668E-2</v>
      </c>
      <c r="J7" s="6">
        <f>Leakage!O32</f>
        <v>1.3016901041666668E-2</v>
      </c>
      <c r="K7" s="6">
        <f>Leakage!P32</f>
        <v>1.3016901041666668E-2</v>
      </c>
      <c r="L7" s="6">
        <f>Leakage!Q32</f>
        <v>1.0413520833333334E-2</v>
      </c>
      <c r="M7" s="6">
        <f>Leakage!R32</f>
        <v>1.0413520833333334E-2</v>
      </c>
      <c r="N7" s="6">
        <f>Leakage!S32</f>
        <v>1.0413520833333334E-2</v>
      </c>
      <c r="O7" s="6">
        <f>Leakage!T32</f>
        <v>1.0413520833333334E-2</v>
      </c>
      <c r="P7" s="6">
        <f>Leakage!U32</f>
        <v>1.0413520833333334E-2</v>
      </c>
      <c r="Q7" s="6">
        <f>Leakage!V32</f>
        <v>7.8101406250000007E-3</v>
      </c>
      <c r="R7" s="6">
        <f>Leakage!W32</f>
        <v>1.5620281250000001E-2</v>
      </c>
      <c r="S7" s="6">
        <f>Leakage!X32</f>
        <v>1.3016901041666668E-2</v>
      </c>
      <c r="T7" s="67"/>
    </row>
    <row r="8" spans="1:26" ht="15" customHeight="1">
      <c r="B8" s="305" t="s">
        <v>1092</v>
      </c>
      <c r="C8" s="169">
        <f>Leakage!H33</f>
        <v>0.65</v>
      </c>
      <c r="D8" s="169">
        <f>Leakage!I33</f>
        <v>0.65</v>
      </c>
      <c r="E8" s="169">
        <f>Leakage!J33</f>
        <v>0.65</v>
      </c>
      <c r="F8" s="169">
        <f>Leakage!K33</f>
        <v>0.65</v>
      </c>
      <c r="G8" s="169">
        <f>Leakage!L33</f>
        <v>0.65</v>
      </c>
      <c r="H8" s="169">
        <f>Leakage!M33</f>
        <v>0.65</v>
      </c>
      <c r="I8" s="169">
        <f>Leakage!N33</f>
        <v>0.65</v>
      </c>
      <c r="J8" s="169">
        <f>Leakage!O33</f>
        <v>0.65</v>
      </c>
      <c r="K8" s="169">
        <f>Leakage!P33</f>
        <v>0.65</v>
      </c>
      <c r="L8" s="169">
        <f>Leakage!Q33</f>
        <v>0.65</v>
      </c>
      <c r="M8" s="169">
        <f>Leakage!R33</f>
        <v>0.65</v>
      </c>
      <c r="N8" s="169">
        <f>Leakage!S33</f>
        <v>0.65</v>
      </c>
      <c r="O8" s="169">
        <f>Leakage!T33</f>
        <v>0.65</v>
      </c>
      <c r="P8" s="169">
        <f>Leakage!U33</f>
        <v>0.65</v>
      </c>
      <c r="Q8" s="169">
        <f>Leakage!V33</f>
        <v>0.65</v>
      </c>
      <c r="R8" s="169">
        <f>Leakage!W33</f>
        <v>0.65</v>
      </c>
      <c r="S8" s="169">
        <f>Leakage!X33</f>
        <v>0.65</v>
      </c>
      <c r="T8" s="67"/>
    </row>
    <row r="9" spans="1:26" s="305" customFormat="1" ht="15" customHeight="1">
      <c r="B9" s="305" t="s">
        <v>1352</v>
      </c>
      <c r="C9" s="169">
        <f>Inputs!C9</f>
        <v>0.48</v>
      </c>
      <c r="D9" s="169">
        <f>C9</f>
        <v>0.48</v>
      </c>
      <c r="E9" s="169">
        <f t="shared" ref="E9:S9" si="0">D9</f>
        <v>0.48</v>
      </c>
      <c r="F9" s="169">
        <f t="shared" si="0"/>
        <v>0.48</v>
      </c>
      <c r="G9" s="169">
        <f t="shared" si="0"/>
        <v>0.48</v>
      </c>
      <c r="H9" s="169">
        <f t="shared" si="0"/>
        <v>0.48</v>
      </c>
      <c r="I9" s="169">
        <f t="shared" si="0"/>
        <v>0.48</v>
      </c>
      <c r="J9" s="169">
        <f t="shared" si="0"/>
        <v>0.48</v>
      </c>
      <c r="K9" s="169">
        <f t="shared" si="0"/>
        <v>0.48</v>
      </c>
      <c r="L9" s="169">
        <f t="shared" si="0"/>
        <v>0.48</v>
      </c>
      <c r="M9" s="169">
        <f t="shared" si="0"/>
        <v>0.48</v>
      </c>
      <c r="N9" s="169">
        <f t="shared" si="0"/>
        <v>0.48</v>
      </c>
      <c r="O9" s="169">
        <f t="shared" si="0"/>
        <v>0.48</v>
      </c>
      <c r="P9" s="169">
        <f t="shared" si="0"/>
        <v>0.48</v>
      </c>
      <c r="Q9" s="169">
        <f t="shared" si="0"/>
        <v>0.48</v>
      </c>
      <c r="R9" s="169">
        <f t="shared" si="0"/>
        <v>0.48</v>
      </c>
      <c r="S9" s="169">
        <f t="shared" si="0"/>
        <v>0.48</v>
      </c>
      <c r="T9" s="67"/>
    </row>
    <row r="10" spans="1:26" s="305" customFormat="1" ht="15" customHeight="1">
      <c r="B10" s="305" t="s">
        <v>1345</v>
      </c>
      <c r="C10" s="169">
        <f>Inputs!C10</f>
        <v>0.5</v>
      </c>
      <c r="D10" s="169">
        <f t="shared" ref="D10:S12" si="1">C10</f>
        <v>0.5</v>
      </c>
      <c r="E10" s="169">
        <f t="shared" si="1"/>
        <v>0.5</v>
      </c>
      <c r="F10" s="169">
        <f t="shared" si="1"/>
        <v>0.5</v>
      </c>
      <c r="G10" s="169">
        <f t="shared" si="1"/>
        <v>0.5</v>
      </c>
      <c r="H10" s="169">
        <f t="shared" si="1"/>
        <v>0.5</v>
      </c>
      <c r="I10" s="169">
        <f t="shared" si="1"/>
        <v>0.5</v>
      </c>
      <c r="J10" s="169">
        <f t="shared" si="1"/>
        <v>0.5</v>
      </c>
      <c r="K10" s="169">
        <f t="shared" si="1"/>
        <v>0.5</v>
      </c>
      <c r="L10" s="169">
        <f t="shared" si="1"/>
        <v>0.5</v>
      </c>
      <c r="M10" s="169">
        <f t="shared" si="1"/>
        <v>0.5</v>
      </c>
      <c r="N10" s="169">
        <f t="shared" si="1"/>
        <v>0.5</v>
      </c>
      <c r="O10" s="169">
        <f t="shared" si="1"/>
        <v>0.5</v>
      </c>
      <c r="P10" s="169">
        <f t="shared" si="1"/>
        <v>0.5</v>
      </c>
      <c r="Q10" s="169">
        <f t="shared" si="1"/>
        <v>0.5</v>
      </c>
      <c r="R10" s="169">
        <f t="shared" si="1"/>
        <v>0.5</v>
      </c>
      <c r="S10" s="169">
        <f t="shared" si="1"/>
        <v>0.5</v>
      </c>
      <c r="T10" s="67"/>
    </row>
    <row r="11" spans="1:26" s="305" customFormat="1" ht="15" customHeight="1">
      <c r="B11" s="305" t="s">
        <v>1354</v>
      </c>
      <c r="C11" s="169">
        <f>Inputs!C11</f>
        <v>5.3999999999999999E-2</v>
      </c>
      <c r="D11" s="169">
        <f t="shared" si="1"/>
        <v>5.3999999999999999E-2</v>
      </c>
      <c r="E11" s="169">
        <f t="shared" si="1"/>
        <v>5.3999999999999999E-2</v>
      </c>
      <c r="F11" s="169">
        <f t="shared" si="1"/>
        <v>5.3999999999999999E-2</v>
      </c>
      <c r="G11" s="169">
        <f t="shared" si="1"/>
        <v>5.3999999999999999E-2</v>
      </c>
      <c r="H11" s="169">
        <f t="shared" si="1"/>
        <v>5.3999999999999999E-2</v>
      </c>
      <c r="I11" s="169">
        <f t="shared" si="1"/>
        <v>5.3999999999999999E-2</v>
      </c>
      <c r="J11" s="169">
        <f t="shared" si="1"/>
        <v>5.3999999999999999E-2</v>
      </c>
      <c r="K11" s="169">
        <f t="shared" si="1"/>
        <v>5.3999999999999999E-2</v>
      </c>
      <c r="L11" s="169">
        <f t="shared" si="1"/>
        <v>5.3999999999999999E-2</v>
      </c>
      <c r="M11" s="169">
        <f t="shared" si="1"/>
        <v>5.3999999999999999E-2</v>
      </c>
      <c r="N11" s="169">
        <f t="shared" si="1"/>
        <v>5.3999999999999999E-2</v>
      </c>
      <c r="O11" s="169">
        <f t="shared" si="1"/>
        <v>5.3999999999999999E-2</v>
      </c>
      <c r="P11" s="169">
        <f t="shared" si="1"/>
        <v>5.3999999999999999E-2</v>
      </c>
      <c r="Q11" s="169">
        <f t="shared" si="1"/>
        <v>5.3999999999999999E-2</v>
      </c>
      <c r="R11" s="169">
        <f t="shared" si="1"/>
        <v>5.3999999999999999E-2</v>
      </c>
      <c r="S11" s="169">
        <f t="shared" si="1"/>
        <v>5.3999999999999999E-2</v>
      </c>
      <c r="T11" s="67"/>
    </row>
    <row r="12" spans="1:26" s="305" customFormat="1" ht="15" customHeight="1">
      <c r="B12" s="305" t="s">
        <v>1358</v>
      </c>
      <c r="C12" s="169">
        <f>Inputs!C12</f>
        <v>0.128</v>
      </c>
      <c r="D12" s="169">
        <f t="shared" si="1"/>
        <v>0.128</v>
      </c>
      <c r="E12" s="169">
        <f t="shared" si="1"/>
        <v>0.128</v>
      </c>
      <c r="F12" s="169">
        <f t="shared" si="1"/>
        <v>0.128</v>
      </c>
      <c r="G12" s="169">
        <f t="shared" si="1"/>
        <v>0.128</v>
      </c>
      <c r="H12" s="169">
        <f t="shared" si="1"/>
        <v>0.128</v>
      </c>
      <c r="I12" s="169">
        <f t="shared" si="1"/>
        <v>0.128</v>
      </c>
      <c r="J12" s="169">
        <f t="shared" si="1"/>
        <v>0.128</v>
      </c>
      <c r="K12" s="169">
        <f t="shared" si="1"/>
        <v>0.128</v>
      </c>
      <c r="L12" s="169">
        <f t="shared" si="1"/>
        <v>0.128</v>
      </c>
      <c r="M12" s="169">
        <f t="shared" si="1"/>
        <v>0.128</v>
      </c>
      <c r="N12" s="169">
        <f t="shared" si="1"/>
        <v>0.128</v>
      </c>
      <c r="O12" s="169">
        <f t="shared" si="1"/>
        <v>0.128</v>
      </c>
      <c r="P12" s="169">
        <f t="shared" si="1"/>
        <v>0.128</v>
      </c>
      <c r="Q12" s="169">
        <f t="shared" si="1"/>
        <v>0.128</v>
      </c>
      <c r="R12" s="169">
        <f t="shared" si="1"/>
        <v>0.128</v>
      </c>
      <c r="S12" s="169">
        <f t="shared" si="1"/>
        <v>0.128</v>
      </c>
      <c r="T12" s="67"/>
    </row>
    <row r="13" spans="1:26" ht="15" customHeight="1">
      <c r="B13" s="305" t="s">
        <v>1091</v>
      </c>
      <c r="C13" s="169">
        <f>Inputs!C13</f>
        <v>2.9499999999999997</v>
      </c>
      <c r="D13" s="169">
        <f t="shared" ref="D13:S26" si="2">C13</f>
        <v>2.9499999999999997</v>
      </c>
      <c r="E13" s="169">
        <f t="shared" si="2"/>
        <v>2.9499999999999997</v>
      </c>
      <c r="F13" s="169">
        <f t="shared" si="2"/>
        <v>2.9499999999999997</v>
      </c>
      <c r="G13" s="169">
        <f t="shared" si="2"/>
        <v>2.9499999999999997</v>
      </c>
      <c r="H13" s="169">
        <f t="shared" si="2"/>
        <v>2.9499999999999997</v>
      </c>
      <c r="I13" s="169">
        <f t="shared" si="2"/>
        <v>2.9499999999999997</v>
      </c>
      <c r="J13" s="169">
        <f t="shared" si="2"/>
        <v>2.9499999999999997</v>
      </c>
      <c r="K13" s="169">
        <f t="shared" si="2"/>
        <v>2.9499999999999997</v>
      </c>
      <c r="L13" s="169">
        <f t="shared" si="2"/>
        <v>2.9499999999999997</v>
      </c>
      <c r="M13" s="169">
        <f t="shared" si="2"/>
        <v>2.9499999999999997</v>
      </c>
      <c r="N13" s="169">
        <f t="shared" si="2"/>
        <v>2.9499999999999997</v>
      </c>
      <c r="O13" s="169">
        <f t="shared" si="2"/>
        <v>2.9499999999999997</v>
      </c>
      <c r="P13" s="169">
        <f t="shared" si="2"/>
        <v>2.9499999999999997</v>
      </c>
      <c r="Q13" s="169">
        <f t="shared" si="2"/>
        <v>2.9499999999999997</v>
      </c>
      <c r="R13" s="169">
        <f t="shared" si="2"/>
        <v>2.9499999999999997</v>
      </c>
      <c r="S13" s="169">
        <f t="shared" si="2"/>
        <v>2.9499999999999997</v>
      </c>
      <c r="T13" s="67"/>
    </row>
    <row r="14" spans="1:26" ht="15" customHeight="1">
      <c r="B14" s="305" t="s">
        <v>15</v>
      </c>
      <c r="C14" s="169">
        <f>Inputs!C14</f>
        <v>0.5</v>
      </c>
      <c r="D14" s="169">
        <f t="shared" si="2"/>
        <v>0.5</v>
      </c>
      <c r="E14" s="169">
        <f t="shared" si="2"/>
        <v>0.5</v>
      </c>
      <c r="F14" s="169">
        <f t="shared" si="2"/>
        <v>0.5</v>
      </c>
      <c r="G14" s="169">
        <f t="shared" si="2"/>
        <v>0.5</v>
      </c>
      <c r="H14" s="169">
        <f t="shared" si="2"/>
        <v>0.5</v>
      </c>
      <c r="I14" s="169">
        <f t="shared" si="2"/>
        <v>0.5</v>
      </c>
      <c r="J14" s="169">
        <f t="shared" si="2"/>
        <v>0.5</v>
      </c>
      <c r="K14" s="169">
        <f t="shared" si="2"/>
        <v>0.5</v>
      </c>
      <c r="L14" s="169">
        <f t="shared" si="2"/>
        <v>0.5</v>
      </c>
      <c r="M14" s="169">
        <f t="shared" si="2"/>
        <v>0.5</v>
      </c>
      <c r="N14" s="169">
        <f t="shared" si="2"/>
        <v>0.5</v>
      </c>
      <c r="O14" s="169">
        <f t="shared" si="2"/>
        <v>0.5</v>
      </c>
      <c r="P14" s="169">
        <f t="shared" si="2"/>
        <v>0.5</v>
      </c>
      <c r="Q14" s="169">
        <f t="shared" si="2"/>
        <v>0.5</v>
      </c>
      <c r="R14" s="169">
        <f t="shared" si="2"/>
        <v>0.5</v>
      </c>
      <c r="S14" s="169">
        <f t="shared" si="2"/>
        <v>0.5</v>
      </c>
      <c r="T14" s="67"/>
    </row>
    <row r="15" spans="1:26" ht="15" customHeight="1">
      <c r="B15" s="305" t="s">
        <v>18</v>
      </c>
      <c r="C15" s="169">
        <f>Inputs!C15</f>
        <v>0</v>
      </c>
      <c r="D15" s="169">
        <f t="shared" si="2"/>
        <v>0</v>
      </c>
      <c r="E15" s="169">
        <f t="shared" si="2"/>
        <v>0</v>
      </c>
      <c r="F15" s="169">
        <f t="shared" si="2"/>
        <v>0</v>
      </c>
      <c r="G15" s="169">
        <f t="shared" si="2"/>
        <v>0</v>
      </c>
      <c r="H15" s="169">
        <f t="shared" si="2"/>
        <v>0</v>
      </c>
      <c r="I15" s="169">
        <f t="shared" si="2"/>
        <v>0</v>
      </c>
      <c r="J15" s="169">
        <f t="shared" si="2"/>
        <v>0</v>
      </c>
      <c r="K15" s="169">
        <f t="shared" si="2"/>
        <v>0</v>
      </c>
      <c r="L15" s="169">
        <f t="shared" si="2"/>
        <v>0</v>
      </c>
      <c r="M15" s="169">
        <f t="shared" si="2"/>
        <v>0</v>
      </c>
      <c r="N15" s="169">
        <f t="shared" si="2"/>
        <v>0</v>
      </c>
      <c r="O15" s="169">
        <f t="shared" si="2"/>
        <v>0</v>
      </c>
      <c r="P15" s="169">
        <f t="shared" si="2"/>
        <v>0</v>
      </c>
      <c r="Q15" s="169">
        <f t="shared" si="2"/>
        <v>0</v>
      </c>
      <c r="R15" s="169">
        <f t="shared" si="2"/>
        <v>0</v>
      </c>
      <c r="S15" s="169">
        <f t="shared" si="2"/>
        <v>0</v>
      </c>
      <c r="T15" s="67"/>
    </row>
    <row r="16" spans="1:26" ht="15" customHeight="1">
      <c r="A16" s="305" t="s">
        <v>19</v>
      </c>
      <c r="B16" s="305" t="s">
        <v>1106</v>
      </c>
      <c r="C16" s="144">
        <f>Inputs!C16</f>
        <v>0</v>
      </c>
      <c r="D16" s="144">
        <f t="shared" si="2"/>
        <v>0</v>
      </c>
      <c r="E16" s="144">
        <f t="shared" si="2"/>
        <v>0</v>
      </c>
      <c r="F16" s="144">
        <f t="shared" si="2"/>
        <v>0</v>
      </c>
      <c r="G16" s="144">
        <f t="shared" si="2"/>
        <v>0</v>
      </c>
      <c r="H16" s="144">
        <f t="shared" si="2"/>
        <v>0</v>
      </c>
      <c r="I16" s="144">
        <f t="shared" si="2"/>
        <v>0</v>
      </c>
      <c r="J16" s="144">
        <f t="shared" si="2"/>
        <v>0</v>
      </c>
      <c r="K16" s="144">
        <f t="shared" si="2"/>
        <v>0</v>
      </c>
      <c r="L16" s="144">
        <f t="shared" si="2"/>
        <v>0</v>
      </c>
      <c r="M16" s="144">
        <f t="shared" si="2"/>
        <v>0</v>
      </c>
      <c r="N16" s="144">
        <f t="shared" si="2"/>
        <v>0</v>
      </c>
      <c r="O16" s="144">
        <f t="shared" si="2"/>
        <v>0</v>
      </c>
      <c r="P16" s="144">
        <f t="shared" si="2"/>
        <v>0</v>
      </c>
      <c r="Q16" s="144">
        <f t="shared" si="2"/>
        <v>0</v>
      </c>
      <c r="R16" s="144">
        <f t="shared" si="2"/>
        <v>0</v>
      </c>
      <c r="S16" s="144">
        <f t="shared" si="2"/>
        <v>0</v>
      </c>
      <c r="T16" s="67"/>
    </row>
    <row r="17" spans="1:21" ht="15" customHeight="1">
      <c r="B17" s="305" t="s">
        <v>1117</v>
      </c>
      <c r="C17" s="224">
        <f>Inputs!C17</f>
        <v>1.9281086206186945E-2</v>
      </c>
      <c r="D17" s="224">
        <f t="shared" si="2"/>
        <v>1.9281086206186945E-2</v>
      </c>
      <c r="E17" s="224">
        <f t="shared" si="2"/>
        <v>1.9281086206186945E-2</v>
      </c>
      <c r="F17" s="224">
        <f t="shared" si="2"/>
        <v>1.9281086206186945E-2</v>
      </c>
      <c r="G17" s="224">
        <f t="shared" si="2"/>
        <v>1.9281086206186945E-2</v>
      </c>
      <c r="H17" s="224">
        <f t="shared" si="2"/>
        <v>1.9281086206186945E-2</v>
      </c>
      <c r="I17" s="224">
        <f t="shared" si="2"/>
        <v>1.9281086206186945E-2</v>
      </c>
      <c r="J17" s="224">
        <f t="shared" si="2"/>
        <v>1.9281086206186945E-2</v>
      </c>
      <c r="K17" s="224">
        <f t="shared" si="2"/>
        <v>1.9281086206186945E-2</v>
      </c>
      <c r="L17" s="224">
        <f t="shared" si="2"/>
        <v>1.9281086206186945E-2</v>
      </c>
      <c r="M17" s="224">
        <f t="shared" si="2"/>
        <v>1.9281086206186945E-2</v>
      </c>
      <c r="N17" s="224">
        <f t="shared" si="2"/>
        <v>1.9281086206186945E-2</v>
      </c>
      <c r="O17" s="224">
        <f t="shared" si="2"/>
        <v>1.9281086206186945E-2</v>
      </c>
      <c r="P17" s="224">
        <f t="shared" si="2"/>
        <v>1.9281086206186945E-2</v>
      </c>
      <c r="Q17" s="224">
        <f t="shared" si="2"/>
        <v>1.9281086206186945E-2</v>
      </c>
      <c r="R17" s="224">
        <f t="shared" si="2"/>
        <v>1.9281086206186945E-2</v>
      </c>
      <c r="S17" s="224">
        <f t="shared" si="2"/>
        <v>1.9281086206186945E-2</v>
      </c>
      <c r="T17" s="67"/>
    </row>
    <row r="18" spans="1:21" ht="15" customHeight="1">
      <c r="B18" s="305" t="s">
        <v>1118</v>
      </c>
      <c r="C18" s="169">
        <f>Inputs!C18</f>
        <v>4.128333333333333</v>
      </c>
      <c r="D18" s="169">
        <f t="shared" si="2"/>
        <v>4.128333333333333</v>
      </c>
      <c r="E18" s="169">
        <f t="shared" si="2"/>
        <v>4.128333333333333</v>
      </c>
      <c r="F18" s="169">
        <f t="shared" si="2"/>
        <v>4.128333333333333</v>
      </c>
      <c r="G18" s="169">
        <f t="shared" si="2"/>
        <v>4.128333333333333</v>
      </c>
      <c r="H18" s="169">
        <f t="shared" si="2"/>
        <v>4.128333333333333</v>
      </c>
      <c r="I18" s="169">
        <f t="shared" si="2"/>
        <v>4.128333333333333</v>
      </c>
      <c r="J18" s="169">
        <f t="shared" si="2"/>
        <v>4.128333333333333</v>
      </c>
      <c r="K18" s="169">
        <f t="shared" si="2"/>
        <v>4.128333333333333</v>
      </c>
      <c r="L18" s="169">
        <f t="shared" si="2"/>
        <v>4.128333333333333</v>
      </c>
      <c r="M18" s="169">
        <f t="shared" si="2"/>
        <v>4.128333333333333</v>
      </c>
      <c r="N18" s="169">
        <f t="shared" si="2"/>
        <v>4.128333333333333</v>
      </c>
      <c r="O18" s="169">
        <f t="shared" si="2"/>
        <v>4.128333333333333</v>
      </c>
      <c r="P18" s="169">
        <f t="shared" si="2"/>
        <v>4.128333333333333</v>
      </c>
      <c r="Q18" s="169">
        <f t="shared" si="2"/>
        <v>4.128333333333333</v>
      </c>
      <c r="R18" s="169">
        <f t="shared" si="2"/>
        <v>4.128333333333333</v>
      </c>
      <c r="S18" s="169">
        <f t="shared" si="2"/>
        <v>4.128333333333333</v>
      </c>
      <c r="T18" s="67"/>
      <c r="U18" s="305"/>
    </row>
    <row r="19" spans="1:21" ht="15" customHeight="1">
      <c r="B19" s="305" t="s">
        <v>1119</v>
      </c>
      <c r="C19" s="144">
        <f>Inputs!C19</f>
        <v>-99</v>
      </c>
      <c r="D19" s="144">
        <f t="shared" si="2"/>
        <v>-99</v>
      </c>
      <c r="E19" s="144">
        <f t="shared" si="2"/>
        <v>-99</v>
      </c>
      <c r="F19" s="144">
        <f t="shared" si="2"/>
        <v>-99</v>
      </c>
      <c r="G19" s="144">
        <f t="shared" si="2"/>
        <v>-99</v>
      </c>
      <c r="H19" s="144">
        <f t="shared" si="2"/>
        <v>-99</v>
      </c>
      <c r="I19" s="144">
        <f t="shared" si="2"/>
        <v>-99</v>
      </c>
      <c r="J19" s="144">
        <f t="shared" si="2"/>
        <v>-99</v>
      </c>
      <c r="K19" s="144">
        <f t="shared" si="2"/>
        <v>-99</v>
      </c>
      <c r="L19" s="144">
        <f t="shared" si="2"/>
        <v>-99</v>
      </c>
      <c r="M19" s="144">
        <f t="shared" si="2"/>
        <v>-99</v>
      </c>
      <c r="N19" s="144">
        <f t="shared" si="2"/>
        <v>-99</v>
      </c>
      <c r="O19" s="144">
        <f t="shared" si="2"/>
        <v>-99</v>
      </c>
      <c r="P19" s="144">
        <f t="shared" si="2"/>
        <v>-99</v>
      </c>
      <c r="Q19" s="144">
        <f t="shared" si="2"/>
        <v>-99</v>
      </c>
      <c r="R19" s="144">
        <f t="shared" si="2"/>
        <v>-99</v>
      </c>
      <c r="S19" s="144">
        <f t="shared" si="2"/>
        <v>-99</v>
      </c>
      <c r="T19" s="67"/>
      <c r="U19" s="305"/>
    </row>
    <row r="20" spans="1:21" ht="15" customHeight="1">
      <c r="B20" s="305" t="s">
        <v>1120</v>
      </c>
      <c r="C20" s="6">
        <f>Inputs!C20</f>
        <v>1.9281086206186945E-2</v>
      </c>
      <c r="D20" s="169">
        <f t="shared" si="2"/>
        <v>1.9281086206186945E-2</v>
      </c>
      <c r="E20" s="169">
        <f t="shared" si="2"/>
        <v>1.9281086206186945E-2</v>
      </c>
      <c r="F20" s="169">
        <f t="shared" si="2"/>
        <v>1.9281086206186945E-2</v>
      </c>
      <c r="G20" s="169">
        <f t="shared" si="2"/>
        <v>1.9281086206186945E-2</v>
      </c>
      <c r="H20" s="169">
        <f t="shared" si="2"/>
        <v>1.9281086206186945E-2</v>
      </c>
      <c r="I20" s="169">
        <f t="shared" si="2"/>
        <v>1.9281086206186945E-2</v>
      </c>
      <c r="J20" s="169">
        <f t="shared" si="2"/>
        <v>1.9281086206186945E-2</v>
      </c>
      <c r="K20" s="169">
        <f t="shared" si="2"/>
        <v>1.9281086206186945E-2</v>
      </c>
      <c r="L20" s="169">
        <f t="shared" si="2"/>
        <v>1.9281086206186945E-2</v>
      </c>
      <c r="M20" s="169">
        <f t="shared" si="2"/>
        <v>1.9281086206186945E-2</v>
      </c>
      <c r="N20" s="169">
        <f t="shared" si="2"/>
        <v>1.9281086206186945E-2</v>
      </c>
      <c r="O20" s="169">
        <f t="shared" si="2"/>
        <v>1.9281086206186945E-2</v>
      </c>
      <c r="P20" s="169">
        <f t="shared" si="2"/>
        <v>1.9281086206186945E-2</v>
      </c>
      <c r="Q20" s="169">
        <f t="shared" si="2"/>
        <v>1.9281086206186945E-2</v>
      </c>
      <c r="R20" s="169">
        <f t="shared" si="2"/>
        <v>1.9281086206186945E-2</v>
      </c>
      <c r="S20" s="169">
        <f t="shared" si="2"/>
        <v>1.9281086206186945E-2</v>
      </c>
      <c r="T20" s="67"/>
    </row>
    <row r="21" spans="1:21" ht="15" customHeight="1">
      <c r="B21" s="305" t="s">
        <v>1121</v>
      </c>
      <c r="C21" s="169">
        <f>Inputs!C21</f>
        <v>4.128333333333333</v>
      </c>
      <c r="D21" s="169">
        <f t="shared" si="2"/>
        <v>4.128333333333333</v>
      </c>
      <c r="E21" s="169">
        <f t="shared" si="2"/>
        <v>4.128333333333333</v>
      </c>
      <c r="F21" s="169">
        <f t="shared" si="2"/>
        <v>4.128333333333333</v>
      </c>
      <c r="G21" s="169">
        <f t="shared" si="2"/>
        <v>4.128333333333333</v>
      </c>
      <c r="H21" s="169">
        <f t="shared" si="2"/>
        <v>4.128333333333333</v>
      </c>
      <c r="I21" s="169">
        <f t="shared" si="2"/>
        <v>4.128333333333333</v>
      </c>
      <c r="J21" s="169">
        <f t="shared" si="2"/>
        <v>4.128333333333333</v>
      </c>
      <c r="K21" s="169">
        <f t="shared" si="2"/>
        <v>4.128333333333333</v>
      </c>
      <c r="L21" s="169">
        <f t="shared" si="2"/>
        <v>4.128333333333333</v>
      </c>
      <c r="M21" s="169">
        <f t="shared" si="2"/>
        <v>4.128333333333333</v>
      </c>
      <c r="N21" s="169">
        <f t="shared" si="2"/>
        <v>4.128333333333333</v>
      </c>
      <c r="O21" s="169">
        <f t="shared" si="2"/>
        <v>4.128333333333333</v>
      </c>
      <c r="P21" s="169">
        <f t="shared" si="2"/>
        <v>4.128333333333333</v>
      </c>
      <c r="Q21" s="169">
        <f t="shared" si="2"/>
        <v>4.128333333333333</v>
      </c>
      <c r="R21" s="169">
        <f t="shared" si="2"/>
        <v>4.128333333333333</v>
      </c>
      <c r="S21" s="169">
        <f t="shared" si="2"/>
        <v>4.128333333333333</v>
      </c>
    </row>
    <row r="22" spans="1:21" ht="15" customHeight="1">
      <c r="B22" s="305" t="s">
        <v>1122</v>
      </c>
      <c r="C22" s="144">
        <f>Inputs!C22</f>
        <v>-99</v>
      </c>
      <c r="D22" s="144">
        <f t="shared" si="2"/>
        <v>-99</v>
      </c>
      <c r="E22" s="144">
        <f t="shared" si="2"/>
        <v>-99</v>
      </c>
      <c r="F22" s="144">
        <f t="shared" si="2"/>
        <v>-99</v>
      </c>
      <c r="G22" s="144">
        <f t="shared" si="2"/>
        <v>-99</v>
      </c>
      <c r="H22" s="144">
        <f t="shared" si="2"/>
        <v>-99</v>
      </c>
      <c r="I22" s="144">
        <f t="shared" si="2"/>
        <v>-99</v>
      </c>
      <c r="J22" s="144">
        <f t="shared" si="2"/>
        <v>-99</v>
      </c>
      <c r="K22" s="144">
        <f t="shared" si="2"/>
        <v>-99</v>
      </c>
      <c r="L22" s="144">
        <f t="shared" si="2"/>
        <v>-99</v>
      </c>
      <c r="M22" s="144">
        <f t="shared" si="2"/>
        <v>-99</v>
      </c>
      <c r="N22" s="144">
        <f t="shared" si="2"/>
        <v>-99</v>
      </c>
      <c r="O22" s="144">
        <f t="shared" si="2"/>
        <v>-99</v>
      </c>
      <c r="P22" s="144">
        <f t="shared" si="2"/>
        <v>-99</v>
      </c>
      <c r="Q22" s="144">
        <f t="shared" si="2"/>
        <v>-99</v>
      </c>
      <c r="R22" s="144">
        <f t="shared" si="2"/>
        <v>-99</v>
      </c>
      <c r="S22" s="144">
        <f t="shared" si="2"/>
        <v>-99</v>
      </c>
      <c r="T22" s="67"/>
      <c r="U22" s="305"/>
    </row>
    <row r="23" spans="1:21" ht="15" customHeight="1">
      <c r="A23" s="305" t="s">
        <v>27</v>
      </c>
      <c r="B23" s="305" t="s">
        <v>1107</v>
      </c>
      <c r="C23" s="169">
        <f>Inputs!C23</f>
        <v>0.33333333333333331</v>
      </c>
      <c r="D23" s="169">
        <f t="shared" si="2"/>
        <v>0.33333333333333331</v>
      </c>
      <c r="E23" s="169">
        <f t="shared" si="2"/>
        <v>0.33333333333333331</v>
      </c>
      <c r="F23" s="169">
        <f t="shared" si="2"/>
        <v>0.33333333333333331</v>
      </c>
      <c r="G23" s="169">
        <f t="shared" si="2"/>
        <v>0.33333333333333331</v>
      </c>
      <c r="H23" s="169">
        <f t="shared" si="2"/>
        <v>0.33333333333333331</v>
      </c>
      <c r="I23" s="169">
        <f t="shared" si="2"/>
        <v>0.33333333333333331</v>
      </c>
      <c r="J23" s="169">
        <f t="shared" si="2"/>
        <v>0.33333333333333331</v>
      </c>
      <c r="K23" s="169">
        <f t="shared" si="2"/>
        <v>0.33333333333333331</v>
      </c>
      <c r="L23" s="169">
        <f t="shared" si="2"/>
        <v>0.33333333333333331</v>
      </c>
      <c r="M23" s="169">
        <f t="shared" si="2"/>
        <v>0.33333333333333331</v>
      </c>
      <c r="N23" s="169">
        <f t="shared" si="2"/>
        <v>0.33333333333333331</v>
      </c>
      <c r="O23" s="169">
        <f t="shared" si="2"/>
        <v>0.33333333333333331</v>
      </c>
      <c r="P23" s="169">
        <f t="shared" si="2"/>
        <v>0.33333333333333331</v>
      </c>
      <c r="Q23" s="169">
        <f t="shared" si="2"/>
        <v>0.33333333333333331</v>
      </c>
      <c r="R23" s="169">
        <f t="shared" si="2"/>
        <v>0.33333333333333331</v>
      </c>
      <c r="S23" s="169">
        <f t="shared" si="2"/>
        <v>0.33333333333333331</v>
      </c>
      <c r="T23" s="67"/>
      <c r="U23" s="305"/>
    </row>
    <row r="24" spans="1:21" ht="15" customHeight="1">
      <c r="B24" s="305" t="s">
        <v>1108</v>
      </c>
      <c r="C24" s="169">
        <f>Inputs!C24</f>
        <v>0.33333333333333331</v>
      </c>
      <c r="D24" s="169">
        <f t="shared" si="2"/>
        <v>0.33333333333333331</v>
      </c>
      <c r="E24" s="169">
        <f t="shared" si="2"/>
        <v>0.33333333333333331</v>
      </c>
      <c r="F24" s="169">
        <f t="shared" si="2"/>
        <v>0.33333333333333331</v>
      </c>
      <c r="G24" s="169">
        <f t="shared" si="2"/>
        <v>0.33333333333333331</v>
      </c>
      <c r="H24" s="169">
        <f t="shared" si="2"/>
        <v>0.33333333333333331</v>
      </c>
      <c r="I24" s="169">
        <f t="shared" si="2"/>
        <v>0.33333333333333331</v>
      </c>
      <c r="J24" s="169">
        <f t="shared" si="2"/>
        <v>0.33333333333333331</v>
      </c>
      <c r="K24" s="169">
        <f t="shared" si="2"/>
        <v>0.33333333333333331</v>
      </c>
      <c r="L24" s="169">
        <f t="shared" si="2"/>
        <v>0.33333333333333331</v>
      </c>
      <c r="M24" s="169">
        <f t="shared" si="2"/>
        <v>0.33333333333333331</v>
      </c>
      <c r="N24" s="169">
        <f t="shared" si="2"/>
        <v>0.33333333333333331</v>
      </c>
      <c r="O24" s="169">
        <f t="shared" si="2"/>
        <v>0.33333333333333331</v>
      </c>
      <c r="P24" s="169">
        <f t="shared" si="2"/>
        <v>0.33333333333333331</v>
      </c>
      <c r="Q24" s="169">
        <f t="shared" si="2"/>
        <v>0.33333333333333331</v>
      </c>
      <c r="R24" s="169">
        <f t="shared" si="2"/>
        <v>0.33333333333333331</v>
      </c>
      <c r="S24" s="169">
        <f t="shared" si="2"/>
        <v>0.33333333333333331</v>
      </c>
      <c r="T24" s="67"/>
    </row>
    <row r="25" spans="1:21" ht="15" customHeight="1">
      <c r="B25" s="305" t="s">
        <v>1109</v>
      </c>
      <c r="C25" s="169">
        <f>Inputs!C25</f>
        <v>0.16666666666666666</v>
      </c>
      <c r="D25" s="169">
        <f t="shared" si="2"/>
        <v>0.16666666666666666</v>
      </c>
      <c r="E25" s="169">
        <f t="shared" si="2"/>
        <v>0.16666666666666666</v>
      </c>
      <c r="F25" s="169">
        <f t="shared" si="2"/>
        <v>0.16666666666666666</v>
      </c>
      <c r="G25" s="169">
        <f t="shared" si="2"/>
        <v>0.16666666666666666</v>
      </c>
      <c r="H25" s="169">
        <f t="shared" si="2"/>
        <v>0.16666666666666666</v>
      </c>
      <c r="I25" s="169">
        <f t="shared" si="2"/>
        <v>0.16666666666666666</v>
      </c>
      <c r="J25" s="169">
        <f t="shared" si="2"/>
        <v>0.16666666666666666</v>
      </c>
      <c r="K25" s="169">
        <f t="shared" si="2"/>
        <v>0.16666666666666666</v>
      </c>
      <c r="L25" s="169">
        <f t="shared" si="2"/>
        <v>0.16666666666666666</v>
      </c>
      <c r="M25" s="169">
        <f t="shared" si="2"/>
        <v>0.16666666666666666</v>
      </c>
      <c r="N25" s="169">
        <f t="shared" si="2"/>
        <v>0.16666666666666666</v>
      </c>
      <c r="O25" s="169">
        <f t="shared" si="2"/>
        <v>0.16666666666666666</v>
      </c>
      <c r="P25" s="169">
        <f t="shared" si="2"/>
        <v>0.16666666666666666</v>
      </c>
      <c r="Q25" s="169">
        <f t="shared" si="2"/>
        <v>0.16666666666666666</v>
      </c>
      <c r="R25" s="169">
        <f t="shared" si="2"/>
        <v>0.16666666666666666</v>
      </c>
      <c r="S25" s="169">
        <f t="shared" si="2"/>
        <v>0.16666666666666666</v>
      </c>
      <c r="T25" s="67"/>
      <c r="U25" s="305"/>
    </row>
    <row r="26" spans="1:21" ht="15" customHeight="1">
      <c r="B26" s="305" t="s">
        <v>1110</v>
      </c>
      <c r="C26" s="169">
        <f>Inputs!C26</f>
        <v>0.16666666666666666</v>
      </c>
      <c r="D26" s="169">
        <f t="shared" si="2"/>
        <v>0.16666666666666666</v>
      </c>
      <c r="E26" s="169">
        <f t="shared" si="2"/>
        <v>0.16666666666666666</v>
      </c>
      <c r="F26" s="169">
        <f t="shared" si="2"/>
        <v>0.16666666666666666</v>
      </c>
      <c r="G26" s="169">
        <f t="shared" si="2"/>
        <v>0.16666666666666666</v>
      </c>
      <c r="H26" s="169">
        <f t="shared" si="2"/>
        <v>0.16666666666666666</v>
      </c>
      <c r="I26" s="169">
        <f t="shared" si="2"/>
        <v>0.16666666666666666</v>
      </c>
      <c r="J26" s="169">
        <f t="shared" si="2"/>
        <v>0.16666666666666666</v>
      </c>
      <c r="K26" s="169">
        <f t="shared" si="2"/>
        <v>0.16666666666666666</v>
      </c>
      <c r="L26" s="169">
        <f t="shared" si="2"/>
        <v>0.16666666666666666</v>
      </c>
      <c r="M26" s="169">
        <f t="shared" si="2"/>
        <v>0.16666666666666666</v>
      </c>
      <c r="N26" s="169">
        <f t="shared" si="2"/>
        <v>0.16666666666666666</v>
      </c>
      <c r="O26" s="169">
        <f t="shared" si="2"/>
        <v>0.16666666666666666</v>
      </c>
      <c r="P26" s="169">
        <f t="shared" si="2"/>
        <v>0.16666666666666666</v>
      </c>
      <c r="Q26" s="169">
        <f t="shared" si="2"/>
        <v>0.16666666666666666</v>
      </c>
      <c r="R26" s="169">
        <f t="shared" si="2"/>
        <v>0.16666666666666666</v>
      </c>
      <c r="S26" s="169">
        <f t="shared" si="2"/>
        <v>0.16666666666666666</v>
      </c>
      <c r="T26" s="67"/>
      <c r="U26" s="305"/>
    </row>
    <row r="27" spans="1:21" ht="15" customHeight="1">
      <c r="B27" s="305" t="s">
        <v>1111</v>
      </c>
      <c r="C27" s="169">
        <f>Inputs!C27</f>
        <v>0.33333333333333331</v>
      </c>
      <c r="D27" s="169">
        <f t="shared" ref="D27:S38" si="3">C27</f>
        <v>0.33333333333333331</v>
      </c>
      <c r="E27" s="169">
        <f t="shared" si="3"/>
        <v>0.33333333333333331</v>
      </c>
      <c r="F27" s="169">
        <f t="shared" si="3"/>
        <v>0.33333333333333331</v>
      </c>
      <c r="G27" s="169">
        <f t="shared" si="3"/>
        <v>0.33333333333333331</v>
      </c>
      <c r="H27" s="169">
        <f t="shared" si="3"/>
        <v>0.33333333333333331</v>
      </c>
      <c r="I27" s="169">
        <f t="shared" si="3"/>
        <v>0.33333333333333331</v>
      </c>
      <c r="J27" s="169">
        <f t="shared" si="3"/>
        <v>0.33333333333333331</v>
      </c>
      <c r="K27" s="169">
        <f t="shared" si="3"/>
        <v>0.33333333333333331</v>
      </c>
      <c r="L27" s="169">
        <f t="shared" si="3"/>
        <v>0.33333333333333331</v>
      </c>
      <c r="M27" s="169">
        <f t="shared" si="3"/>
        <v>0.33333333333333331</v>
      </c>
      <c r="N27" s="169">
        <f t="shared" si="3"/>
        <v>0.33333333333333331</v>
      </c>
      <c r="O27" s="169">
        <f t="shared" si="3"/>
        <v>0.33333333333333331</v>
      </c>
      <c r="P27" s="169">
        <f t="shared" si="3"/>
        <v>0.33333333333333331</v>
      </c>
      <c r="Q27" s="169">
        <f t="shared" si="3"/>
        <v>0.33333333333333331</v>
      </c>
      <c r="R27" s="169">
        <f t="shared" si="3"/>
        <v>0.33333333333333331</v>
      </c>
      <c r="S27" s="169">
        <f t="shared" si="3"/>
        <v>0.33333333333333331</v>
      </c>
      <c r="T27" s="67"/>
    </row>
    <row r="28" spans="1:21" ht="15" customHeight="1">
      <c r="B28" s="305" t="s">
        <v>1112</v>
      </c>
      <c r="C28" s="169">
        <f>Inputs!C28</f>
        <v>0.33333333333333331</v>
      </c>
      <c r="D28" s="169">
        <f t="shared" si="3"/>
        <v>0.33333333333333331</v>
      </c>
      <c r="E28" s="169">
        <f t="shared" si="3"/>
        <v>0.33333333333333331</v>
      </c>
      <c r="F28" s="169">
        <f t="shared" si="3"/>
        <v>0.33333333333333331</v>
      </c>
      <c r="G28" s="169">
        <f t="shared" si="3"/>
        <v>0.33333333333333331</v>
      </c>
      <c r="H28" s="169">
        <f t="shared" si="3"/>
        <v>0.33333333333333331</v>
      </c>
      <c r="I28" s="169">
        <f t="shared" si="3"/>
        <v>0.33333333333333331</v>
      </c>
      <c r="J28" s="169">
        <f t="shared" si="3"/>
        <v>0.33333333333333331</v>
      </c>
      <c r="K28" s="169">
        <f t="shared" si="3"/>
        <v>0.33333333333333331</v>
      </c>
      <c r="L28" s="169">
        <f t="shared" si="3"/>
        <v>0.33333333333333331</v>
      </c>
      <c r="M28" s="169">
        <f t="shared" si="3"/>
        <v>0.33333333333333331</v>
      </c>
      <c r="N28" s="169">
        <f t="shared" si="3"/>
        <v>0.33333333333333331</v>
      </c>
      <c r="O28" s="169">
        <f t="shared" si="3"/>
        <v>0.33333333333333331</v>
      </c>
      <c r="P28" s="169">
        <f t="shared" si="3"/>
        <v>0.33333333333333331</v>
      </c>
      <c r="Q28" s="169">
        <f t="shared" si="3"/>
        <v>0.33333333333333331</v>
      </c>
      <c r="R28" s="169">
        <f t="shared" si="3"/>
        <v>0.33333333333333331</v>
      </c>
      <c r="S28" s="169">
        <f t="shared" si="3"/>
        <v>0.33333333333333331</v>
      </c>
      <c r="T28" s="67"/>
      <c r="U28" s="305"/>
    </row>
    <row r="29" spans="1:21" ht="15" customHeight="1">
      <c r="B29" s="305" t="s">
        <v>1113</v>
      </c>
      <c r="C29" s="169">
        <f>Inputs!C29</f>
        <v>0.16666666666666666</v>
      </c>
      <c r="D29" s="169">
        <f t="shared" si="3"/>
        <v>0.16666666666666666</v>
      </c>
      <c r="E29" s="169">
        <f t="shared" si="3"/>
        <v>0.16666666666666666</v>
      </c>
      <c r="F29" s="169">
        <f t="shared" si="3"/>
        <v>0.16666666666666666</v>
      </c>
      <c r="G29" s="169">
        <f t="shared" si="3"/>
        <v>0.16666666666666666</v>
      </c>
      <c r="H29" s="169">
        <f t="shared" si="3"/>
        <v>0.16666666666666666</v>
      </c>
      <c r="I29" s="169">
        <f t="shared" si="3"/>
        <v>0.16666666666666666</v>
      </c>
      <c r="J29" s="169">
        <f t="shared" si="3"/>
        <v>0.16666666666666666</v>
      </c>
      <c r="K29" s="169">
        <f t="shared" si="3"/>
        <v>0.16666666666666666</v>
      </c>
      <c r="L29" s="169">
        <f t="shared" si="3"/>
        <v>0.16666666666666666</v>
      </c>
      <c r="M29" s="169">
        <f t="shared" si="3"/>
        <v>0.16666666666666666</v>
      </c>
      <c r="N29" s="169">
        <f t="shared" si="3"/>
        <v>0.16666666666666666</v>
      </c>
      <c r="O29" s="169">
        <f t="shared" si="3"/>
        <v>0.16666666666666666</v>
      </c>
      <c r="P29" s="169">
        <f t="shared" si="3"/>
        <v>0.16666666666666666</v>
      </c>
      <c r="Q29" s="169">
        <f t="shared" si="3"/>
        <v>0.16666666666666666</v>
      </c>
      <c r="R29" s="169">
        <f t="shared" si="3"/>
        <v>0.16666666666666666</v>
      </c>
      <c r="S29" s="169">
        <f t="shared" si="3"/>
        <v>0.16666666666666666</v>
      </c>
      <c r="T29" s="67"/>
      <c r="U29" s="305"/>
    </row>
    <row r="30" spans="1:21" ht="15" customHeight="1">
      <c r="B30" s="305" t="s">
        <v>1114</v>
      </c>
      <c r="C30" s="169">
        <f>Inputs!C30</f>
        <v>0.16666666666666666</v>
      </c>
      <c r="D30" s="169">
        <f t="shared" si="3"/>
        <v>0.16666666666666666</v>
      </c>
      <c r="E30" s="169">
        <f t="shared" si="3"/>
        <v>0.16666666666666666</v>
      </c>
      <c r="F30" s="169">
        <f t="shared" si="3"/>
        <v>0.16666666666666666</v>
      </c>
      <c r="G30" s="169">
        <f t="shared" si="3"/>
        <v>0.16666666666666666</v>
      </c>
      <c r="H30" s="169">
        <f t="shared" si="3"/>
        <v>0.16666666666666666</v>
      </c>
      <c r="I30" s="169">
        <f t="shared" si="3"/>
        <v>0.16666666666666666</v>
      </c>
      <c r="J30" s="169">
        <f t="shared" si="3"/>
        <v>0.16666666666666666</v>
      </c>
      <c r="K30" s="169">
        <f t="shared" si="3"/>
        <v>0.16666666666666666</v>
      </c>
      <c r="L30" s="169">
        <f t="shared" si="3"/>
        <v>0.16666666666666666</v>
      </c>
      <c r="M30" s="169">
        <f t="shared" si="3"/>
        <v>0.16666666666666666</v>
      </c>
      <c r="N30" s="169">
        <f t="shared" si="3"/>
        <v>0.16666666666666666</v>
      </c>
      <c r="O30" s="169">
        <f t="shared" si="3"/>
        <v>0.16666666666666666</v>
      </c>
      <c r="P30" s="169">
        <f t="shared" si="3"/>
        <v>0.16666666666666666</v>
      </c>
      <c r="Q30" s="169">
        <f t="shared" si="3"/>
        <v>0.16666666666666666</v>
      </c>
      <c r="R30" s="169">
        <f t="shared" si="3"/>
        <v>0.16666666666666666</v>
      </c>
      <c r="S30" s="169">
        <f t="shared" si="3"/>
        <v>0.16666666666666666</v>
      </c>
      <c r="T30" s="67"/>
    </row>
    <row r="31" spans="1:21" ht="15" customHeight="1">
      <c r="B31" s="305" t="s">
        <v>1115</v>
      </c>
      <c r="C31" s="144">
        <f>Inputs!C31</f>
        <v>1</v>
      </c>
      <c r="D31" s="144">
        <f t="shared" si="3"/>
        <v>1</v>
      </c>
      <c r="E31" s="144">
        <f t="shared" si="3"/>
        <v>1</v>
      </c>
      <c r="F31" s="144">
        <f t="shared" si="3"/>
        <v>1</v>
      </c>
      <c r="G31" s="144">
        <f t="shared" si="3"/>
        <v>1</v>
      </c>
      <c r="H31" s="144">
        <f t="shared" si="3"/>
        <v>1</v>
      </c>
      <c r="I31" s="144">
        <f t="shared" si="3"/>
        <v>1</v>
      </c>
      <c r="J31" s="144">
        <f t="shared" si="3"/>
        <v>1</v>
      </c>
      <c r="K31" s="144">
        <f t="shared" si="3"/>
        <v>1</v>
      </c>
      <c r="L31" s="144">
        <f t="shared" si="3"/>
        <v>1</v>
      </c>
      <c r="M31" s="144">
        <f t="shared" si="3"/>
        <v>1</v>
      </c>
      <c r="N31" s="144">
        <f t="shared" si="3"/>
        <v>1</v>
      </c>
      <c r="O31" s="144">
        <f t="shared" si="3"/>
        <v>1</v>
      </c>
      <c r="P31" s="144">
        <f t="shared" si="3"/>
        <v>1</v>
      </c>
      <c r="Q31" s="144">
        <f t="shared" si="3"/>
        <v>1</v>
      </c>
      <c r="R31" s="144">
        <f t="shared" si="3"/>
        <v>1</v>
      </c>
      <c r="S31" s="144">
        <f t="shared" si="3"/>
        <v>1</v>
      </c>
      <c r="T31" s="67"/>
      <c r="U31" s="305"/>
    </row>
    <row r="32" spans="1:21" ht="15" customHeight="1">
      <c r="B32" s="305" t="s">
        <v>1124</v>
      </c>
      <c r="C32" s="144">
        <f>Inputs!C32</f>
        <v>0</v>
      </c>
      <c r="D32" s="144">
        <f t="shared" si="3"/>
        <v>0</v>
      </c>
      <c r="E32" s="144">
        <f t="shared" si="3"/>
        <v>0</v>
      </c>
      <c r="F32" s="144">
        <f t="shared" si="3"/>
        <v>0</v>
      </c>
      <c r="G32" s="144">
        <f t="shared" si="3"/>
        <v>0</v>
      </c>
      <c r="H32" s="144">
        <f t="shared" si="3"/>
        <v>0</v>
      </c>
      <c r="I32" s="144">
        <f t="shared" si="3"/>
        <v>0</v>
      </c>
      <c r="J32" s="144">
        <f t="shared" si="3"/>
        <v>0</v>
      </c>
      <c r="K32" s="144">
        <f t="shared" si="3"/>
        <v>0</v>
      </c>
      <c r="L32" s="144">
        <f t="shared" si="3"/>
        <v>0</v>
      </c>
      <c r="M32" s="144">
        <f t="shared" si="3"/>
        <v>0</v>
      </c>
      <c r="N32" s="144">
        <f t="shared" si="3"/>
        <v>0</v>
      </c>
      <c r="O32" s="144">
        <f t="shared" si="3"/>
        <v>0</v>
      </c>
      <c r="P32" s="144">
        <f t="shared" si="3"/>
        <v>0</v>
      </c>
      <c r="Q32" s="144">
        <f t="shared" si="3"/>
        <v>0</v>
      </c>
      <c r="R32" s="144">
        <f t="shared" si="3"/>
        <v>0</v>
      </c>
      <c r="S32" s="144">
        <f t="shared" si="3"/>
        <v>0</v>
      </c>
      <c r="T32" s="67"/>
      <c r="U32" s="305"/>
    </row>
    <row r="33" spans="1:22" ht="15" customHeight="1">
      <c r="A33" s="305" t="s">
        <v>1218</v>
      </c>
      <c r="B33" s="305" t="s">
        <v>438</v>
      </c>
      <c r="C33" s="8">
        <f>Inputs!C33</f>
        <v>0.30000000000000004</v>
      </c>
      <c r="D33" s="8">
        <f t="shared" si="3"/>
        <v>0.30000000000000004</v>
      </c>
      <c r="E33" s="8">
        <f t="shared" si="3"/>
        <v>0.30000000000000004</v>
      </c>
      <c r="F33" s="8">
        <f t="shared" si="3"/>
        <v>0.30000000000000004</v>
      </c>
      <c r="G33" s="8">
        <f t="shared" si="3"/>
        <v>0.30000000000000004</v>
      </c>
      <c r="H33" s="8">
        <f t="shared" si="3"/>
        <v>0.30000000000000004</v>
      </c>
      <c r="I33" s="8">
        <f t="shared" si="3"/>
        <v>0.30000000000000004</v>
      </c>
      <c r="J33" s="8">
        <f t="shared" si="3"/>
        <v>0.30000000000000004</v>
      </c>
      <c r="K33" s="8">
        <f t="shared" si="3"/>
        <v>0.30000000000000004</v>
      </c>
      <c r="L33" s="8">
        <f t="shared" si="3"/>
        <v>0.30000000000000004</v>
      </c>
      <c r="M33" s="8">
        <f t="shared" si="3"/>
        <v>0.30000000000000004</v>
      </c>
      <c r="N33" s="8">
        <f t="shared" si="3"/>
        <v>0.30000000000000004</v>
      </c>
      <c r="O33" s="8">
        <f t="shared" si="3"/>
        <v>0.30000000000000004</v>
      </c>
      <c r="P33" s="8">
        <f t="shared" si="3"/>
        <v>0.30000000000000004</v>
      </c>
      <c r="Q33" s="8">
        <f t="shared" si="3"/>
        <v>0.30000000000000004</v>
      </c>
      <c r="R33" s="8">
        <f t="shared" si="3"/>
        <v>0.30000000000000004</v>
      </c>
      <c r="S33" s="276">
        <f t="shared" si="3"/>
        <v>0.30000000000000004</v>
      </c>
      <c r="T33" s="343"/>
    </row>
    <row r="34" spans="1:22" ht="15" customHeight="1">
      <c r="B34" s="305" t="s">
        <v>1125</v>
      </c>
      <c r="C34" s="6" t="str">
        <f>Inputs!C34</f>
        <v>I</v>
      </c>
      <c r="D34" s="6" t="str">
        <f t="shared" si="3"/>
        <v>I</v>
      </c>
      <c r="E34" s="6" t="str">
        <f t="shared" si="3"/>
        <v>I</v>
      </c>
      <c r="F34" s="6" t="str">
        <f t="shared" si="3"/>
        <v>I</v>
      </c>
      <c r="G34" s="6" t="str">
        <f t="shared" si="3"/>
        <v>I</v>
      </c>
      <c r="H34" s="6" t="str">
        <f t="shared" si="3"/>
        <v>I</v>
      </c>
      <c r="I34" s="6" t="str">
        <f t="shared" si="3"/>
        <v>I</v>
      </c>
      <c r="J34" s="6" t="str">
        <f t="shared" si="3"/>
        <v>I</v>
      </c>
      <c r="K34" s="6" t="str">
        <f t="shared" si="3"/>
        <v>I</v>
      </c>
      <c r="L34" s="6" t="str">
        <f t="shared" si="3"/>
        <v>I</v>
      </c>
      <c r="M34" s="6" t="str">
        <f t="shared" si="3"/>
        <v>I</v>
      </c>
      <c r="N34" s="6" t="str">
        <f t="shared" si="3"/>
        <v>I</v>
      </c>
      <c r="O34" s="6" t="str">
        <f t="shared" si="3"/>
        <v>I</v>
      </c>
      <c r="P34" s="6" t="str">
        <f t="shared" si="3"/>
        <v>I</v>
      </c>
      <c r="Q34" s="6" t="str">
        <f t="shared" si="3"/>
        <v>I</v>
      </c>
      <c r="R34" s="6" t="str">
        <f t="shared" si="3"/>
        <v>I</v>
      </c>
      <c r="S34" s="6" t="str">
        <f t="shared" si="3"/>
        <v>I</v>
      </c>
      <c r="T34" s="343"/>
    </row>
    <row r="35" spans="1:22" ht="15" customHeight="1">
      <c r="B35" s="305" t="s">
        <v>1126</v>
      </c>
      <c r="C35" s="8">
        <f>Inputs!C35</f>
        <v>249.92450000000002</v>
      </c>
      <c r="D35" s="8">
        <f t="shared" si="3"/>
        <v>249.92450000000002</v>
      </c>
      <c r="E35" s="8">
        <f t="shared" si="3"/>
        <v>249.92450000000002</v>
      </c>
      <c r="F35" s="8">
        <f t="shared" si="3"/>
        <v>249.92450000000002</v>
      </c>
      <c r="G35" s="8">
        <f t="shared" si="3"/>
        <v>249.92450000000002</v>
      </c>
      <c r="H35" s="8">
        <f t="shared" si="3"/>
        <v>249.92450000000002</v>
      </c>
      <c r="I35" s="8">
        <f t="shared" si="3"/>
        <v>249.92450000000002</v>
      </c>
      <c r="J35" s="8">
        <f t="shared" si="3"/>
        <v>249.92450000000002</v>
      </c>
      <c r="K35" s="8">
        <f t="shared" si="3"/>
        <v>249.92450000000002</v>
      </c>
      <c r="L35" s="8">
        <f t="shared" si="3"/>
        <v>249.92450000000002</v>
      </c>
      <c r="M35" s="8">
        <f t="shared" si="3"/>
        <v>249.92450000000002</v>
      </c>
      <c r="N35" s="8">
        <f t="shared" si="3"/>
        <v>249.92450000000002</v>
      </c>
      <c r="O35" s="8">
        <f t="shared" si="3"/>
        <v>249.92450000000002</v>
      </c>
      <c r="P35" s="8">
        <f t="shared" si="3"/>
        <v>249.92450000000002</v>
      </c>
      <c r="Q35" s="8">
        <f t="shared" si="3"/>
        <v>249.92450000000002</v>
      </c>
      <c r="R35" s="8">
        <f t="shared" si="3"/>
        <v>249.92450000000002</v>
      </c>
      <c r="S35" s="276">
        <f t="shared" si="3"/>
        <v>249.92450000000002</v>
      </c>
      <c r="T35" s="343"/>
    </row>
    <row r="36" spans="1:22" ht="15" customHeight="1">
      <c r="B36" s="305" t="s">
        <v>1127</v>
      </c>
      <c r="C36" s="8">
        <f>Inputs!C36</f>
        <v>99.969800000000006</v>
      </c>
      <c r="D36" s="8">
        <f>C36</f>
        <v>99.969800000000006</v>
      </c>
      <c r="E36" s="8">
        <f t="shared" si="3"/>
        <v>99.969800000000006</v>
      </c>
      <c r="F36" s="8">
        <f t="shared" si="3"/>
        <v>99.969800000000006</v>
      </c>
      <c r="G36" s="8">
        <f t="shared" si="3"/>
        <v>99.969800000000006</v>
      </c>
      <c r="H36" s="8">
        <f t="shared" si="3"/>
        <v>99.969800000000006</v>
      </c>
      <c r="I36" s="8">
        <f t="shared" si="3"/>
        <v>99.969800000000006</v>
      </c>
      <c r="J36" s="8">
        <f t="shared" si="3"/>
        <v>99.969800000000006</v>
      </c>
      <c r="K36" s="8">
        <f t="shared" si="3"/>
        <v>99.969800000000006</v>
      </c>
      <c r="L36" s="8">
        <f t="shared" si="3"/>
        <v>99.969800000000006</v>
      </c>
      <c r="M36" s="8">
        <f t="shared" si="3"/>
        <v>99.969800000000006</v>
      </c>
      <c r="N36" s="8">
        <f t="shared" si="3"/>
        <v>99.969800000000006</v>
      </c>
      <c r="O36" s="8">
        <f t="shared" si="3"/>
        <v>99.969800000000006</v>
      </c>
      <c r="P36" s="8">
        <f t="shared" si="3"/>
        <v>99.969800000000006</v>
      </c>
      <c r="Q36" s="8">
        <f t="shared" si="3"/>
        <v>99.969800000000006</v>
      </c>
      <c r="R36" s="8">
        <f t="shared" si="3"/>
        <v>99.969800000000006</v>
      </c>
      <c r="S36" s="276">
        <f t="shared" si="3"/>
        <v>99.969800000000006</v>
      </c>
      <c r="T36" s="343"/>
    </row>
    <row r="37" spans="1:22" ht="15" customHeight="1">
      <c r="B37" s="305" t="s">
        <v>1128</v>
      </c>
      <c r="C37" s="8">
        <f>Inputs!C37</f>
        <v>99.969800000000006</v>
      </c>
      <c r="D37" s="8">
        <f>C37</f>
        <v>99.969800000000006</v>
      </c>
      <c r="E37" s="8">
        <f t="shared" si="3"/>
        <v>99.969800000000006</v>
      </c>
      <c r="F37" s="8">
        <f t="shared" si="3"/>
        <v>99.969800000000006</v>
      </c>
      <c r="G37" s="8">
        <f t="shared" si="3"/>
        <v>99.969800000000006</v>
      </c>
      <c r="H37" s="8">
        <f t="shared" si="3"/>
        <v>99.969800000000006</v>
      </c>
      <c r="I37" s="8">
        <f t="shared" si="3"/>
        <v>99.969800000000006</v>
      </c>
      <c r="J37" s="8">
        <f t="shared" si="3"/>
        <v>99.969800000000006</v>
      </c>
      <c r="K37" s="8">
        <f t="shared" si="3"/>
        <v>99.969800000000006</v>
      </c>
      <c r="L37" s="8">
        <f t="shared" si="3"/>
        <v>99.969800000000006</v>
      </c>
      <c r="M37" s="8">
        <f t="shared" si="3"/>
        <v>99.969800000000006</v>
      </c>
      <c r="N37" s="8">
        <f t="shared" si="3"/>
        <v>99.969800000000006</v>
      </c>
      <c r="O37" s="8">
        <f t="shared" si="3"/>
        <v>99.969800000000006</v>
      </c>
      <c r="P37" s="8">
        <f t="shared" si="3"/>
        <v>99.969800000000006</v>
      </c>
      <c r="Q37" s="8">
        <f t="shared" si="3"/>
        <v>99.969800000000006</v>
      </c>
      <c r="R37" s="8">
        <f t="shared" si="3"/>
        <v>99.969800000000006</v>
      </c>
      <c r="S37" s="276">
        <f t="shared" si="3"/>
        <v>99.969800000000006</v>
      </c>
      <c r="T37" s="343"/>
    </row>
    <row r="38" spans="1:22" s="305" customFormat="1" ht="15" customHeight="1">
      <c r="B38" s="305" t="s">
        <v>1017</v>
      </c>
      <c r="C38" s="276">
        <f>Inputs!C38</f>
        <v>2.5</v>
      </c>
      <c r="D38" s="276">
        <f>C38</f>
        <v>2.5</v>
      </c>
      <c r="E38" s="276">
        <f t="shared" si="3"/>
        <v>2.5</v>
      </c>
      <c r="F38" s="276">
        <f t="shared" si="3"/>
        <v>2.5</v>
      </c>
      <c r="G38" s="276">
        <f t="shared" si="3"/>
        <v>2.5</v>
      </c>
      <c r="H38" s="276">
        <f t="shared" si="3"/>
        <v>2.5</v>
      </c>
      <c r="I38" s="276">
        <f t="shared" si="3"/>
        <v>2.5</v>
      </c>
      <c r="J38" s="276">
        <f t="shared" si="3"/>
        <v>2.5</v>
      </c>
      <c r="K38" s="276">
        <f t="shared" si="3"/>
        <v>2.5</v>
      </c>
      <c r="L38" s="276">
        <f t="shared" si="3"/>
        <v>2.5</v>
      </c>
      <c r="M38" s="276">
        <f t="shared" si="3"/>
        <v>2.5</v>
      </c>
      <c r="N38" s="276">
        <f t="shared" si="3"/>
        <v>2.5</v>
      </c>
      <c r="O38" s="276">
        <f t="shared" si="3"/>
        <v>2.5</v>
      </c>
      <c r="P38" s="276">
        <f t="shared" si="3"/>
        <v>2.5</v>
      </c>
      <c r="Q38" s="276">
        <f t="shared" si="3"/>
        <v>2.5</v>
      </c>
      <c r="R38" s="276">
        <f t="shared" si="3"/>
        <v>2.5</v>
      </c>
      <c r="S38" s="276">
        <f t="shared" si="3"/>
        <v>2.5</v>
      </c>
      <c r="T38" s="343"/>
    </row>
    <row r="39" spans="1:22" ht="15" customHeight="1">
      <c r="B39" s="305" t="s">
        <v>1131</v>
      </c>
      <c r="C39" s="9">
        <f>UA!F11</f>
        <v>44.902018008074606</v>
      </c>
      <c r="D39" s="9">
        <f>UA!G11</f>
        <v>44.902018008074606</v>
      </c>
      <c r="E39" s="9">
        <f>UA!H11</f>
        <v>44.902018008074606</v>
      </c>
      <c r="F39" s="9">
        <f>UA!I11</f>
        <v>30.663321555368498</v>
      </c>
      <c r="G39" s="9">
        <f>UA!J11</f>
        <v>30.663321555368498</v>
      </c>
      <c r="H39" s="9">
        <f>UA!K11</f>
        <v>30.663321555368498</v>
      </c>
      <c r="I39" s="9">
        <f>UA!L11</f>
        <v>30.663321555368498</v>
      </c>
      <c r="J39" s="9">
        <f>UA!M11</f>
        <v>30.663321555368498</v>
      </c>
      <c r="K39" s="9">
        <f>UA!N11</f>
        <v>30.663321555368498</v>
      </c>
      <c r="L39" s="9">
        <f>UA!O11</f>
        <v>30.663321555368498</v>
      </c>
      <c r="M39" s="9">
        <f>UA!P11</f>
        <v>30.663321555368498</v>
      </c>
      <c r="N39" s="9">
        <f>UA!Q11</f>
        <v>25.374662872934799</v>
      </c>
      <c r="O39" s="9">
        <f>UA!R11</f>
        <v>25.374662872934799</v>
      </c>
      <c r="P39" s="9">
        <f>UA!S11</f>
        <v>25.374662872934799</v>
      </c>
      <c r="Q39" s="9">
        <f>UA!T11</f>
        <v>25.374662872934799</v>
      </c>
      <c r="R39" s="9">
        <f>UA!U11</f>
        <v>44.902018008074606</v>
      </c>
      <c r="S39" s="9">
        <f>UA!V11</f>
        <v>30.663321555368498</v>
      </c>
      <c r="T39" s="343"/>
      <c r="V39" s="305"/>
    </row>
    <row r="40" spans="1:22" ht="15" customHeight="1">
      <c r="B40" s="305" t="s">
        <v>1132</v>
      </c>
      <c r="C40" s="9">
        <f>UA!F13</f>
        <v>43.663732646153854</v>
      </c>
      <c r="D40" s="9">
        <f>UA!G13</f>
        <v>43.663732646153854</v>
      </c>
      <c r="E40" s="9">
        <f>UA!H13</f>
        <v>43.663732646153854</v>
      </c>
      <c r="F40" s="9">
        <f>UA!I13</f>
        <v>29.87518549473684</v>
      </c>
      <c r="G40" s="9">
        <f>UA!J13</f>
        <v>29.87518549473684</v>
      </c>
      <c r="H40" s="9">
        <f>UA!K13</f>
        <v>29.87518549473684</v>
      </c>
      <c r="I40" s="9">
        <f>UA!L13</f>
        <v>29.87518549473684</v>
      </c>
      <c r="J40" s="9">
        <f>UA!M13</f>
        <v>29.87518549473684</v>
      </c>
      <c r="K40" s="9">
        <f>UA!N13</f>
        <v>18.920950813333334</v>
      </c>
      <c r="L40" s="9">
        <f>UA!O13</f>
        <v>18.920950813333334</v>
      </c>
      <c r="M40" s="9">
        <f>UA!P13</f>
        <v>18.920950813333334</v>
      </c>
      <c r="N40" s="9">
        <f>UA!Q13</f>
        <v>18.920950813333334</v>
      </c>
      <c r="O40" s="9">
        <f>UA!R13</f>
        <v>18.920950813333334</v>
      </c>
      <c r="P40" s="9">
        <f>UA!S13</f>
        <v>14.93759274736842</v>
      </c>
      <c r="Q40" s="9">
        <f>UA!T13</f>
        <v>14.93759274736842</v>
      </c>
      <c r="R40" s="9">
        <f>UA!U13</f>
        <v>43.663732646153854</v>
      </c>
      <c r="S40" s="9">
        <f>UA!V13</f>
        <v>29.87518549473684</v>
      </c>
      <c r="T40" s="343"/>
    </row>
    <row r="41" spans="1:22" s="305" customFormat="1" ht="15" customHeight="1">
      <c r="B41" s="305" t="s">
        <v>1133</v>
      </c>
      <c r="C41" s="9">
        <f>UA!F12</f>
        <v>45.410281951999998</v>
      </c>
      <c r="D41" s="9">
        <f>UA!G12</f>
        <v>45.410281951999998</v>
      </c>
      <c r="E41" s="9">
        <f>UA!H12</f>
        <v>45.410281951999998</v>
      </c>
      <c r="F41" s="9">
        <f>UA!I12</f>
        <v>34.057711464</v>
      </c>
      <c r="G41" s="9">
        <f>UA!J12</f>
        <v>34.057711464</v>
      </c>
      <c r="H41" s="9">
        <f>UA!K12</f>
        <v>34.057711464</v>
      </c>
      <c r="I41" s="9">
        <f>UA!L12</f>
        <v>34.057711464</v>
      </c>
      <c r="J41" s="9">
        <f>UA!M12</f>
        <v>34.057711464</v>
      </c>
      <c r="K41" s="9">
        <f>UA!N12</f>
        <v>30.651940317600005</v>
      </c>
      <c r="L41" s="9">
        <f>UA!O12</f>
        <v>30.651940317600005</v>
      </c>
      <c r="M41" s="9">
        <f>UA!P12</f>
        <v>30.651940317600005</v>
      </c>
      <c r="N41" s="9">
        <f>UA!Q12</f>
        <v>30.651940317600005</v>
      </c>
      <c r="O41" s="9">
        <f>UA!R12</f>
        <v>30.651940317600005</v>
      </c>
      <c r="P41" s="9">
        <f>UA!S12</f>
        <v>30.651940317600005</v>
      </c>
      <c r="Q41" s="9">
        <f>UA!T12</f>
        <v>30.651940317600005</v>
      </c>
      <c r="R41" s="9">
        <f>UA!U12</f>
        <v>45.410281951999998</v>
      </c>
      <c r="S41" s="9">
        <f>UA!V12</f>
        <v>34.057711464</v>
      </c>
      <c r="T41" s="343"/>
    </row>
    <row r="42" spans="1:22" ht="15" customHeight="1">
      <c r="A42" s="305" t="s">
        <v>46</v>
      </c>
      <c r="B42" s="305" t="s">
        <v>1134</v>
      </c>
      <c r="C42" s="6">
        <f>Inputs!C42</f>
        <v>0</v>
      </c>
      <c r="D42" s="6">
        <f t="shared" ref="D42:S42" si="4">C42</f>
        <v>0</v>
      </c>
      <c r="E42" s="6">
        <f t="shared" si="4"/>
        <v>0</v>
      </c>
      <c r="F42" s="6">
        <f t="shared" si="4"/>
        <v>0</v>
      </c>
      <c r="G42" s="6">
        <f t="shared" si="4"/>
        <v>0</v>
      </c>
      <c r="H42" s="6">
        <f t="shared" si="4"/>
        <v>0</v>
      </c>
      <c r="I42" s="6">
        <f t="shared" si="4"/>
        <v>0</v>
      </c>
      <c r="J42" s="6">
        <f t="shared" si="4"/>
        <v>0</v>
      </c>
      <c r="K42" s="6">
        <f t="shared" si="4"/>
        <v>0</v>
      </c>
      <c r="L42" s="6">
        <f t="shared" si="4"/>
        <v>0</v>
      </c>
      <c r="M42" s="6">
        <f t="shared" si="4"/>
        <v>0</v>
      </c>
      <c r="N42" s="6">
        <f t="shared" si="4"/>
        <v>0</v>
      </c>
      <c r="O42" s="6">
        <f t="shared" si="4"/>
        <v>0</v>
      </c>
      <c r="P42" s="6">
        <f t="shared" si="4"/>
        <v>0</v>
      </c>
      <c r="Q42" s="6">
        <f t="shared" si="4"/>
        <v>0</v>
      </c>
      <c r="R42" s="6">
        <f t="shared" si="4"/>
        <v>0</v>
      </c>
      <c r="S42" s="6">
        <f t="shared" si="4"/>
        <v>0</v>
      </c>
      <c r="T42" s="343"/>
    </row>
    <row r="43" spans="1:22" s="305" customFormat="1" ht="15" customHeight="1">
      <c r="B43" s="305" t="s">
        <v>1019</v>
      </c>
      <c r="C43" s="6">
        <f>Inputs!C43</f>
        <v>0</v>
      </c>
      <c r="D43" s="6">
        <f t="shared" ref="D43:D47" si="5">C43</f>
        <v>0</v>
      </c>
      <c r="E43" s="6">
        <f t="shared" ref="E43:E47" si="6">D43</f>
        <v>0</v>
      </c>
      <c r="F43" s="6">
        <f t="shared" ref="F43:F47" si="7">E43</f>
        <v>0</v>
      </c>
      <c r="G43" s="6">
        <f t="shared" ref="G43:G47" si="8">F43</f>
        <v>0</v>
      </c>
      <c r="H43" s="6">
        <f t="shared" ref="H43:H47" si="9">G43</f>
        <v>0</v>
      </c>
      <c r="I43" s="6">
        <f t="shared" ref="I43:I47" si="10">H43</f>
        <v>0</v>
      </c>
      <c r="J43" s="6">
        <f t="shared" ref="J43:J47" si="11">I43</f>
        <v>0</v>
      </c>
      <c r="K43" s="6">
        <f t="shared" ref="K43:K47" si="12">J43</f>
        <v>0</v>
      </c>
      <c r="L43" s="6">
        <f t="shared" ref="L43:L47" si="13">K43</f>
        <v>0</v>
      </c>
      <c r="M43" s="6">
        <f t="shared" ref="M43:M47" si="14">L43</f>
        <v>0</v>
      </c>
      <c r="N43" s="6">
        <f t="shared" ref="N43:N47" si="15">M43</f>
        <v>0</v>
      </c>
      <c r="O43" s="6">
        <f t="shared" ref="O43:O47" si="16">N43</f>
        <v>0</v>
      </c>
      <c r="P43" s="6">
        <f t="shared" ref="P43:P47" si="17">O43</f>
        <v>0</v>
      </c>
      <c r="Q43" s="6">
        <f t="shared" ref="Q43:Q47" si="18">P43</f>
        <v>0</v>
      </c>
      <c r="R43" s="6">
        <f t="shared" ref="R43:R47" si="19">Q43</f>
        <v>0</v>
      </c>
      <c r="S43" s="6">
        <f t="shared" ref="S43:S47" si="20">R43</f>
        <v>0</v>
      </c>
      <c r="T43" s="343"/>
    </row>
    <row r="44" spans="1:22" s="305" customFormat="1" ht="15" customHeight="1">
      <c r="B44" s="305" t="s">
        <v>1020</v>
      </c>
      <c r="C44" s="6">
        <f>Inputs!C44</f>
        <v>0</v>
      </c>
      <c r="D44" s="6">
        <f t="shared" si="5"/>
        <v>0</v>
      </c>
      <c r="E44" s="6">
        <f t="shared" si="6"/>
        <v>0</v>
      </c>
      <c r="F44" s="6">
        <f t="shared" si="7"/>
        <v>0</v>
      </c>
      <c r="G44" s="6">
        <f t="shared" si="8"/>
        <v>0</v>
      </c>
      <c r="H44" s="6">
        <f t="shared" si="9"/>
        <v>0</v>
      </c>
      <c r="I44" s="6">
        <f t="shared" si="10"/>
        <v>0</v>
      </c>
      <c r="J44" s="6">
        <f t="shared" si="11"/>
        <v>0</v>
      </c>
      <c r="K44" s="6">
        <f t="shared" si="12"/>
        <v>0</v>
      </c>
      <c r="L44" s="6">
        <f t="shared" si="13"/>
        <v>0</v>
      </c>
      <c r="M44" s="6">
        <f t="shared" si="14"/>
        <v>0</v>
      </c>
      <c r="N44" s="6">
        <f t="shared" si="15"/>
        <v>0</v>
      </c>
      <c r="O44" s="6">
        <f t="shared" si="16"/>
        <v>0</v>
      </c>
      <c r="P44" s="6">
        <f t="shared" si="17"/>
        <v>0</v>
      </c>
      <c r="Q44" s="6">
        <f t="shared" si="18"/>
        <v>0</v>
      </c>
      <c r="R44" s="6">
        <f t="shared" si="19"/>
        <v>0</v>
      </c>
      <c r="S44" s="6">
        <f t="shared" si="20"/>
        <v>0</v>
      </c>
      <c r="T44" s="343"/>
    </row>
    <row r="45" spans="1:22" s="305" customFormat="1" ht="15" customHeight="1">
      <c r="B45" s="305" t="s">
        <v>1021</v>
      </c>
      <c r="C45" s="6">
        <f>Inputs!C45</f>
        <v>0</v>
      </c>
      <c r="D45" s="6">
        <f t="shared" si="5"/>
        <v>0</v>
      </c>
      <c r="E45" s="6">
        <f t="shared" si="6"/>
        <v>0</v>
      </c>
      <c r="F45" s="6">
        <f t="shared" si="7"/>
        <v>0</v>
      </c>
      <c r="G45" s="6">
        <f t="shared" si="8"/>
        <v>0</v>
      </c>
      <c r="H45" s="6">
        <f t="shared" si="9"/>
        <v>0</v>
      </c>
      <c r="I45" s="6">
        <f t="shared" si="10"/>
        <v>0</v>
      </c>
      <c r="J45" s="6">
        <f t="shared" si="11"/>
        <v>0</v>
      </c>
      <c r="K45" s="6">
        <f t="shared" si="12"/>
        <v>0</v>
      </c>
      <c r="L45" s="6">
        <f t="shared" si="13"/>
        <v>0</v>
      </c>
      <c r="M45" s="6">
        <f t="shared" si="14"/>
        <v>0</v>
      </c>
      <c r="N45" s="6">
        <f t="shared" si="15"/>
        <v>0</v>
      </c>
      <c r="O45" s="6">
        <f t="shared" si="16"/>
        <v>0</v>
      </c>
      <c r="P45" s="6">
        <f t="shared" si="17"/>
        <v>0</v>
      </c>
      <c r="Q45" s="6">
        <f t="shared" si="18"/>
        <v>0</v>
      </c>
      <c r="R45" s="6">
        <f t="shared" si="19"/>
        <v>0</v>
      </c>
      <c r="S45" s="6">
        <f t="shared" si="20"/>
        <v>0</v>
      </c>
      <c r="T45" s="343"/>
    </row>
    <row r="46" spans="1:22" s="305" customFormat="1" ht="15" customHeight="1">
      <c r="B46" s="305" t="s">
        <v>1022</v>
      </c>
      <c r="C46" s="6">
        <f>Inputs!C46</f>
        <v>0</v>
      </c>
      <c r="D46" s="6">
        <f t="shared" si="5"/>
        <v>0</v>
      </c>
      <c r="E46" s="6">
        <f t="shared" si="6"/>
        <v>0</v>
      </c>
      <c r="F46" s="6">
        <f t="shared" si="7"/>
        <v>0</v>
      </c>
      <c r="G46" s="6">
        <f t="shared" si="8"/>
        <v>0</v>
      </c>
      <c r="H46" s="6">
        <f t="shared" si="9"/>
        <v>0</v>
      </c>
      <c r="I46" s="6">
        <f t="shared" si="10"/>
        <v>0</v>
      </c>
      <c r="J46" s="6">
        <f t="shared" si="11"/>
        <v>0</v>
      </c>
      <c r="K46" s="6">
        <f t="shared" si="12"/>
        <v>0</v>
      </c>
      <c r="L46" s="6">
        <f t="shared" si="13"/>
        <v>0</v>
      </c>
      <c r="M46" s="6">
        <f t="shared" si="14"/>
        <v>0</v>
      </c>
      <c r="N46" s="6">
        <f t="shared" si="15"/>
        <v>0</v>
      </c>
      <c r="O46" s="6">
        <f t="shared" si="16"/>
        <v>0</v>
      </c>
      <c r="P46" s="6">
        <f t="shared" si="17"/>
        <v>0</v>
      </c>
      <c r="Q46" s="6">
        <f t="shared" si="18"/>
        <v>0</v>
      </c>
      <c r="R46" s="6">
        <f t="shared" si="19"/>
        <v>0</v>
      </c>
      <c r="S46" s="6">
        <f t="shared" si="20"/>
        <v>0</v>
      </c>
      <c r="T46" s="343"/>
    </row>
    <row r="47" spans="1:22" s="305" customFormat="1" ht="15" customHeight="1">
      <c r="B47" s="305" t="s">
        <v>1023</v>
      </c>
      <c r="C47" s="6">
        <f>Inputs!C47</f>
        <v>0</v>
      </c>
      <c r="D47" s="6">
        <f t="shared" si="5"/>
        <v>0</v>
      </c>
      <c r="E47" s="6">
        <f t="shared" si="6"/>
        <v>0</v>
      </c>
      <c r="F47" s="6">
        <f t="shared" si="7"/>
        <v>0</v>
      </c>
      <c r="G47" s="6">
        <f t="shared" si="8"/>
        <v>0</v>
      </c>
      <c r="H47" s="6">
        <f t="shared" si="9"/>
        <v>0</v>
      </c>
      <c r="I47" s="6">
        <f t="shared" si="10"/>
        <v>0</v>
      </c>
      <c r="J47" s="6">
        <f t="shared" si="11"/>
        <v>0</v>
      </c>
      <c r="K47" s="6">
        <f t="shared" si="12"/>
        <v>0</v>
      </c>
      <c r="L47" s="6">
        <f t="shared" si="13"/>
        <v>0</v>
      </c>
      <c r="M47" s="6">
        <f t="shared" si="14"/>
        <v>0</v>
      </c>
      <c r="N47" s="6">
        <f t="shared" si="15"/>
        <v>0</v>
      </c>
      <c r="O47" s="6">
        <f t="shared" si="16"/>
        <v>0</v>
      </c>
      <c r="P47" s="6">
        <f t="shared" si="17"/>
        <v>0</v>
      </c>
      <c r="Q47" s="6">
        <f t="shared" si="18"/>
        <v>0</v>
      </c>
      <c r="R47" s="6">
        <f t="shared" si="19"/>
        <v>0</v>
      </c>
      <c r="S47" s="6">
        <f t="shared" si="20"/>
        <v>0</v>
      </c>
      <c r="T47" s="343"/>
    </row>
    <row r="48" spans="1:22" ht="15" customHeight="1">
      <c r="A48" s="305" t="s">
        <v>48</v>
      </c>
      <c r="B48" s="305" t="s">
        <v>1135</v>
      </c>
      <c r="C48" s="144">
        <f>Inputs!C48</f>
        <v>6</v>
      </c>
      <c r="D48" s="144">
        <f t="shared" ref="D48:S48" si="21">C48</f>
        <v>6</v>
      </c>
      <c r="E48" s="144">
        <f t="shared" si="21"/>
        <v>6</v>
      </c>
      <c r="F48" s="144">
        <f t="shared" si="21"/>
        <v>6</v>
      </c>
      <c r="G48" s="144">
        <f t="shared" si="21"/>
        <v>6</v>
      </c>
      <c r="H48" s="144">
        <f t="shared" si="21"/>
        <v>6</v>
      </c>
      <c r="I48" s="144">
        <f t="shared" si="21"/>
        <v>6</v>
      </c>
      <c r="J48" s="144">
        <f t="shared" si="21"/>
        <v>6</v>
      </c>
      <c r="K48" s="144">
        <f t="shared" si="21"/>
        <v>6</v>
      </c>
      <c r="L48" s="144">
        <f t="shared" si="21"/>
        <v>6</v>
      </c>
      <c r="M48" s="144">
        <f t="shared" si="21"/>
        <v>6</v>
      </c>
      <c r="N48" s="144">
        <f t="shared" si="21"/>
        <v>6</v>
      </c>
      <c r="O48" s="144">
        <f t="shared" si="21"/>
        <v>6</v>
      </c>
      <c r="P48" s="144">
        <f t="shared" si="21"/>
        <v>6</v>
      </c>
      <c r="Q48" s="144">
        <f t="shared" si="21"/>
        <v>6</v>
      </c>
      <c r="R48" s="144">
        <f t="shared" si="21"/>
        <v>6</v>
      </c>
      <c r="S48" s="144">
        <f t="shared" si="21"/>
        <v>6</v>
      </c>
      <c r="T48" s="343"/>
    </row>
    <row r="49" spans="2:20" ht="15" customHeight="1">
      <c r="B49" s="305" t="s">
        <v>1141</v>
      </c>
      <c r="C49" s="402">
        <f>Fans!B12</f>
        <v>0</v>
      </c>
      <c r="D49" s="402">
        <f>Fans!C12</f>
        <v>0</v>
      </c>
      <c r="E49" s="402">
        <f>Fans!D12</f>
        <v>0</v>
      </c>
      <c r="F49" s="402">
        <f>Fans!E12</f>
        <v>0</v>
      </c>
      <c r="G49" s="402">
        <f>Fans!F12</f>
        <v>0</v>
      </c>
      <c r="H49" s="402">
        <f>Fans!G12</f>
        <v>0</v>
      </c>
      <c r="I49" s="402">
        <f>Fans!H12</f>
        <v>0</v>
      </c>
      <c r="J49" s="402">
        <f>Fans!I12</f>
        <v>0</v>
      </c>
      <c r="K49" s="402">
        <f>Fans!J12</f>
        <v>0</v>
      </c>
      <c r="L49" s="402">
        <f>Fans!K12</f>
        <v>0</v>
      </c>
      <c r="M49" s="402">
        <f>Fans!L12</f>
        <v>0</v>
      </c>
      <c r="N49" s="402">
        <f>Fans!M12</f>
        <v>0</v>
      </c>
      <c r="O49" s="402">
        <f>Fans!N12</f>
        <v>0</v>
      </c>
      <c r="P49" s="402">
        <f>Fans!O12</f>
        <v>0</v>
      </c>
      <c r="Q49" s="402">
        <f>Fans!P12</f>
        <v>0</v>
      </c>
      <c r="R49" s="402">
        <f>Fans!Q12</f>
        <v>0</v>
      </c>
      <c r="S49" s="402">
        <f>Fans!R12</f>
        <v>0</v>
      </c>
      <c r="T49" s="343"/>
    </row>
    <row r="50" spans="2:20" ht="15" customHeight="1">
      <c r="B50" s="305" t="s">
        <v>1139</v>
      </c>
      <c r="C50" s="214">
        <f>Fans!B13</f>
        <v>-7.3979788097507534E-2</v>
      </c>
      <c r="D50" s="214">
        <f>Fans!C13</f>
        <v>-7.3662553416958945E-2</v>
      </c>
      <c r="E50" s="214">
        <f>Fans!D13</f>
        <v>-7.3345318736410342E-2</v>
      </c>
      <c r="F50" s="214">
        <f>Fans!E13</f>
        <v>-7.4825747245637134E-2</v>
      </c>
      <c r="G50" s="214">
        <f>Fans!F13</f>
        <v>-7.4297022778056152E-2</v>
      </c>
      <c r="H50" s="214">
        <f>Fans!G13</f>
        <v>-7.1124675972570175E-2</v>
      </c>
      <c r="I50" s="214">
        <f>Fans!H13</f>
        <v>-7.3768298310475142E-2</v>
      </c>
      <c r="J50" s="214">
        <f>Fans!I13</f>
        <v>-7.2710849375313164E-2</v>
      </c>
      <c r="K50" s="214">
        <f>Fans!J13</f>
        <v>-7.2446487141522672E-2</v>
      </c>
      <c r="L50" s="214">
        <f>Fans!K13</f>
        <v>-7.4297022778056152E-2</v>
      </c>
      <c r="M50" s="214">
        <f>Fans!L13</f>
        <v>-7.5142981926185723E-2</v>
      </c>
      <c r="N50" s="214">
        <f>Fans!M13</f>
        <v>-7.4085532991023745E-2</v>
      </c>
      <c r="O50" s="214">
        <f>Fans!N13</f>
        <v>-7.3662553416958945E-2</v>
      </c>
      <c r="P50" s="214">
        <f>Fans!O13</f>
        <v>-7.2182124907732167E-2</v>
      </c>
      <c r="Q50" s="214">
        <f>Fans!P13</f>
        <v>-7.5883196180799112E-2</v>
      </c>
      <c r="R50" s="214">
        <f>Fans!Q13</f>
        <v>-7.493149213915333E-2</v>
      </c>
      <c r="S50" s="214">
        <f>Fans!R13</f>
        <v>-7.5618833947008621E-2</v>
      </c>
      <c r="T50" s="343"/>
    </row>
    <row r="51" spans="2:20" ht="15" customHeight="1">
      <c r="B51" s="305" t="s">
        <v>1140</v>
      </c>
      <c r="C51" s="213">
        <f>Fans!B14</f>
        <v>13</v>
      </c>
      <c r="D51" s="213">
        <f>Fans!C14</f>
        <v>13</v>
      </c>
      <c r="E51" s="213">
        <f>Fans!D14</f>
        <v>13</v>
      </c>
      <c r="F51" s="213">
        <f>Fans!E14</f>
        <v>13</v>
      </c>
      <c r="G51" s="213">
        <f>Fans!F14</f>
        <v>13</v>
      </c>
      <c r="H51" s="213">
        <f>Fans!G14</f>
        <v>13</v>
      </c>
      <c r="I51" s="213">
        <f>Fans!H14</f>
        <v>13</v>
      </c>
      <c r="J51" s="213">
        <f>Fans!I14</f>
        <v>13</v>
      </c>
      <c r="K51" s="213">
        <f>Fans!J14</f>
        <v>13</v>
      </c>
      <c r="L51" s="213">
        <f>Fans!K14</f>
        <v>13</v>
      </c>
      <c r="M51" s="213">
        <f>Fans!L14</f>
        <v>13</v>
      </c>
      <c r="N51" s="213">
        <f>Fans!M14</f>
        <v>13</v>
      </c>
      <c r="O51" s="213">
        <f>Fans!N14</f>
        <v>13</v>
      </c>
      <c r="P51" s="213">
        <f>Fans!O14</f>
        <v>13</v>
      </c>
      <c r="Q51" s="213">
        <f>Fans!P14</f>
        <v>13</v>
      </c>
      <c r="R51" s="213">
        <f>Fans!Q14</f>
        <v>13</v>
      </c>
      <c r="S51" s="213">
        <f>Fans!R14</f>
        <v>13</v>
      </c>
      <c r="T51" s="343"/>
    </row>
    <row r="52" spans="2:20" ht="15" customHeight="1">
      <c r="B52" s="305" t="s">
        <v>1142</v>
      </c>
      <c r="C52" s="8">
        <f>Inputs!C52</f>
        <v>0</v>
      </c>
      <c r="D52" s="8">
        <f t="shared" ref="D52:S52" si="22">C52</f>
        <v>0</v>
      </c>
      <c r="E52" s="8">
        <f t="shared" si="22"/>
        <v>0</v>
      </c>
      <c r="F52" s="8">
        <f t="shared" si="22"/>
        <v>0</v>
      </c>
      <c r="G52" s="8">
        <f t="shared" si="22"/>
        <v>0</v>
      </c>
      <c r="H52" s="8">
        <f t="shared" si="22"/>
        <v>0</v>
      </c>
      <c r="I52" s="8">
        <f t="shared" si="22"/>
        <v>0</v>
      </c>
      <c r="J52" s="8">
        <f t="shared" si="22"/>
        <v>0</v>
      </c>
      <c r="K52" s="8">
        <f t="shared" si="22"/>
        <v>0</v>
      </c>
      <c r="L52" s="8">
        <f t="shared" si="22"/>
        <v>0</v>
      </c>
      <c r="M52" s="8">
        <f t="shared" si="22"/>
        <v>0</v>
      </c>
      <c r="N52" s="8">
        <f t="shared" si="22"/>
        <v>0</v>
      </c>
      <c r="O52" s="8">
        <f t="shared" si="22"/>
        <v>0</v>
      </c>
      <c r="P52" s="8">
        <f t="shared" si="22"/>
        <v>0</v>
      </c>
      <c r="Q52" s="8">
        <f t="shared" si="22"/>
        <v>0</v>
      </c>
      <c r="R52" s="8">
        <f t="shared" si="22"/>
        <v>0</v>
      </c>
      <c r="S52" s="276">
        <f t="shared" si="22"/>
        <v>0</v>
      </c>
      <c r="T52" s="343"/>
    </row>
    <row r="53" spans="2:20" ht="15" customHeight="1">
      <c r="B53" s="305" t="s">
        <v>1143</v>
      </c>
      <c r="C53" s="6">
        <f>Inputs!C53</f>
        <v>-7.0788107597923547E-2</v>
      </c>
      <c r="D53" s="6">
        <f t="shared" ref="D53:S53" si="23">C53</f>
        <v>-7.0788107597923547E-2</v>
      </c>
      <c r="E53" s="6">
        <f t="shared" si="23"/>
        <v>-7.0788107597923547E-2</v>
      </c>
      <c r="F53" s="6">
        <f t="shared" si="23"/>
        <v>-7.0788107597923547E-2</v>
      </c>
      <c r="G53" s="6">
        <f t="shared" si="23"/>
        <v>-7.0788107597923547E-2</v>
      </c>
      <c r="H53" s="6">
        <f t="shared" si="23"/>
        <v>-7.0788107597923547E-2</v>
      </c>
      <c r="I53" s="6">
        <f t="shared" si="23"/>
        <v>-7.0788107597923547E-2</v>
      </c>
      <c r="J53" s="6">
        <f t="shared" si="23"/>
        <v>-7.0788107597923547E-2</v>
      </c>
      <c r="K53" s="6">
        <f t="shared" si="23"/>
        <v>-7.0788107597923547E-2</v>
      </c>
      <c r="L53" s="6">
        <f t="shared" si="23"/>
        <v>-7.0788107597923547E-2</v>
      </c>
      <c r="M53" s="6">
        <f t="shared" si="23"/>
        <v>-7.0788107597923547E-2</v>
      </c>
      <c r="N53" s="6">
        <f t="shared" si="23"/>
        <v>-7.0788107597923547E-2</v>
      </c>
      <c r="O53" s="6">
        <f t="shared" si="23"/>
        <v>-7.0788107597923547E-2</v>
      </c>
      <c r="P53" s="6">
        <f t="shared" si="23"/>
        <v>-7.0788107597923547E-2</v>
      </c>
      <c r="Q53" s="6">
        <f t="shared" si="23"/>
        <v>-7.0788107597923547E-2</v>
      </c>
      <c r="R53" s="6">
        <f t="shared" si="23"/>
        <v>-7.0788107597923547E-2</v>
      </c>
      <c r="S53" s="6">
        <f t="shared" si="23"/>
        <v>-7.0788107597923547E-2</v>
      </c>
      <c r="T53" s="343"/>
    </row>
    <row r="54" spans="2:20" ht="15" customHeight="1">
      <c r="B54" s="305" t="s">
        <v>1144</v>
      </c>
      <c r="C54" s="144">
        <f>Inputs!C54</f>
        <v>23</v>
      </c>
      <c r="D54" s="144">
        <f t="shared" ref="D54:S54" si="24">C54</f>
        <v>23</v>
      </c>
      <c r="E54" s="144">
        <f t="shared" si="24"/>
        <v>23</v>
      </c>
      <c r="F54" s="144">
        <f t="shared" si="24"/>
        <v>23</v>
      </c>
      <c r="G54" s="144">
        <f t="shared" si="24"/>
        <v>23</v>
      </c>
      <c r="H54" s="144">
        <f t="shared" si="24"/>
        <v>23</v>
      </c>
      <c r="I54" s="144">
        <f t="shared" si="24"/>
        <v>23</v>
      </c>
      <c r="J54" s="144">
        <f t="shared" si="24"/>
        <v>23</v>
      </c>
      <c r="K54" s="144">
        <f t="shared" si="24"/>
        <v>23</v>
      </c>
      <c r="L54" s="144">
        <f t="shared" si="24"/>
        <v>23</v>
      </c>
      <c r="M54" s="144">
        <f t="shared" si="24"/>
        <v>23</v>
      </c>
      <c r="N54" s="144">
        <f t="shared" si="24"/>
        <v>23</v>
      </c>
      <c r="O54" s="144">
        <f t="shared" si="24"/>
        <v>23</v>
      </c>
      <c r="P54" s="144">
        <f t="shared" si="24"/>
        <v>23</v>
      </c>
      <c r="Q54" s="144">
        <f t="shared" si="24"/>
        <v>23</v>
      </c>
      <c r="R54" s="144">
        <f t="shared" si="24"/>
        <v>23</v>
      </c>
      <c r="S54" s="144">
        <f t="shared" si="24"/>
        <v>23</v>
      </c>
      <c r="T54" s="343"/>
    </row>
    <row r="55" spans="2:20" ht="15" customHeight="1">
      <c r="B55" s="305" t="s">
        <v>1145</v>
      </c>
      <c r="C55" s="218">
        <f>Inputs!C55</f>
        <v>37.200000000000003</v>
      </c>
      <c r="D55" s="218">
        <f t="shared" ref="D55:S55" si="25">C55</f>
        <v>37.200000000000003</v>
      </c>
      <c r="E55" s="218">
        <f t="shared" si="25"/>
        <v>37.200000000000003</v>
      </c>
      <c r="F55" s="218">
        <f t="shared" si="25"/>
        <v>37.200000000000003</v>
      </c>
      <c r="G55" s="218">
        <f t="shared" si="25"/>
        <v>37.200000000000003</v>
      </c>
      <c r="H55" s="218">
        <f t="shared" si="25"/>
        <v>37.200000000000003</v>
      </c>
      <c r="I55" s="218">
        <f t="shared" si="25"/>
        <v>37.200000000000003</v>
      </c>
      <c r="J55" s="218">
        <f t="shared" si="25"/>
        <v>37.200000000000003</v>
      </c>
      <c r="K55" s="218">
        <f t="shared" si="25"/>
        <v>37.200000000000003</v>
      </c>
      <c r="L55" s="218">
        <f t="shared" si="25"/>
        <v>37.200000000000003</v>
      </c>
      <c r="M55" s="218">
        <f t="shared" si="25"/>
        <v>37.200000000000003</v>
      </c>
      <c r="N55" s="218">
        <f t="shared" si="25"/>
        <v>37.200000000000003</v>
      </c>
      <c r="O55" s="218">
        <f t="shared" si="25"/>
        <v>37.200000000000003</v>
      </c>
      <c r="P55" s="218">
        <f t="shared" si="25"/>
        <v>37.200000000000003</v>
      </c>
      <c r="Q55" s="218">
        <f t="shared" si="25"/>
        <v>37.200000000000003</v>
      </c>
      <c r="R55" s="218">
        <f t="shared" si="25"/>
        <v>37.200000000000003</v>
      </c>
      <c r="S55" s="218">
        <f t="shared" si="25"/>
        <v>37.200000000000003</v>
      </c>
      <c r="T55" s="343"/>
    </row>
    <row r="56" spans="2:20" ht="15" customHeight="1">
      <c r="B56" s="305" t="s">
        <v>1146</v>
      </c>
      <c r="C56" s="214">
        <f>Inputs!C56</f>
        <v>-4.7192071731949031E-2</v>
      </c>
      <c r="D56" s="214">
        <f t="shared" ref="D56:S56" si="26">C56</f>
        <v>-4.7192071731949031E-2</v>
      </c>
      <c r="E56" s="214">
        <f t="shared" si="26"/>
        <v>-4.7192071731949031E-2</v>
      </c>
      <c r="F56" s="214">
        <f t="shared" si="26"/>
        <v>-4.7192071731949031E-2</v>
      </c>
      <c r="G56" s="214">
        <f t="shared" si="26"/>
        <v>-4.7192071731949031E-2</v>
      </c>
      <c r="H56" s="214">
        <f t="shared" si="26"/>
        <v>-4.7192071731949031E-2</v>
      </c>
      <c r="I56" s="214">
        <f t="shared" si="26"/>
        <v>-4.7192071731949031E-2</v>
      </c>
      <c r="J56" s="214">
        <f t="shared" si="26"/>
        <v>-4.7192071731949031E-2</v>
      </c>
      <c r="K56" s="214">
        <f t="shared" si="26"/>
        <v>-4.7192071731949031E-2</v>
      </c>
      <c r="L56" s="214">
        <f t="shared" si="26"/>
        <v>-4.7192071731949031E-2</v>
      </c>
      <c r="M56" s="214">
        <f t="shared" si="26"/>
        <v>-4.7192071731949031E-2</v>
      </c>
      <c r="N56" s="214">
        <f t="shared" si="26"/>
        <v>-4.7192071731949031E-2</v>
      </c>
      <c r="O56" s="214">
        <f t="shared" si="26"/>
        <v>-4.7192071731949031E-2</v>
      </c>
      <c r="P56" s="214">
        <f t="shared" si="26"/>
        <v>-4.7192071731949031E-2</v>
      </c>
      <c r="Q56" s="214">
        <f t="shared" si="26"/>
        <v>-4.7192071731949031E-2</v>
      </c>
      <c r="R56" s="214">
        <f t="shared" si="26"/>
        <v>-4.7192071731949031E-2</v>
      </c>
      <c r="S56" s="214">
        <f t="shared" si="26"/>
        <v>-4.7192071731949031E-2</v>
      </c>
      <c r="T56" s="343"/>
    </row>
    <row r="57" spans="2:20" ht="15" customHeight="1">
      <c r="B57" s="305" t="s">
        <v>1147</v>
      </c>
      <c r="C57" s="213">
        <f>Inputs!C57</f>
        <v>24</v>
      </c>
      <c r="D57" s="213">
        <f t="shared" ref="D57:S57" si="27">C57</f>
        <v>24</v>
      </c>
      <c r="E57" s="213">
        <f t="shared" si="27"/>
        <v>24</v>
      </c>
      <c r="F57" s="213">
        <f t="shared" si="27"/>
        <v>24</v>
      </c>
      <c r="G57" s="213">
        <f t="shared" si="27"/>
        <v>24</v>
      </c>
      <c r="H57" s="213">
        <f t="shared" si="27"/>
        <v>24</v>
      </c>
      <c r="I57" s="213">
        <f t="shared" si="27"/>
        <v>24</v>
      </c>
      <c r="J57" s="213">
        <f t="shared" si="27"/>
        <v>24</v>
      </c>
      <c r="K57" s="213">
        <f t="shared" si="27"/>
        <v>24</v>
      </c>
      <c r="L57" s="213">
        <f t="shared" si="27"/>
        <v>24</v>
      </c>
      <c r="M57" s="213">
        <f t="shared" si="27"/>
        <v>24</v>
      </c>
      <c r="N57" s="213">
        <f t="shared" si="27"/>
        <v>24</v>
      </c>
      <c r="O57" s="213">
        <f t="shared" si="27"/>
        <v>24</v>
      </c>
      <c r="P57" s="213">
        <f t="shared" si="27"/>
        <v>24</v>
      </c>
      <c r="Q57" s="213">
        <f t="shared" si="27"/>
        <v>24</v>
      </c>
      <c r="R57" s="213">
        <f t="shared" si="27"/>
        <v>24</v>
      </c>
      <c r="S57" s="213">
        <f t="shared" si="27"/>
        <v>24</v>
      </c>
      <c r="T57" s="343"/>
    </row>
    <row r="58" spans="2:20" ht="15" customHeight="1">
      <c r="B58" s="305" t="s">
        <v>1148</v>
      </c>
      <c r="C58" s="8">
        <f>Inputs!C58</f>
        <v>10.199999999999999</v>
      </c>
      <c r="D58" s="8">
        <f t="shared" ref="D58:S58" si="28">C58</f>
        <v>10.199999999999999</v>
      </c>
      <c r="E58" s="8">
        <f t="shared" si="28"/>
        <v>10.199999999999999</v>
      </c>
      <c r="F58" s="8">
        <f t="shared" si="28"/>
        <v>10.199999999999999</v>
      </c>
      <c r="G58" s="8">
        <f t="shared" si="28"/>
        <v>10.199999999999999</v>
      </c>
      <c r="H58" s="8">
        <f t="shared" si="28"/>
        <v>10.199999999999999</v>
      </c>
      <c r="I58" s="8">
        <f t="shared" si="28"/>
        <v>10.199999999999999</v>
      </c>
      <c r="J58" s="8">
        <f t="shared" si="28"/>
        <v>10.199999999999999</v>
      </c>
      <c r="K58" s="8">
        <f t="shared" si="28"/>
        <v>10.199999999999999</v>
      </c>
      <c r="L58" s="8">
        <f t="shared" si="28"/>
        <v>10.199999999999999</v>
      </c>
      <c r="M58" s="8">
        <f t="shared" si="28"/>
        <v>10.199999999999999</v>
      </c>
      <c r="N58" s="8">
        <f t="shared" si="28"/>
        <v>10.199999999999999</v>
      </c>
      <c r="O58" s="8">
        <f t="shared" si="28"/>
        <v>10.199999999999999</v>
      </c>
      <c r="P58" s="8">
        <f t="shared" si="28"/>
        <v>10.199999999999999</v>
      </c>
      <c r="Q58" s="8">
        <f t="shared" si="28"/>
        <v>10.199999999999999</v>
      </c>
      <c r="R58" s="8">
        <f t="shared" si="28"/>
        <v>10.199999999999999</v>
      </c>
      <c r="S58" s="276">
        <f t="shared" si="28"/>
        <v>10.199999999999999</v>
      </c>
      <c r="T58" s="343"/>
    </row>
    <row r="59" spans="2:20" ht="15" customHeight="1">
      <c r="B59" s="305" t="s">
        <v>1149</v>
      </c>
      <c r="C59" s="6">
        <f>Inputs!C59</f>
        <v>-2.3596035865974516E-2</v>
      </c>
      <c r="D59" s="6">
        <f t="shared" ref="D59:S59" si="29">C59</f>
        <v>-2.3596035865974516E-2</v>
      </c>
      <c r="E59" s="6">
        <f t="shared" si="29"/>
        <v>-2.3596035865974516E-2</v>
      </c>
      <c r="F59" s="6">
        <f t="shared" si="29"/>
        <v>-2.3596035865974516E-2</v>
      </c>
      <c r="G59" s="6">
        <f t="shared" si="29"/>
        <v>-2.3596035865974516E-2</v>
      </c>
      <c r="H59" s="6">
        <f t="shared" si="29"/>
        <v>-2.3596035865974516E-2</v>
      </c>
      <c r="I59" s="6">
        <f t="shared" si="29"/>
        <v>-2.3596035865974516E-2</v>
      </c>
      <c r="J59" s="6">
        <f t="shared" si="29"/>
        <v>-2.3596035865974516E-2</v>
      </c>
      <c r="K59" s="6">
        <f t="shared" si="29"/>
        <v>-2.3596035865974516E-2</v>
      </c>
      <c r="L59" s="6">
        <f t="shared" si="29"/>
        <v>-2.3596035865974516E-2</v>
      </c>
      <c r="M59" s="6">
        <f t="shared" si="29"/>
        <v>-2.3596035865974516E-2</v>
      </c>
      <c r="N59" s="6">
        <f t="shared" si="29"/>
        <v>-2.3596035865974516E-2</v>
      </c>
      <c r="O59" s="6">
        <f t="shared" si="29"/>
        <v>-2.3596035865974516E-2</v>
      </c>
      <c r="P59" s="6">
        <f t="shared" si="29"/>
        <v>-2.3596035865974516E-2</v>
      </c>
      <c r="Q59" s="6">
        <f t="shared" si="29"/>
        <v>-2.3596035865974516E-2</v>
      </c>
      <c r="R59" s="6">
        <f t="shared" si="29"/>
        <v>-2.3596035865974516E-2</v>
      </c>
      <c r="S59" s="6">
        <f t="shared" si="29"/>
        <v>-2.3596035865974516E-2</v>
      </c>
      <c r="T59" s="343"/>
    </row>
    <row r="60" spans="2:20" ht="15" customHeight="1">
      <c r="B60" s="305" t="s">
        <v>1150</v>
      </c>
      <c r="C60" s="144">
        <f>Inputs!C60</f>
        <v>25</v>
      </c>
      <c r="D60" s="144">
        <f t="shared" ref="D60:S60" si="30">C60</f>
        <v>25</v>
      </c>
      <c r="E60" s="144">
        <f t="shared" si="30"/>
        <v>25</v>
      </c>
      <c r="F60" s="144">
        <f t="shared" si="30"/>
        <v>25</v>
      </c>
      <c r="G60" s="144">
        <f t="shared" si="30"/>
        <v>25</v>
      </c>
      <c r="H60" s="144">
        <f t="shared" si="30"/>
        <v>25</v>
      </c>
      <c r="I60" s="144">
        <f t="shared" si="30"/>
        <v>25</v>
      </c>
      <c r="J60" s="144">
        <f t="shared" si="30"/>
        <v>25</v>
      </c>
      <c r="K60" s="144">
        <f t="shared" si="30"/>
        <v>25</v>
      </c>
      <c r="L60" s="144">
        <f t="shared" si="30"/>
        <v>25</v>
      </c>
      <c r="M60" s="144">
        <f t="shared" si="30"/>
        <v>25</v>
      </c>
      <c r="N60" s="144">
        <f t="shared" si="30"/>
        <v>25</v>
      </c>
      <c r="O60" s="144">
        <f t="shared" si="30"/>
        <v>25</v>
      </c>
      <c r="P60" s="144">
        <f t="shared" si="30"/>
        <v>25</v>
      </c>
      <c r="Q60" s="144">
        <f t="shared" si="30"/>
        <v>25</v>
      </c>
      <c r="R60" s="144">
        <f t="shared" si="30"/>
        <v>25</v>
      </c>
      <c r="S60" s="144">
        <f t="shared" si="30"/>
        <v>25</v>
      </c>
      <c r="T60" s="343"/>
    </row>
    <row r="61" spans="2:20" ht="15" customHeight="1">
      <c r="B61" s="305" t="s">
        <v>1151</v>
      </c>
      <c r="C61" s="218">
        <f>Inputs!C61</f>
        <v>10.199999999999999</v>
      </c>
      <c r="D61" s="218">
        <f t="shared" ref="D61:S61" si="31">C61</f>
        <v>10.199999999999999</v>
      </c>
      <c r="E61" s="218">
        <f t="shared" si="31"/>
        <v>10.199999999999999</v>
      </c>
      <c r="F61" s="218">
        <f t="shared" si="31"/>
        <v>10.199999999999999</v>
      </c>
      <c r="G61" s="218">
        <f t="shared" si="31"/>
        <v>10.199999999999999</v>
      </c>
      <c r="H61" s="218">
        <f t="shared" si="31"/>
        <v>10.199999999999999</v>
      </c>
      <c r="I61" s="218">
        <f t="shared" si="31"/>
        <v>10.199999999999999</v>
      </c>
      <c r="J61" s="218">
        <f t="shared" si="31"/>
        <v>10.199999999999999</v>
      </c>
      <c r="K61" s="218">
        <f t="shared" si="31"/>
        <v>10.199999999999999</v>
      </c>
      <c r="L61" s="218">
        <f t="shared" si="31"/>
        <v>10.199999999999999</v>
      </c>
      <c r="M61" s="218">
        <f t="shared" si="31"/>
        <v>10.199999999999999</v>
      </c>
      <c r="N61" s="218">
        <f t="shared" si="31"/>
        <v>10.199999999999999</v>
      </c>
      <c r="O61" s="218">
        <f t="shared" si="31"/>
        <v>10.199999999999999</v>
      </c>
      <c r="P61" s="218">
        <f t="shared" si="31"/>
        <v>10.199999999999999</v>
      </c>
      <c r="Q61" s="218">
        <f t="shared" si="31"/>
        <v>10.199999999999999</v>
      </c>
      <c r="R61" s="218">
        <f t="shared" si="31"/>
        <v>10.199999999999999</v>
      </c>
      <c r="S61" s="218">
        <f t="shared" si="31"/>
        <v>10.199999999999999</v>
      </c>
      <c r="T61" s="343"/>
    </row>
    <row r="62" spans="2:20" ht="15" customHeight="1">
      <c r="B62" s="305" t="s">
        <v>1152</v>
      </c>
      <c r="C62" s="214">
        <f>Inputs!C62</f>
        <v>-2.3596035865974516E-2</v>
      </c>
      <c r="D62" s="214">
        <f t="shared" ref="D62:S62" si="32">C62</f>
        <v>-2.3596035865974516E-2</v>
      </c>
      <c r="E62" s="214">
        <f t="shared" si="32"/>
        <v>-2.3596035865974516E-2</v>
      </c>
      <c r="F62" s="214">
        <f t="shared" si="32"/>
        <v>-2.3596035865974516E-2</v>
      </c>
      <c r="G62" s="214">
        <f t="shared" si="32"/>
        <v>-2.3596035865974516E-2</v>
      </c>
      <c r="H62" s="214">
        <f t="shared" si="32"/>
        <v>-2.3596035865974516E-2</v>
      </c>
      <c r="I62" s="214">
        <f t="shared" si="32"/>
        <v>-2.3596035865974516E-2</v>
      </c>
      <c r="J62" s="214">
        <f t="shared" si="32"/>
        <v>-2.3596035865974516E-2</v>
      </c>
      <c r="K62" s="214">
        <f t="shared" si="32"/>
        <v>-2.3596035865974516E-2</v>
      </c>
      <c r="L62" s="214">
        <f t="shared" si="32"/>
        <v>-2.3596035865974516E-2</v>
      </c>
      <c r="M62" s="214">
        <f t="shared" si="32"/>
        <v>-2.3596035865974516E-2</v>
      </c>
      <c r="N62" s="214">
        <f t="shared" si="32"/>
        <v>-2.3596035865974516E-2</v>
      </c>
      <c r="O62" s="214">
        <f t="shared" si="32"/>
        <v>-2.3596035865974516E-2</v>
      </c>
      <c r="P62" s="214">
        <f t="shared" si="32"/>
        <v>-2.3596035865974516E-2</v>
      </c>
      <c r="Q62" s="214">
        <f t="shared" si="32"/>
        <v>-2.3596035865974516E-2</v>
      </c>
      <c r="R62" s="214">
        <f t="shared" si="32"/>
        <v>-2.3596035865974516E-2</v>
      </c>
      <c r="S62" s="214">
        <f t="shared" si="32"/>
        <v>-2.3596035865974516E-2</v>
      </c>
    </row>
    <row r="63" spans="2:20" ht="15" customHeight="1">
      <c r="B63" s="305" t="s">
        <v>1153</v>
      </c>
      <c r="C63" s="213">
        <f>Inputs!C63</f>
        <v>26</v>
      </c>
      <c r="D63" s="213">
        <f t="shared" ref="D63:S72" si="33">C63</f>
        <v>26</v>
      </c>
      <c r="E63" s="213">
        <f t="shared" si="33"/>
        <v>26</v>
      </c>
      <c r="F63" s="213">
        <f t="shared" si="33"/>
        <v>26</v>
      </c>
      <c r="G63" s="213">
        <f t="shared" si="33"/>
        <v>26</v>
      </c>
      <c r="H63" s="213">
        <f t="shared" si="33"/>
        <v>26</v>
      </c>
      <c r="I63" s="213">
        <f t="shared" si="33"/>
        <v>26</v>
      </c>
      <c r="J63" s="213">
        <f t="shared" si="33"/>
        <v>26</v>
      </c>
      <c r="K63" s="213">
        <f t="shared" si="33"/>
        <v>26</v>
      </c>
      <c r="L63" s="213">
        <f t="shared" si="33"/>
        <v>26</v>
      </c>
      <c r="M63" s="213">
        <f t="shared" si="33"/>
        <v>26</v>
      </c>
      <c r="N63" s="213">
        <f t="shared" si="33"/>
        <v>26</v>
      </c>
      <c r="O63" s="213">
        <f t="shared" si="33"/>
        <v>26</v>
      </c>
      <c r="P63" s="213">
        <f t="shared" si="33"/>
        <v>26</v>
      </c>
      <c r="Q63" s="213">
        <f t="shared" si="33"/>
        <v>26</v>
      </c>
      <c r="R63" s="213">
        <f t="shared" si="33"/>
        <v>26</v>
      </c>
      <c r="S63" s="213">
        <f t="shared" si="33"/>
        <v>26</v>
      </c>
    </row>
    <row r="64" spans="2:20" ht="15" customHeight="1">
      <c r="B64" s="305" t="s">
        <v>1154</v>
      </c>
      <c r="C64" s="8">
        <f>Inputs!C64</f>
        <v>0</v>
      </c>
      <c r="D64" s="8">
        <f t="shared" si="33"/>
        <v>0</v>
      </c>
      <c r="E64" s="8">
        <f t="shared" si="33"/>
        <v>0</v>
      </c>
      <c r="F64" s="8">
        <f t="shared" si="33"/>
        <v>0</v>
      </c>
      <c r="G64" s="8">
        <f t="shared" si="33"/>
        <v>0</v>
      </c>
      <c r="H64" s="8">
        <f t="shared" si="33"/>
        <v>0</v>
      </c>
      <c r="I64" s="8">
        <f t="shared" si="33"/>
        <v>0</v>
      </c>
      <c r="J64" s="8">
        <f t="shared" si="33"/>
        <v>0</v>
      </c>
      <c r="K64" s="8">
        <f t="shared" si="33"/>
        <v>0</v>
      </c>
      <c r="L64" s="8">
        <f t="shared" si="33"/>
        <v>0</v>
      </c>
      <c r="M64" s="8">
        <f t="shared" si="33"/>
        <v>0</v>
      </c>
      <c r="N64" s="8">
        <f t="shared" si="33"/>
        <v>0</v>
      </c>
      <c r="O64" s="8">
        <f t="shared" si="33"/>
        <v>0</v>
      </c>
      <c r="P64" s="8">
        <f t="shared" si="33"/>
        <v>0</v>
      </c>
      <c r="Q64" s="8">
        <f t="shared" si="33"/>
        <v>0</v>
      </c>
      <c r="R64" s="8">
        <f t="shared" si="33"/>
        <v>0</v>
      </c>
      <c r="S64" s="276">
        <f t="shared" si="33"/>
        <v>0</v>
      </c>
    </row>
    <row r="65" spans="1:20" ht="15" customHeight="1">
      <c r="B65" s="305" t="s">
        <v>1155</v>
      </c>
      <c r="C65" s="6">
        <f>Inputs!C65</f>
        <v>0</v>
      </c>
      <c r="D65" s="6">
        <f t="shared" si="33"/>
        <v>0</v>
      </c>
      <c r="E65" s="6">
        <f t="shared" si="33"/>
        <v>0</v>
      </c>
      <c r="F65" s="6">
        <f t="shared" si="33"/>
        <v>0</v>
      </c>
      <c r="G65" s="6">
        <f t="shared" si="33"/>
        <v>0</v>
      </c>
      <c r="H65" s="6">
        <f t="shared" si="33"/>
        <v>0</v>
      </c>
      <c r="I65" s="6">
        <f t="shared" si="33"/>
        <v>0</v>
      </c>
      <c r="J65" s="6">
        <f t="shared" si="33"/>
        <v>0</v>
      </c>
      <c r="K65" s="6">
        <f t="shared" si="33"/>
        <v>0</v>
      </c>
      <c r="L65" s="6">
        <f t="shared" si="33"/>
        <v>0</v>
      </c>
      <c r="M65" s="6">
        <f t="shared" si="33"/>
        <v>0</v>
      </c>
      <c r="N65" s="6">
        <f t="shared" si="33"/>
        <v>0</v>
      </c>
      <c r="O65" s="6">
        <f t="shared" si="33"/>
        <v>0</v>
      </c>
      <c r="P65" s="6">
        <f t="shared" si="33"/>
        <v>0</v>
      </c>
      <c r="Q65" s="6">
        <f t="shared" si="33"/>
        <v>0</v>
      </c>
      <c r="R65" s="6">
        <f t="shared" si="33"/>
        <v>0</v>
      </c>
      <c r="S65" s="6">
        <f t="shared" si="33"/>
        <v>0</v>
      </c>
    </row>
    <row r="66" spans="1:20" ht="15" customHeight="1">
      <c r="B66" s="305" t="s">
        <v>1156</v>
      </c>
      <c r="C66" s="144">
        <f>Inputs!C66</f>
        <v>27</v>
      </c>
      <c r="D66" s="144">
        <f t="shared" si="33"/>
        <v>27</v>
      </c>
      <c r="E66" s="144">
        <f t="shared" si="33"/>
        <v>27</v>
      </c>
      <c r="F66" s="144">
        <f t="shared" si="33"/>
        <v>27</v>
      </c>
      <c r="G66" s="144">
        <f t="shared" si="33"/>
        <v>27</v>
      </c>
      <c r="H66" s="144">
        <f t="shared" si="33"/>
        <v>27</v>
      </c>
      <c r="I66" s="144">
        <f t="shared" si="33"/>
        <v>27</v>
      </c>
      <c r="J66" s="144">
        <f t="shared" si="33"/>
        <v>27</v>
      </c>
      <c r="K66" s="144">
        <f t="shared" si="33"/>
        <v>27</v>
      </c>
      <c r="L66" s="144">
        <f t="shared" si="33"/>
        <v>27</v>
      </c>
      <c r="M66" s="144">
        <f t="shared" si="33"/>
        <v>27</v>
      </c>
      <c r="N66" s="144">
        <f t="shared" si="33"/>
        <v>27</v>
      </c>
      <c r="O66" s="144">
        <f t="shared" si="33"/>
        <v>27</v>
      </c>
      <c r="P66" s="144">
        <f t="shared" si="33"/>
        <v>27</v>
      </c>
      <c r="Q66" s="144">
        <f t="shared" si="33"/>
        <v>27</v>
      </c>
      <c r="R66" s="144">
        <f t="shared" si="33"/>
        <v>27</v>
      </c>
      <c r="S66" s="144">
        <f t="shared" si="33"/>
        <v>27</v>
      </c>
    </row>
    <row r="67" spans="1:20" s="139" customFormat="1" ht="15" customHeight="1">
      <c r="A67" s="305"/>
      <c r="B67" s="305" t="s">
        <v>1157</v>
      </c>
      <c r="C67" s="246">
        <f>IF(C132&lt;C133,C132,C133)</f>
        <v>84.168000000000021</v>
      </c>
      <c r="D67" s="246">
        <f t="shared" ref="D67:R67" si="34">IF(D132&lt;D133,D132,D133)</f>
        <v>84.168000000000021</v>
      </c>
      <c r="E67" s="246" t="e">
        <f t="shared" si="34"/>
        <v>#N/A</v>
      </c>
      <c r="F67" s="246">
        <f t="shared" si="34"/>
        <v>84.168000000000021</v>
      </c>
      <c r="G67" s="246" t="e">
        <f t="shared" si="34"/>
        <v>#N/A</v>
      </c>
      <c r="H67" s="246" t="e">
        <f t="shared" si="34"/>
        <v>#N/A</v>
      </c>
      <c r="I67" s="246">
        <f t="shared" si="34"/>
        <v>84.168000000000021</v>
      </c>
      <c r="J67" s="246" t="e">
        <f t="shared" si="34"/>
        <v>#N/A</v>
      </c>
      <c r="K67" s="246" t="e">
        <f t="shared" si="34"/>
        <v>#N/A</v>
      </c>
      <c r="L67" s="246" t="e">
        <f t="shared" si="34"/>
        <v>#N/A</v>
      </c>
      <c r="M67" s="246" t="e">
        <f t="shared" si="34"/>
        <v>#N/A</v>
      </c>
      <c r="N67" s="246" t="e">
        <f t="shared" si="34"/>
        <v>#N/A</v>
      </c>
      <c r="O67" s="246" t="e">
        <f t="shared" si="34"/>
        <v>#N/A</v>
      </c>
      <c r="P67" s="246" t="e">
        <f t="shared" si="34"/>
        <v>#N/A</v>
      </c>
      <c r="Q67" s="246" t="e">
        <f t="shared" si="34"/>
        <v>#N/A</v>
      </c>
      <c r="R67" s="246">
        <f t="shared" si="34"/>
        <v>84.168000000000021</v>
      </c>
      <c r="S67" s="246">
        <f>IF(S132&lt;S133,S132,S133)</f>
        <v>84.168000000000021</v>
      </c>
      <c r="T67" s="69"/>
    </row>
    <row r="68" spans="1:20" s="139" customFormat="1" ht="15" customHeight="1">
      <c r="A68" s="305"/>
      <c r="B68" s="305" t="s">
        <v>1158</v>
      </c>
      <c r="C68" s="321">
        <f>IF(C122&lt;C123,C122,C123)</f>
        <v>0.23784804152902314</v>
      </c>
      <c r="D68" s="321">
        <f t="shared" ref="D68:R68" si="35">IF(D122&lt;D123,D122,D123)</f>
        <v>0.23784804152902314</v>
      </c>
      <c r="E68" s="321" t="e">
        <f t="shared" si="35"/>
        <v>#N/A</v>
      </c>
      <c r="F68" s="321">
        <f t="shared" si="35"/>
        <v>0.23784804152902314</v>
      </c>
      <c r="G68" s="321" t="e">
        <f t="shared" si="35"/>
        <v>#N/A</v>
      </c>
      <c r="H68" s="321" t="e">
        <f t="shared" si="35"/>
        <v>#N/A</v>
      </c>
      <c r="I68" s="321">
        <f t="shared" si="35"/>
        <v>0.23784804152902314</v>
      </c>
      <c r="J68" s="321" t="e">
        <f t="shared" si="35"/>
        <v>#N/A</v>
      </c>
      <c r="K68" s="321" t="e">
        <f t="shared" si="35"/>
        <v>#N/A</v>
      </c>
      <c r="L68" s="321" t="e">
        <f t="shared" si="35"/>
        <v>#N/A</v>
      </c>
      <c r="M68" s="321" t="e">
        <f t="shared" si="35"/>
        <v>#N/A</v>
      </c>
      <c r="N68" s="321" t="e">
        <f t="shared" si="35"/>
        <v>#N/A</v>
      </c>
      <c r="O68" s="321" t="e">
        <f t="shared" si="35"/>
        <v>#N/A</v>
      </c>
      <c r="P68" s="321" t="e">
        <f t="shared" si="35"/>
        <v>#N/A</v>
      </c>
      <c r="Q68" s="321" t="e">
        <f t="shared" si="35"/>
        <v>#N/A</v>
      </c>
      <c r="R68" s="214">
        <f t="shared" si="35"/>
        <v>0.23784804152902314</v>
      </c>
      <c r="S68" s="214">
        <f>IF(S122&lt;S123,S122,S123)</f>
        <v>0.23784804152902314</v>
      </c>
      <c r="T68" s="69"/>
    </row>
    <row r="69" spans="1:20" s="139" customFormat="1" ht="15" customHeight="1">
      <c r="A69" s="305"/>
      <c r="B69" s="305" t="s">
        <v>1159</v>
      </c>
      <c r="C69" s="213">
        <f>Inputs!C69</f>
        <v>0</v>
      </c>
      <c r="D69" s="213">
        <f t="shared" si="33"/>
        <v>0</v>
      </c>
      <c r="E69" s="213">
        <f t="shared" si="33"/>
        <v>0</v>
      </c>
      <c r="F69" s="213">
        <f t="shared" si="33"/>
        <v>0</v>
      </c>
      <c r="G69" s="213">
        <f t="shared" si="33"/>
        <v>0</v>
      </c>
      <c r="H69" s="213">
        <f t="shared" si="33"/>
        <v>0</v>
      </c>
      <c r="I69" s="213">
        <f t="shared" si="33"/>
        <v>0</v>
      </c>
      <c r="J69" s="213">
        <f t="shared" si="33"/>
        <v>0</v>
      </c>
      <c r="K69" s="213">
        <f t="shared" si="33"/>
        <v>0</v>
      </c>
      <c r="L69" s="213">
        <f t="shared" si="33"/>
        <v>0</v>
      </c>
      <c r="M69" s="213">
        <f t="shared" si="33"/>
        <v>0</v>
      </c>
      <c r="N69" s="213">
        <f t="shared" si="33"/>
        <v>0</v>
      </c>
      <c r="O69" s="213">
        <f t="shared" si="33"/>
        <v>0</v>
      </c>
      <c r="P69" s="213">
        <f t="shared" si="33"/>
        <v>0</v>
      </c>
      <c r="Q69" s="213">
        <f t="shared" si="33"/>
        <v>0</v>
      </c>
      <c r="R69" s="213">
        <f t="shared" si="33"/>
        <v>0</v>
      </c>
      <c r="S69" s="213">
        <f t="shared" si="33"/>
        <v>0</v>
      </c>
      <c r="T69" s="69"/>
    </row>
    <row r="70" spans="1:20" s="139" customFormat="1" ht="15" customHeight="1">
      <c r="A70" s="305"/>
      <c r="B70" s="305" t="s">
        <v>1160</v>
      </c>
      <c r="C70" s="218">
        <f>Inputs!C70</f>
        <v>0</v>
      </c>
      <c r="D70" s="218">
        <f t="shared" si="33"/>
        <v>0</v>
      </c>
      <c r="E70" s="218">
        <f t="shared" ref="E70:Q70" si="36">D70</f>
        <v>0</v>
      </c>
      <c r="F70" s="218">
        <f t="shared" si="36"/>
        <v>0</v>
      </c>
      <c r="G70" s="218">
        <f t="shared" si="36"/>
        <v>0</v>
      </c>
      <c r="H70" s="218">
        <f t="shared" si="36"/>
        <v>0</v>
      </c>
      <c r="I70" s="218">
        <f t="shared" si="36"/>
        <v>0</v>
      </c>
      <c r="J70" s="218">
        <f t="shared" si="36"/>
        <v>0</v>
      </c>
      <c r="K70" s="218">
        <f t="shared" si="36"/>
        <v>0</v>
      </c>
      <c r="L70" s="218">
        <f t="shared" si="36"/>
        <v>0</v>
      </c>
      <c r="M70" s="218">
        <f t="shared" si="36"/>
        <v>0</v>
      </c>
      <c r="N70" s="218">
        <f t="shared" si="36"/>
        <v>0</v>
      </c>
      <c r="O70" s="218">
        <f t="shared" si="36"/>
        <v>0</v>
      </c>
      <c r="P70" s="218">
        <f t="shared" si="36"/>
        <v>0</v>
      </c>
      <c r="Q70" s="218">
        <f t="shared" si="36"/>
        <v>0</v>
      </c>
      <c r="R70" s="218">
        <f t="shared" ref="R70:S72" si="37">Q70</f>
        <v>0</v>
      </c>
      <c r="S70" s="218">
        <f t="shared" si="37"/>
        <v>0</v>
      </c>
      <c r="T70" s="69"/>
    </row>
    <row r="71" spans="1:20" s="139" customFormat="1" ht="15" customHeight="1">
      <c r="A71" s="305"/>
      <c r="B71" s="305" t="s">
        <v>1161</v>
      </c>
      <c r="C71" s="214">
        <f>Inputs!C71</f>
        <v>0</v>
      </c>
      <c r="D71" s="214">
        <f t="shared" si="33"/>
        <v>0</v>
      </c>
      <c r="E71" s="214">
        <f t="shared" si="33"/>
        <v>0</v>
      </c>
      <c r="F71" s="214">
        <f t="shared" si="33"/>
        <v>0</v>
      </c>
      <c r="G71" s="214">
        <f t="shared" si="33"/>
        <v>0</v>
      </c>
      <c r="H71" s="214">
        <f t="shared" si="33"/>
        <v>0</v>
      </c>
      <c r="I71" s="214">
        <f t="shared" si="33"/>
        <v>0</v>
      </c>
      <c r="J71" s="214">
        <f t="shared" si="33"/>
        <v>0</v>
      </c>
      <c r="K71" s="214">
        <f t="shared" si="33"/>
        <v>0</v>
      </c>
      <c r="L71" s="214">
        <f t="shared" si="33"/>
        <v>0</v>
      </c>
      <c r="M71" s="214">
        <f t="shared" si="33"/>
        <v>0</v>
      </c>
      <c r="N71" s="214">
        <f t="shared" si="33"/>
        <v>0</v>
      </c>
      <c r="O71" s="214">
        <f t="shared" si="33"/>
        <v>0</v>
      </c>
      <c r="P71" s="214">
        <f t="shared" si="33"/>
        <v>0</v>
      </c>
      <c r="Q71" s="214">
        <f t="shared" si="33"/>
        <v>0</v>
      </c>
      <c r="R71" s="214">
        <f t="shared" si="37"/>
        <v>0</v>
      </c>
      <c r="S71" s="214">
        <f t="shared" si="37"/>
        <v>0</v>
      </c>
      <c r="T71" s="69"/>
    </row>
    <row r="72" spans="1:20" s="139" customFormat="1" ht="15" customHeight="1">
      <c r="A72" s="305"/>
      <c r="B72" s="305" t="s">
        <v>1162</v>
      </c>
      <c r="C72" s="213">
        <f>Inputs!C72</f>
        <v>0</v>
      </c>
      <c r="D72" s="213">
        <f t="shared" si="33"/>
        <v>0</v>
      </c>
      <c r="E72" s="213">
        <f t="shared" si="33"/>
        <v>0</v>
      </c>
      <c r="F72" s="213">
        <f t="shared" si="33"/>
        <v>0</v>
      </c>
      <c r="G72" s="213">
        <f t="shared" si="33"/>
        <v>0</v>
      </c>
      <c r="H72" s="213">
        <f t="shared" si="33"/>
        <v>0</v>
      </c>
      <c r="I72" s="213">
        <f t="shared" si="33"/>
        <v>0</v>
      </c>
      <c r="J72" s="213">
        <f t="shared" si="33"/>
        <v>0</v>
      </c>
      <c r="K72" s="213">
        <f t="shared" si="33"/>
        <v>0</v>
      </c>
      <c r="L72" s="213">
        <f t="shared" si="33"/>
        <v>0</v>
      </c>
      <c r="M72" s="213">
        <f t="shared" si="33"/>
        <v>0</v>
      </c>
      <c r="N72" s="213">
        <f t="shared" si="33"/>
        <v>0</v>
      </c>
      <c r="O72" s="213">
        <f t="shared" si="33"/>
        <v>0</v>
      </c>
      <c r="P72" s="213">
        <f t="shared" si="33"/>
        <v>0</v>
      </c>
      <c r="Q72" s="213">
        <f t="shared" si="33"/>
        <v>0</v>
      </c>
      <c r="R72" s="213">
        <f t="shared" si="37"/>
        <v>0</v>
      </c>
      <c r="S72" s="213">
        <f t="shared" si="37"/>
        <v>0</v>
      </c>
      <c r="T72" s="69"/>
    </row>
    <row r="73" spans="1:20" ht="15" customHeight="1">
      <c r="A73" s="305" t="s">
        <v>57</v>
      </c>
      <c r="B73" s="305" t="s">
        <v>439</v>
      </c>
      <c r="C73" s="169">
        <f>Inputs!C73</f>
        <v>9.9969800000000006</v>
      </c>
      <c r="D73" s="169">
        <f t="shared" ref="D73:S73" si="38">C73</f>
        <v>9.9969800000000006</v>
      </c>
      <c r="E73" s="169">
        <f t="shared" si="38"/>
        <v>9.9969800000000006</v>
      </c>
      <c r="F73" s="169">
        <f t="shared" si="38"/>
        <v>9.9969800000000006</v>
      </c>
      <c r="G73" s="169">
        <f t="shared" si="38"/>
        <v>9.9969800000000006</v>
      </c>
      <c r="H73" s="169">
        <f t="shared" si="38"/>
        <v>9.9969800000000006</v>
      </c>
      <c r="I73" s="169">
        <f t="shared" si="38"/>
        <v>9.9969800000000006</v>
      </c>
      <c r="J73" s="169">
        <f t="shared" si="38"/>
        <v>9.9969800000000006</v>
      </c>
      <c r="K73" s="169">
        <f t="shared" si="38"/>
        <v>9.9969800000000006</v>
      </c>
      <c r="L73" s="169">
        <f t="shared" si="38"/>
        <v>9.9969800000000006</v>
      </c>
      <c r="M73" s="169">
        <f t="shared" si="38"/>
        <v>9.9969800000000006</v>
      </c>
      <c r="N73" s="169">
        <f t="shared" si="38"/>
        <v>9.9969800000000006</v>
      </c>
      <c r="O73" s="169">
        <f t="shared" si="38"/>
        <v>9.9969800000000006</v>
      </c>
      <c r="P73" s="169">
        <f t="shared" si="38"/>
        <v>9.9969800000000006</v>
      </c>
      <c r="Q73" s="169">
        <f t="shared" si="38"/>
        <v>9.9969800000000006</v>
      </c>
      <c r="R73" s="169">
        <f t="shared" si="38"/>
        <v>9.9969800000000006</v>
      </c>
      <c r="S73" s="169">
        <f t="shared" si="38"/>
        <v>9.9969800000000006</v>
      </c>
    </row>
    <row r="74" spans="1:20" ht="15" customHeight="1">
      <c r="B74" s="305" t="s">
        <v>440</v>
      </c>
      <c r="C74" s="169">
        <f>Inputs!C74</f>
        <v>4.9984900000000003</v>
      </c>
      <c r="D74" s="169">
        <f t="shared" ref="D74:S74" si="39">C74</f>
        <v>4.9984900000000003</v>
      </c>
      <c r="E74" s="169">
        <f t="shared" si="39"/>
        <v>4.9984900000000003</v>
      </c>
      <c r="F74" s="169">
        <f t="shared" si="39"/>
        <v>4.9984900000000003</v>
      </c>
      <c r="G74" s="169">
        <f t="shared" si="39"/>
        <v>4.9984900000000003</v>
      </c>
      <c r="H74" s="169">
        <f t="shared" si="39"/>
        <v>4.9984900000000003</v>
      </c>
      <c r="I74" s="169">
        <f t="shared" si="39"/>
        <v>4.9984900000000003</v>
      </c>
      <c r="J74" s="169">
        <f t="shared" si="39"/>
        <v>4.9984900000000003</v>
      </c>
      <c r="K74" s="169">
        <f t="shared" si="39"/>
        <v>4.9984900000000003</v>
      </c>
      <c r="L74" s="169">
        <f t="shared" si="39"/>
        <v>4.9984900000000003</v>
      </c>
      <c r="M74" s="169">
        <f t="shared" si="39"/>
        <v>4.9984900000000003</v>
      </c>
      <c r="N74" s="169">
        <f t="shared" si="39"/>
        <v>4.9984900000000003</v>
      </c>
      <c r="O74" s="169">
        <f t="shared" si="39"/>
        <v>4.9984900000000003</v>
      </c>
      <c r="P74" s="169">
        <f t="shared" si="39"/>
        <v>4.9984900000000003</v>
      </c>
      <c r="Q74" s="169">
        <f t="shared" si="39"/>
        <v>4.9984900000000003</v>
      </c>
      <c r="R74" s="169">
        <f t="shared" si="39"/>
        <v>4.9984900000000003</v>
      </c>
      <c r="S74" s="169">
        <f t="shared" si="39"/>
        <v>4.9984900000000003</v>
      </c>
    </row>
    <row r="75" spans="1:20" ht="15" customHeight="1">
      <c r="B75" s="305" t="s">
        <v>441</v>
      </c>
      <c r="C75" s="169">
        <f>Inputs!C75</f>
        <v>4.9984900000000003</v>
      </c>
      <c r="D75" s="169">
        <f t="shared" ref="D75:S91" si="40">C75</f>
        <v>4.9984900000000003</v>
      </c>
      <c r="E75" s="169">
        <f t="shared" si="40"/>
        <v>4.9984900000000003</v>
      </c>
      <c r="F75" s="169">
        <f t="shared" si="40"/>
        <v>4.9984900000000003</v>
      </c>
      <c r="G75" s="169">
        <f t="shared" si="40"/>
        <v>4.9984900000000003</v>
      </c>
      <c r="H75" s="169">
        <f t="shared" si="40"/>
        <v>4.9984900000000003</v>
      </c>
      <c r="I75" s="169">
        <f t="shared" si="40"/>
        <v>4.9984900000000003</v>
      </c>
      <c r="J75" s="169">
        <f t="shared" si="40"/>
        <v>4.9984900000000003</v>
      </c>
      <c r="K75" s="169">
        <f t="shared" si="40"/>
        <v>4.9984900000000003</v>
      </c>
      <c r="L75" s="169">
        <f t="shared" si="40"/>
        <v>4.9984900000000003</v>
      </c>
      <c r="M75" s="169">
        <f t="shared" si="40"/>
        <v>4.9984900000000003</v>
      </c>
      <c r="N75" s="169">
        <f t="shared" si="40"/>
        <v>4.9984900000000003</v>
      </c>
      <c r="O75" s="169">
        <f t="shared" si="40"/>
        <v>4.9984900000000003</v>
      </c>
      <c r="P75" s="169">
        <f t="shared" si="40"/>
        <v>4.9984900000000003</v>
      </c>
      <c r="Q75" s="169">
        <f t="shared" si="40"/>
        <v>4.9984900000000003</v>
      </c>
      <c r="R75" s="169">
        <f t="shared" si="40"/>
        <v>4.9984900000000003</v>
      </c>
      <c r="S75" s="169">
        <f t="shared" si="40"/>
        <v>4.9984900000000003</v>
      </c>
    </row>
    <row r="76" spans="1:20" ht="15" customHeight="1">
      <c r="B76" s="305" t="s">
        <v>1163</v>
      </c>
      <c r="C76" s="182">
        <f>UA!F28</f>
        <v>0.25</v>
      </c>
      <c r="D76" s="182">
        <f>UA!G28</f>
        <v>0.25</v>
      </c>
      <c r="E76" s="182">
        <f>UA!H28</f>
        <v>0.25</v>
      </c>
      <c r="F76" s="182">
        <f>UA!I28</f>
        <v>0.27</v>
      </c>
      <c r="G76" s="182">
        <f>UA!J28</f>
        <v>0.27</v>
      </c>
      <c r="H76" s="182">
        <f>UA!K28</f>
        <v>0.27</v>
      </c>
      <c r="I76" s="182">
        <f>UA!L28</f>
        <v>0.27</v>
      </c>
      <c r="J76" s="182">
        <f>UA!M28</f>
        <v>0.27</v>
      </c>
      <c r="K76" s="182">
        <f>UA!N28</f>
        <v>0.3</v>
      </c>
      <c r="L76" s="182">
        <f>UA!O28</f>
        <v>0.3</v>
      </c>
      <c r="M76" s="182">
        <f>UA!P28</f>
        <v>0.3</v>
      </c>
      <c r="N76" s="182">
        <f>UA!Q28</f>
        <v>0.3</v>
      </c>
      <c r="O76" s="182">
        <f>UA!R28</f>
        <v>0.3</v>
      </c>
      <c r="P76" s="182">
        <f>UA!S28</f>
        <v>0.3</v>
      </c>
      <c r="Q76" s="182">
        <f>UA!T28</f>
        <v>0.35</v>
      </c>
      <c r="R76" s="182">
        <f>UA!U28</f>
        <v>0.25</v>
      </c>
      <c r="S76" s="182">
        <f>UA!V28</f>
        <v>0.27</v>
      </c>
    </row>
    <row r="77" spans="1:20" ht="15" customHeight="1">
      <c r="B77" s="305" t="s">
        <v>1164</v>
      </c>
      <c r="C77" s="10">
        <f>UA!F21</f>
        <v>3.3022190912293063</v>
      </c>
      <c r="D77" s="10">
        <f>UA!G21</f>
        <v>3.8025553171731401</v>
      </c>
      <c r="E77" s="10">
        <f>UA!H21</f>
        <v>3.8025553171731401</v>
      </c>
      <c r="F77" s="10">
        <f>UA!I21</f>
        <v>3.8025553171731401</v>
      </c>
      <c r="G77" s="10">
        <f>UA!J21</f>
        <v>3.8025553171731401</v>
      </c>
      <c r="H77" s="10">
        <f>UA!K21</f>
        <v>3.8025553171731401</v>
      </c>
      <c r="I77" s="10">
        <f>UA!L21</f>
        <v>4.358484457110734</v>
      </c>
      <c r="J77" s="10">
        <f>UA!M21</f>
        <v>4.358484457110734</v>
      </c>
      <c r="K77" s="10">
        <f>UA!N21</f>
        <v>4.358484457110734</v>
      </c>
      <c r="L77" s="10">
        <f>UA!O21</f>
        <v>4.358484457110734</v>
      </c>
      <c r="M77" s="10">
        <f>UA!P21</f>
        <v>4.358484457110734</v>
      </c>
      <c r="N77" s="10">
        <f>UA!Q21</f>
        <v>4.358484457110734</v>
      </c>
      <c r="O77" s="10">
        <f>UA!R21</f>
        <v>4.358484457110734</v>
      </c>
      <c r="P77" s="10">
        <f>UA!S21</f>
        <v>4.358484457110734</v>
      </c>
      <c r="Q77" s="10">
        <f>UA!T21</f>
        <v>4.358484457110734</v>
      </c>
      <c r="R77" s="10">
        <f>UA!U21</f>
        <v>3.8025553171731401</v>
      </c>
      <c r="S77" s="10">
        <f>UA!V21</f>
        <v>3.8025553171731401</v>
      </c>
    </row>
    <row r="78" spans="1:20" ht="15" customHeight="1">
      <c r="B78" s="305" t="s">
        <v>1165</v>
      </c>
      <c r="C78" s="10">
        <f>UA!F22</f>
        <v>4.5943917791016435</v>
      </c>
      <c r="D78" s="10">
        <f>UA!G22</f>
        <v>5.6239473598527123</v>
      </c>
      <c r="E78" s="10">
        <f>UA!H22</f>
        <v>5.6239473598527123</v>
      </c>
      <c r="F78" s="10">
        <f>UA!I22</f>
        <v>5.6239473598527123</v>
      </c>
      <c r="G78" s="10">
        <f>UA!J22</f>
        <v>5.6239473598527123</v>
      </c>
      <c r="H78" s="10">
        <f>UA!K22</f>
        <v>5.6239473598527123</v>
      </c>
      <c r="I78" s="10">
        <f>UA!L22</f>
        <v>6.931565642633938</v>
      </c>
      <c r="J78" s="10">
        <f>UA!M22</f>
        <v>6.931565642633938</v>
      </c>
      <c r="K78" s="10">
        <f>UA!N22</f>
        <v>6.931565642633938</v>
      </c>
      <c r="L78" s="10">
        <f>UA!O22</f>
        <v>6.931565642633938</v>
      </c>
      <c r="M78" s="10">
        <f>UA!P22</f>
        <v>6.931565642633938</v>
      </c>
      <c r="N78" s="10">
        <f>UA!Q22</f>
        <v>6.931565642633938</v>
      </c>
      <c r="O78" s="10">
        <f>UA!R22</f>
        <v>6.931565642633938</v>
      </c>
      <c r="P78" s="10">
        <f>UA!S22</f>
        <v>6.931565642633938</v>
      </c>
      <c r="Q78" s="10">
        <f>UA!T22</f>
        <v>6.931565642633938</v>
      </c>
      <c r="R78" s="10">
        <f>UA!U22</f>
        <v>5.6239473598527123</v>
      </c>
      <c r="S78" s="10">
        <f>UA!V22</f>
        <v>5.6239473598527123</v>
      </c>
    </row>
    <row r="79" spans="1:20" ht="15" customHeight="1">
      <c r="B79" s="305" t="s">
        <v>1166</v>
      </c>
      <c r="C79" s="217">
        <f>Inputs!C79</f>
        <v>7.5231481481481474E-5</v>
      </c>
      <c r="D79" s="217">
        <f t="shared" ref="D79:D95" si="41">C79</f>
        <v>7.5231481481481474E-5</v>
      </c>
      <c r="E79" s="217">
        <f t="shared" si="40"/>
        <v>7.5231481481481474E-5</v>
      </c>
      <c r="F79" s="217">
        <f t="shared" si="40"/>
        <v>7.5231481481481474E-5</v>
      </c>
      <c r="G79" s="217">
        <f t="shared" si="40"/>
        <v>7.5231481481481474E-5</v>
      </c>
      <c r="H79" s="217">
        <f t="shared" si="40"/>
        <v>7.5231481481481474E-5</v>
      </c>
      <c r="I79" s="217">
        <f t="shared" si="40"/>
        <v>7.5231481481481474E-5</v>
      </c>
      <c r="J79" s="217">
        <f t="shared" si="40"/>
        <v>7.5231481481481474E-5</v>
      </c>
      <c r="K79" s="217">
        <f t="shared" si="40"/>
        <v>7.5231481481481474E-5</v>
      </c>
      <c r="L79" s="217">
        <f t="shared" si="40"/>
        <v>7.5231481481481474E-5</v>
      </c>
      <c r="M79" s="217">
        <f t="shared" si="40"/>
        <v>7.5231481481481474E-5</v>
      </c>
      <c r="N79" s="217">
        <f t="shared" si="40"/>
        <v>7.5231481481481474E-5</v>
      </c>
      <c r="O79" s="217">
        <f t="shared" si="40"/>
        <v>7.5231481481481474E-5</v>
      </c>
      <c r="P79" s="217">
        <f t="shared" si="40"/>
        <v>7.5231481481481474E-5</v>
      </c>
      <c r="Q79" s="217">
        <f t="shared" si="40"/>
        <v>7.5231481481481474E-5</v>
      </c>
      <c r="R79" s="217">
        <f t="shared" si="40"/>
        <v>7.5231481481481474E-5</v>
      </c>
      <c r="S79" s="217">
        <f t="shared" si="40"/>
        <v>7.5231481481481474E-5</v>
      </c>
    </row>
    <row r="80" spans="1:20" ht="15" customHeight="1">
      <c r="B80" s="305" t="s">
        <v>1167</v>
      </c>
      <c r="C80" s="8">
        <f>Inputs!C80</f>
        <v>590.30007406477318</v>
      </c>
      <c r="D80" s="8">
        <f t="shared" si="41"/>
        <v>590.30007406477318</v>
      </c>
      <c r="E80" s="8">
        <f t="shared" si="40"/>
        <v>590.30007406477318</v>
      </c>
      <c r="F80" s="8">
        <f t="shared" si="40"/>
        <v>590.30007406477318</v>
      </c>
      <c r="G80" s="8">
        <f t="shared" si="40"/>
        <v>590.30007406477318</v>
      </c>
      <c r="H80" s="8">
        <f t="shared" si="40"/>
        <v>590.30007406477318</v>
      </c>
      <c r="I80" s="8">
        <f t="shared" si="40"/>
        <v>590.30007406477318</v>
      </c>
      <c r="J80" s="8">
        <f t="shared" si="40"/>
        <v>590.30007406477318</v>
      </c>
      <c r="K80" s="8">
        <f t="shared" si="40"/>
        <v>590.30007406477318</v>
      </c>
      <c r="L80" s="8">
        <f t="shared" si="40"/>
        <v>590.30007406477318</v>
      </c>
      <c r="M80" s="8">
        <f t="shared" si="40"/>
        <v>590.30007406477318</v>
      </c>
      <c r="N80" s="8">
        <f t="shared" si="40"/>
        <v>590.30007406477318</v>
      </c>
      <c r="O80" s="8">
        <f t="shared" si="40"/>
        <v>590.30007406477318</v>
      </c>
      <c r="P80" s="8">
        <f t="shared" si="40"/>
        <v>590.30007406477318</v>
      </c>
      <c r="Q80" s="8">
        <f t="shared" si="40"/>
        <v>590.30007406477318</v>
      </c>
      <c r="R80" s="8">
        <f t="shared" si="40"/>
        <v>590.30007406477318</v>
      </c>
      <c r="S80" s="276">
        <f t="shared" si="40"/>
        <v>590.30007406477318</v>
      </c>
    </row>
    <row r="81" spans="1:19" ht="15" customHeight="1">
      <c r="A81" s="305" t="s">
        <v>70</v>
      </c>
      <c r="B81" s="305" t="s">
        <v>1168</v>
      </c>
      <c r="C81" s="8">
        <f>Inputs!C81</f>
        <v>58.898873833333326</v>
      </c>
      <c r="D81" s="8">
        <f t="shared" si="41"/>
        <v>58.898873833333326</v>
      </c>
      <c r="E81" s="8">
        <f t="shared" si="40"/>
        <v>58.898873833333326</v>
      </c>
      <c r="F81" s="8">
        <f t="shared" si="40"/>
        <v>58.898873833333326</v>
      </c>
      <c r="G81" s="8">
        <f t="shared" si="40"/>
        <v>58.898873833333326</v>
      </c>
      <c r="H81" s="8">
        <f t="shared" si="40"/>
        <v>58.898873833333326</v>
      </c>
      <c r="I81" s="8">
        <f t="shared" si="40"/>
        <v>58.898873833333326</v>
      </c>
      <c r="J81" s="8">
        <f t="shared" si="40"/>
        <v>58.898873833333326</v>
      </c>
      <c r="K81" s="8">
        <f t="shared" si="40"/>
        <v>58.898873833333326</v>
      </c>
      <c r="L81" s="8">
        <f t="shared" si="40"/>
        <v>58.898873833333326</v>
      </c>
      <c r="M81" s="8">
        <f t="shared" si="40"/>
        <v>58.898873833333326</v>
      </c>
      <c r="N81" s="8">
        <f t="shared" si="40"/>
        <v>58.898873833333326</v>
      </c>
      <c r="O81" s="8">
        <f t="shared" si="40"/>
        <v>58.898873833333326</v>
      </c>
      <c r="P81" s="8">
        <f t="shared" si="40"/>
        <v>58.898873833333326</v>
      </c>
      <c r="Q81" s="8">
        <f t="shared" si="40"/>
        <v>58.898873833333326</v>
      </c>
      <c r="R81" s="8">
        <f t="shared" si="40"/>
        <v>58.898873833333326</v>
      </c>
      <c r="S81" s="276">
        <f t="shared" si="40"/>
        <v>58.898873833333326</v>
      </c>
    </row>
    <row r="82" spans="1:19" ht="15" customHeight="1">
      <c r="B82" s="305" t="s">
        <v>1169</v>
      </c>
      <c r="C82" s="169">
        <f>Inputs!C82</f>
        <v>0.18869339761941342</v>
      </c>
      <c r="D82" s="169">
        <f t="shared" si="41"/>
        <v>0.18869339761941342</v>
      </c>
      <c r="E82" s="169">
        <f t="shared" si="40"/>
        <v>0.18869339761941342</v>
      </c>
      <c r="F82" s="169">
        <f t="shared" si="40"/>
        <v>0.18869339761941342</v>
      </c>
      <c r="G82" s="169">
        <f t="shared" si="40"/>
        <v>0.18869339761941342</v>
      </c>
      <c r="H82" s="169">
        <f t="shared" si="40"/>
        <v>0.18869339761941342</v>
      </c>
      <c r="I82" s="169">
        <f t="shared" si="40"/>
        <v>0.18869339761941342</v>
      </c>
      <c r="J82" s="169">
        <f t="shared" si="40"/>
        <v>0.18869339761941342</v>
      </c>
      <c r="K82" s="169">
        <f t="shared" si="40"/>
        <v>0.18869339761941342</v>
      </c>
      <c r="L82" s="169">
        <f t="shared" si="40"/>
        <v>0.18869339761941342</v>
      </c>
      <c r="M82" s="169">
        <f t="shared" si="40"/>
        <v>0.18869339761941342</v>
      </c>
      <c r="N82" s="169">
        <f t="shared" si="40"/>
        <v>0.18869339761941342</v>
      </c>
      <c r="O82" s="169">
        <f t="shared" si="40"/>
        <v>0.18869339761941342</v>
      </c>
      <c r="P82" s="169">
        <f t="shared" si="40"/>
        <v>0.18869339761941342</v>
      </c>
      <c r="Q82" s="169">
        <f t="shared" si="40"/>
        <v>0.18869339761941342</v>
      </c>
      <c r="R82" s="169">
        <f t="shared" si="40"/>
        <v>0.18869339761941342</v>
      </c>
      <c r="S82" s="169">
        <f t="shared" si="40"/>
        <v>0.18869339761941342</v>
      </c>
    </row>
    <row r="83" spans="1:19" ht="15" customHeight="1">
      <c r="B83" s="305" t="s">
        <v>1170</v>
      </c>
      <c r="C83" s="169">
        <f>Inputs!C83</f>
        <v>0.65</v>
      </c>
      <c r="D83" s="169">
        <f t="shared" si="41"/>
        <v>0.65</v>
      </c>
      <c r="E83" s="169">
        <f t="shared" si="40"/>
        <v>0.65</v>
      </c>
      <c r="F83" s="169">
        <f t="shared" si="40"/>
        <v>0.65</v>
      </c>
      <c r="G83" s="169">
        <f t="shared" si="40"/>
        <v>0.65</v>
      </c>
      <c r="H83" s="169">
        <f t="shared" si="40"/>
        <v>0.65</v>
      </c>
      <c r="I83" s="169">
        <f t="shared" si="40"/>
        <v>0.65</v>
      </c>
      <c r="J83" s="169">
        <f t="shared" si="40"/>
        <v>0.65</v>
      </c>
      <c r="K83" s="169">
        <f t="shared" si="40"/>
        <v>0.65</v>
      </c>
      <c r="L83" s="169">
        <f t="shared" si="40"/>
        <v>0.65</v>
      </c>
      <c r="M83" s="169">
        <f t="shared" si="40"/>
        <v>0.65</v>
      </c>
      <c r="N83" s="169">
        <f t="shared" si="40"/>
        <v>0.65</v>
      </c>
      <c r="O83" s="169">
        <f t="shared" si="40"/>
        <v>0.65</v>
      </c>
      <c r="P83" s="169">
        <f t="shared" si="40"/>
        <v>0.65</v>
      </c>
      <c r="Q83" s="169">
        <f t="shared" si="40"/>
        <v>0.65</v>
      </c>
      <c r="R83" s="169">
        <f t="shared" si="40"/>
        <v>0.65</v>
      </c>
      <c r="S83" s="169">
        <f t="shared" si="40"/>
        <v>0.65</v>
      </c>
    </row>
    <row r="84" spans="1:19" ht="15" customHeight="1">
      <c r="B84" s="305" t="s">
        <v>1171</v>
      </c>
      <c r="C84" s="169">
        <f>Inputs!C84</f>
        <v>0.35</v>
      </c>
      <c r="D84" s="169">
        <f t="shared" si="41"/>
        <v>0.35</v>
      </c>
      <c r="E84" s="169">
        <f t="shared" si="40"/>
        <v>0.35</v>
      </c>
      <c r="F84" s="169">
        <f t="shared" si="40"/>
        <v>0.35</v>
      </c>
      <c r="G84" s="169">
        <f t="shared" si="40"/>
        <v>0.35</v>
      </c>
      <c r="H84" s="169">
        <f t="shared" si="40"/>
        <v>0.35</v>
      </c>
      <c r="I84" s="169">
        <f t="shared" si="40"/>
        <v>0.35</v>
      </c>
      <c r="J84" s="169">
        <f t="shared" si="40"/>
        <v>0.35</v>
      </c>
      <c r="K84" s="169">
        <f t="shared" si="40"/>
        <v>0.35</v>
      </c>
      <c r="L84" s="169">
        <f t="shared" si="40"/>
        <v>0.35</v>
      </c>
      <c r="M84" s="169">
        <f t="shared" si="40"/>
        <v>0.35</v>
      </c>
      <c r="N84" s="169">
        <f t="shared" si="40"/>
        <v>0.35</v>
      </c>
      <c r="O84" s="169">
        <f t="shared" si="40"/>
        <v>0.35</v>
      </c>
      <c r="P84" s="169">
        <f t="shared" si="40"/>
        <v>0.35</v>
      </c>
      <c r="Q84" s="169">
        <f t="shared" si="40"/>
        <v>0.35</v>
      </c>
      <c r="R84" s="169">
        <f t="shared" si="40"/>
        <v>0.35</v>
      </c>
      <c r="S84" s="169">
        <f t="shared" si="40"/>
        <v>0.35</v>
      </c>
    </row>
    <row r="85" spans="1:19" ht="15.75" customHeight="1">
      <c r="B85" s="305" t="s">
        <v>1172</v>
      </c>
      <c r="C85" s="169">
        <f>Inputs!C85</f>
        <v>0.35</v>
      </c>
      <c r="D85" s="169">
        <f t="shared" si="41"/>
        <v>0.35</v>
      </c>
      <c r="E85" s="169">
        <f t="shared" si="40"/>
        <v>0.35</v>
      </c>
      <c r="F85" s="169">
        <f t="shared" si="40"/>
        <v>0.35</v>
      </c>
      <c r="G85" s="169">
        <f t="shared" si="40"/>
        <v>0.35</v>
      </c>
      <c r="H85" s="169">
        <f t="shared" si="40"/>
        <v>0.35</v>
      </c>
      <c r="I85" s="169">
        <f t="shared" si="40"/>
        <v>0.35</v>
      </c>
      <c r="J85" s="169">
        <f t="shared" si="40"/>
        <v>0.35</v>
      </c>
      <c r="K85" s="169">
        <f t="shared" si="40"/>
        <v>0.35</v>
      </c>
      <c r="L85" s="169">
        <f t="shared" si="40"/>
        <v>0.35</v>
      </c>
      <c r="M85" s="169">
        <f t="shared" si="40"/>
        <v>0.35</v>
      </c>
      <c r="N85" s="169">
        <f t="shared" si="40"/>
        <v>0.35</v>
      </c>
      <c r="O85" s="169">
        <f t="shared" si="40"/>
        <v>0.35</v>
      </c>
      <c r="P85" s="169">
        <f t="shared" si="40"/>
        <v>0.35</v>
      </c>
      <c r="Q85" s="169">
        <f t="shared" si="40"/>
        <v>0.35</v>
      </c>
      <c r="R85" s="169">
        <f t="shared" si="40"/>
        <v>0.35</v>
      </c>
      <c r="S85" s="169">
        <f t="shared" si="40"/>
        <v>0.35</v>
      </c>
    </row>
    <row r="86" spans="1:19" ht="15" customHeight="1">
      <c r="B86" s="305" t="s">
        <v>1173</v>
      </c>
      <c r="C86" s="169">
        <f>Inputs!C86</f>
        <v>0.1</v>
      </c>
      <c r="D86" s="169">
        <f t="shared" si="41"/>
        <v>0.1</v>
      </c>
      <c r="E86" s="169">
        <f t="shared" si="40"/>
        <v>0.1</v>
      </c>
      <c r="F86" s="169">
        <f t="shared" si="40"/>
        <v>0.1</v>
      </c>
      <c r="G86" s="169">
        <f t="shared" si="40"/>
        <v>0.1</v>
      </c>
      <c r="H86" s="169">
        <f t="shared" si="40"/>
        <v>0.1</v>
      </c>
      <c r="I86" s="169">
        <f t="shared" si="40"/>
        <v>0.1</v>
      </c>
      <c r="J86" s="169">
        <f t="shared" si="40"/>
        <v>0.1</v>
      </c>
      <c r="K86" s="169">
        <f t="shared" si="40"/>
        <v>0.1</v>
      </c>
      <c r="L86" s="169">
        <f t="shared" si="40"/>
        <v>0.1</v>
      </c>
      <c r="M86" s="169">
        <f t="shared" si="40"/>
        <v>0.1</v>
      </c>
      <c r="N86" s="169">
        <f t="shared" si="40"/>
        <v>0.1</v>
      </c>
      <c r="O86" s="169">
        <f t="shared" si="40"/>
        <v>0.1</v>
      </c>
      <c r="P86" s="169">
        <f t="shared" si="40"/>
        <v>0.1</v>
      </c>
      <c r="Q86" s="169">
        <f t="shared" si="40"/>
        <v>0.1</v>
      </c>
      <c r="R86" s="169">
        <f t="shared" si="40"/>
        <v>0.1</v>
      </c>
      <c r="S86" s="169">
        <f t="shared" si="40"/>
        <v>0.1</v>
      </c>
    </row>
    <row r="87" spans="1:19" ht="15" customHeight="1">
      <c r="B87" s="305" t="s">
        <v>1174</v>
      </c>
      <c r="C87" s="169">
        <f>Inputs!C87</f>
        <v>0.1</v>
      </c>
      <c r="D87" s="169">
        <f t="shared" si="41"/>
        <v>0.1</v>
      </c>
      <c r="E87" s="169">
        <f t="shared" si="40"/>
        <v>0.1</v>
      </c>
      <c r="F87" s="169">
        <f t="shared" si="40"/>
        <v>0.1</v>
      </c>
      <c r="G87" s="169">
        <f t="shared" si="40"/>
        <v>0.1</v>
      </c>
      <c r="H87" s="169">
        <f t="shared" si="40"/>
        <v>0.1</v>
      </c>
      <c r="I87" s="169">
        <f t="shared" si="40"/>
        <v>0.1</v>
      </c>
      <c r="J87" s="169">
        <f t="shared" si="40"/>
        <v>0.1</v>
      </c>
      <c r="K87" s="169">
        <f t="shared" si="40"/>
        <v>0.1</v>
      </c>
      <c r="L87" s="169">
        <f t="shared" si="40"/>
        <v>0.1</v>
      </c>
      <c r="M87" s="169">
        <f t="shared" si="40"/>
        <v>0.1</v>
      </c>
      <c r="N87" s="169">
        <f t="shared" si="40"/>
        <v>0.1</v>
      </c>
      <c r="O87" s="169">
        <f t="shared" si="40"/>
        <v>0.1</v>
      </c>
      <c r="P87" s="169">
        <f t="shared" si="40"/>
        <v>0.1</v>
      </c>
      <c r="Q87" s="169">
        <f t="shared" si="40"/>
        <v>0.1</v>
      </c>
      <c r="R87" s="169">
        <f t="shared" si="40"/>
        <v>0.1</v>
      </c>
      <c r="S87" s="169">
        <f t="shared" si="40"/>
        <v>0.1</v>
      </c>
    </row>
    <row r="88" spans="1:19" ht="15" customHeight="1">
      <c r="B88" s="305" t="s">
        <v>1175</v>
      </c>
      <c r="C88" s="169">
        <f>Inputs!C88</f>
        <v>0.1</v>
      </c>
      <c r="D88" s="169">
        <f t="shared" si="41"/>
        <v>0.1</v>
      </c>
      <c r="E88" s="169">
        <f t="shared" si="40"/>
        <v>0.1</v>
      </c>
      <c r="F88" s="169">
        <f t="shared" si="40"/>
        <v>0.1</v>
      </c>
      <c r="G88" s="169">
        <f t="shared" si="40"/>
        <v>0.1</v>
      </c>
      <c r="H88" s="169">
        <f t="shared" si="40"/>
        <v>0.1</v>
      </c>
      <c r="I88" s="169">
        <f t="shared" si="40"/>
        <v>0.1</v>
      </c>
      <c r="J88" s="169">
        <f t="shared" si="40"/>
        <v>0.1</v>
      </c>
      <c r="K88" s="169">
        <f t="shared" si="40"/>
        <v>0.1</v>
      </c>
      <c r="L88" s="169">
        <f t="shared" si="40"/>
        <v>0.1</v>
      </c>
      <c r="M88" s="169">
        <f t="shared" si="40"/>
        <v>0.1</v>
      </c>
      <c r="N88" s="169">
        <f t="shared" si="40"/>
        <v>0.1</v>
      </c>
      <c r="O88" s="169">
        <f t="shared" si="40"/>
        <v>0.1</v>
      </c>
      <c r="P88" s="169">
        <f t="shared" si="40"/>
        <v>0.1</v>
      </c>
      <c r="Q88" s="169">
        <f t="shared" si="40"/>
        <v>0.1</v>
      </c>
      <c r="R88" s="169">
        <f t="shared" si="40"/>
        <v>0.1</v>
      </c>
      <c r="S88" s="169">
        <f t="shared" si="40"/>
        <v>0.1</v>
      </c>
    </row>
    <row r="89" spans="1:19" ht="15" customHeight="1">
      <c r="B89" s="305" t="s">
        <v>1176</v>
      </c>
      <c r="C89" s="169">
        <f>Inputs!C89</f>
        <v>2.9499999999999997</v>
      </c>
      <c r="D89" s="169">
        <f t="shared" si="41"/>
        <v>2.9499999999999997</v>
      </c>
      <c r="E89" s="169">
        <f t="shared" si="40"/>
        <v>2.9499999999999997</v>
      </c>
      <c r="F89" s="169">
        <f t="shared" si="40"/>
        <v>2.9499999999999997</v>
      </c>
      <c r="G89" s="169">
        <f t="shared" si="40"/>
        <v>2.9499999999999997</v>
      </c>
      <c r="H89" s="169">
        <f t="shared" si="40"/>
        <v>2.9499999999999997</v>
      </c>
      <c r="I89" s="169">
        <f t="shared" si="40"/>
        <v>2.9499999999999997</v>
      </c>
      <c r="J89" s="169">
        <f t="shared" si="40"/>
        <v>2.9499999999999997</v>
      </c>
      <c r="K89" s="169">
        <f t="shared" si="40"/>
        <v>2.9499999999999997</v>
      </c>
      <c r="L89" s="169">
        <f t="shared" si="40"/>
        <v>2.9499999999999997</v>
      </c>
      <c r="M89" s="169">
        <f t="shared" si="40"/>
        <v>2.9499999999999997</v>
      </c>
      <c r="N89" s="169">
        <f t="shared" si="40"/>
        <v>2.9499999999999997</v>
      </c>
      <c r="O89" s="169">
        <f t="shared" si="40"/>
        <v>2.9499999999999997</v>
      </c>
      <c r="P89" s="169">
        <f t="shared" si="40"/>
        <v>2.9499999999999997</v>
      </c>
      <c r="Q89" s="169">
        <f t="shared" si="40"/>
        <v>2.9499999999999997</v>
      </c>
      <c r="R89" s="169">
        <f t="shared" si="40"/>
        <v>2.9499999999999997</v>
      </c>
      <c r="S89" s="169">
        <f t="shared" si="40"/>
        <v>2.9499999999999997</v>
      </c>
    </row>
    <row r="90" spans="1:19" ht="15" customHeight="1">
      <c r="B90" s="305" t="s">
        <v>1177</v>
      </c>
      <c r="C90" s="169">
        <f>Inputs!C90</f>
        <v>2.9499999999999997</v>
      </c>
      <c r="D90" s="169">
        <f t="shared" si="41"/>
        <v>2.9499999999999997</v>
      </c>
      <c r="E90" s="169">
        <f t="shared" si="40"/>
        <v>2.9499999999999997</v>
      </c>
      <c r="F90" s="169">
        <f t="shared" si="40"/>
        <v>2.9499999999999997</v>
      </c>
      <c r="G90" s="169">
        <f t="shared" si="40"/>
        <v>2.9499999999999997</v>
      </c>
      <c r="H90" s="169">
        <f t="shared" si="40"/>
        <v>2.9499999999999997</v>
      </c>
      <c r="I90" s="169">
        <f t="shared" si="40"/>
        <v>2.9499999999999997</v>
      </c>
      <c r="J90" s="169">
        <f t="shared" si="40"/>
        <v>2.9499999999999997</v>
      </c>
      <c r="K90" s="169">
        <f t="shared" si="40"/>
        <v>2.9499999999999997</v>
      </c>
      <c r="L90" s="169">
        <f t="shared" si="40"/>
        <v>2.9499999999999997</v>
      </c>
      <c r="M90" s="169">
        <f t="shared" si="40"/>
        <v>2.9499999999999997</v>
      </c>
      <c r="N90" s="169">
        <f t="shared" si="40"/>
        <v>2.9499999999999997</v>
      </c>
      <c r="O90" s="169">
        <f t="shared" si="40"/>
        <v>2.9499999999999997</v>
      </c>
      <c r="P90" s="169">
        <f t="shared" si="40"/>
        <v>2.9499999999999997</v>
      </c>
      <c r="Q90" s="169">
        <f t="shared" si="40"/>
        <v>2.9499999999999997</v>
      </c>
      <c r="R90" s="169">
        <f t="shared" si="40"/>
        <v>2.9499999999999997</v>
      </c>
      <c r="S90" s="169">
        <f t="shared" si="40"/>
        <v>2.9499999999999997</v>
      </c>
    </row>
    <row r="91" spans="1:19" ht="15" customHeight="1">
      <c r="B91" s="305" t="s">
        <v>1178</v>
      </c>
      <c r="C91" s="169">
        <f>Inputs!C91</f>
        <v>2.9499999999999997</v>
      </c>
      <c r="D91" s="169">
        <f t="shared" si="41"/>
        <v>2.9499999999999997</v>
      </c>
      <c r="E91" s="169">
        <f t="shared" si="40"/>
        <v>2.9499999999999997</v>
      </c>
      <c r="F91" s="169">
        <f t="shared" si="40"/>
        <v>2.9499999999999997</v>
      </c>
      <c r="G91" s="169">
        <f t="shared" si="40"/>
        <v>2.9499999999999997</v>
      </c>
      <c r="H91" s="169">
        <f t="shared" si="40"/>
        <v>2.9499999999999997</v>
      </c>
      <c r="I91" s="169">
        <f t="shared" si="40"/>
        <v>2.9499999999999997</v>
      </c>
      <c r="J91" s="169">
        <f t="shared" si="40"/>
        <v>2.9499999999999997</v>
      </c>
      <c r="K91" s="169">
        <f t="shared" si="40"/>
        <v>2.9499999999999997</v>
      </c>
      <c r="L91" s="169">
        <f t="shared" si="40"/>
        <v>2.9499999999999997</v>
      </c>
      <c r="M91" s="169">
        <f t="shared" si="40"/>
        <v>2.9499999999999997</v>
      </c>
      <c r="N91" s="169">
        <f t="shared" si="40"/>
        <v>2.9499999999999997</v>
      </c>
      <c r="O91" s="169">
        <f t="shared" si="40"/>
        <v>2.9499999999999997</v>
      </c>
      <c r="P91" s="169">
        <f t="shared" si="40"/>
        <v>2.9499999999999997</v>
      </c>
      <c r="Q91" s="169">
        <f t="shared" si="40"/>
        <v>2.9499999999999997</v>
      </c>
      <c r="R91" s="169">
        <f t="shared" si="40"/>
        <v>2.9499999999999997</v>
      </c>
      <c r="S91" s="169">
        <f t="shared" si="40"/>
        <v>2.9499999999999997</v>
      </c>
    </row>
    <row r="92" spans="1:19" ht="15" customHeight="1">
      <c r="B92" s="305" t="s">
        <v>1179</v>
      </c>
      <c r="C92" s="169">
        <f>Inputs!C92</f>
        <v>2.9499999999999997</v>
      </c>
      <c r="D92" s="169">
        <f t="shared" si="41"/>
        <v>2.9499999999999997</v>
      </c>
      <c r="E92" s="169">
        <f t="shared" ref="E92:S92" si="42">D92</f>
        <v>2.9499999999999997</v>
      </c>
      <c r="F92" s="169">
        <f t="shared" si="42"/>
        <v>2.9499999999999997</v>
      </c>
      <c r="G92" s="169">
        <f t="shared" si="42"/>
        <v>2.9499999999999997</v>
      </c>
      <c r="H92" s="169">
        <f t="shared" si="42"/>
        <v>2.9499999999999997</v>
      </c>
      <c r="I92" s="169">
        <f t="shared" si="42"/>
        <v>2.9499999999999997</v>
      </c>
      <c r="J92" s="169">
        <f t="shared" si="42"/>
        <v>2.9499999999999997</v>
      </c>
      <c r="K92" s="169">
        <f t="shared" si="42"/>
        <v>2.9499999999999997</v>
      </c>
      <c r="L92" s="169">
        <f t="shared" si="42"/>
        <v>2.9499999999999997</v>
      </c>
      <c r="M92" s="169">
        <f t="shared" si="42"/>
        <v>2.9499999999999997</v>
      </c>
      <c r="N92" s="169">
        <f t="shared" si="42"/>
        <v>2.9499999999999997</v>
      </c>
      <c r="O92" s="169">
        <f t="shared" si="42"/>
        <v>2.9499999999999997</v>
      </c>
      <c r="P92" s="169">
        <f t="shared" si="42"/>
        <v>2.9499999999999997</v>
      </c>
      <c r="Q92" s="169">
        <f t="shared" si="42"/>
        <v>2.9499999999999997</v>
      </c>
      <c r="R92" s="169">
        <f t="shared" si="42"/>
        <v>2.9499999999999997</v>
      </c>
      <c r="S92" s="169">
        <f t="shared" si="42"/>
        <v>2.9499999999999997</v>
      </c>
    </row>
    <row r="93" spans="1:19" ht="15" customHeight="1">
      <c r="A93" s="305" t="s">
        <v>87</v>
      </c>
      <c r="B93" s="305" t="s">
        <v>1180</v>
      </c>
      <c r="C93" s="144">
        <f>Inputs!C93</f>
        <v>2</v>
      </c>
      <c r="D93" s="144">
        <f t="shared" si="41"/>
        <v>2</v>
      </c>
      <c r="E93" s="144">
        <f t="shared" ref="E93:S93" si="43">D93</f>
        <v>2</v>
      </c>
      <c r="F93" s="144">
        <f t="shared" si="43"/>
        <v>2</v>
      </c>
      <c r="G93" s="144">
        <f t="shared" si="43"/>
        <v>2</v>
      </c>
      <c r="H93" s="144">
        <f t="shared" si="43"/>
        <v>2</v>
      </c>
      <c r="I93" s="144">
        <f t="shared" si="43"/>
        <v>2</v>
      </c>
      <c r="J93" s="144">
        <f t="shared" si="43"/>
        <v>2</v>
      </c>
      <c r="K93" s="144">
        <f t="shared" si="43"/>
        <v>2</v>
      </c>
      <c r="L93" s="144">
        <f t="shared" si="43"/>
        <v>2</v>
      </c>
      <c r="M93" s="144">
        <f t="shared" si="43"/>
        <v>2</v>
      </c>
      <c r="N93" s="144">
        <f t="shared" si="43"/>
        <v>2</v>
      </c>
      <c r="O93" s="144">
        <f t="shared" si="43"/>
        <v>2</v>
      </c>
      <c r="P93" s="144">
        <f t="shared" si="43"/>
        <v>2</v>
      </c>
      <c r="Q93" s="144">
        <f t="shared" si="43"/>
        <v>2</v>
      </c>
      <c r="R93" s="144">
        <f t="shared" si="43"/>
        <v>2</v>
      </c>
      <c r="S93" s="144">
        <f t="shared" si="43"/>
        <v>2</v>
      </c>
    </row>
    <row r="94" spans="1:19" ht="15" customHeight="1">
      <c r="B94" s="305" t="s">
        <v>1294</v>
      </c>
      <c r="C94" s="6">
        <f>Inputs!C94</f>
        <v>1</v>
      </c>
      <c r="D94" s="6">
        <f t="shared" si="41"/>
        <v>1</v>
      </c>
      <c r="E94" s="6">
        <f t="shared" ref="E94:S94" si="44">D94</f>
        <v>1</v>
      </c>
      <c r="F94" s="6">
        <f t="shared" si="44"/>
        <v>1</v>
      </c>
      <c r="G94" s="6">
        <f t="shared" si="44"/>
        <v>1</v>
      </c>
      <c r="H94" s="6">
        <f t="shared" si="44"/>
        <v>1</v>
      </c>
      <c r="I94" s="6">
        <f t="shared" si="44"/>
        <v>1</v>
      </c>
      <c r="J94" s="6">
        <f t="shared" si="44"/>
        <v>1</v>
      </c>
      <c r="K94" s="6">
        <f t="shared" si="44"/>
        <v>1</v>
      </c>
      <c r="L94" s="6">
        <f t="shared" si="44"/>
        <v>1</v>
      </c>
      <c r="M94" s="6">
        <f t="shared" si="44"/>
        <v>1</v>
      </c>
      <c r="N94" s="6">
        <f t="shared" si="44"/>
        <v>1</v>
      </c>
      <c r="O94" s="6">
        <f t="shared" si="44"/>
        <v>1</v>
      </c>
      <c r="P94" s="6">
        <f t="shared" si="44"/>
        <v>1</v>
      </c>
      <c r="Q94" s="6">
        <f t="shared" si="44"/>
        <v>1</v>
      </c>
      <c r="R94" s="6">
        <f t="shared" si="44"/>
        <v>1</v>
      </c>
      <c r="S94" s="6">
        <f t="shared" si="44"/>
        <v>1</v>
      </c>
    </row>
    <row r="95" spans="1:19" ht="15" customHeight="1">
      <c r="B95" s="305" t="s">
        <v>1295</v>
      </c>
      <c r="C95" s="6">
        <f>Inputs!C95</f>
        <v>3.5391666666666666</v>
      </c>
      <c r="D95" s="6">
        <f t="shared" si="41"/>
        <v>3.5391666666666666</v>
      </c>
      <c r="E95" s="6">
        <f t="shared" ref="E95:S95" si="45">D95</f>
        <v>3.5391666666666666</v>
      </c>
      <c r="F95" s="6">
        <f t="shared" si="45"/>
        <v>3.5391666666666666</v>
      </c>
      <c r="G95" s="6">
        <f t="shared" si="45"/>
        <v>3.5391666666666666</v>
      </c>
      <c r="H95" s="6">
        <f t="shared" si="45"/>
        <v>3.5391666666666666</v>
      </c>
      <c r="I95" s="6">
        <f t="shared" si="45"/>
        <v>3.5391666666666666</v>
      </c>
      <c r="J95" s="6">
        <f t="shared" si="45"/>
        <v>3.5391666666666666</v>
      </c>
      <c r="K95" s="6">
        <f t="shared" si="45"/>
        <v>3.5391666666666666</v>
      </c>
      <c r="L95" s="6">
        <f t="shared" si="45"/>
        <v>3.5391666666666666</v>
      </c>
      <c r="M95" s="6">
        <f t="shared" si="45"/>
        <v>3.5391666666666666</v>
      </c>
      <c r="N95" s="6">
        <f t="shared" si="45"/>
        <v>3.5391666666666666</v>
      </c>
      <c r="O95" s="6">
        <f t="shared" si="45"/>
        <v>3.5391666666666666</v>
      </c>
      <c r="P95" s="6">
        <f t="shared" si="45"/>
        <v>3.5391666666666666</v>
      </c>
      <c r="Q95" s="6">
        <f t="shared" si="45"/>
        <v>3.5391666666666666</v>
      </c>
      <c r="R95" s="6">
        <f t="shared" si="45"/>
        <v>3.5391666666666666</v>
      </c>
      <c r="S95" s="6">
        <f t="shared" si="45"/>
        <v>3.5391666666666666</v>
      </c>
    </row>
    <row r="96" spans="1:19" ht="15" customHeight="1">
      <c r="B96" s="305" t="s">
        <v>1296</v>
      </c>
      <c r="C96" s="6">
        <f>Inputs!C96</f>
        <v>9.3305146666666658E-2</v>
      </c>
      <c r="D96" s="6">
        <f t="shared" ref="D96:S111" si="46">C96</f>
        <v>9.3305146666666658E-2</v>
      </c>
      <c r="E96" s="6">
        <f t="shared" si="46"/>
        <v>9.3305146666666658E-2</v>
      </c>
      <c r="F96" s="6">
        <f t="shared" si="46"/>
        <v>9.3305146666666658E-2</v>
      </c>
      <c r="G96" s="6">
        <f t="shared" si="46"/>
        <v>9.3305146666666658E-2</v>
      </c>
      <c r="H96" s="6">
        <f t="shared" si="46"/>
        <v>9.3305146666666658E-2</v>
      </c>
      <c r="I96" s="6">
        <f t="shared" si="46"/>
        <v>9.3305146666666658E-2</v>
      </c>
      <c r="J96" s="6">
        <f t="shared" si="46"/>
        <v>9.3305146666666658E-2</v>
      </c>
      <c r="K96" s="6">
        <f t="shared" si="46"/>
        <v>9.3305146666666658E-2</v>
      </c>
      <c r="L96" s="6">
        <f t="shared" si="46"/>
        <v>9.3305146666666658E-2</v>
      </c>
      <c r="M96" s="6">
        <f t="shared" si="46"/>
        <v>9.3305146666666658E-2</v>
      </c>
      <c r="N96" s="6">
        <f t="shared" si="46"/>
        <v>9.3305146666666658E-2</v>
      </c>
      <c r="O96" s="6">
        <f t="shared" si="46"/>
        <v>9.3305146666666658E-2</v>
      </c>
      <c r="P96" s="6">
        <f t="shared" si="46"/>
        <v>9.3305146666666658E-2</v>
      </c>
      <c r="Q96" s="6">
        <f t="shared" si="46"/>
        <v>9.3305146666666658E-2</v>
      </c>
      <c r="R96" s="6">
        <f t="shared" si="46"/>
        <v>9.3305146666666658E-2</v>
      </c>
      <c r="S96" s="6">
        <f t="shared" si="46"/>
        <v>9.3305146666666658E-2</v>
      </c>
    </row>
    <row r="97" spans="1:19" ht="15" customHeight="1">
      <c r="B97" s="305" t="s">
        <v>1297</v>
      </c>
      <c r="C97" s="6">
        <f>Inputs!C97</f>
        <v>0.5</v>
      </c>
      <c r="D97" s="6">
        <f t="shared" si="46"/>
        <v>0.5</v>
      </c>
      <c r="E97" s="6">
        <f t="shared" si="46"/>
        <v>0.5</v>
      </c>
      <c r="F97" s="6">
        <f t="shared" si="46"/>
        <v>0.5</v>
      </c>
      <c r="G97" s="6">
        <f t="shared" si="46"/>
        <v>0.5</v>
      </c>
      <c r="H97" s="6">
        <f t="shared" si="46"/>
        <v>0.5</v>
      </c>
      <c r="I97" s="6">
        <f t="shared" si="46"/>
        <v>0.5</v>
      </c>
      <c r="J97" s="6">
        <f t="shared" si="46"/>
        <v>0.5</v>
      </c>
      <c r="K97" s="6">
        <f t="shared" si="46"/>
        <v>0.5</v>
      </c>
      <c r="L97" s="6">
        <f t="shared" si="46"/>
        <v>0.5</v>
      </c>
      <c r="M97" s="6">
        <f t="shared" si="46"/>
        <v>0.5</v>
      </c>
      <c r="N97" s="6">
        <f t="shared" si="46"/>
        <v>0.5</v>
      </c>
      <c r="O97" s="6">
        <f t="shared" si="46"/>
        <v>0.5</v>
      </c>
      <c r="P97" s="6">
        <f t="shared" si="46"/>
        <v>0.5</v>
      </c>
      <c r="Q97" s="6">
        <f t="shared" si="46"/>
        <v>0.5</v>
      </c>
      <c r="R97" s="6">
        <f t="shared" si="46"/>
        <v>0.5</v>
      </c>
      <c r="S97" s="6">
        <f t="shared" si="46"/>
        <v>0.5</v>
      </c>
    </row>
    <row r="98" spans="1:19" ht="15" customHeight="1">
      <c r="B98" s="305" t="s">
        <v>1298</v>
      </c>
      <c r="C98" s="144">
        <f>Inputs!C98</f>
        <v>3</v>
      </c>
      <c r="D98" s="144">
        <f t="shared" si="46"/>
        <v>3</v>
      </c>
      <c r="E98" s="144">
        <f t="shared" si="46"/>
        <v>3</v>
      </c>
      <c r="F98" s="144">
        <f t="shared" si="46"/>
        <v>3</v>
      </c>
      <c r="G98" s="144">
        <f t="shared" si="46"/>
        <v>3</v>
      </c>
      <c r="H98" s="144">
        <f t="shared" si="46"/>
        <v>3</v>
      </c>
      <c r="I98" s="144">
        <f t="shared" si="46"/>
        <v>3</v>
      </c>
      <c r="J98" s="144">
        <f t="shared" si="46"/>
        <v>3</v>
      </c>
      <c r="K98" s="144">
        <f t="shared" si="46"/>
        <v>3</v>
      </c>
      <c r="L98" s="144">
        <f t="shared" si="46"/>
        <v>3</v>
      </c>
      <c r="M98" s="144">
        <f t="shared" si="46"/>
        <v>3</v>
      </c>
      <c r="N98" s="144">
        <f t="shared" si="46"/>
        <v>3</v>
      </c>
      <c r="O98" s="144">
        <f t="shared" si="46"/>
        <v>3</v>
      </c>
      <c r="P98" s="144">
        <f t="shared" si="46"/>
        <v>3</v>
      </c>
      <c r="Q98" s="144">
        <f t="shared" si="46"/>
        <v>3</v>
      </c>
      <c r="R98" s="144">
        <f t="shared" si="46"/>
        <v>3</v>
      </c>
      <c r="S98" s="144">
        <f t="shared" si="46"/>
        <v>3</v>
      </c>
    </row>
    <row r="99" spans="1:19" ht="15" customHeight="1">
      <c r="B99" s="305" t="s">
        <v>1299</v>
      </c>
      <c r="C99" s="169">
        <f>Inputs!C99</f>
        <v>3.5391666666666666</v>
      </c>
      <c r="D99" s="169">
        <f t="shared" si="46"/>
        <v>3.5391666666666666</v>
      </c>
      <c r="E99" s="169">
        <f t="shared" si="46"/>
        <v>3.5391666666666666</v>
      </c>
      <c r="F99" s="169">
        <f t="shared" si="46"/>
        <v>3.5391666666666666</v>
      </c>
      <c r="G99" s="169">
        <f t="shared" si="46"/>
        <v>3.5391666666666666</v>
      </c>
      <c r="H99" s="169">
        <f t="shared" si="46"/>
        <v>3.5391666666666666</v>
      </c>
      <c r="I99" s="169">
        <f t="shared" si="46"/>
        <v>3.5391666666666666</v>
      </c>
      <c r="J99" s="169">
        <f t="shared" si="46"/>
        <v>3.5391666666666666</v>
      </c>
      <c r="K99" s="169">
        <f t="shared" si="46"/>
        <v>3.5391666666666666</v>
      </c>
      <c r="L99" s="169">
        <f t="shared" si="46"/>
        <v>3.5391666666666666</v>
      </c>
      <c r="M99" s="169">
        <f t="shared" si="46"/>
        <v>3.5391666666666666</v>
      </c>
      <c r="N99" s="169">
        <f t="shared" si="46"/>
        <v>3.5391666666666666</v>
      </c>
      <c r="O99" s="169">
        <f t="shared" si="46"/>
        <v>3.5391666666666666</v>
      </c>
      <c r="P99" s="169">
        <f t="shared" si="46"/>
        <v>3.5391666666666666</v>
      </c>
      <c r="Q99" s="169">
        <f t="shared" si="46"/>
        <v>3.5391666666666666</v>
      </c>
      <c r="R99" s="169">
        <f t="shared" si="46"/>
        <v>3.5391666666666666</v>
      </c>
      <c r="S99" s="169">
        <f t="shared" si="46"/>
        <v>3.5391666666666666</v>
      </c>
    </row>
    <row r="100" spans="1:19" ht="15" customHeight="1">
      <c r="B100" s="305" t="s">
        <v>1300</v>
      </c>
      <c r="C100" s="169">
        <f>Inputs!C100</f>
        <v>2.6658613333333331E-2</v>
      </c>
      <c r="D100" s="169">
        <f t="shared" si="46"/>
        <v>2.6658613333333331E-2</v>
      </c>
      <c r="E100" s="169">
        <f t="shared" si="46"/>
        <v>2.6658613333333331E-2</v>
      </c>
      <c r="F100" s="169">
        <f t="shared" si="46"/>
        <v>2.6658613333333331E-2</v>
      </c>
      <c r="G100" s="169">
        <f t="shared" si="46"/>
        <v>2.6658613333333331E-2</v>
      </c>
      <c r="H100" s="169">
        <f t="shared" si="46"/>
        <v>2.6658613333333331E-2</v>
      </c>
      <c r="I100" s="169">
        <f t="shared" si="46"/>
        <v>2.6658613333333331E-2</v>
      </c>
      <c r="J100" s="169">
        <f t="shared" si="46"/>
        <v>2.6658613333333331E-2</v>
      </c>
      <c r="K100" s="169">
        <f t="shared" si="46"/>
        <v>2.6658613333333331E-2</v>
      </c>
      <c r="L100" s="169">
        <f t="shared" si="46"/>
        <v>2.6658613333333331E-2</v>
      </c>
      <c r="M100" s="169">
        <f t="shared" si="46"/>
        <v>2.6658613333333331E-2</v>
      </c>
      <c r="N100" s="169">
        <f t="shared" si="46"/>
        <v>2.6658613333333331E-2</v>
      </c>
      <c r="O100" s="169">
        <f t="shared" si="46"/>
        <v>2.6658613333333331E-2</v>
      </c>
      <c r="P100" s="169">
        <f t="shared" si="46"/>
        <v>2.6658613333333331E-2</v>
      </c>
      <c r="Q100" s="169">
        <f t="shared" si="46"/>
        <v>2.6658613333333331E-2</v>
      </c>
      <c r="R100" s="169">
        <f t="shared" si="46"/>
        <v>2.6658613333333331E-2</v>
      </c>
      <c r="S100" s="169">
        <f t="shared" si="46"/>
        <v>2.6658613333333331E-2</v>
      </c>
    </row>
    <row r="101" spans="1:19" ht="15" customHeight="1">
      <c r="B101" s="305" t="s">
        <v>1301</v>
      </c>
      <c r="C101" s="8">
        <f>Inputs!C101</f>
        <v>0.5</v>
      </c>
      <c r="D101" s="8">
        <f t="shared" si="46"/>
        <v>0.5</v>
      </c>
      <c r="E101" s="8">
        <f t="shared" si="46"/>
        <v>0.5</v>
      </c>
      <c r="F101" s="8">
        <f t="shared" si="46"/>
        <v>0.5</v>
      </c>
      <c r="G101" s="8">
        <f t="shared" si="46"/>
        <v>0.5</v>
      </c>
      <c r="H101" s="8">
        <f t="shared" si="46"/>
        <v>0.5</v>
      </c>
      <c r="I101" s="8">
        <f t="shared" si="46"/>
        <v>0.5</v>
      </c>
      <c r="J101" s="8">
        <f t="shared" si="46"/>
        <v>0.5</v>
      </c>
      <c r="K101" s="8">
        <f t="shared" si="46"/>
        <v>0.5</v>
      </c>
      <c r="L101" s="8">
        <f t="shared" si="46"/>
        <v>0.5</v>
      </c>
      <c r="M101" s="8">
        <f t="shared" si="46"/>
        <v>0.5</v>
      </c>
      <c r="N101" s="8">
        <f t="shared" si="46"/>
        <v>0.5</v>
      </c>
      <c r="O101" s="8">
        <f t="shared" si="46"/>
        <v>0.5</v>
      </c>
      <c r="P101" s="8">
        <f t="shared" si="46"/>
        <v>0.5</v>
      </c>
      <c r="Q101" s="8">
        <f t="shared" si="46"/>
        <v>0.5</v>
      </c>
      <c r="R101" s="8">
        <f t="shared" si="46"/>
        <v>0.5</v>
      </c>
      <c r="S101" s="276">
        <f t="shared" si="46"/>
        <v>0.5</v>
      </c>
    </row>
    <row r="102" spans="1:19" ht="15" customHeight="1">
      <c r="A102" s="305" t="s">
        <v>152</v>
      </c>
      <c r="B102" s="305" t="s">
        <v>1181</v>
      </c>
      <c r="C102" s="169">
        <f>Inputs!C102</f>
        <v>18.43494882292201</v>
      </c>
      <c r="D102" s="169">
        <f t="shared" si="46"/>
        <v>18.43494882292201</v>
      </c>
      <c r="E102" s="169">
        <f t="shared" si="46"/>
        <v>18.43494882292201</v>
      </c>
      <c r="F102" s="169">
        <f t="shared" si="46"/>
        <v>18.43494882292201</v>
      </c>
      <c r="G102" s="169">
        <f t="shared" si="46"/>
        <v>18.43494882292201</v>
      </c>
      <c r="H102" s="169">
        <f t="shared" si="46"/>
        <v>18.43494882292201</v>
      </c>
      <c r="I102" s="169">
        <f t="shared" si="46"/>
        <v>18.43494882292201</v>
      </c>
      <c r="J102" s="169">
        <f t="shared" si="46"/>
        <v>18.43494882292201</v>
      </c>
      <c r="K102" s="169">
        <f t="shared" si="46"/>
        <v>18.43494882292201</v>
      </c>
      <c r="L102" s="169">
        <f t="shared" si="46"/>
        <v>18.43494882292201</v>
      </c>
      <c r="M102" s="169">
        <f t="shared" si="46"/>
        <v>18.43494882292201</v>
      </c>
      <c r="N102" s="169">
        <f t="shared" si="46"/>
        <v>18.43494882292201</v>
      </c>
      <c r="O102" s="169">
        <f t="shared" si="46"/>
        <v>18.43494882292201</v>
      </c>
      <c r="P102" s="169">
        <f t="shared" si="46"/>
        <v>18.43494882292201</v>
      </c>
      <c r="Q102" s="169">
        <f t="shared" si="46"/>
        <v>18.43494882292201</v>
      </c>
      <c r="R102" s="169">
        <f t="shared" si="46"/>
        <v>18.43494882292201</v>
      </c>
      <c r="S102" s="169">
        <f t="shared" si="46"/>
        <v>18.43494882292201</v>
      </c>
    </row>
    <row r="103" spans="1:19" ht="15" customHeight="1">
      <c r="B103" s="305" t="s">
        <v>1182</v>
      </c>
      <c r="C103" s="6" t="str">
        <f>Inputs!C103</f>
        <v>P</v>
      </c>
      <c r="D103" s="6" t="str">
        <f t="shared" si="46"/>
        <v>P</v>
      </c>
      <c r="E103" s="6" t="str">
        <f t="shared" si="46"/>
        <v>P</v>
      </c>
      <c r="F103" s="6" t="str">
        <f t="shared" si="46"/>
        <v>P</v>
      </c>
      <c r="G103" s="6" t="str">
        <f t="shared" si="46"/>
        <v>P</v>
      </c>
      <c r="H103" s="6" t="str">
        <f t="shared" si="46"/>
        <v>P</v>
      </c>
      <c r="I103" s="6" t="str">
        <f t="shared" si="46"/>
        <v>P</v>
      </c>
      <c r="J103" s="6" t="str">
        <f t="shared" si="46"/>
        <v>P</v>
      </c>
      <c r="K103" s="6" t="str">
        <f t="shared" si="46"/>
        <v>P</v>
      </c>
      <c r="L103" s="6" t="str">
        <f t="shared" si="46"/>
        <v>P</v>
      </c>
      <c r="M103" s="6" t="str">
        <f t="shared" si="46"/>
        <v>P</v>
      </c>
      <c r="N103" s="6" t="str">
        <f t="shared" si="46"/>
        <v>P</v>
      </c>
      <c r="O103" s="6" t="str">
        <f t="shared" si="46"/>
        <v>P</v>
      </c>
      <c r="P103" s="6" t="str">
        <f t="shared" si="46"/>
        <v>P</v>
      </c>
      <c r="Q103" s="6" t="str">
        <f t="shared" si="46"/>
        <v>P</v>
      </c>
      <c r="R103" s="6" t="str">
        <f t="shared" si="46"/>
        <v>P</v>
      </c>
      <c r="S103" s="6" t="str">
        <f t="shared" si="46"/>
        <v>P</v>
      </c>
    </row>
    <row r="104" spans="1:19" ht="15" customHeight="1">
      <c r="B104" s="305" t="s">
        <v>1183</v>
      </c>
      <c r="C104" s="8">
        <f>Inputs!C104</f>
        <v>4.128333333333333</v>
      </c>
      <c r="D104" s="8">
        <f>C104</f>
        <v>4.128333333333333</v>
      </c>
      <c r="E104" s="8">
        <f t="shared" si="46"/>
        <v>4.128333333333333</v>
      </c>
      <c r="F104" s="8">
        <f t="shared" si="46"/>
        <v>4.128333333333333</v>
      </c>
      <c r="G104" s="8">
        <f t="shared" si="46"/>
        <v>4.128333333333333</v>
      </c>
      <c r="H104" s="8">
        <f t="shared" si="46"/>
        <v>4.128333333333333</v>
      </c>
      <c r="I104" s="8">
        <f t="shared" si="46"/>
        <v>4.128333333333333</v>
      </c>
      <c r="J104" s="8">
        <f t="shared" si="46"/>
        <v>4.128333333333333</v>
      </c>
      <c r="K104" s="8">
        <f t="shared" si="46"/>
        <v>4.128333333333333</v>
      </c>
      <c r="L104" s="8">
        <f t="shared" si="46"/>
        <v>4.128333333333333</v>
      </c>
      <c r="M104" s="8">
        <f t="shared" si="46"/>
        <v>4.128333333333333</v>
      </c>
      <c r="N104" s="8">
        <f t="shared" si="46"/>
        <v>4.128333333333333</v>
      </c>
      <c r="O104" s="8">
        <f t="shared" si="46"/>
        <v>4.128333333333333</v>
      </c>
      <c r="P104" s="8">
        <f t="shared" si="46"/>
        <v>4.128333333333333</v>
      </c>
      <c r="Q104" s="8">
        <f t="shared" si="46"/>
        <v>4.128333333333333</v>
      </c>
      <c r="R104" s="8">
        <f t="shared" si="46"/>
        <v>4.128333333333333</v>
      </c>
      <c r="S104" s="276">
        <f t="shared" si="46"/>
        <v>4.128333333333333</v>
      </c>
    </row>
    <row r="105" spans="1:19" ht="15" customHeight="1">
      <c r="B105" s="305" t="s">
        <v>1184</v>
      </c>
      <c r="C105" s="144">
        <f>Inputs!C105</f>
        <v>0</v>
      </c>
      <c r="D105" s="144">
        <f t="shared" si="46"/>
        <v>0</v>
      </c>
      <c r="E105" s="144">
        <f t="shared" si="46"/>
        <v>0</v>
      </c>
      <c r="F105" s="144">
        <f t="shared" si="46"/>
        <v>0</v>
      </c>
      <c r="G105" s="144">
        <f t="shared" si="46"/>
        <v>0</v>
      </c>
      <c r="H105" s="144">
        <f t="shared" si="46"/>
        <v>0</v>
      </c>
      <c r="I105" s="144">
        <f t="shared" si="46"/>
        <v>0</v>
      </c>
      <c r="J105" s="144">
        <f t="shared" si="46"/>
        <v>0</v>
      </c>
      <c r="K105" s="144">
        <f t="shared" si="46"/>
        <v>0</v>
      </c>
      <c r="L105" s="144">
        <f t="shared" si="46"/>
        <v>0</v>
      </c>
      <c r="M105" s="144">
        <f t="shared" si="46"/>
        <v>0</v>
      </c>
      <c r="N105" s="144">
        <f t="shared" si="46"/>
        <v>0</v>
      </c>
      <c r="O105" s="144">
        <f t="shared" si="46"/>
        <v>0</v>
      </c>
      <c r="P105" s="144">
        <f t="shared" si="46"/>
        <v>0</v>
      </c>
      <c r="Q105" s="144">
        <f t="shared" si="46"/>
        <v>0</v>
      </c>
      <c r="R105" s="144">
        <f t="shared" si="46"/>
        <v>0</v>
      </c>
      <c r="S105" s="144">
        <f t="shared" si="46"/>
        <v>0</v>
      </c>
    </row>
    <row r="106" spans="1:19" ht="15" customHeight="1">
      <c r="B106" s="305" t="s">
        <v>1185</v>
      </c>
      <c r="C106" s="144"/>
      <c r="D106" s="144"/>
      <c r="E106" s="144"/>
      <c r="F106" s="144"/>
      <c r="G106" s="144"/>
      <c r="H106" s="144"/>
      <c r="I106" s="144"/>
      <c r="J106" s="144"/>
      <c r="K106" s="144"/>
      <c r="L106" s="144"/>
      <c r="M106" s="144"/>
      <c r="N106" s="144"/>
      <c r="O106" s="144"/>
      <c r="P106" s="144"/>
      <c r="Q106" s="144"/>
      <c r="R106" s="144"/>
      <c r="S106" s="144"/>
    </row>
    <row r="107" spans="1:19" ht="15" customHeight="1">
      <c r="B107" s="305" t="s">
        <v>1186</v>
      </c>
      <c r="C107" s="144"/>
      <c r="D107" s="144"/>
      <c r="E107" s="144"/>
      <c r="F107" s="144"/>
      <c r="G107" s="144"/>
      <c r="H107" s="144"/>
      <c r="I107" s="144"/>
      <c r="J107" s="144"/>
      <c r="K107" s="144"/>
      <c r="L107" s="144"/>
      <c r="M107" s="144"/>
      <c r="N107" s="144"/>
      <c r="O107" s="144"/>
      <c r="P107" s="144"/>
      <c r="Q107" s="144"/>
      <c r="R107" s="144"/>
      <c r="S107" s="144"/>
    </row>
    <row r="108" spans="1:19" ht="15" customHeight="1">
      <c r="B108" s="305" t="s">
        <v>1187</v>
      </c>
      <c r="C108" s="144"/>
      <c r="D108" s="144"/>
      <c r="E108" s="144"/>
      <c r="F108" s="144"/>
      <c r="G108" s="144"/>
      <c r="H108" s="144"/>
      <c r="I108" s="144"/>
      <c r="J108" s="144"/>
      <c r="K108" s="144"/>
      <c r="L108" s="144"/>
      <c r="M108" s="144"/>
      <c r="N108" s="144"/>
      <c r="O108" s="144"/>
      <c r="P108" s="144"/>
      <c r="Q108" s="144"/>
      <c r="R108" s="144"/>
      <c r="S108" s="144"/>
    </row>
    <row r="109" spans="1:19" ht="15" customHeight="1">
      <c r="B109" s="305" t="s">
        <v>1188</v>
      </c>
      <c r="C109" s="144">
        <f>Inputs!C109</f>
        <v>0</v>
      </c>
      <c r="D109" s="144">
        <f t="shared" si="46"/>
        <v>0</v>
      </c>
      <c r="E109" s="144">
        <f t="shared" si="46"/>
        <v>0</v>
      </c>
      <c r="F109" s="144">
        <f t="shared" si="46"/>
        <v>0</v>
      </c>
      <c r="G109" s="144">
        <f t="shared" si="46"/>
        <v>0</v>
      </c>
      <c r="H109" s="144">
        <f t="shared" si="46"/>
        <v>0</v>
      </c>
      <c r="I109" s="144">
        <f t="shared" si="46"/>
        <v>0</v>
      </c>
      <c r="J109" s="144">
        <f t="shared" si="46"/>
        <v>0</v>
      </c>
      <c r="K109" s="144">
        <f t="shared" si="46"/>
        <v>0</v>
      </c>
      <c r="L109" s="144">
        <f t="shared" si="46"/>
        <v>0</v>
      </c>
      <c r="M109" s="144">
        <f t="shared" si="46"/>
        <v>0</v>
      </c>
      <c r="N109" s="144">
        <f t="shared" si="46"/>
        <v>0</v>
      </c>
      <c r="O109" s="144">
        <f t="shared" si="46"/>
        <v>0</v>
      </c>
      <c r="P109" s="144">
        <f t="shared" si="46"/>
        <v>0</v>
      </c>
      <c r="Q109" s="144">
        <f t="shared" si="46"/>
        <v>0</v>
      </c>
      <c r="R109" s="144">
        <f t="shared" si="46"/>
        <v>0</v>
      </c>
      <c r="S109" s="144">
        <f t="shared" si="46"/>
        <v>0</v>
      </c>
    </row>
    <row r="110" spans="1:19" ht="15" customHeight="1">
      <c r="B110" s="305" t="s">
        <v>1189</v>
      </c>
      <c r="C110" s="144">
        <f>Inputs!C110</f>
        <v>1</v>
      </c>
      <c r="D110" s="144">
        <f t="shared" si="46"/>
        <v>1</v>
      </c>
      <c r="E110" s="144">
        <f t="shared" si="46"/>
        <v>1</v>
      </c>
      <c r="F110" s="144">
        <f t="shared" si="46"/>
        <v>1</v>
      </c>
      <c r="G110" s="144">
        <f t="shared" si="46"/>
        <v>1</v>
      </c>
      <c r="H110" s="144">
        <f t="shared" si="46"/>
        <v>1</v>
      </c>
      <c r="I110" s="144">
        <f t="shared" si="46"/>
        <v>1</v>
      </c>
      <c r="J110" s="144">
        <f t="shared" si="46"/>
        <v>1</v>
      </c>
      <c r="K110" s="144">
        <f t="shared" si="46"/>
        <v>1</v>
      </c>
      <c r="L110" s="144">
        <f t="shared" si="46"/>
        <v>1</v>
      </c>
      <c r="M110" s="144">
        <f t="shared" si="46"/>
        <v>1</v>
      </c>
      <c r="N110" s="144">
        <f t="shared" si="46"/>
        <v>1</v>
      </c>
      <c r="O110" s="144">
        <f t="shared" si="46"/>
        <v>1</v>
      </c>
      <c r="P110" s="144">
        <f t="shared" si="46"/>
        <v>1</v>
      </c>
      <c r="Q110" s="144">
        <f t="shared" si="46"/>
        <v>1</v>
      </c>
      <c r="R110" s="144">
        <f t="shared" si="46"/>
        <v>1</v>
      </c>
      <c r="S110" s="144">
        <f t="shared" si="46"/>
        <v>1</v>
      </c>
    </row>
    <row r="111" spans="1:19" ht="15" customHeight="1">
      <c r="A111" s="305" t="s">
        <v>99</v>
      </c>
      <c r="B111" s="305" t="s">
        <v>1190</v>
      </c>
      <c r="C111" s="144">
        <f>Inputs!C111</f>
        <v>1</v>
      </c>
      <c r="D111" s="144">
        <f t="shared" si="46"/>
        <v>1</v>
      </c>
      <c r="E111" s="144">
        <f t="shared" si="46"/>
        <v>1</v>
      </c>
      <c r="F111" s="144">
        <f t="shared" si="46"/>
        <v>1</v>
      </c>
      <c r="G111" s="144">
        <f t="shared" si="46"/>
        <v>1</v>
      </c>
      <c r="H111" s="144">
        <f t="shared" si="46"/>
        <v>1</v>
      </c>
      <c r="I111" s="144">
        <f t="shared" si="46"/>
        <v>1</v>
      </c>
      <c r="J111" s="144">
        <f t="shared" si="46"/>
        <v>1</v>
      </c>
      <c r="K111" s="144">
        <f t="shared" si="46"/>
        <v>1</v>
      </c>
      <c r="L111" s="144">
        <f t="shared" si="46"/>
        <v>1</v>
      </c>
      <c r="M111" s="144">
        <f t="shared" si="46"/>
        <v>1</v>
      </c>
      <c r="N111" s="144">
        <f t="shared" si="46"/>
        <v>1</v>
      </c>
      <c r="O111" s="144">
        <f t="shared" si="46"/>
        <v>1</v>
      </c>
      <c r="P111" s="144">
        <f t="shared" si="46"/>
        <v>1</v>
      </c>
      <c r="Q111" s="144">
        <f t="shared" si="46"/>
        <v>1</v>
      </c>
      <c r="R111" s="144">
        <f t="shared" si="46"/>
        <v>1</v>
      </c>
      <c r="S111" s="144">
        <f t="shared" si="46"/>
        <v>1</v>
      </c>
    </row>
    <row r="112" spans="1:19" ht="15" customHeight="1">
      <c r="B112" s="305" t="s">
        <v>1191</v>
      </c>
      <c r="C112" s="11">
        <f>Ducts!I14</f>
        <v>0.05</v>
      </c>
      <c r="D112" s="11">
        <f>Ducts!J14</f>
        <v>0.05</v>
      </c>
      <c r="E112" s="11">
        <f>Ducts!K14</f>
        <v>0.05</v>
      </c>
      <c r="F112" s="11">
        <f>Ducts!L14</f>
        <v>0.05</v>
      </c>
      <c r="G112" s="11">
        <f>Ducts!M14</f>
        <v>0.05</v>
      </c>
      <c r="H112" s="11">
        <f>Ducts!N14</f>
        <v>0.05</v>
      </c>
      <c r="I112" s="11">
        <f>Ducts!O14</f>
        <v>0.05</v>
      </c>
      <c r="J112" s="11">
        <f>Ducts!P14</f>
        <v>0.05</v>
      </c>
      <c r="K112" s="11">
        <f>Ducts!Q14</f>
        <v>0.05</v>
      </c>
      <c r="L112" s="11">
        <f>Ducts!R14</f>
        <v>0.05</v>
      </c>
      <c r="M112" s="11">
        <f>Ducts!S14</f>
        <v>0.05</v>
      </c>
      <c r="N112" s="11">
        <f>Ducts!T14</f>
        <v>0.05</v>
      </c>
      <c r="O112" s="11">
        <f>Ducts!U14</f>
        <v>0.05</v>
      </c>
      <c r="P112" s="11">
        <f>Ducts!V14</f>
        <v>0.05</v>
      </c>
      <c r="Q112" s="11">
        <f>Ducts!W14</f>
        <v>0.05</v>
      </c>
      <c r="R112" s="11">
        <f>Ducts!X14</f>
        <v>0.05</v>
      </c>
      <c r="S112" s="11">
        <f>Ducts!Y14</f>
        <v>0.05</v>
      </c>
    </row>
    <row r="113" spans="1:19" ht="15" customHeight="1">
      <c r="B113" s="305" t="s">
        <v>1192</v>
      </c>
      <c r="C113" s="11">
        <f>Ducts!I14</f>
        <v>0.05</v>
      </c>
      <c r="D113" s="11">
        <f>Ducts!J14</f>
        <v>0.05</v>
      </c>
      <c r="E113" s="11">
        <f>Ducts!K14</f>
        <v>0.05</v>
      </c>
      <c r="F113" s="11">
        <f>Ducts!L14</f>
        <v>0.05</v>
      </c>
      <c r="G113" s="11">
        <f>Ducts!M14</f>
        <v>0.05</v>
      </c>
      <c r="H113" s="11">
        <f>Ducts!N14</f>
        <v>0.05</v>
      </c>
      <c r="I113" s="11">
        <f>Ducts!O14</f>
        <v>0.05</v>
      </c>
      <c r="J113" s="11">
        <f>Ducts!P14</f>
        <v>0.05</v>
      </c>
      <c r="K113" s="11">
        <f>Ducts!Q14</f>
        <v>0.05</v>
      </c>
      <c r="L113" s="11">
        <f>Ducts!R14</f>
        <v>0.05</v>
      </c>
      <c r="M113" s="11">
        <f>Ducts!S14</f>
        <v>0.05</v>
      </c>
      <c r="N113" s="11">
        <f>Ducts!T14</f>
        <v>0.05</v>
      </c>
      <c r="O113" s="11">
        <f>Ducts!U14</f>
        <v>0.05</v>
      </c>
      <c r="P113" s="11">
        <f>Ducts!V14</f>
        <v>0.05</v>
      </c>
      <c r="Q113" s="11">
        <f>Ducts!W14</f>
        <v>0.05</v>
      </c>
      <c r="R113" s="11">
        <f>Ducts!X14</f>
        <v>0.05</v>
      </c>
      <c r="S113" s="11">
        <f>Ducts!Y14</f>
        <v>0.05</v>
      </c>
    </row>
    <row r="114" spans="1:19" ht="15" customHeight="1">
      <c r="B114" s="305" t="s">
        <v>104</v>
      </c>
      <c r="C114" s="11">
        <f>Ducts!I16</f>
        <v>1.5322296583303978</v>
      </c>
      <c r="D114" s="11">
        <f>Ducts!J16</f>
        <v>1.5322296583303978</v>
      </c>
      <c r="E114" s="11">
        <f>Ducts!K16</f>
        <v>1.5322296583303978</v>
      </c>
      <c r="F114" s="11">
        <f>Ducts!L16</f>
        <v>1.5322296583303978</v>
      </c>
      <c r="G114" s="11">
        <f>Ducts!M16</f>
        <v>1.5322296583303978</v>
      </c>
      <c r="H114" s="11">
        <f>Ducts!N16</f>
        <v>1.5322296583303978</v>
      </c>
      <c r="I114" s="11">
        <f>Ducts!O16</f>
        <v>1.5322296583303978</v>
      </c>
      <c r="J114" s="11">
        <f>Ducts!P16</f>
        <v>1.5322296583303978</v>
      </c>
      <c r="K114" s="11">
        <f>Ducts!Q16</f>
        <v>1.5322296583303978</v>
      </c>
      <c r="L114" s="11">
        <f>Ducts!R16</f>
        <v>1.5322296583303978</v>
      </c>
      <c r="M114" s="11">
        <f>Ducts!S16</f>
        <v>1.5322296583303978</v>
      </c>
      <c r="N114" s="11">
        <f>Ducts!T16</f>
        <v>1.5322296583303978</v>
      </c>
      <c r="O114" s="11">
        <f>Ducts!U16</f>
        <v>1.5322296583303978</v>
      </c>
      <c r="P114" s="11">
        <f>Ducts!V16</f>
        <v>1.5322296583303978</v>
      </c>
      <c r="Q114" s="11">
        <f>Ducts!W16</f>
        <v>1.5322296583303978</v>
      </c>
      <c r="R114" s="11">
        <f>Ducts!X16</f>
        <v>1.5322296583303978</v>
      </c>
      <c r="S114" s="11">
        <f>Ducts!Y16</f>
        <v>1.5322296583303978</v>
      </c>
    </row>
    <row r="115" spans="1:19" ht="15" customHeight="1">
      <c r="B115" s="305" t="s">
        <v>106</v>
      </c>
      <c r="C115" s="11">
        <f>Ducts!I16</f>
        <v>1.5322296583303978</v>
      </c>
      <c r="D115" s="11">
        <f>Ducts!J16</f>
        <v>1.5322296583303978</v>
      </c>
      <c r="E115" s="11">
        <f>Ducts!K16</f>
        <v>1.5322296583303978</v>
      </c>
      <c r="F115" s="11">
        <f>Ducts!L16</f>
        <v>1.5322296583303978</v>
      </c>
      <c r="G115" s="11">
        <f>Ducts!M16</f>
        <v>1.5322296583303978</v>
      </c>
      <c r="H115" s="11">
        <f>Ducts!N16</f>
        <v>1.5322296583303978</v>
      </c>
      <c r="I115" s="11">
        <f>Ducts!O16</f>
        <v>1.5322296583303978</v>
      </c>
      <c r="J115" s="11">
        <f>Ducts!P16</f>
        <v>1.5322296583303978</v>
      </c>
      <c r="K115" s="11">
        <f>Ducts!Q16</f>
        <v>1.5322296583303978</v>
      </c>
      <c r="L115" s="11">
        <f>Ducts!R16</f>
        <v>1.5322296583303978</v>
      </c>
      <c r="M115" s="11">
        <f>Ducts!S16</f>
        <v>1.5322296583303978</v>
      </c>
      <c r="N115" s="11">
        <f>Ducts!T16</f>
        <v>1.5322296583303978</v>
      </c>
      <c r="O115" s="11">
        <f>Ducts!U16</f>
        <v>1.5322296583303978</v>
      </c>
      <c r="P115" s="11">
        <f>Ducts!V16</f>
        <v>1.5322296583303978</v>
      </c>
      <c r="Q115" s="11">
        <f>Ducts!W16</f>
        <v>1.5322296583303978</v>
      </c>
      <c r="R115" s="11">
        <f>Ducts!X16</f>
        <v>1.5322296583303978</v>
      </c>
      <c r="S115" s="11">
        <f>Ducts!Y16</f>
        <v>1.5322296583303978</v>
      </c>
    </row>
    <row r="116" spans="1:19" ht="15" customHeight="1">
      <c r="B116" s="305" t="s">
        <v>1329</v>
      </c>
      <c r="C116" s="169">
        <f>Inputs!C116</f>
        <v>0</v>
      </c>
      <c r="D116" s="169">
        <f t="shared" ref="D116:S125" si="47">C116</f>
        <v>0</v>
      </c>
      <c r="E116" s="169">
        <f t="shared" si="47"/>
        <v>0</v>
      </c>
      <c r="F116" s="169">
        <f t="shared" si="47"/>
        <v>0</v>
      </c>
      <c r="G116" s="169">
        <f t="shared" si="47"/>
        <v>0</v>
      </c>
      <c r="H116" s="169">
        <f t="shared" si="47"/>
        <v>0</v>
      </c>
      <c r="I116" s="169">
        <f t="shared" si="47"/>
        <v>0</v>
      </c>
      <c r="J116" s="169">
        <f t="shared" si="47"/>
        <v>0</v>
      </c>
      <c r="K116" s="169">
        <f t="shared" si="47"/>
        <v>0</v>
      </c>
      <c r="L116" s="169">
        <f t="shared" si="47"/>
        <v>0</v>
      </c>
      <c r="M116" s="169">
        <f t="shared" si="47"/>
        <v>0</v>
      </c>
      <c r="N116" s="169">
        <f t="shared" si="47"/>
        <v>0</v>
      </c>
      <c r="O116" s="169">
        <f t="shared" si="47"/>
        <v>0</v>
      </c>
      <c r="P116" s="169">
        <f t="shared" si="47"/>
        <v>0</v>
      </c>
      <c r="Q116" s="169">
        <f t="shared" si="47"/>
        <v>0</v>
      </c>
      <c r="R116" s="169">
        <f t="shared" si="47"/>
        <v>0</v>
      </c>
      <c r="S116" s="169">
        <f t="shared" si="47"/>
        <v>0</v>
      </c>
    </row>
    <row r="117" spans="1:19" ht="15" customHeight="1">
      <c r="B117" s="305" t="s">
        <v>1330</v>
      </c>
      <c r="C117" s="169">
        <f>Inputs!C117</f>
        <v>0</v>
      </c>
      <c r="D117" s="169">
        <f t="shared" si="47"/>
        <v>0</v>
      </c>
      <c r="E117" s="169">
        <f t="shared" si="47"/>
        <v>0</v>
      </c>
      <c r="F117" s="169">
        <f t="shared" si="47"/>
        <v>0</v>
      </c>
      <c r="G117" s="169">
        <f t="shared" si="47"/>
        <v>0</v>
      </c>
      <c r="H117" s="169">
        <f t="shared" si="47"/>
        <v>0</v>
      </c>
      <c r="I117" s="169">
        <f t="shared" si="47"/>
        <v>0</v>
      </c>
      <c r="J117" s="169">
        <f t="shared" si="47"/>
        <v>0</v>
      </c>
      <c r="K117" s="169">
        <f t="shared" si="47"/>
        <v>0</v>
      </c>
      <c r="L117" s="169">
        <f t="shared" si="47"/>
        <v>0</v>
      </c>
      <c r="M117" s="169">
        <f t="shared" si="47"/>
        <v>0</v>
      </c>
      <c r="N117" s="169">
        <f t="shared" si="47"/>
        <v>0</v>
      </c>
      <c r="O117" s="169">
        <f t="shared" si="47"/>
        <v>0</v>
      </c>
      <c r="P117" s="169">
        <f t="shared" si="47"/>
        <v>0</v>
      </c>
      <c r="Q117" s="169">
        <f t="shared" si="47"/>
        <v>0</v>
      </c>
      <c r="R117" s="169">
        <f t="shared" si="47"/>
        <v>0</v>
      </c>
      <c r="S117" s="169">
        <f t="shared" si="47"/>
        <v>0</v>
      </c>
    </row>
    <row r="118" spans="1:19" ht="15" customHeight="1">
      <c r="B118" s="305" t="s">
        <v>1193</v>
      </c>
      <c r="C118" s="8">
        <f>Inputs!C118</f>
        <v>34.368210319066286</v>
      </c>
      <c r="D118" s="8">
        <f t="shared" si="47"/>
        <v>34.368210319066286</v>
      </c>
      <c r="E118" s="8">
        <f t="shared" si="47"/>
        <v>34.368210319066286</v>
      </c>
      <c r="F118" s="8">
        <f t="shared" si="47"/>
        <v>34.368210319066286</v>
      </c>
      <c r="G118" s="8">
        <f t="shared" si="47"/>
        <v>34.368210319066286</v>
      </c>
      <c r="H118" s="8">
        <f t="shared" si="47"/>
        <v>34.368210319066286</v>
      </c>
      <c r="I118" s="8">
        <f t="shared" si="47"/>
        <v>34.368210319066286</v>
      </c>
      <c r="J118" s="8">
        <f t="shared" si="47"/>
        <v>34.368210319066286</v>
      </c>
      <c r="K118" s="8">
        <f t="shared" si="47"/>
        <v>34.368210319066286</v>
      </c>
      <c r="L118" s="8">
        <f t="shared" si="47"/>
        <v>34.368210319066286</v>
      </c>
      <c r="M118" s="8">
        <f t="shared" si="47"/>
        <v>34.368210319066286</v>
      </c>
      <c r="N118" s="8">
        <f t="shared" si="47"/>
        <v>34.368210319066286</v>
      </c>
      <c r="O118" s="8">
        <f t="shared" si="47"/>
        <v>34.368210319066286</v>
      </c>
      <c r="P118" s="8">
        <f t="shared" si="47"/>
        <v>34.368210319066286</v>
      </c>
      <c r="Q118" s="8">
        <f t="shared" si="47"/>
        <v>34.368210319066286</v>
      </c>
      <c r="R118" s="8">
        <f t="shared" si="47"/>
        <v>34.368210319066286</v>
      </c>
      <c r="S118" s="276">
        <f t="shared" si="47"/>
        <v>34.368210319066286</v>
      </c>
    </row>
    <row r="119" spans="1:19" ht="15" customHeight="1">
      <c r="B119" s="305" t="s">
        <v>1194</v>
      </c>
      <c r="C119" s="8">
        <f>Inputs!C119</f>
        <v>3.5358241068998235</v>
      </c>
      <c r="D119" s="8">
        <f t="shared" si="47"/>
        <v>3.5358241068998235</v>
      </c>
      <c r="E119" s="8">
        <f t="shared" si="47"/>
        <v>3.5358241068998235</v>
      </c>
      <c r="F119" s="8">
        <f t="shared" si="47"/>
        <v>3.5358241068998235</v>
      </c>
      <c r="G119" s="8">
        <f t="shared" si="47"/>
        <v>3.5358241068998235</v>
      </c>
      <c r="H119" s="8">
        <f t="shared" si="47"/>
        <v>3.5358241068998235</v>
      </c>
      <c r="I119" s="8">
        <f t="shared" si="47"/>
        <v>3.5358241068998235</v>
      </c>
      <c r="J119" s="8">
        <f t="shared" si="47"/>
        <v>3.5358241068998235</v>
      </c>
      <c r="K119" s="8">
        <f t="shared" si="47"/>
        <v>3.5358241068998235</v>
      </c>
      <c r="L119" s="8">
        <f t="shared" si="47"/>
        <v>3.5358241068998235</v>
      </c>
      <c r="M119" s="8">
        <f t="shared" si="47"/>
        <v>3.5358241068998235</v>
      </c>
      <c r="N119" s="8">
        <f t="shared" si="47"/>
        <v>3.5358241068998235</v>
      </c>
      <c r="O119" s="8">
        <f t="shared" si="47"/>
        <v>3.5358241068998235</v>
      </c>
      <c r="P119" s="8">
        <f t="shared" si="47"/>
        <v>3.5358241068998235</v>
      </c>
      <c r="Q119" s="8">
        <f t="shared" si="47"/>
        <v>3.5358241068998235</v>
      </c>
      <c r="R119" s="8">
        <f t="shared" si="47"/>
        <v>3.5358241068998235</v>
      </c>
      <c r="S119" s="276">
        <f t="shared" si="47"/>
        <v>3.5358241068998235</v>
      </c>
    </row>
    <row r="120" spans="1:19" ht="15" customHeight="1">
      <c r="B120" s="305" t="s">
        <v>1195</v>
      </c>
      <c r="C120" s="6">
        <f>Inputs!C120</f>
        <v>0.25</v>
      </c>
      <c r="D120" s="6">
        <f t="shared" si="47"/>
        <v>0.25</v>
      </c>
      <c r="E120" s="6">
        <f t="shared" si="47"/>
        <v>0.25</v>
      </c>
      <c r="F120" s="6">
        <f t="shared" si="47"/>
        <v>0.25</v>
      </c>
      <c r="G120" s="6">
        <f t="shared" si="47"/>
        <v>0.25</v>
      </c>
      <c r="H120" s="6">
        <f t="shared" si="47"/>
        <v>0.25</v>
      </c>
      <c r="I120" s="6">
        <f t="shared" si="47"/>
        <v>0.25</v>
      </c>
      <c r="J120" s="6">
        <f t="shared" si="47"/>
        <v>0.25</v>
      </c>
      <c r="K120" s="6">
        <f t="shared" si="47"/>
        <v>0.25</v>
      </c>
      <c r="L120" s="6">
        <f t="shared" si="47"/>
        <v>0.25</v>
      </c>
      <c r="M120" s="6">
        <f t="shared" si="47"/>
        <v>0.25</v>
      </c>
      <c r="N120" s="6">
        <f t="shared" si="47"/>
        <v>0.25</v>
      </c>
      <c r="O120" s="6">
        <f t="shared" si="47"/>
        <v>0.25</v>
      </c>
      <c r="P120" s="6">
        <f t="shared" si="47"/>
        <v>0.25</v>
      </c>
      <c r="Q120" s="6">
        <f t="shared" si="47"/>
        <v>0.25</v>
      </c>
      <c r="R120" s="6">
        <f t="shared" si="47"/>
        <v>0.25</v>
      </c>
      <c r="S120" s="6">
        <f t="shared" si="47"/>
        <v>0.25</v>
      </c>
    </row>
    <row r="121" spans="1:19" ht="15" customHeight="1">
      <c r="B121" s="305" t="s">
        <v>1196</v>
      </c>
      <c r="C121" s="6">
        <f>Inputs!C121</f>
        <v>0.45</v>
      </c>
      <c r="D121" s="6">
        <f t="shared" si="47"/>
        <v>0.45</v>
      </c>
      <c r="E121" s="6">
        <f t="shared" si="47"/>
        <v>0.45</v>
      </c>
      <c r="F121" s="6">
        <f t="shared" si="47"/>
        <v>0.45</v>
      </c>
      <c r="G121" s="6">
        <f t="shared" si="47"/>
        <v>0.45</v>
      </c>
      <c r="H121" s="6">
        <f t="shared" si="47"/>
        <v>0.45</v>
      </c>
      <c r="I121" s="6">
        <f t="shared" si="47"/>
        <v>0.45</v>
      </c>
      <c r="J121" s="6">
        <f t="shared" si="47"/>
        <v>0.45</v>
      </c>
      <c r="K121" s="6">
        <f t="shared" si="47"/>
        <v>0.45</v>
      </c>
      <c r="L121" s="6">
        <f t="shared" si="47"/>
        <v>0.45</v>
      </c>
      <c r="M121" s="6">
        <f t="shared" si="47"/>
        <v>0.45</v>
      </c>
      <c r="N121" s="6">
        <f t="shared" si="47"/>
        <v>0.45</v>
      </c>
      <c r="O121" s="6">
        <f t="shared" si="47"/>
        <v>0.45</v>
      </c>
      <c r="P121" s="6">
        <f t="shared" si="47"/>
        <v>0.45</v>
      </c>
      <c r="Q121" s="6">
        <f t="shared" si="47"/>
        <v>0.45</v>
      </c>
      <c r="R121" s="6">
        <f t="shared" si="47"/>
        <v>0.45</v>
      </c>
      <c r="S121" s="6">
        <f t="shared" si="47"/>
        <v>0.45</v>
      </c>
    </row>
    <row r="122" spans="1:19" ht="15" customHeight="1">
      <c r="B122" s="305" t="s">
        <v>1197</v>
      </c>
      <c r="C122" s="324">
        <f>HVAC!C27</f>
        <v>0.25145359773696002</v>
      </c>
      <c r="D122" s="324">
        <f>HVAC!D27</f>
        <v>0.25145359773696002</v>
      </c>
      <c r="E122" s="324" t="e">
        <f>HVAC!E27</f>
        <v>#N/A</v>
      </c>
      <c r="F122" s="324">
        <f>HVAC!F27</f>
        <v>0.27332836172928004</v>
      </c>
      <c r="G122" s="324" t="e">
        <f>HVAC!G27</f>
        <v>#N/A</v>
      </c>
      <c r="H122" s="324" t="e">
        <f>HVAC!H27</f>
        <v>#N/A</v>
      </c>
      <c r="I122" s="324">
        <f>HVAC!I27</f>
        <v>0.27332836172928004</v>
      </c>
      <c r="J122" s="324" t="e">
        <f>HVAC!J27</f>
        <v>#N/A</v>
      </c>
      <c r="K122" s="324" t="e">
        <f>HVAC!K27</f>
        <v>#N/A</v>
      </c>
      <c r="L122" s="324" t="e">
        <f>HVAC!L27</f>
        <v>#N/A</v>
      </c>
      <c r="M122" s="324" t="e">
        <f>HVAC!M27</f>
        <v>#N/A</v>
      </c>
      <c r="N122" s="324" t="e">
        <f>HVAC!N27</f>
        <v>#N/A</v>
      </c>
      <c r="O122" s="324" t="e">
        <f>HVAC!O27</f>
        <v>#N/A</v>
      </c>
      <c r="P122" s="324" t="e">
        <f>HVAC!P27</f>
        <v>#N/A</v>
      </c>
      <c r="Q122" s="324" t="e">
        <f>HVAC!Q27</f>
        <v>#N/A</v>
      </c>
      <c r="R122" s="324">
        <f>HVAC!R27</f>
        <v>0.25145359773696002</v>
      </c>
      <c r="S122" s="324">
        <f>HVAC!S27</f>
        <v>0.27332836172928004</v>
      </c>
    </row>
    <row r="123" spans="1:19" ht="15" customHeight="1">
      <c r="B123" s="305" t="s">
        <v>1198</v>
      </c>
      <c r="C123" s="325">
        <f>HVAC!C28</f>
        <v>0.23784804152902314</v>
      </c>
      <c r="D123" s="325">
        <f>HVAC!D28</f>
        <v>0.23784804152902314</v>
      </c>
      <c r="E123" s="325" t="e">
        <f>HVAC!E28</f>
        <v>#N/A</v>
      </c>
      <c r="F123" s="325">
        <f>HVAC!F28</f>
        <v>0.23784804152902314</v>
      </c>
      <c r="G123" s="325" t="e">
        <f>HVAC!G28</f>
        <v>#N/A</v>
      </c>
      <c r="H123" s="325" t="e">
        <f>HVAC!H28</f>
        <v>#N/A</v>
      </c>
      <c r="I123" s="325">
        <f>HVAC!I28</f>
        <v>0.23784804152902314</v>
      </c>
      <c r="J123" s="325" t="e">
        <f>HVAC!J28</f>
        <v>#N/A</v>
      </c>
      <c r="K123" s="325" t="e">
        <f>HVAC!K28</f>
        <v>#N/A</v>
      </c>
      <c r="L123" s="325" t="e">
        <f>HVAC!L28</f>
        <v>#N/A</v>
      </c>
      <c r="M123" s="325" t="e">
        <f>HVAC!M28</f>
        <v>#N/A</v>
      </c>
      <c r="N123" s="325" t="e">
        <f>HVAC!N28</f>
        <v>#N/A</v>
      </c>
      <c r="O123" s="325" t="e">
        <f>HVAC!O28</f>
        <v>#N/A</v>
      </c>
      <c r="P123" s="325" t="e">
        <f>HVAC!P28</f>
        <v>#N/A</v>
      </c>
      <c r="Q123" s="325" t="e">
        <f>HVAC!Q28</f>
        <v>#N/A</v>
      </c>
      <c r="R123" s="325">
        <f>HVAC!R28</f>
        <v>0.23784804152902314</v>
      </c>
      <c r="S123" s="325">
        <f>HVAC!S28</f>
        <v>0.23784804152902314</v>
      </c>
    </row>
    <row r="124" spans="1:19" ht="15" customHeight="1">
      <c r="B124" s="305" t="s">
        <v>113</v>
      </c>
      <c r="C124" s="8">
        <f>Inputs!C124</f>
        <v>0.6</v>
      </c>
      <c r="D124" s="8">
        <f>C124</f>
        <v>0.6</v>
      </c>
      <c r="E124" s="8">
        <f t="shared" si="47"/>
        <v>0.6</v>
      </c>
      <c r="F124" s="8">
        <f t="shared" si="47"/>
        <v>0.6</v>
      </c>
      <c r="G124" s="8">
        <f t="shared" si="47"/>
        <v>0.6</v>
      </c>
      <c r="H124" s="8">
        <f t="shared" si="47"/>
        <v>0.6</v>
      </c>
      <c r="I124" s="8">
        <f t="shared" si="47"/>
        <v>0.6</v>
      </c>
      <c r="J124" s="8">
        <f t="shared" si="47"/>
        <v>0.6</v>
      </c>
      <c r="K124" s="8">
        <f t="shared" si="47"/>
        <v>0.6</v>
      </c>
      <c r="L124" s="8">
        <f t="shared" si="47"/>
        <v>0.6</v>
      </c>
      <c r="M124" s="8">
        <f t="shared" si="47"/>
        <v>0.6</v>
      </c>
      <c r="N124" s="8">
        <f t="shared" si="47"/>
        <v>0.6</v>
      </c>
      <c r="O124" s="8">
        <f t="shared" si="47"/>
        <v>0.6</v>
      </c>
      <c r="P124" s="8">
        <f t="shared" si="47"/>
        <v>0.6</v>
      </c>
      <c r="Q124" s="8">
        <f t="shared" si="47"/>
        <v>0.6</v>
      </c>
      <c r="R124" s="8">
        <f t="shared" si="47"/>
        <v>0.6</v>
      </c>
      <c r="S124" s="276">
        <f t="shared" si="47"/>
        <v>0.6</v>
      </c>
    </row>
    <row r="125" spans="1:19" ht="15" customHeight="1">
      <c r="B125" s="305" t="s">
        <v>115</v>
      </c>
      <c r="C125" s="8">
        <f>Inputs!C125</f>
        <v>0.6</v>
      </c>
      <c r="D125" s="8">
        <f>C125</f>
        <v>0.6</v>
      </c>
      <c r="E125" s="8">
        <f t="shared" si="47"/>
        <v>0.6</v>
      </c>
      <c r="F125" s="8">
        <f t="shared" si="47"/>
        <v>0.6</v>
      </c>
      <c r="G125" s="8">
        <f t="shared" si="47"/>
        <v>0.6</v>
      </c>
      <c r="H125" s="8">
        <f t="shared" si="47"/>
        <v>0.6</v>
      </c>
      <c r="I125" s="8">
        <f t="shared" si="47"/>
        <v>0.6</v>
      </c>
      <c r="J125" s="8">
        <f t="shared" si="47"/>
        <v>0.6</v>
      </c>
      <c r="K125" s="8">
        <f t="shared" si="47"/>
        <v>0.6</v>
      </c>
      <c r="L125" s="8">
        <f t="shared" si="47"/>
        <v>0.6</v>
      </c>
      <c r="M125" s="8">
        <f t="shared" si="47"/>
        <v>0.6</v>
      </c>
      <c r="N125" s="8">
        <f t="shared" si="47"/>
        <v>0.6</v>
      </c>
      <c r="O125" s="8">
        <f t="shared" si="47"/>
        <v>0.6</v>
      </c>
      <c r="P125" s="8">
        <f t="shared" si="47"/>
        <v>0.6</v>
      </c>
      <c r="Q125" s="8">
        <f t="shared" si="47"/>
        <v>0.6</v>
      </c>
      <c r="R125" s="8">
        <f t="shared" si="47"/>
        <v>0.6</v>
      </c>
      <c r="S125" s="276">
        <f t="shared" si="47"/>
        <v>0.6</v>
      </c>
    </row>
    <row r="126" spans="1:19" ht="15" customHeight="1">
      <c r="B126" s="305" t="s">
        <v>117</v>
      </c>
      <c r="C126" s="12">
        <f>HVAC!C31</f>
        <v>0</v>
      </c>
      <c r="D126" s="12">
        <f>HVAC!D31</f>
        <v>0</v>
      </c>
      <c r="E126" s="12" t="e">
        <f>HVAC!E31</f>
        <v>#N/A</v>
      </c>
      <c r="F126" s="12">
        <f>HVAC!F31</f>
        <v>0</v>
      </c>
      <c r="G126" s="12" t="e">
        <f>HVAC!G31</f>
        <v>#N/A</v>
      </c>
      <c r="H126" s="12" t="e">
        <f>HVAC!H31</f>
        <v>#N/A</v>
      </c>
      <c r="I126" s="12">
        <f>HVAC!I31</f>
        <v>0</v>
      </c>
      <c r="J126" s="12" t="e">
        <f>HVAC!J31</f>
        <v>#N/A</v>
      </c>
      <c r="K126" s="12" t="e">
        <f>HVAC!K31</f>
        <v>#N/A</v>
      </c>
      <c r="L126" s="12" t="e">
        <f>HVAC!L31</f>
        <v>#N/A</v>
      </c>
      <c r="M126" s="12" t="e">
        <f>HVAC!M31</f>
        <v>#N/A</v>
      </c>
      <c r="N126" s="12" t="e">
        <f>HVAC!N31</f>
        <v>#N/A</v>
      </c>
      <c r="O126" s="12" t="e">
        <f>HVAC!O31</f>
        <v>#N/A</v>
      </c>
      <c r="P126" s="12" t="e">
        <f>HVAC!P31</f>
        <v>#N/A</v>
      </c>
      <c r="Q126" s="12" t="e">
        <f>HVAC!Q31</f>
        <v>#N/A</v>
      </c>
      <c r="R126" s="12">
        <f>HVAC!R31</f>
        <v>0</v>
      </c>
      <c r="S126" s="12">
        <f>HVAC!S31</f>
        <v>0</v>
      </c>
    </row>
    <row r="127" spans="1:19" ht="15" customHeight="1">
      <c r="B127" s="305" t="s">
        <v>119</v>
      </c>
      <c r="C127" s="12">
        <f>HVAC!C32</f>
        <v>0</v>
      </c>
      <c r="D127" s="12">
        <f>HVAC!D32</f>
        <v>0</v>
      </c>
      <c r="E127" s="12" t="e">
        <f>HVAC!E32</f>
        <v>#N/A</v>
      </c>
      <c r="F127" s="12">
        <f>HVAC!F32</f>
        <v>0</v>
      </c>
      <c r="G127" s="12" t="e">
        <f>HVAC!G32</f>
        <v>#N/A</v>
      </c>
      <c r="H127" s="12" t="e">
        <f>HVAC!H32</f>
        <v>#N/A</v>
      </c>
      <c r="I127" s="12">
        <f>HVAC!I32</f>
        <v>0</v>
      </c>
      <c r="J127" s="12" t="e">
        <f>HVAC!J32</f>
        <v>#N/A</v>
      </c>
      <c r="K127" s="12" t="e">
        <f>HVAC!K32</f>
        <v>#N/A</v>
      </c>
      <c r="L127" s="12" t="e">
        <f>HVAC!L32</f>
        <v>#N/A</v>
      </c>
      <c r="M127" s="12" t="e">
        <f>HVAC!M32</f>
        <v>#N/A</v>
      </c>
      <c r="N127" s="12" t="e">
        <f>HVAC!N32</f>
        <v>#N/A</v>
      </c>
      <c r="O127" s="12" t="e">
        <f>HVAC!O32</f>
        <v>#N/A</v>
      </c>
      <c r="P127" s="12" t="e">
        <f>HVAC!P32</f>
        <v>#N/A</v>
      </c>
      <c r="Q127" s="12" t="e">
        <f>HVAC!Q32</f>
        <v>#N/A</v>
      </c>
      <c r="R127" s="12">
        <f>HVAC!R32</f>
        <v>0</v>
      </c>
      <c r="S127" s="12">
        <f>HVAC!S32</f>
        <v>0</v>
      </c>
    </row>
    <row r="128" spans="1:19" ht="15" customHeight="1">
      <c r="A128" s="305" t="s">
        <v>545</v>
      </c>
      <c r="B128" s="305" t="s">
        <v>443</v>
      </c>
      <c r="C128" s="10">
        <f>HVAC!C24</f>
        <v>1.5</v>
      </c>
      <c r="D128" s="10">
        <f>HVAC!D24</f>
        <v>1.5</v>
      </c>
      <c r="E128" s="10" t="e">
        <f>HVAC!E24</f>
        <v>#N/A</v>
      </c>
      <c r="F128" s="10">
        <f>HVAC!F24</f>
        <v>1.5</v>
      </c>
      <c r="G128" s="10" t="e">
        <f>HVAC!G24</f>
        <v>#N/A</v>
      </c>
      <c r="H128" s="10" t="e">
        <f>HVAC!H24</f>
        <v>#N/A</v>
      </c>
      <c r="I128" s="10">
        <f>HVAC!I24</f>
        <v>1.5</v>
      </c>
      <c r="J128" s="10" t="e">
        <f>HVAC!J24</f>
        <v>#N/A</v>
      </c>
      <c r="K128" s="10" t="e">
        <f>HVAC!K24</f>
        <v>#N/A</v>
      </c>
      <c r="L128" s="10" t="e">
        <f>HVAC!L24</f>
        <v>#N/A</v>
      </c>
      <c r="M128" s="10" t="e">
        <f>HVAC!M24</f>
        <v>#N/A</v>
      </c>
      <c r="N128" s="10" t="e">
        <f>HVAC!N24</f>
        <v>#N/A</v>
      </c>
      <c r="O128" s="10" t="e">
        <f>HVAC!O24</f>
        <v>#N/A</v>
      </c>
      <c r="P128" s="10" t="e">
        <f>HVAC!P24</f>
        <v>#N/A</v>
      </c>
      <c r="Q128" s="10" t="e">
        <f>HVAC!Q24</f>
        <v>#N/A</v>
      </c>
      <c r="R128" s="10">
        <f>HVAC!R24</f>
        <v>1.5</v>
      </c>
      <c r="S128" s="10">
        <f>HVAC!S24</f>
        <v>1.5</v>
      </c>
    </row>
    <row r="129" spans="1:20" ht="15" customHeight="1">
      <c r="B129" s="305" t="s">
        <v>444</v>
      </c>
      <c r="C129" s="9">
        <f>HVAC!C25</f>
        <v>18</v>
      </c>
      <c r="D129" s="9">
        <f>HVAC!D25</f>
        <v>18</v>
      </c>
      <c r="E129" s="9" t="e">
        <f>HVAC!E25</f>
        <v>#N/A</v>
      </c>
      <c r="F129" s="9">
        <f>HVAC!F25</f>
        <v>18</v>
      </c>
      <c r="G129" s="9" t="e">
        <f>HVAC!G25</f>
        <v>#N/A</v>
      </c>
      <c r="H129" s="9" t="e">
        <f>HVAC!H25</f>
        <v>#N/A</v>
      </c>
      <c r="I129" s="9">
        <f>HVAC!I25</f>
        <v>18</v>
      </c>
      <c r="J129" s="9" t="e">
        <f>HVAC!J25</f>
        <v>#N/A</v>
      </c>
      <c r="K129" s="9" t="e">
        <f>HVAC!K25</f>
        <v>#N/A</v>
      </c>
      <c r="L129" s="9" t="e">
        <f>HVAC!L25</f>
        <v>#N/A</v>
      </c>
      <c r="M129" s="9" t="e">
        <f>HVAC!M25</f>
        <v>#N/A</v>
      </c>
      <c r="N129" s="9" t="e">
        <f>HVAC!N25</f>
        <v>#N/A</v>
      </c>
      <c r="O129" s="9" t="e">
        <f>HVAC!O25</f>
        <v>#N/A</v>
      </c>
      <c r="P129" s="9" t="e">
        <f>HVAC!P25</f>
        <v>#N/A</v>
      </c>
      <c r="Q129" s="9" t="e">
        <f>HVAC!Q25</f>
        <v>#N/A</v>
      </c>
      <c r="R129" s="9">
        <f>HVAC!R25</f>
        <v>18</v>
      </c>
      <c r="S129" s="9">
        <f>HVAC!S25</f>
        <v>18</v>
      </c>
    </row>
    <row r="130" spans="1:20" ht="15" customHeight="1">
      <c r="B130" s="305" t="s">
        <v>442</v>
      </c>
      <c r="C130" s="276">
        <f>HVAC!C10</f>
        <v>15.2</v>
      </c>
      <c r="D130" s="276">
        <f>HVAC!D10</f>
        <v>15.2</v>
      </c>
      <c r="E130" s="276">
        <f>HVAC!E10</f>
        <v>15.2</v>
      </c>
      <c r="F130" s="276">
        <f>HVAC!F10</f>
        <v>13</v>
      </c>
      <c r="G130" s="276">
        <f>HVAC!G10</f>
        <v>13</v>
      </c>
      <c r="H130" s="276">
        <f>HVAC!H10</f>
        <v>13</v>
      </c>
      <c r="I130" s="276">
        <f>HVAC!I10</f>
        <v>13</v>
      </c>
      <c r="J130" s="276">
        <f>HVAC!J10</f>
        <v>13</v>
      </c>
      <c r="K130" s="276">
        <f>HVAC!K10</f>
        <v>11.1</v>
      </c>
      <c r="L130" s="276">
        <f>HVAC!L10</f>
        <v>11.1</v>
      </c>
      <c r="M130" s="276">
        <f>HVAC!M10</f>
        <v>11.1</v>
      </c>
      <c r="N130" s="276">
        <f>HVAC!N10</f>
        <v>11.1</v>
      </c>
      <c r="O130" s="276">
        <f>HVAC!O10</f>
        <v>11.1</v>
      </c>
      <c r="P130" s="276">
        <f>HVAC!P10</f>
        <v>11.1</v>
      </c>
      <c r="Q130" s="276">
        <f>HVAC!Q10</f>
        <v>11.1</v>
      </c>
      <c r="R130" s="276">
        <f>HVAC!R10</f>
        <v>15.2</v>
      </c>
      <c r="S130" s="276">
        <f>HVAC!S10</f>
        <v>13</v>
      </c>
    </row>
    <row r="131" spans="1:20" ht="15" customHeight="1">
      <c r="B131" s="305" t="s">
        <v>1199</v>
      </c>
      <c r="C131" s="10">
        <f>HVAC!C26</f>
        <v>30</v>
      </c>
      <c r="D131" s="10">
        <f>HVAC!D26</f>
        <v>30</v>
      </c>
      <c r="E131" s="10" t="e">
        <f>HVAC!E26</f>
        <v>#N/A</v>
      </c>
      <c r="F131" s="10">
        <f>HVAC!F26</f>
        <v>30</v>
      </c>
      <c r="G131" s="10" t="e">
        <f>HVAC!G26</f>
        <v>#N/A</v>
      </c>
      <c r="H131" s="10" t="e">
        <f>HVAC!H26</f>
        <v>#N/A</v>
      </c>
      <c r="I131" s="10">
        <f>HVAC!I26</f>
        <v>30</v>
      </c>
      <c r="J131" s="10" t="e">
        <f>HVAC!J26</f>
        <v>#N/A</v>
      </c>
      <c r="K131" s="10" t="e">
        <f>HVAC!K26</f>
        <v>#N/A</v>
      </c>
      <c r="L131" s="10" t="e">
        <f>HVAC!L26</f>
        <v>#N/A</v>
      </c>
      <c r="M131" s="10" t="e">
        <f>HVAC!M26</f>
        <v>#N/A</v>
      </c>
      <c r="N131" s="10" t="e">
        <f>HVAC!N26</f>
        <v>#N/A</v>
      </c>
      <c r="O131" s="10" t="e">
        <f>HVAC!O26</f>
        <v>#N/A</v>
      </c>
      <c r="P131" s="10" t="e">
        <f>HVAC!P26</f>
        <v>#N/A</v>
      </c>
      <c r="Q131" s="10" t="e">
        <f>HVAC!Q26</f>
        <v>#N/A</v>
      </c>
      <c r="R131" s="10">
        <f>HVAC!R26</f>
        <v>30</v>
      </c>
      <c r="S131" s="10">
        <f>HVAC!S26</f>
        <v>30</v>
      </c>
    </row>
    <row r="132" spans="1:20" ht="15" customHeight="1">
      <c r="B132" s="305" t="s">
        <v>1200</v>
      </c>
      <c r="C132" s="322">
        <f>HVAC!C30</f>
        <v>84.168000000000021</v>
      </c>
      <c r="D132" s="322">
        <f>HVAC!D30</f>
        <v>84.168000000000021</v>
      </c>
      <c r="E132" s="322" t="e">
        <f>HVAC!E30</f>
        <v>#N/A</v>
      </c>
      <c r="F132" s="322">
        <f>HVAC!F30</f>
        <v>84.168000000000021</v>
      </c>
      <c r="G132" s="322" t="e">
        <f>HVAC!G30</f>
        <v>#N/A</v>
      </c>
      <c r="H132" s="322" t="e">
        <f>HVAC!H30</f>
        <v>#N/A</v>
      </c>
      <c r="I132" s="322">
        <f>HVAC!I30</f>
        <v>84.168000000000021</v>
      </c>
      <c r="J132" s="322" t="e">
        <f>HVAC!J30</f>
        <v>#N/A</v>
      </c>
      <c r="K132" s="322" t="e">
        <f>HVAC!K30</f>
        <v>#N/A</v>
      </c>
      <c r="L132" s="322" t="e">
        <f>HVAC!L30</f>
        <v>#N/A</v>
      </c>
      <c r="M132" s="322" t="e">
        <f>HVAC!M30</f>
        <v>#N/A</v>
      </c>
      <c r="N132" s="322" t="e">
        <f>HVAC!N30</f>
        <v>#N/A</v>
      </c>
      <c r="O132" s="322" t="e">
        <f>HVAC!O30</f>
        <v>#N/A</v>
      </c>
      <c r="P132" s="322" t="e">
        <f>HVAC!P30</f>
        <v>#N/A</v>
      </c>
      <c r="Q132" s="322" t="e">
        <f>HVAC!Q30</f>
        <v>#N/A</v>
      </c>
      <c r="R132" s="322">
        <f>HVAC!R30</f>
        <v>84.168000000000021</v>
      </c>
      <c r="S132" s="322">
        <f>HVAC!S30</f>
        <v>84.168000000000021</v>
      </c>
    </row>
    <row r="133" spans="1:20" ht="15" customHeight="1">
      <c r="B133" s="305" t="s">
        <v>1201</v>
      </c>
      <c r="C133" s="323">
        <f>HVAC!C29</f>
        <v>88.982638991971257</v>
      </c>
      <c r="D133" s="323">
        <f>HVAC!D29</f>
        <v>88.982638991971257</v>
      </c>
      <c r="E133" s="323" t="e">
        <f>HVAC!E29</f>
        <v>#N/A</v>
      </c>
      <c r="F133" s="323">
        <f>HVAC!F29</f>
        <v>96.723527350225524</v>
      </c>
      <c r="G133" s="323" t="e">
        <f>HVAC!G29</f>
        <v>#N/A</v>
      </c>
      <c r="H133" s="323" t="e">
        <f>HVAC!H29</f>
        <v>#N/A</v>
      </c>
      <c r="I133" s="323">
        <f>HVAC!I29</f>
        <v>96.723527350225524</v>
      </c>
      <c r="J133" s="323" t="e">
        <f>HVAC!J29</f>
        <v>#N/A</v>
      </c>
      <c r="K133" s="323" t="e">
        <f>HVAC!K29</f>
        <v>#N/A</v>
      </c>
      <c r="L133" s="323" t="e">
        <f>HVAC!L29</f>
        <v>#N/A</v>
      </c>
      <c r="M133" s="323" t="e">
        <f>HVAC!M29</f>
        <v>#N/A</v>
      </c>
      <c r="N133" s="323" t="e">
        <f>HVAC!N29</f>
        <v>#N/A</v>
      </c>
      <c r="O133" s="323" t="e">
        <f>HVAC!O29</f>
        <v>#N/A</v>
      </c>
      <c r="P133" s="323" t="e">
        <f>HVAC!P29</f>
        <v>#N/A</v>
      </c>
      <c r="Q133" s="323" t="e">
        <f>HVAC!Q29</f>
        <v>#N/A</v>
      </c>
      <c r="R133" s="323">
        <f>HVAC!R29</f>
        <v>88.982638991971257</v>
      </c>
      <c r="S133" s="323">
        <f>HVAC!S29</f>
        <v>96.723527350225524</v>
      </c>
    </row>
    <row r="134" spans="1:20" ht="15" customHeight="1">
      <c r="B134" s="305" t="s">
        <v>445</v>
      </c>
      <c r="C134" s="8">
        <f>Inputs!C134</f>
        <v>1</v>
      </c>
      <c r="D134" s="8">
        <f t="shared" ref="D134:S134" si="48">C134</f>
        <v>1</v>
      </c>
      <c r="E134" s="8">
        <f t="shared" si="48"/>
        <v>1</v>
      </c>
      <c r="F134" s="8">
        <f t="shared" si="48"/>
        <v>1</v>
      </c>
      <c r="G134" s="8">
        <f t="shared" si="48"/>
        <v>1</v>
      </c>
      <c r="H134" s="8">
        <f t="shared" si="48"/>
        <v>1</v>
      </c>
      <c r="I134" s="8">
        <f t="shared" si="48"/>
        <v>1</v>
      </c>
      <c r="J134" s="8">
        <f t="shared" si="48"/>
        <v>1</v>
      </c>
      <c r="K134" s="8">
        <f t="shared" si="48"/>
        <v>1</v>
      </c>
      <c r="L134" s="8">
        <f t="shared" si="48"/>
        <v>1</v>
      </c>
      <c r="M134" s="8">
        <f t="shared" si="48"/>
        <v>1</v>
      </c>
      <c r="N134" s="8">
        <f t="shared" si="48"/>
        <v>1</v>
      </c>
      <c r="O134" s="8">
        <f t="shared" si="48"/>
        <v>1</v>
      </c>
      <c r="P134" s="8">
        <f t="shared" si="48"/>
        <v>1</v>
      </c>
      <c r="Q134" s="8">
        <f t="shared" si="48"/>
        <v>1</v>
      </c>
      <c r="R134" s="8">
        <f t="shared" si="48"/>
        <v>1</v>
      </c>
      <c r="S134" s="276">
        <f t="shared" si="48"/>
        <v>1</v>
      </c>
    </row>
    <row r="135" spans="1:20" ht="15" customHeight="1">
      <c r="B135" s="305" t="s">
        <v>405</v>
      </c>
      <c r="C135" s="169">
        <f>HVAC!C14</f>
        <v>0.8</v>
      </c>
      <c r="D135" s="169">
        <f>HVAC!D14</f>
        <v>0.8</v>
      </c>
      <c r="E135" s="169">
        <f>HVAC!E14</f>
        <v>0.8</v>
      </c>
      <c r="F135" s="169">
        <f>HVAC!F14</f>
        <v>0.9</v>
      </c>
      <c r="G135" s="169">
        <f>HVAC!G14</f>
        <v>0.9</v>
      </c>
      <c r="H135" s="169">
        <f>HVAC!H14</f>
        <v>0.9</v>
      </c>
      <c r="I135" s="169">
        <f>HVAC!I14</f>
        <v>0.9</v>
      </c>
      <c r="J135" s="169">
        <f>HVAC!J14</f>
        <v>0.9</v>
      </c>
      <c r="K135" s="169">
        <f>HVAC!K14</f>
        <v>0.94</v>
      </c>
      <c r="L135" s="169">
        <f>HVAC!L14</f>
        <v>0.94</v>
      </c>
      <c r="M135" s="169">
        <f>HVAC!M14</f>
        <v>0.94</v>
      </c>
      <c r="N135" s="169">
        <f>HVAC!N14</f>
        <v>0.94</v>
      </c>
      <c r="O135" s="169">
        <f>HVAC!O14</f>
        <v>0.94</v>
      </c>
      <c r="P135" s="169">
        <f>HVAC!P14</f>
        <v>0.94</v>
      </c>
      <c r="Q135" s="169">
        <f>HVAC!Q14</f>
        <v>0.94</v>
      </c>
      <c r="R135" s="169">
        <f>HVAC!R14</f>
        <v>0.8</v>
      </c>
      <c r="S135" s="169">
        <f>HVAC!S14</f>
        <v>0.9</v>
      </c>
    </row>
    <row r="136" spans="1:20" s="305" customFormat="1" ht="15" customHeight="1">
      <c r="A136" s="305" t="s">
        <v>1219</v>
      </c>
      <c r="B136" s="305" t="s">
        <v>1202</v>
      </c>
      <c r="C136" s="144">
        <f>Inputs!C136</f>
        <v>3</v>
      </c>
      <c r="D136" s="144">
        <f>C136</f>
        <v>3</v>
      </c>
      <c r="E136" s="144">
        <f t="shared" ref="E136:S136" si="49">D136</f>
        <v>3</v>
      </c>
      <c r="F136" s="144">
        <f t="shared" si="49"/>
        <v>3</v>
      </c>
      <c r="G136" s="144">
        <f t="shared" si="49"/>
        <v>3</v>
      </c>
      <c r="H136" s="144">
        <f t="shared" si="49"/>
        <v>3</v>
      </c>
      <c r="I136" s="144">
        <f t="shared" si="49"/>
        <v>3</v>
      </c>
      <c r="J136" s="144">
        <f t="shared" si="49"/>
        <v>3</v>
      </c>
      <c r="K136" s="144">
        <f t="shared" si="49"/>
        <v>3</v>
      </c>
      <c r="L136" s="144">
        <f t="shared" si="49"/>
        <v>3</v>
      </c>
      <c r="M136" s="144">
        <f t="shared" si="49"/>
        <v>3</v>
      </c>
      <c r="N136" s="144">
        <f t="shared" si="49"/>
        <v>3</v>
      </c>
      <c r="O136" s="144">
        <f t="shared" si="49"/>
        <v>3</v>
      </c>
      <c r="P136" s="144">
        <f t="shared" si="49"/>
        <v>3</v>
      </c>
      <c r="Q136" s="144">
        <f t="shared" si="49"/>
        <v>3</v>
      </c>
      <c r="R136" s="144">
        <f t="shared" si="49"/>
        <v>3</v>
      </c>
      <c r="S136" s="144">
        <f t="shared" si="49"/>
        <v>3</v>
      </c>
      <c r="T136" s="69"/>
    </row>
    <row r="137" spans="1:20" s="305" customFormat="1" ht="15" customHeight="1">
      <c r="B137" s="305" t="s">
        <v>1203</v>
      </c>
      <c r="C137" s="144">
        <f>Inputs!C137</f>
        <v>1</v>
      </c>
      <c r="D137" s="144">
        <f>C137</f>
        <v>1</v>
      </c>
      <c r="E137" s="144">
        <f t="shared" ref="E137:S137" si="50">D137</f>
        <v>1</v>
      </c>
      <c r="F137" s="144">
        <f t="shared" si="50"/>
        <v>1</v>
      </c>
      <c r="G137" s="144">
        <f t="shared" si="50"/>
        <v>1</v>
      </c>
      <c r="H137" s="144">
        <f t="shared" si="50"/>
        <v>1</v>
      </c>
      <c r="I137" s="144">
        <f t="shared" si="50"/>
        <v>1</v>
      </c>
      <c r="J137" s="144">
        <f t="shared" si="50"/>
        <v>1</v>
      </c>
      <c r="K137" s="144">
        <f t="shared" si="50"/>
        <v>1</v>
      </c>
      <c r="L137" s="144">
        <f t="shared" si="50"/>
        <v>1</v>
      </c>
      <c r="M137" s="144">
        <f t="shared" si="50"/>
        <v>1</v>
      </c>
      <c r="N137" s="144">
        <f t="shared" si="50"/>
        <v>1</v>
      </c>
      <c r="O137" s="144">
        <f t="shared" si="50"/>
        <v>1</v>
      </c>
      <c r="P137" s="144">
        <f t="shared" si="50"/>
        <v>1</v>
      </c>
      <c r="Q137" s="144">
        <f t="shared" si="50"/>
        <v>1</v>
      </c>
      <c r="R137" s="144">
        <f t="shared" si="50"/>
        <v>1</v>
      </c>
      <c r="S137" s="144">
        <f t="shared" si="50"/>
        <v>1</v>
      </c>
      <c r="T137" s="69"/>
    </row>
    <row r="138" spans="1:20" s="305" customFormat="1" ht="15" customHeight="1">
      <c r="B138" s="305" t="s">
        <v>673</v>
      </c>
      <c r="C138" s="169">
        <f>Weather!B25</f>
        <v>0.41</v>
      </c>
      <c r="D138" s="169">
        <f>Weather!C25</f>
        <v>0.42</v>
      </c>
      <c r="E138" s="169">
        <f>Weather!D25</f>
        <v>0.43</v>
      </c>
      <c r="F138" s="169">
        <f>Weather!E25</f>
        <v>0.46</v>
      </c>
      <c r="G138" s="169">
        <f>Weather!F25</f>
        <v>0.48</v>
      </c>
      <c r="H138" s="169">
        <f>Weather!G25</f>
        <v>0.6</v>
      </c>
      <c r="I138" s="169">
        <f>Weather!H25</f>
        <v>0.5</v>
      </c>
      <c r="J138" s="169">
        <f>Weather!I25</f>
        <v>0.54</v>
      </c>
      <c r="K138" s="169">
        <f>Weather!J25</f>
        <v>0.55000000000000004</v>
      </c>
      <c r="L138" s="169">
        <f>Weather!K25</f>
        <v>0.6</v>
      </c>
      <c r="M138" s="169">
        <f>Weather!L25</f>
        <v>0.56000000000000005</v>
      </c>
      <c r="N138" s="169">
        <f>Weather!M25</f>
        <v>0.61</v>
      </c>
      <c r="O138" s="169">
        <f>Weather!N25</f>
        <v>0.63</v>
      </c>
      <c r="P138" s="169">
        <f>Weather!O25</f>
        <v>0.7</v>
      </c>
      <c r="Q138" s="169">
        <f>Weather!P25</f>
        <v>0.7</v>
      </c>
      <c r="R138" s="169">
        <f>Weather!Q25</f>
        <v>0.38</v>
      </c>
      <c r="S138" s="169">
        <f>Weather!R25</f>
        <v>0.43</v>
      </c>
      <c r="T138" s="69"/>
    </row>
    <row r="139" spans="1:20" s="305" customFormat="1" ht="15" customHeight="1">
      <c r="B139" s="305" t="s">
        <v>1024</v>
      </c>
      <c r="C139" s="144">
        <f>Inputs!C139</f>
        <v>2</v>
      </c>
      <c r="D139" s="144">
        <f>C139</f>
        <v>2</v>
      </c>
      <c r="E139" s="144">
        <f t="shared" ref="E139:S141" si="51">D139</f>
        <v>2</v>
      </c>
      <c r="F139" s="144">
        <f t="shared" si="51"/>
        <v>2</v>
      </c>
      <c r="G139" s="144">
        <f t="shared" si="51"/>
        <v>2</v>
      </c>
      <c r="H139" s="144">
        <f t="shared" si="51"/>
        <v>2</v>
      </c>
      <c r="I139" s="144">
        <f t="shared" si="51"/>
        <v>2</v>
      </c>
      <c r="J139" s="144">
        <f t="shared" si="51"/>
        <v>2</v>
      </c>
      <c r="K139" s="144">
        <f t="shared" si="51"/>
        <v>2</v>
      </c>
      <c r="L139" s="144">
        <f t="shared" si="51"/>
        <v>2</v>
      </c>
      <c r="M139" s="144">
        <f t="shared" si="51"/>
        <v>2</v>
      </c>
      <c r="N139" s="144">
        <f t="shared" si="51"/>
        <v>2</v>
      </c>
      <c r="O139" s="144">
        <f t="shared" si="51"/>
        <v>2</v>
      </c>
      <c r="P139" s="144">
        <f t="shared" si="51"/>
        <v>2</v>
      </c>
      <c r="Q139" s="144">
        <f t="shared" si="51"/>
        <v>2</v>
      </c>
      <c r="R139" s="144">
        <f t="shared" si="51"/>
        <v>2</v>
      </c>
      <c r="S139" s="144">
        <f t="shared" si="51"/>
        <v>2</v>
      </c>
      <c r="T139" s="69"/>
    </row>
    <row r="140" spans="1:20" s="305" customFormat="1" ht="15" customHeight="1">
      <c r="B140" s="305" t="s">
        <v>1365</v>
      </c>
      <c r="C140" s="224">
        <f>Inputs!C140</f>
        <v>0.41766090159228086</v>
      </c>
      <c r="D140" s="224">
        <f>C140</f>
        <v>0.41766090159228086</v>
      </c>
      <c r="E140" s="224">
        <f t="shared" si="51"/>
        <v>0.41766090159228086</v>
      </c>
      <c r="F140" s="224">
        <f t="shared" si="51"/>
        <v>0.41766090159228086</v>
      </c>
      <c r="G140" s="224">
        <f t="shared" si="51"/>
        <v>0.41766090159228086</v>
      </c>
      <c r="H140" s="224">
        <f t="shared" si="51"/>
        <v>0.41766090159228086</v>
      </c>
      <c r="I140" s="224">
        <f t="shared" si="51"/>
        <v>0.41766090159228086</v>
      </c>
      <c r="J140" s="224">
        <f t="shared" si="51"/>
        <v>0.41766090159228086</v>
      </c>
      <c r="K140" s="224">
        <f t="shared" si="51"/>
        <v>0.41766090159228086</v>
      </c>
      <c r="L140" s="224">
        <f t="shared" si="51"/>
        <v>0.41766090159228086</v>
      </c>
      <c r="M140" s="224">
        <f t="shared" si="51"/>
        <v>0.41766090159228086</v>
      </c>
      <c r="N140" s="224">
        <f t="shared" si="51"/>
        <v>0.41766090159228086</v>
      </c>
      <c r="O140" s="224">
        <f t="shared" si="51"/>
        <v>0.41766090159228086</v>
      </c>
      <c r="P140" s="224">
        <f t="shared" si="51"/>
        <v>0.41766090159228086</v>
      </c>
      <c r="Q140" s="224">
        <f t="shared" si="51"/>
        <v>0.41766090159228086</v>
      </c>
      <c r="R140" s="224">
        <f t="shared" si="51"/>
        <v>0.41766090159228086</v>
      </c>
      <c r="S140" s="224">
        <f t="shared" si="51"/>
        <v>0.41766090159228086</v>
      </c>
      <c r="T140" s="69"/>
    </row>
    <row r="141" spans="1:20" s="305" customFormat="1" ht="15" customHeight="1">
      <c r="B141" s="305" t="s">
        <v>1367</v>
      </c>
      <c r="C141" s="224">
        <f>Inputs!C141</f>
        <v>0</v>
      </c>
      <c r="D141" s="224">
        <f>C141</f>
        <v>0</v>
      </c>
      <c r="E141" s="224">
        <f t="shared" si="51"/>
        <v>0</v>
      </c>
      <c r="F141" s="224">
        <f t="shared" si="51"/>
        <v>0</v>
      </c>
      <c r="G141" s="224">
        <f t="shared" si="51"/>
        <v>0</v>
      </c>
      <c r="H141" s="224">
        <f t="shared" si="51"/>
        <v>0</v>
      </c>
      <c r="I141" s="224">
        <f t="shared" si="51"/>
        <v>0</v>
      </c>
      <c r="J141" s="224">
        <f t="shared" si="51"/>
        <v>0</v>
      </c>
      <c r="K141" s="224">
        <f t="shared" si="51"/>
        <v>0</v>
      </c>
      <c r="L141" s="224">
        <f t="shared" si="51"/>
        <v>0</v>
      </c>
      <c r="M141" s="224">
        <f t="shared" si="51"/>
        <v>0</v>
      </c>
      <c r="N141" s="224">
        <f t="shared" si="51"/>
        <v>0</v>
      </c>
      <c r="O141" s="224">
        <f t="shared" si="51"/>
        <v>0</v>
      </c>
      <c r="P141" s="224">
        <f t="shared" si="51"/>
        <v>0</v>
      </c>
      <c r="Q141" s="224">
        <f t="shared" si="51"/>
        <v>0</v>
      </c>
      <c r="R141" s="224">
        <f t="shared" si="51"/>
        <v>0</v>
      </c>
      <c r="S141" s="224">
        <f t="shared" si="51"/>
        <v>0</v>
      </c>
      <c r="T141" s="69"/>
    </row>
    <row r="142" spans="1:20" s="305" customFormat="1" ht="15" customHeight="1">
      <c r="B142" s="305" t="s">
        <v>1025</v>
      </c>
      <c r="C142" s="144">
        <f>Inputs!C142</f>
        <v>1</v>
      </c>
      <c r="D142" s="144">
        <f t="shared" ref="D142:S149" si="52">C142</f>
        <v>1</v>
      </c>
      <c r="E142" s="144">
        <f t="shared" si="52"/>
        <v>1</v>
      </c>
      <c r="F142" s="144">
        <f t="shared" si="52"/>
        <v>1</v>
      </c>
      <c r="G142" s="144">
        <f t="shared" si="52"/>
        <v>1</v>
      </c>
      <c r="H142" s="144">
        <f t="shared" si="52"/>
        <v>1</v>
      </c>
      <c r="I142" s="144">
        <f t="shared" si="52"/>
        <v>1</v>
      </c>
      <c r="J142" s="144">
        <f t="shared" si="52"/>
        <v>1</v>
      </c>
      <c r="K142" s="144">
        <f t="shared" si="52"/>
        <v>1</v>
      </c>
      <c r="L142" s="144">
        <f t="shared" si="52"/>
        <v>1</v>
      </c>
      <c r="M142" s="144">
        <f t="shared" si="52"/>
        <v>1</v>
      </c>
      <c r="N142" s="144">
        <f t="shared" si="52"/>
        <v>1</v>
      </c>
      <c r="O142" s="144">
        <f t="shared" si="52"/>
        <v>1</v>
      </c>
      <c r="P142" s="144">
        <f t="shared" si="52"/>
        <v>1</v>
      </c>
      <c r="Q142" s="144">
        <f t="shared" si="52"/>
        <v>1</v>
      </c>
      <c r="R142" s="144">
        <f t="shared" si="52"/>
        <v>1</v>
      </c>
      <c r="S142" s="144">
        <f t="shared" si="52"/>
        <v>1</v>
      </c>
      <c r="T142" s="69"/>
    </row>
    <row r="143" spans="1:20" s="305" customFormat="1" ht="15" customHeight="1">
      <c r="A143" s="305" t="s">
        <v>1220</v>
      </c>
      <c r="B143" s="305" t="s">
        <v>1026</v>
      </c>
      <c r="C143" s="169">
        <f>Inputs!C143</f>
        <v>0.82</v>
      </c>
      <c r="D143" s="169">
        <f t="shared" si="52"/>
        <v>0.82</v>
      </c>
      <c r="E143" s="169">
        <f t="shared" si="52"/>
        <v>0.82</v>
      </c>
      <c r="F143" s="169">
        <f t="shared" si="52"/>
        <v>0.82</v>
      </c>
      <c r="G143" s="169">
        <f t="shared" si="52"/>
        <v>0.82</v>
      </c>
      <c r="H143" s="169">
        <f t="shared" si="52"/>
        <v>0.82</v>
      </c>
      <c r="I143" s="169">
        <f t="shared" si="52"/>
        <v>0.82</v>
      </c>
      <c r="J143" s="169">
        <f t="shared" si="52"/>
        <v>0.82</v>
      </c>
      <c r="K143" s="169">
        <f t="shared" si="52"/>
        <v>0.82</v>
      </c>
      <c r="L143" s="169">
        <f t="shared" si="52"/>
        <v>0.82</v>
      </c>
      <c r="M143" s="169">
        <f t="shared" si="52"/>
        <v>0.82</v>
      </c>
      <c r="N143" s="169">
        <f t="shared" si="52"/>
        <v>0.82</v>
      </c>
      <c r="O143" s="169">
        <f t="shared" si="52"/>
        <v>0.82</v>
      </c>
      <c r="P143" s="169">
        <f t="shared" si="52"/>
        <v>0.82</v>
      </c>
      <c r="Q143" s="169">
        <f t="shared" si="52"/>
        <v>0.82</v>
      </c>
      <c r="R143" s="169">
        <f t="shared" si="52"/>
        <v>0.82</v>
      </c>
      <c r="S143" s="169">
        <f t="shared" si="52"/>
        <v>0.82</v>
      </c>
      <c r="T143" s="69"/>
    </row>
    <row r="144" spans="1:20" s="305" customFormat="1" ht="15" customHeight="1">
      <c r="B144" s="305" t="s">
        <v>1027</v>
      </c>
      <c r="C144" s="169">
        <f>Inputs!C144</f>
        <v>0.63</v>
      </c>
      <c r="D144" s="169">
        <f t="shared" si="52"/>
        <v>0.63</v>
      </c>
      <c r="E144" s="169">
        <f t="shared" si="52"/>
        <v>0.63</v>
      </c>
      <c r="F144" s="169">
        <f t="shared" si="52"/>
        <v>0.63</v>
      </c>
      <c r="G144" s="169">
        <f t="shared" si="52"/>
        <v>0.63</v>
      </c>
      <c r="H144" s="169">
        <f t="shared" si="52"/>
        <v>0.63</v>
      </c>
      <c r="I144" s="169">
        <f t="shared" si="52"/>
        <v>0.63</v>
      </c>
      <c r="J144" s="169">
        <f t="shared" si="52"/>
        <v>0.63</v>
      </c>
      <c r="K144" s="169">
        <f t="shared" si="52"/>
        <v>0.63</v>
      </c>
      <c r="L144" s="169">
        <f t="shared" si="52"/>
        <v>0.63</v>
      </c>
      <c r="M144" s="169">
        <f t="shared" si="52"/>
        <v>0.63</v>
      </c>
      <c r="N144" s="169">
        <f t="shared" si="52"/>
        <v>0.63</v>
      </c>
      <c r="O144" s="169">
        <f t="shared" si="52"/>
        <v>0.63</v>
      </c>
      <c r="P144" s="169">
        <f t="shared" si="52"/>
        <v>0.63</v>
      </c>
      <c r="Q144" s="169">
        <f t="shared" si="52"/>
        <v>0.63</v>
      </c>
      <c r="R144" s="169">
        <f t="shared" si="52"/>
        <v>0.63</v>
      </c>
      <c r="S144" s="169">
        <f t="shared" si="52"/>
        <v>0.63</v>
      </c>
      <c r="T144" s="69"/>
    </row>
    <row r="145" spans="1:20" s="305" customFormat="1" ht="15" customHeight="1">
      <c r="B145" s="305" t="s">
        <v>1028</v>
      </c>
      <c r="C145" s="169">
        <f>Inputs!C145</f>
        <v>0.51</v>
      </c>
      <c r="D145" s="169">
        <f t="shared" si="52"/>
        <v>0.51</v>
      </c>
      <c r="E145" s="169">
        <f t="shared" si="52"/>
        <v>0.51</v>
      </c>
      <c r="F145" s="169">
        <f t="shared" si="52"/>
        <v>0.51</v>
      </c>
      <c r="G145" s="169">
        <f t="shared" si="52"/>
        <v>0.51</v>
      </c>
      <c r="H145" s="169">
        <f t="shared" si="52"/>
        <v>0.51</v>
      </c>
      <c r="I145" s="169">
        <f t="shared" si="52"/>
        <v>0.51</v>
      </c>
      <c r="J145" s="169">
        <f t="shared" si="52"/>
        <v>0.51</v>
      </c>
      <c r="K145" s="169">
        <f t="shared" si="52"/>
        <v>0.51</v>
      </c>
      <c r="L145" s="169">
        <f t="shared" si="52"/>
        <v>0.51</v>
      </c>
      <c r="M145" s="169">
        <f t="shared" si="52"/>
        <v>0.51</v>
      </c>
      <c r="N145" s="169">
        <f t="shared" si="52"/>
        <v>0.51</v>
      </c>
      <c r="O145" s="169">
        <f t="shared" si="52"/>
        <v>0.51</v>
      </c>
      <c r="P145" s="169">
        <f t="shared" si="52"/>
        <v>0.51</v>
      </c>
      <c r="Q145" s="169">
        <f t="shared" si="52"/>
        <v>0.51</v>
      </c>
      <c r="R145" s="169">
        <f t="shared" si="52"/>
        <v>0.51</v>
      </c>
      <c r="S145" s="169">
        <f t="shared" si="52"/>
        <v>0.51</v>
      </c>
      <c r="T145" s="69"/>
    </row>
    <row r="146" spans="1:20" s="305" customFormat="1" ht="15" customHeight="1">
      <c r="B146" s="305" t="s">
        <v>1029</v>
      </c>
      <c r="C146" s="144">
        <f>Inputs!C146</f>
        <v>0</v>
      </c>
      <c r="D146" s="144">
        <f t="shared" si="52"/>
        <v>0</v>
      </c>
      <c r="E146" s="144">
        <f t="shared" si="52"/>
        <v>0</v>
      </c>
      <c r="F146" s="144">
        <f t="shared" si="52"/>
        <v>0</v>
      </c>
      <c r="G146" s="144">
        <f t="shared" si="52"/>
        <v>0</v>
      </c>
      <c r="H146" s="144">
        <f t="shared" si="52"/>
        <v>0</v>
      </c>
      <c r="I146" s="144">
        <f t="shared" si="52"/>
        <v>0</v>
      </c>
      <c r="J146" s="144">
        <f t="shared" si="52"/>
        <v>0</v>
      </c>
      <c r="K146" s="144">
        <f t="shared" si="52"/>
        <v>0</v>
      </c>
      <c r="L146" s="144">
        <f t="shared" si="52"/>
        <v>0</v>
      </c>
      <c r="M146" s="144">
        <f t="shared" si="52"/>
        <v>0</v>
      </c>
      <c r="N146" s="144">
        <f t="shared" si="52"/>
        <v>0</v>
      </c>
      <c r="O146" s="144">
        <f t="shared" si="52"/>
        <v>0</v>
      </c>
      <c r="P146" s="144">
        <f t="shared" si="52"/>
        <v>0</v>
      </c>
      <c r="Q146" s="144">
        <f t="shared" si="52"/>
        <v>0</v>
      </c>
      <c r="R146" s="144">
        <f t="shared" si="52"/>
        <v>0</v>
      </c>
      <c r="S146" s="144">
        <f t="shared" si="52"/>
        <v>0</v>
      </c>
      <c r="T146" s="69"/>
    </row>
    <row r="147" spans="1:20" ht="15" customHeight="1">
      <c r="B147" s="305" t="s">
        <v>1030</v>
      </c>
      <c r="C147" s="144">
        <f>Inputs!C147</f>
        <v>8</v>
      </c>
      <c r="D147" s="144">
        <f t="shared" si="52"/>
        <v>8</v>
      </c>
      <c r="E147" s="144">
        <f t="shared" si="52"/>
        <v>8</v>
      </c>
      <c r="F147" s="144">
        <f t="shared" si="52"/>
        <v>8</v>
      </c>
      <c r="G147" s="144">
        <f t="shared" si="52"/>
        <v>8</v>
      </c>
      <c r="H147" s="144">
        <f t="shared" si="52"/>
        <v>8</v>
      </c>
      <c r="I147" s="144">
        <f t="shared" si="52"/>
        <v>8</v>
      </c>
      <c r="J147" s="144">
        <f t="shared" si="52"/>
        <v>8</v>
      </c>
      <c r="K147" s="144">
        <f t="shared" si="52"/>
        <v>8</v>
      </c>
      <c r="L147" s="144">
        <f t="shared" si="52"/>
        <v>8</v>
      </c>
      <c r="M147" s="144">
        <f t="shared" si="52"/>
        <v>8</v>
      </c>
      <c r="N147" s="144">
        <f t="shared" si="52"/>
        <v>8</v>
      </c>
      <c r="O147" s="144">
        <f t="shared" si="52"/>
        <v>8</v>
      </c>
      <c r="P147" s="144">
        <f t="shared" si="52"/>
        <v>8</v>
      </c>
      <c r="Q147" s="144">
        <f t="shared" si="52"/>
        <v>8</v>
      </c>
      <c r="R147" s="144">
        <f t="shared" si="52"/>
        <v>8</v>
      </c>
      <c r="S147" s="144">
        <f t="shared" si="52"/>
        <v>8</v>
      </c>
    </row>
    <row r="148" spans="1:20" ht="15" customHeight="1">
      <c r="B148" s="305" t="s">
        <v>1031</v>
      </c>
      <c r="C148" s="144">
        <f>Inputs!C148</f>
        <v>0</v>
      </c>
      <c r="D148" s="144">
        <f t="shared" si="52"/>
        <v>0</v>
      </c>
      <c r="E148" s="144">
        <f t="shared" si="52"/>
        <v>0</v>
      </c>
      <c r="F148" s="144">
        <f t="shared" si="52"/>
        <v>0</v>
      </c>
      <c r="G148" s="144">
        <f t="shared" si="52"/>
        <v>0</v>
      </c>
      <c r="H148" s="144">
        <f t="shared" si="52"/>
        <v>0</v>
      </c>
      <c r="I148" s="144">
        <f t="shared" si="52"/>
        <v>0</v>
      </c>
      <c r="J148" s="144">
        <f t="shared" si="52"/>
        <v>0</v>
      </c>
      <c r="K148" s="144">
        <f t="shared" si="52"/>
        <v>0</v>
      </c>
      <c r="L148" s="144">
        <f t="shared" si="52"/>
        <v>0</v>
      </c>
      <c r="M148" s="144">
        <f t="shared" si="52"/>
        <v>0</v>
      </c>
      <c r="N148" s="144">
        <f t="shared" si="52"/>
        <v>0</v>
      </c>
      <c r="O148" s="144">
        <f t="shared" si="52"/>
        <v>0</v>
      </c>
      <c r="P148" s="144">
        <f t="shared" si="52"/>
        <v>0</v>
      </c>
      <c r="Q148" s="144">
        <f t="shared" si="52"/>
        <v>0</v>
      </c>
      <c r="R148" s="144">
        <f t="shared" si="52"/>
        <v>0</v>
      </c>
      <c r="S148" s="144">
        <f t="shared" si="52"/>
        <v>0</v>
      </c>
    </row>
    <row r="149" spans="1:20" ht="15" customHeight="1">
      <c r="B149" s="305" t="s">
        <v>1032</v>
      </c>
      <c r="C149" s="144">
        <f>Inputs!C149</f>
        <v>1</v>
      </c>
      <c r="D149" s="144">
        <f t="shared" si="52"/>
        <v>1</v>
      </c>
      <c r="E149" s="144">
        <f t="shared" si="52"/>
        <v>1</v>
      </c>
      <c r="F149" s="144">
        <f t="shared" si="52"/>
        <v>1</v>
      </c>
      <c r="G149" s="144">
        <f t="shared" si="52"/>
        <v>1</v>
      </c>
      <c r="H149" s="144">
        <f t="shared" si="52"/>
        <v>1</v>
      </c>
      <c r="I149" s="144">
        <f t="shared" si="52"/>
        <v>1</v>
      </c>
      <c r="J149" s="144">
        <f t="shared" si="52"/>
        <v>1</v>
      </c>
      <c r="K149" s="144">
        <f t="shared" si="52"/>
        <v>1</v>
      </c>
      <c r="L149" s="144">
        <f t="shared" si="52"/>
        <v>1</v>
      </c>
      <c r="M149" s="144">
        <f t="shared" si="52"/>
        <v>1</v>
      </c>
      <c r="N149" s="144">
        <f t="shared" si="52"/>
        <v>1</v>
      </c>
      <c r="O149" s="144">
        <f t="shared" si="52"/>
        <v>1</v>
      </c>
      <c r="P149" s="144">
        <f t="shared" si="52"/>
        <v>1</v>
      </c>
      <c r="Q149" s="144">
        <f t="shared" si="52"/>
        <v>1</v>
      </c>
      <c r="R149" s="144">
        <f t="shared" si="52"/>
        <v>1</v>
      </c>
      <c r="S149" s="144">
        <f t="shared" si="52"/>
        <v>1</v>
      </c>
    </row>
    <row r="150" spans="1:20" s="305" customFormat="1" ht="15" customHeight="1">
      <c r="A150" s="305" t="s">
        <v>879</v>
      </c>
      <c r="B150" s="305" t="s">
        <v>928</v>
      </c>
      <c r="C150" s="275">
        <f>Inputs!C150</f>
        <v>0</v>
      </c>
      <c r="D150" s="275">
        <f>C150</f>
        <v>0</v>
      </c>
      <c r="E150" s="275">
        <f t="shared" ref="E150:S150" si="53">D150</f>
        <v>0</v>
      </c>
      <c r="F150" s="275">
        <f t="shared" si="53"/>
        <v>0</v>
      </c>
      <c r="G150" s="275">
        <f t="shared" si="53"/>
        <v>0</v>
      </c>
      <c r="H150" s="275">
        <f t="shared" si="53"/>
        <v>0</v>
      </c>
      <c r="I150" s="275">
        <f t="shared" si="53"/>
        <v>0</v>
      </c>
      <c r="J150" s="275">
        <f t="shared" si="53"/>
        <v>0</v>
      </c>
      <c r="K150" s="275">
        <f t="shared" si="53"/>
        <v>0</v>
      </c>
      <c r="L150" s="275">
        <f t="shared" si="53"/>
        <v>0</v>
      </c>
      <c r="M150" s="275">
        <f t="shared" si="53"/>
        <v>0</v>
      </c>
      <c r="N150" s="275">
        <f t="shared" si="53"/>
        <v>0</v>
      </c>
      <c r="O150" s="275">
        <f t="shared" si="53"/>
        <v>0</v>
      </c>
      <c r="P150" s="275">
        <f t="shared" si="53"/>
        <v>0</v>
      </c>
      <c r="Q150" s="275">
        <f t="shared" si="53"/>
        <v>0</v>
      </c>
      <c r="R150" s="275">
        <f t="shared" si="53"/>
        <v>0</v>
      </c>
      <c r="S150" s="275">
        <f t="shared" si="53"/>
        <v>0</v>
      </c>
      <c r="T150" s="69"/>
    </row>
    <row r="151" spans="1:20" ht="15" customHeight="1">
      <c r="B151" s="305" t="s">
        <v>929</v>
      </c>
      <c r="C151" s="275">
        <f>Inputs!C151</f>
        <v>0</v>
      </c>
      <c r="D151" s="275">
        <f>C151</f>
        <v>0</v>
      </c>
      <c r="E151" s="275">
        <f t="shared" ref="E151:S151" si="54">D151</f>
        <v>0</v>
      </c>
      <c r="F151" s="275">
        <f t="shared" si="54"/>
        <v>0</v>
      </c>
      <c r="G151" s="275">
        <f t="shared" si="54"/>
        <v>0</v>
      </c>
      <c r="H151" s="275">
        <f t="shared" si="54"/>
        <v>0</v>
      </c>
      <c r="I151" s="275">
        <f t="shared" si="54"/>
        <v>0</v>
      </c>
      <c r="J151" s="275">
        <f t="shared" si="54"/>
        <v>0</v>
      </c>
      <c r="K151" s="275">
        <f t="shared" si="54"/>
        <v>0</v>
      </c>
      <c r="L151" s="275">
        <f t="shared" si="54"/>
        <v>0</v>
      </c>
      <c r="M151" s="275">
        <f t="shared" si="54"/>
        <v>0</v>
      </c>
      <c r="N151" s="275">
        <f t="shared" si="54"/>
        <v>0</v>
      </c>
      <c r="O151" s="275">
        <f t="shared" si="54"/>
        <v>0</v>
      </c>
      <c r="P151" s="275">
        <f t="shared" si="54"/>
        <v>0</v>
      </c>
      <c r="Q151" s="275">
        <f t="shared" si="54"/>
        <v>0</v>
      </c>
      <c r="R151" s="275">
        <f t="shared" si="54"/>
        <v>0</v>
      </c>
      <c r="S151" s="275">
        <f t="shared" si="54"/>
        <v>0</v>
      </c>
    </row>
    <row r="152" spans="1:20" s="305" customFormat="1" ht="15" customHeight="1">
      <c r="B152" s="305" t="s">
        <v>930</v>
      </c>
      <c r="C152" s="401">
        <f>Humidity!B5</f>
        <v>1.8143650428724283E-2</v>
      </c>
      <c r="D152" s="401">
        <f>Humidity!C5</f>
        <v>1.8093565104086943E-2</v>
      </c>
      <c r="E152" s="401" t="str">
        <f>Humidity!D5</f>
        <v>NA</v>
      </c>
      <c r="F152" s="401">
        <f>Humidity!E5</f>
        <v>1.6457918085888881E-2</v>
      </c>
      <c r="G152" s="401" t="str">
        <f>Humidity!F5</f>
        <v>NA</v>
      </c>
      <c r="H152" s="401" t="str">
        <f>Humidity!G5</f>
        <v>NA</v>
      </c>
      <c r="I152" s="401">
        <f>Humidity!H5</f>
        <v>1.4623221193902717E-2</v>
      </c>
      <c r="J152" s="401" t="str">
        <f>Humidity!I5</f>
        <v>NA</v>
      </c>
      <c r="K152" s="401" t="str">
        <f>Humidity!J5</f>
        <v>NA</v>
      </c>
      <c r="L152" s="401" t="str">
        <f>Humidity!K5</f>
        <v>NA</v>
      </c>
      <c r="M152" s="401" t="str">
        <f>Humidity!L5</f>
        <v>NA</v>
      </c>
      <c r="N152" s="401" t="str">
        <f>Humidity!M5</f>
        <v>NA</v>
      </c>
      <c r="O152" s="401" t="str">
        <f>Humidity!N5</f>
        <v>NA</v>
      </c>
      <c r="P152" s="401" t="str">
        <f>Humidity!O5</f>
        <v>NA</v>
      </c>
      <c r="Q152" s="401" t="str">
        <f>Humidity!P5</f>
        <v>NA</v>
      </c>
      <c r="R152" s="401">
        <f>Humidity!Q5</f>
        <v>1.7707763234996277E-2</v>
      </c>
      <c r="S152" s="401">
        <f>Humidity!R5</f>
        <v>1.7457897967807213E-2</v>
      </c>
    </row>
    <row r="153" spans="1:20" s="305" customFormat="1" ht="15" customHeight="1">
      <c r="B153" s="305" t="s">
        <v>934</v>
      </c>
      <c r="C153" s="401">
        <f>Humidity!B6</f>
        <v>0</v>
      </c>
      <c r="D153" s="401">
        <f>Humidity!C6</f>
        <v>0</v>
      </c>
      <c r="E153" s="401">
        <f>Humidity!D6</f>
        <v>0</v>
      </c>
      <c r="F153" s="401">
        <f>Humidity!E6</f>
        <v>0</v>
      </c>
      <c r="G153" s="401">
        <f>Humidity!F6</f>
        <v>0</v>
      </c>
      <c r="H153" s="401">
        <f>Humidity!G6</f>
        <v>0</v>
      </c>
      <c r="I153" s="401">
        <f>Humidity!H6</f>
        <v>0</v>
      </c>
      <c r="J153" s="401">
        <f>Humidity!I6</f>
        <v>0</v>
      </c>
      <c r="K153" s="401">
        <f>Humidity!J6</f>
        <v>0</v>
      </c>
      <c r="L153" s="401">
        <f>Humidity!K6</f>
        <v>0</v>
      </c>
      <c r="M153" s="401">
        <f>Humidity!L6</f>
        <v>0</v>
      </c>
      <c r="N153" s="401">
        <f>Humidity!M6</f>
        <v>0</v>
      </c>
      <c r="O153" s="401">
        <f>Humidity!N6</f>
        <v>0</v>
      </c>
      <c r="P153" s="401">
        <f>Humidity!O6</f>
        <v>0</v>
      </c>
      <c r="Q153" s="401">
        <f>Humidity!P6</f>
        <v>0</v>
      </c>
      <c r="R153" s="401">
        <f>Humidity!Q6</f>
        <v>0</v>
      </c>
      <c r="S153" s="401">
        <f>Humidity!R6</f>
        <v>0</v>
      </c>
    </row>
    <row r="154" spans="1:20" s="305" customFormat="1" ht="15" customHeight="1">
      <c r="B154" s="305" t="s">
        <v>935</v>
      </c>
      <c r="C154" s="401">
        <f>Humidity!B7</f>
        <v>0</v>
      </c>
      <c r="D154" s="401">
        <f>Humidity!C7</f>
        <v>0</v>
      </c>
      <c r="E154" s="401">
        <f>Humidity!D7</f>
        <v>0</v>
      </c>
      <c r="F154" s="401">
        <f>Humidity!E7</f>
        <v>0</v>
      </c>
      <c r="G154" s="401">
        <f>Humidity!F7</f>
        <v>0</v>
      </c>
      <c r="H154" s="401">
        <f>Humidity!G7</f>
        <v>0</v>
      </c>
      <c r="I154" s="401">
        <f>Humidity!H7</f>
        <v>0</v>
      </c>
      <c r="J154" s="401">
        <f>Humidity!I7</f>
        <v>0</v>
      </c>
      <c r="K154" s="401">
        <f>Humidity!J7</f>
        <v>0</v>
      </c>
      <c r="L154" s="401">
        <f>Humidity!K7</f>
        <v>0</v>
      </c>
      <c r="M154" s="401">
        <f>Humidity!L7</f>
        <v>0</v>
      </c>
      <c r="N154" s="401">
        <f>Humidity!M7</f>
        <v>0</v>
      </c>
      <c r="O154" s="401">
        <f>Humidity!N7</f>
        <v>0</v>
      </c>
      <c r="P154" s="401">
        <f>Humidity!O7</f>
        <v>0</v>
      </c>
      <c r="Q154" s="401">
        <f>Humidity!P7</f>
        <v>0</v>
      </c>
      <c r="R154" s="401">
        <f>Humidity!Q7</f>
        <v>0</v>
      </c>
      <c r="S154" s="401">
        <f>Humidity!R7</f>
        <v>0</v>
      </c>
    </row>
    <row r="155" spans="1:20" ht="15" customHeight="1">
      <c r="B155" s="305" t="s">
        <v>962</v>
      </c>
      <c r="C155" s="305">
        <f>Humidity!B42</f>
        <v>7.6169999999999996E-3</v>
      </c>
      <c r="D155" s="305">
        <f>Humidity!C42</f>
        <v>3.7669999999999999E-3</v>
      </c>
      <c r="E155" s="305">
        <f>Humidity!D42</f>
        <v>0</v>
      </c>
      <c r="F155" s="305">
        <f>Humidity!E42</f>
        <v>2.1570000000000001E-3</v>
      </c>
      <c r="G155" s="305">
        <f>Humidity!F42</f>
        <v>0</v>
      </c>
      <c r="H155" s="305">
        <f>Humidity!G42</f>
        <v>0</v>
      </c>
      <c r="I155" s="305">
        <f>Humidity!H42</f>
        <v>1.544E-3</v>
      </c>
      <c r="J155" s="305">
        <f>Humidity!I42</f>
        <v>0</v>
      </c>
      <c r="K155" s="305">
        <f>Humidity!J42</f>
        <v>0</v>
      </c>
      <c r="L155" s="305">
        <f>Humidity!K42</f>
        <v>0</v>
      </c>
      <c r="M155" s="305">
        <f>Humidity!L42</f>
        <v>0</v>
      </c>
      <c r="N155" s="305">
        <f>Humidity!M42</f>
        <v>0</v>
      </c>
      <c r="O155" s="305">
        <f>Humidity!N42</f>
        <v>0</v>
      </c>
      <c r="P155" s="305">
        <f>Humidity!O42</f>
        <v>0</v>
      </c>
      <c r="Q155" s="305">
        <f>Humidity!P42</f>
        <v>0</v>
      </c>
      <c r="R155" s="305">
        <f>Humidity!Q42</f>
        <v>6.8250000000000003E-3</v>
      </c>
      <c r="S155" s="305">
        <f>Humidity!R42</f>
        <v>3.4429999999999999E-3</v>
      </c>
    </row>
    <row r="156" spans="1:20" ht="15" customHeight="1">
      <c r="B156" s="305" t="s">
        <v>963</v>
      </c>
      <c r="C156" s="305">
        <f>Humidity!B43</f>
        <v>7.8799999999999999E-3</v>
      </c>
      <c r="D156" s="305">
        <f>Humidity!C43</f>
        <v>3.6329999999999999E-3</v>
      </c>
      <c r="E156" s="305">
        <f>Humidity!D43</f>
        <v>0</v>
      </c>
      <c r="F156" s="305">
        <f>Humidity!E43</f>
        <v>1.9650000000000002E-3</v>
      </c>
      <c r="G156" s="305">
        <f>Humidity!F43</f>
        <v>0</v>
      </c>
      <c r="H156" s="305">
        <f>Humidity!G43</f>
        <v>0</v>
      </c>
      <c r="I156" s="305">
        <f>Humidity!H43</f>
        <v>1.6559999999999999E-3</v>
      </c>
      <c r="J156" s="305">
        <f>Humidity!I43</f>
        <v>0</v>
      </c>
      <c r="K156" s="305">
        <f>Humidity!J43</f>
        <v>0</v>
      </c>
      <c r="L156" s="305">
        <f>Humidity!K43</f>
        <v>0</v>
      </c>
      <c r="M156" s="305">
        <f>Humidity!L43</f>
        <v>0</v>
      </c>
      <c r="N156" s="305">
        <f>Humidity!M43</f>
        <v>0</v>
      </c>
      <c r="O156" s="305">
        <f>Humidity!N43</f>
        <v>0</v>
      </c>
      <c r="P156" s="305">
        <f>Humidity!O43</f>
        <v>0</v>
      </c>
      <c r="Q156" s="305">
        <f>Humidity!P43</f>
        <v>0</v>
      </c>
      <c r="R156" s="305">
        <f>Humidity!Q43</f>
        <v>6.6210000000000001E-3</v>
      </c>
      <c r="S156" s="305">
        <f>Humidity!R43</f>
        <v>2.928E-3</v>
      </c>
    </row>
    <row r="157" spans="1:20" ht="15" customHeight="1">
      <c r="B157" s="305" t="s">
        <v>964</v>
      </c>
      <c r="C157" s="305">
        <f>Humidity!B44</f>
        <v>8.541E-3</v>
      </c>
      <c r="D157" s="305">
        <f>Humidity!C44</f>
        <v>4.7939999999999997E-3</v>
      </c>
      <c r="E157" s="305">
        <f>Humidity!D44</f>
        <v>0</v>
      </c>
      <c r="F157" s="305">
        <f>Humidity!E44</f>
        <v>3.9420000000000002E-3</v>
      </c>
      <c r="G157" s="305">
        <f>Humidity!F44</f>
        <v>0</v>
      </c>
      <c r="H157" s="305">
        <f>Humidity!G44</f>
        <v>0</v>
      </c>
      <c r="I157" s="305">
        <f>Humidity!H44</f>
        <v>2.088E-3</v>
      </c>
      <c r="J157" s="305">
        <f>Humidity!I44</f>
        <v>0</v>
      </c>
      <c r="K157" s="305">
        <f>Humidity!J44</f>
        <v>0</v>
      </c>
      <c r="L157" s="305">
        <f>Humidity!K44</f>
        <v>0</v>
      </c>
      <c r="M157" s="305">
        <f>Humidity!L44</f>
        <v>0</v>
      </c>
      <c r="N157" s="305">
        <f>Humidity!M44</f>
        <v>0</v>
      </c>
      <c r="O157" s="305">
        <f>Humidity!N44</f>
        <v>0</v>
      </c>
      <c r="P157" s="305">
        <f>Humidity!O44</f>
        <v>0</v>
      </c>
      <c r="Q157" s="305">
        <f>Humidity!P44</f>
        <v>0</v>
      </c>
      <c r="R157" s="305">
        <f>Humidity!Q44</f>
        <v>4.6239999999999996E-3</v>
      </c>
      <c r="S157" s="305">
        <f>Humidity!R44</f>
        <v>4.9439999999999996E-3</v>
      </c>
    </row>
    <row r="158" spans="1:20" ht="15" customHeight="1">
      <c r="B158" s="305" t="s">
        <v>965</v>
      </c>
      <c r="C158" s="305">
        <f>Humidity!B45</f>
        <v>1.1350000000000001E-2</v>
      </c>
      <c r="D158" s="305">
        <f>Humidity!C45</f>
        <v>9.1559999999999992E-3</v>
      </c>
      <c r="E158" s="305">
        <f>Humidity!D45</f>
        <v>0</v>
      </c>
      <c r="F158" s="305">
        <f>Humidity!E45</f>
        <v>4.6220000000000002E-3</v>
      </c>
      <c r="G158" s="305">
        <f>Humidity!F45</f>
        <v>0</v>
      </c>
      <c r="H158" s="305">
        <f>Humidity!G45</f>
        <v>0</v>
      </c>
      <c r="I158" s="305">
        <f>Humidity!H45</f>
        <v>4.0499999999999998E-3</v>
      </c>
      <c r="J158" s="305">
        <f>Humidity!I45</f>
        <v>0</v>
      </c>
      <c r="K158" s="305">
        <f>Humidity!J45</f>
        <v>0</v>
      </c>
      <c r="L158" s="305">
        <f>Humidity!K45</f>
        <v>0</v>
      </c>
      <c r="M158" s="305">
        <f>Humidity!L45</f>
        <v>0</v>
      </c>
      <c r="N158" s="305">
        <f>Humidity!M45</f>
        <v>0</v>
      </c>
      <c r="O158" s="305">
        <f>Humidity!N45</f>
        <v>0</v>
      </c>
      <c r="P158" s="305">
        <f>Humidity!O45</f>
        <v>0</v>
      </c>
      <c r="Q158" s="305">
        <f>Humidity!P45</f>
        <v>0</v>
      </c>
      <c r="R158" s="305">
        <f>Humidity!Q45</f>
        <v>8.0610000000000005E-3</v>
      </c>
      <c r="S158" s="305">
        <f>Humidity!R45</f>
        <v>6.4580000000000002E-3</v>
      </c>
    </row>
    <row r="159" spans="1:20" ht="15" customHeight="1">
      <c r="B159" s="305" t="s">
        <v>966</v>
      </c>
      <c r="C159" s="305">
        <f>Humidity!B46</f>
        <v>1.4200000000000001E-2</v>
      </c>
      <c r="D159" s="305">
        <f>Humidity!C46</f>
        <v>1.2579999999999999E-2</v>
      </c>
      <c r="E159" s="305">
        <f>Humidity!D46</f>
        <v>0</v>
      </c>
      <c r="F159" s="305">
        <f>Humidity!E46</f>
        <v>8.8590000000000006E-3</v>
      </c>
      <c r="G159" s="305">
        <f>Humidity!F46</f>
        <v>0</v>
      </c>
      <c r="H159" s="305">
        <f>Humidity!G46</f>
        <v>0</v>
      </c>
      <c r="I159" s="305">
        <f>Humidity!H46</f>
        <v>5.8789999999999997E-3</v>
      </c>
      <c r="J159" s="305">
        <f>Humidity!I46</f>
        <v>0</v>
      </c>
      <c r="K159" s="305">
        <f>Humidity!J46</f>
        <v>0</v>
      </c>
      <c r="L159" s="305">
        <f>Humidity!K46</f>
        <v>0</v>
      </c>
      <c r="M159" s="305">
        <f>Humidity!L46</f>
        <v>0</v>
      </c>
      <c r="N159" s="305">
        <f>Humidity!M46</f>
        <v>0</v>
      </c>
      <c r="O159" s="305">
        <f>Humidity!N46</f>
        <v>0</v>
      </c>
      <c r="P159" s="305">
        <f>Humidity!O46</f>
        <v>0</v>
      </c>
      <c r="Q159" s="305">
        <f>Humidity!P46</f>
        <v>0</v>
      </c>
      <c r="R159" s="305">
        <f>Humidity!Q46</f>
        <v>1.0699999999999999E-2</v>
      </c>
      <c r="S159" s="305">
        <f>Humidity!R46</f>
        <v>1.091E-2</v>
      </c>
    </row>
    <row r="160" spans="1:20" ht="15" customHeight="1">
      <c r="B160" s="305" t="s">
        <v>967</v>
      </c>
      <c r="C160" s="305">
        <f>Humidity!B47</f>
        <v>1.6289999999999999E-2</v>
      </c>
      <c r="D160" s="305">
        <f>Humidity!C47</f>
        <v>1.6219999999999998E-2</v>
      </c>
      <c r="E160" s="305">
        <f>Humidity!D47</f>
        <v>0</v>
      </c>
      <c r="F160" s="305">
        <f>Humidity!E47</f>
        <v>1.2749999999999999E-2</v>
      </c>
      <c r="G160" s="305">
        <f>Humidity!F47</f>
        <v>0</v>
      </c>
      <c r="H160" s="305">
        <f>Humidity!G47</f>
        <v>0</v>
      </c>
      <c r="I160" s="305">
        <f>Humidity!H47</f>
        <v>9.5149999999999992E-3</v>
      </c>
      <c r="J160" s="305">
        <f>Humidity!I47</f>
        <v>0</v>
      </c>
      <c r="K160" s="305">
        <f>Humidity!J47</f>
        <v>0</v>
      </c>
      <c r="L160" s="305">
        <f>Humidity!K47</f>
        <v>0</v>
      </c>
      <c r="M160" s="305">
        <f>Humidity!L47</f>
        <v>0</v>
      </c>
      <c r="N160" s="305">
        <f>Humidity!M47</f>
        <v>0</v>
      </c>
      <c r="O160" s="305">
        <f>Humidity!N47</f>
        <v>0</v>
      </c>
      <c r="P160" s="305">
        <f>Humidity!O47</f>
        <v>0</v>
      </c>
      <c r="Q160" s="305">
        <f>Humidity!P47</f>
        <v>0</v>
      </c>
      <c r="R160" s="305">
        <f>Humidity!Q47</f>
        <v>1.371E-2</v>
      </c>
      <c r="S160" s="305">
        <f>Humidity!R47</f>
        <v>1.4019999999999999E-2</v>
      </c>
    </row>
    <row r="161" spans="2:19" ht="15" customHeight="1">
      <c r="B161" s="305" t="s">
        <v>968</v>
      </c>
      <c r="C161" s="305">
        <f>Humidity!B48</f>
        <v>1.6670000000000001E-2</v>
      </c>
      <c r="D161" s="305">
        <f>Humidity!C48</f>
        <v>1.6740000000000001E-2</v>
      </c>
      <c r="E161" s="305">
        <f>Humidity!D48</f>
        <v>0</v>
      </c>
      <c r="F161" s="305">
        <f>Humidity!E48</f>
        <v>1.426E-2</v>
      </c>
      <c r="G161" s="305">
        <f>Humidity!F48</f>
        <v>0</v>
      </c>
      <c r="H161" s="305">
        <f>Humidity!G48</f>
        <v>0</v>
      </c>
      <c r="I161" s="305">
        <f>Humidity!H48</f>
        <v>1.163E-2</v>
      </c>
      <c r="J161" s="305">
        <f>Humidity!I48</f>
        <v>0</v>
      </c>
      <c r="K161" s="305">
        <f>Humidity!J48</f>
        <v>0</v>
      </c>
      <c r="L161" s="305">
        <f>Humidity!K48</f>
        <v>0</v>
      </c>
      <c r="M161" s="305">
        <f>Humidity!L48</f>
        <v>0</v>
      </c>
      <c r="N161" s="305">
        <f>Humidity!M48</f>
        <v>0</v>
      </c>
      <c r="O161" s="305">
        <f>Humidity!N48</f>
        <v>0</v>
      </c>
      <c r="P161" s="305">
        <f>Humidity!O48</f>
        <v>0</v>
      </c>
      <c r="Q161" s="305">
        <f>Humidity!P48</f>
        <v>0</v>
      </c>
      <c r="R161" s="305">
        <f>Humidity!Q48</f>
        <v>1.668E-2</v>
      </c>
      <c r="S161" s="305">
        <f>Humidity!R48</f>
        <v>1.6289999999999999E-2</v>
      </c>
    </row>
    <row r="162" spans="2:19" ht="15" customHeight="1">
      <c r="B162" s="305" t="s">
        <v>969</v>
      </c>
      <c r="C162" s="305">
        <f>Humidity!B49</f>
        <v>1.686E-2</v>
      </c>
      <c r="D162" s="305">
        <f>Humidity!C49</f>
        <v>1.6830000000000001E-2</v>
      </c>
      <c r="E162" s="305">
        <f>Humidity!D49</f>
        <v>0</v>
      </c>
      <c r="F162" s="305">
        <f>Humidity!E49</f>
        <v>1.239E-2</v>
      </c>
      <c r="G162" s="305">
        <f>Humidity!F49</f>
        <v>0</v>
      </c>
      <c r="H162" s="305">
        <f>Humidity!G49</f>
        <v>0</v>
      </c>
      <c r="I162" s="305">
        <f>Humidity!H49</f>
        <v>1.059E-2</v>
      </c>
      <c r="J162" s="305">
        <f>Humidity!I49</f>
        <v>0</v>
      </c>
      <c r="K162" s="305">
        <f>Humidity!J49</f>
        <v>0</v>
      </c>
      <c r="L162" s="305">
        <f>Humidity!K49</f>
        <v>0</v>
      </c>
      <c r="M162" s="305">
        <f>Humidity!L49</f>
        <v>0</v>
      </c>
      <c r="N162" s="305">
        <f>Humidity!M49</f>
        <v>0</v>
      </c>
      <c r="O162" s="305">
        <f>Humidity!N49</f>
        <v>0</v>
      </c>
      <c r="P162" s="305">
        <f>Humidity!O49</f>
        <v>0</v>
      </c>
      <c r="Q162" s="305">
        <f>Humidity!P49</f>
        <v>0</v>
      </c>
      <c r="R162" s="305">
        <f>Humidity!Q49</f>
        <v>1.6760000000000001E-2</v>
      </c>
      <c r="S162" s="305">
        <f>Humidity!R49</f>
        <v>1.626E-2</v>
      </c>
    </row>
    <row r="163" spans="2:19" ht="15" customHeight="1">
      <c r="B163" s="305" t="s">
        <v>970</v>
      </c>
      <c r="C163" s="305">
        <f>Humidity!B50</f>
        <v>1.6320000000000001E-2</v>
      </c>
      <c r="D163" s="305">
        <f>Humidity!C50</f>
        <v>1.145E-2</v>
      </c>
      <c r="E163" s="305">
        <f>Humidity!D50</f>
        <v>0</v>
      </c>
      <c r="F163" s="305">
        <f>Humidity!E50</f>
        <v>1.0970000000000001E-2</v>
      </c>
      <c r="G163" s="305">
        <f>Humidity!F50</f>
        <v>0</v>
      </c>
      <c r="H163" s="305">
        <f>Humidity!G50</f>
        <v>0</v>
      </c>
      <c r="I163" s="305">
        <f>Humidity!H50</f>
        <v>8.8909999999999996E-3</v>
      </c>
      <c r="J163" s="305">
        <f>Humidity!I50</f>
        <v>0</v>
      </c>
      <c r="K163" s="305">
        <f>Humidity!J50</f>
        <v>0</v>
      </c>
      <c r="L163" s="305">
        <f>Humidity!K50</f>
        <v>0</v>
      </c>
      <c r="M163" s="305">
        <f>Humidity!L50</f>
        <v>0</v>
      </c>
      <c r="N163" s="305">
        <f>Humidity!M50</f>
        <v>0</v>
      </c>
      <c r="O163" s="305">
        <f>Humidity!N50</f>
        <v>0</v>
      </c>
      <c r="P163" s="305">
        <f>Humidity!O50</f>
        <v>0</v>
      </c>
      <c r="Q163" s="305">
        <f>Humidity!P50</f>
        <v>0</v>
      </c>
      <c r="R163" s="305">
        <f>Humidity!Q50</f>
        <v>1.404E-2</v>
      </c>
      <c r="S163" s="305">
        <f>Humidity!R50</f>
        <v>1.3559999999999999E-2</v>
      </c>
    </row>
    <row r="164" spans="2:19" ht="15" customHeight="1">
      <c r="B164" s="305" t="s">
        <v>971</v>
      </c>
      <c r="C164" s="305">
        <f>Humidity!B51</f>
        <v>1.4590000000000001E-2</v>
      </c>
      <c r="D164" s="305">
        <f>Humidity!C51</f>
        <v>7.8910000000000004E-3</v>
      </c>
      <c r="E164" s="305">
        <f>Humidity!D51</f>
        <v>0</v>
      </c>
      <c r="F164" s="305">
        <f>Humidity!E51</f>
        <v>5.4270000000000004E-3</v>
      </c>
      <c r="G164" s="305">
        <f>Humidity!F51</f>
        <v>0</v>
      </c>
      <c r="H164" s="305">
        <f>Humidity!G51</f>
        <v>0</v>
      </c>
      <c r="I164" s="305">
        <f>Humidity!H51</f>
        <v>3.9449999999999997E-3</v>
      </c>
      <c r="J164" s="305">
        <f>Humidity!I51</f>
        <v>0</v>
      </c>
      <c r="K164" s="305">
        <f>Humidity!J51</f>
        <v>0</v>
      </c>
      <c r="L164" s="305">
        <f>Humidity!K51</f>
        <v>0</v>
      </c>
      <c r="M164" s="305">
        <f>Humidity!L51</f>
        <v>0</v>
      </c>
      <c r="N164" s="305">
        <f>Humidity!M51</f>
        <v>0</v>
      </c>
      <c r="O164" s="305">
        <f>Humidity!N51</f>
        <v>0</v>
      </c>
      <c r="P164" s="305">
        <f>Humidity!O51</f>
        <v>0</v>
      </c>
      <c r="Q164" s="305">
        <f>Humidity!P51</f>
        <v>0</v>
      </c>
      <c r="R164" s="305">
        <f>Humidity!Q51</f>
        <v>1.0500000000000001E-2</v>
      </c>
      <c r="S164" s="305">
        <f>Humidity!R51</f>
        <v>7.4929999999999997E-3</v>
      </c>
    </row>
    <row r="165" spans="2:19" ht="15" customHeight="1">
      <c r="B165" s="305" t="s">
        <v>972</v>
      </c>
      <c r="C165" s="305">
        <f>Humidity!B52</f>
        <v>1.225E-2</v>
      </c>
      <c r="D165" s="305">
        <f>Humidity!C52</f>
        <v>6.0429999999999998E-3</v>
      </c>
      <c r="E165" s="305">
        <f>Humidity!D52</f>
        <v>0</v>
      </c>
      <c r="F165" s="305">
        <f>Humidity!E52</f>
        <v>4.2989999999999999E-3</v>
      </c>
      <c r="G165" s="305">
        <f>Humidity!F52</f>
        <v>0</v>
      </c>
      <c r="H165" s="305">
        <f>Humidity!G52</f>
        <v>0</v>
      </c>
      <c r="I165" s="305">
        <f>Humidity!H52</f>
        <v>3.2200000000000002E-3</v>
      </c>
      <c r="J165" s="305">
        <f>Humidity!I52</f>
        <v>0</v>
      </c>
      <c r="K165" s="305">
        <f>Humidity!J52</f>
        <v>0</v>
      </c>
      <c r="L165" s="305">
        <f>Humidity!K52</f>
        <v>0</v>
      </c>
      <c r="M165" s="305">
        <f>Humidity!L52</f>
        <v>0</v>
      </c>
      <c r="N165" s="305">
        <f>Humidity!M52</f>
        <v>0</v>
      </c>
      <c r="O165" s="305">
        <f>Humidity!N52</f>
        <v>0</v>
      </c>
      <c r="P165" s="305">
        <f>Humidity!O52</f>
        <v>0</v>
      </c>
      <c r="Q165" s="305">
        <f>Humidity!P52</f>
        <v>0</v>
      </c>
      <c r="R165" s="305">
        <f>Humidity!Q52</f>
        <v>7.1399999999999996E-3</v>
      </c>
      <c r="S165" s="305">
        <f>Humidity!R52</f>
        <v>5.2579999999999997E-3</v>
      </c>
    </row>
    <row r="166" spans="2:19" ht="15" customHeight="1">
      <c r="B166" s="305" t="s">
        <v>973</v>
      </c>
      <c r="C166" s="305">
        <f>Humidity!B53</f>
        <v>8.7150000000000005E-3</v>
      </c>
      <c r="D166" s="305">
        <f>Humidity!C53</f>
        <v>4.2940000000000001E-3</v>
      </c>
      <c r="E166" s="305">
        <f>Humidity!D53</f>
        <v>0</v>
      </c>
      <c r="F166" s="305">
        <f>Humidity!E53</f>
        <v>2.2769999999999999E-3</v>
      </c>
      <c r="G166" s="305">
        <f>Humidity!F53</f>
        <v>0</v>
      </c>
      <c r="H166" s="305">
        <f>Humidity!G53</f>
        <v>0</v>
      </c>
      <c r="I166" s="305">
        <f>Humidity!H53</f>
        <v>1.505E-3</v>
      </c>
      <c r="J166" s="305">
        <f>Humidity!I53</f>
        <v>0</v>
      </c>
      <c r="K166" s="305">
        <f>Humidity!J53</f>
        <v>0</v>
      </c>
      <c r="L166" s="305">
        <f>Humidity!K53</f>
        <v>0</v>
      </c>
      <c r="M166" s="305">
        <f>Humidity!L53</f>
        <v>0</v>
      </c>
      <c r="N166" s="305">
        <f>Humidity!M53</f>
        <v>0</v>
      </c>
      <c r="O166" s="305">
        <f>Humidity!N53</f>
        <v>0</v>
      </c>
      <c r="P166" s="305">
        <f>Humidity!O53</f>
        <v>0</v>
      </c>
      <c r="Q166" s="305">
        <f>Humidity!P53</f>
        <v>0</v>
      </c>
      <c r="R166" s="305">
        <f>Humidity!Q53</f>
        <v>6.6519999999999999E-3</v>
      </c>
      <c r="S166" s="305">
        <f>Humidity!R53</f>
        <v>2.604E-3</v>
      </c>
    </row>
    <row r="167" spans="2:19" ht="15" customHeight="1">
      <c r="B167" s="305" t="s">
        <v>974</v>
      </c>
      <c r="C167" s="13">
        <f>Humidity!B59</f>
        <v>1.3089999999999999E-2</v>
      </c>
      <c r="D167" s="275">
        <f>Humidity!C59</f>
        <v>8.8339999999999998E-3</v>
      </c>
      <c r="E167" s="275">
        <f>Humidity!D59</f>
        <v>0</v>
      </c>
      <c r="F167" s="275">
        <f>Humidity!E59</f>
        <v>5.5209999999999999E-3</v>
      </c>
      <c r="G167" s="275">
        <f>Humidity!F59</f>
        <v>0</v>
      </c>
      <c r="H167" s="275">
        <f>Humidity!G59</f>
        <v>0</v>
      </c>
      <c r="I167" s="275">
        <f>Humidity!H59</f>
        <v>3.2390000000000001E-3</v>
      </c>
      <c r="J167" s="275">
        <f>Humidity!I59</f>
        <v>0</v>
      </c>
      <c r="K167" s="275">
        <f>Humidity!J59</f>
        <v>0</v>
      </c>
      <c r="L167" s="275">
        <f>Humidity!K59</f>
        <v>0</v>
      </c>
      <c r="M167" s="275">
        <f>Humidity!L59</f>
        <v>0</v>
      </c>
      <c r="N167" s="275">
        <f>Humidity!M59</f>
        <v>0</v>
      </c>
      <c r="O167" s="275">
        <f>Humidity!N59</f>
        <v>0</v>
      </c>
      <c r="P167" s="275">
        <f>Humidity!O59</f>
        <v>0</v>
      </c>
      <c r="Q167" s="275">
        <f>Humidity!P59</f>
        <v>0</v>
      </c>
      <c r="R167" s="275">
        <f>Humidity!Q59</f>
        <v>1.0449999999999999E-2</v>
      </c>
      <c r="S167" s="275">
        <f>Humidity!R59</f>
        <v>6.9750000000000003E-3</v>
      </c>
    </row>
    <row r="168" spans="2:19" ht="15" customHeight="1">
      <c r="B168" s="305" t="s">
        <v>975</v>
      </c>
      <c r="C168" s="275">
        <f>Humidity!B60</f>
        <v>1.312E-2</v>
      </c>
      <c r="D168" s="275">
        <f>Humidity!C60</f>
        <v>1.022E-2</v>
      </c>
      <c r="E168" s="275">
        <f>Humidity!D60</f>
        <v>0</v>
      </c>
      <c r="F168" s="275">
        <f>Humidity!E60</f>
        <v>5.0109999999999998E-3</v>
      </c>
      <c r="G168" s="275">
        <f>Humidity!F60</f>
        <v>0</v>
      </c>
      <c r="H168" s="275">
        <f>Humidity!G60</f>
        <v>0</v>
      </c>
      <c r="I168" s="275">
        <f>Humidity!H60</f>
        <v>3.6640000000000002E-3</v>
      </c>
      <c r="J168" s="275">
        <f>Humidity!I60</f>
        <v>0</v>
      </c>
      <c r="K168" s="275">
        <f>Humidity!J60</f>
        <v>0</v>
      </c>
      <c r="L168" s="275">
        <f>Humidity!K60</f>
        <v>0</v>
      </c>
      <c r="M168" s="275">
        <f>Humidity!L60</f>
        <v>0</v>
      </c>
      <c r="N168" s="275">
        <f>Humidity!M60</f>
        <v>0</v>
      </c>
      <c r="O168" s="275">
        <f>Humidity!N60</f>
        <v>0</v>
      </c>
      <c r="P168" s="275">
        <f>Humidity!O60</f>
        <v>0</v>
      </c>
      <c r="Q168" s="275">
        <f>Humidity!P60</f>
        <v>0</v>
      </c>
      <c r="R168" s="275">
        <f>Humidity!Q60</f>
        <v>1.132E-2</v>
      </c>
      <c r="S168" s="275">
        <f>Humidity!R60</f>
        <v>7.0429999999999998E-3</v>
      </c>
    </row>
    <row r="169" spans="2:19" ht="15" customHeight="1">
      <c r="B169" s="305" t="s">
        <v>976</v>
      </c>
      <c r="C169" s="275">
        <f>Humidity!B61</f>
        <v>1.418E-2</v>
      </c>
      <c r="D169" s="275">
        <f>Humidity!C61</f>
        <v>1.196E-2</v>
      </c>
      <c r="E169" s="275">
        <f>Humidity!D61</f>
        <v>0</v>
      </c>
      <c r="F169" s="275">
        <f>Humidity!E61</f>
        <v>8.2719999999999998E-3</v>
      </c>
      <c r="G169" s="275">
        <f>Humidity!F61</f>
        <v>0</v>
      </c>
      <c r="H169" s="275">
        <f>Humidity!G61</f>
        <v>0</v>
      </c>
      <c r="I169" s="275">
        <f>Humidity!H61</f>
        <v>4.254E-3</v>
      </c>
      <c r="J169" s="275">
        <f>Humidity!I61</f>
        <v>0</v>
      </c>
      <c r="K169" s="275">
        <f>Humidity!J61</f>
        <v>0</v>
      </c>
      <c r="L169" s="275">
        <f>Humidity!K61</f>
        <v>0</v>
      </c>
      <c r="M169" s="275">
        <f>Humidity!L61</f>
        <v>0</v>
      </c>
      <c r="N169" s="275">
        <f>Humidity!M61</f>
        <v>0</v>
      </c>
      <c r="O169" s="275">
        <f>Humidity!N61</f>
        <v>0</v>
      </c>
      <c r="P169" s="275">
        <f>Humidity!O61</f>
        <v>0</v>
      </c>
      <c r="Q169" s="275">
        <f>Humidity!P61</f>
        <v>0</v>
      </c>
      <c r="R169" s="275">
        <f>Humidity!Q61</f>
        <v>1.102E-2</v>
      </c>
      <c r="S169" s="275">
        <f>Humidity!R61</f>
        <v>0.01</v>
      </c>
    </row>
    <row r="170" spans="2:19" ht="15" customHeight="1">
      <c r="B170" s="305" t="s">
        <v>977</v>
      </c>
      <c r="C170" s="275">
        <f>Humidity!B62</f>
        <v>1.405E-2</v>
      </c>
      <c r="D170" s="275">
        <f>Humidity!C62</f>
        <v>1.41E-2</v>
      </c>
      <c r="E170" s="275">
        <f>Humidity!D62</f>
        <v>0</v>
      </c>
      <c r="F170" s="275">
        <f>Humidity!E62</f>
        <v>9.9340000000000001E-3</v>
      </c>
      <c r="G170" s="275">
        <f>Humidity!F62</f>
        <v>0</v>
      </c>
      <c r="H170" s="275">
        <f>Humidity!G62</f>
        <v>0</v>
      </c>
      <c r="I170" s="275">
        <f>Humidity!H62</f>
        <v>7.2680000000000002E-3</v>
      </c>
      <c r="J170" s="275">
        <f>Humidity!I62</f>
        <v>0</v>
      </c>
      <c r="K170" s="275">
        <f>Humidity!J62</f>
        <v>0</v>
      </c>
      <c r="L170" s="275">
        <f>Humidity!K62</f>
        <v>0</v>
      </c>
      <c r="M170" s="275">
        <f>Humidity!L62</f>
        <v>0</v>
      </c>
      <c r="N170" s="275">
        <f>Humidity!M62</f>
        <v>0</v>
      </c>
      <c r="O170" s="275">
        <f>Humidity!N62</f>
        <v>0</v>
      </c>
      <c r="P170" s="275">
        <f>Humidity!O62</f>
        <v>0</v>
      </c>
      <c r="Q170" s="275">
        <f>Humidity!P62</f>
        <v>0</v>
      </c>
      <c r="R170" s="275">
        <f>Humidity!Q62</f>
        <v>1.208E-2</v>
      </c>
      <c r="S170" s="275">
        <f>Humidity!R62</f>
        <v>1.1299999999999999E-2</v>
      </c>
    </row>
    <row r="171" spans="2:19" ht="15" customHeight="1">
      <c r="B171" s="305" t="s">
        <v>978</v>
      </c>
      <c r="C171" s="275">
        <f>Humidity!B63</f>
        <v>1.6299999999999999E-2</v>
      </c>
      <c r="D171" s="275">
        <f>Humidity!C63</f>
        <v>1.5789999999999998E-2</v>
      </c>
      <c r="E171" s="275">
        <f>Humidity!D63</f>
        <v>0</v>
      </c>
      <c r="F171" s="275">
        <f>Humidity!E63</f>
        <v>1.43E-2</v>
      </c>
      <c r="G171" s="275">
        <f>Humidity!F63</f>
        <v>0</v>
      </c>
      <c r="H171" s="275">
        <f>Humidity!G63</f>
        <v>0</v>
      </c>
      <c r="I171" s="275">
        <f>Humidity!H63</f>
        <v>1.107E-2</v>
      </c>
      <c r="J171" s="275">
        <f>Humidity!I63</f>
        <v>0</v>
      </c>
      <c r="K171" s="275">
        <f>Humidity!J63</f>
        <v>0</v>
      </c>
      <c r="L171" s="275">
        <f>Humidity!K63</f>
        <v>0</v>
      </c>
      <c r="M171" s="275">
        <f>Humidity!L63</f>
        <v>0</v>
      </c>
      <c r="N171" s="275">
        <f>Humidity!M63</f>
        <v>0</v>
      </c>
      <c r="O171" s="275">
        <f>Humidity!N63</f>
        <v>0</v>
      </c>
      <c r="P171" s="275">
        <f>Humidity!O63</f>
        <v>0</v>
      </c>
      <c r="Q171" s="275">
        <f>Humidity!P63</f>
        <v>0</v>
      </c>
      <c r="R171" s="275">
        <f>Humidity!Q63</f>
        <v>1.47E-2</v>
      </c>
      <c r="S171" s="275">
        <f>Humidity!R63</f>
        <v>1.461E-2</v>
      </c>
    </row>
    <row r="172" spans="2:19" ht="15" customHeight="1">
      <c r="B172" s="305" t="s">
        <v>979</v>
      </c>
      <c r="C172" s="275">
        <f>Humidity!B64</f>
        <v>1.805E-2</v>
      </c>
      <c r="D172" s="275">
        <f>Humidity!C64</f>
        <v>1.8010000000000002E-2</v>
      </c>
      <c r="E172" s="275">
        <f>Humidity!D64</f>
        <v>0</v>
      </c>
      <c r="F172" s="275">
        <f>Humidity!E64</f>
        <v>1.6299999999999999E-2</v>
      </c>
      <c r="G172" s="275">
        <f>Humidity!F64</f>
        <v>0</v>
      </c>
      <c r="H172" s="275">
        <f>Humidity!G64</f>
        <v>0</v>
      </c>
      <c r="I172" s="275">
        <f>Humidity!H64</f>
        <v>1.329E-2</v>
      </c>
      <c r="J172" s="275">
        <f>Humidity!I64</f>
        <v>0</v>
      </c>
      <c r="K172" s="275">
        <f>Humidity!J64</f>
        <v>0</v>
      </c>
      <c r="L172" s="275">
        <f>Humidity!K64</f>
        <v>0</v>
      </c>
      <c r="M172" s="275">
        <f>Humidity!L64</f>
        <v>0</v>
      </c>
      <c r="N172" s="275">
        <f>Humidity!M64</f>
        <v>0</v>
      </c>
      <c r="O172" s="275">
        <f>Humidity!N64</f>
        <v>0</v>
      </c>
      <c r="P172" s="275">
        <f>Humidity!O64</f>
        <v>0</v>
      </c>
      <c r="Q172" s="275">
        <f>Humidity!P64</f>
        <v>0</v>
      </c>
      <c r="R172" s="275">
        <f>Humidity!Q64</f>
        <v>1.6549999999999999E-2</v>
      </c>
      <c r="S172" s="275">
        <f>Humidity!R64</f>
        <v>1.797E-2</v>
      </c>
    </row>
    <row r="173" spans="2:19" ht="15" customHeight="1">
      <c r="B173" s="305" t="s">
        <v>980</v>
      </c>
      <c r="C173" s="275">
        <f>Humidity!B65</f>
        <v>1.8460000000000001E-2</v>
      </c>
      <c r="D173" s="275">
        <f>Humidity!C65</f>
        <v>1.8630000000000001E-2</v>
      </c>
      <c r="E173" s="275">
        <f>Humidity!D65</f>
        <v>0</v>
      </c>
      <c r="F173" s="275">
        <f>Humidity!E65</f>
        <v>1.6910000000000001E-2</v>
      </c>
      <c r="G173" s="275">
        <f>Humidity!F65</f>
        <v>0</v>
      </c>
      <c r="H173" s="275">
        <f>Humidity!G65</f>
        <v>0</v>
      </c>
      <c r="I173" s="275">
        <f>Humidity!H65</f>
        <v>1.545E-2</v>
      </c>
      <c r="J173" s="275">
        <f>Humidity!I65</f>
        <v>0</v>
      </c>
      <c r="K173" s="275">
        <f>Humidity!J65</f>
        <v>0</v>
      </c>
      <c r="L173" s="275">
        <f>Humidity!K65</f>
        <v>0</v>
      </c>
      <c r="M173" s="275">
        <f>Humidity!L65</f>
        <v>0</v>
      </c>
      <c r="N173" s="275">
        <f>Humidity!M65</f>
        <v>0</v>
      </c>
      <c r="O173" s="275">
        <f>Humidity!N65</f>
        <v>0</v>
      </c>
      <c r="P173" s="275">
        <f>Humidity!O65</f>
        <v>0</v>
      </c>
      <c r="Q173" s="275">
        <f>Humidity!P65</f>
        <v>0</v>
      </c>
      <c r="R173" s="275">
        <f>Humidity!Q65</f>
        <v>1.8689999999999998E-2</v>
      </c>
      <c r="S173" s="275">
        <f>Humidity!R65</f>
        <v>1.848E-2</v>
      </c>
    </row>
    <row r="174" spans="2:19" ht="15" customHeight="1">
      <c r="B174" s="305" t="s">
        <v>981</v>
      </c>
      <c r="C174" s="275">
        <f>Humidity!B66</f>
        <v>1.8519999999999998E-2</v>
      </c>
      <c r="D174" s="275">
        <f>Humidity!C66</f>
        <v>1.874E-2</v>
      </c>
      <c r="E174" s="275">
        <f>Humidity!D66</f>
        <v>0</v>
      </c>
      <c r="F174" s="275">
        <f>Humidity!E66</f>
        <v>1.6420000000000001E-2</v>
      </c>
      <c r="G174" s="275">
        <f>Humidity!F66</f>
        <v>0</v>
      </c>
      <c r="H174" s="275">
        <f>Humidity!G66</f>
        <v>0</v>
      </c>
      <c r="I174" s="275">
        <f>Humidity!H66</f>
        <v>1.5730000000000001E-2</v>
      </c>
      <c r="J174" s="275">
        <f>Humidity!I66</f>
        <v>0</v>
      </c>
      <c r="K174" s="275">
        <f>Humidity!J66</f>
        <v>0</v>
      </c>
      <c r="L174" s="275">
        <f>Humidity!K66</f>
        <v>0</v>
      </c>
      <c r="M174" s="275">
        <f>Humidity!L66</f>
        <v>0</v>
      </c>
      <c r="N174" s="275">
        <f>Humidity!M66</f>
        <v>0</v>
      </c>
      <c r="O174" s="275">
        <f>Humidity!N66</f>
        <v>0</v>
      </c>
      <c r="P174" s="275">
        <f>Humidity!O66</f>
        <v>0</v>
      </c>
      <c r="Q174" s="275">
        <f>Humidity!P66</f>
        <v>0</v>
      </c>
      <c r="R174" s="275">
        <f>Humidity!Q66</f>
        <v>1.7989999999999999E-2</v>
      </c>
      <c r="S174" s="275">
        <f>Humidity!R66</f>
        <v>1.763E-2</v>
      </c>
    </row>
    <row r="175" spans="2:19" ht="15" customHeight="1">
      <c r="B175" s="305" t="s">
        <v>982</v>
      </c>
      <c r="C175" s="275">
        <f>Humidity!B67</f>
        <v>1.8010000000000002E-2</v>
      </c>
      <c r="D175" s="275">
        <f>Humidity!C67</f>
        <v>1.7670000000000002E-2</v>
      </c>
      <c r="E175" s="275">
        <f>Humidity!D67</f>
        <v>0</v>
      </c>
      <c r="F175" s="275">
        <f>Humidity!E67</f>
        <v>1.6830000000000001E-2</v>
      </c>
      <c r="G175" s="275">
        <f>Humidity!F67</f>
        <v>0</v>
      </c>
      <c r="H175" s="275">
        <f>Humidity!G67</f>
        <v>0</v>
      </c>
      <c r="I175" s="275">
        <f>Humidity!H67</f>
        <v>1.473E-2</v>
      </c>
      <c r="J175" s="275">
        <f>Humidity!I67</f>
        <v>0</v>
      </c>
      <c r="K175" s="275">
        <f>Humidity!J67</f>
        <v>0</v>
      </c>
      <c r="L175" s="275">
        <f>Humidity!K67</f>
        <v>0</v>
      </c>
      <c r="M175" s="275">
        <f>Humidity!L67</f>
        <v>0</v>
      </c>
      <c r="N175" s="275">
        <f>Humidity!M67</f>
        <v>0</v>
      </c>
      <c r="O175" s="275">
        <f>Humidity!N67</f>
        <v>0</v>
      </c>
      <c r="P175" s="275">
        <f>Humidity!O67</f>
        <v>0</v>
      </c>
      <c r="Q175" s="275">
        <f>Humidity!P67</f>
        <v>0</v>
      </c>
      <c r="R175" s="275">
        <f>Humidity!Q67</f>
        <v>1.6729999999999998E-2</v>
      </c>
      <c r="S175" s="275">
        <f>Humidity!R67</f>
        <v>1.5789999999999998E-2</v>
      </c>
    </row>
    <row r="176" spans="2:19" ht="15" customHeight="1">
      <c r="B176" s="305" t="s">
        <v>983</v>
      </c>
      <c r="C176" s="275">
        <f>Humidity!B68</f>
        <v>1.7479999999999999E-2</v>
      </c>
      <c r="D176" s="275">
        <f>Humidity!C68</f>
        <v>1.274E-2</v>
      </c>
      <c r="E176" s="275">
        <f>Humidity!D68</f>
        <v>0</v>
      </c>
      <c r="F176" s="275">
        <f>Humidity!E68</f>
        <v>9.6229999999999996E-3</v>
      </c>
      <c r="G176" s="275">
        <f>Humidity!F68</f>
        <v>0</v>
      </c>
      <c r="H176" s="275">
        <f>Humidity!G68</f>
        <v>0</v>
      </c>
      <c r="I176" s="275">
        <f>Humidity!H68</f>
        <v>7.8040000000000002E-3</v>
      </c>
      <c r="J176" s="275">
        <f>Humidity!I68</f>
        <v>0</v>
      </c>
      <c r="K176" s="275">
        <f>Humidity!J68</f>
        <v>0</v>
      </c>
      <c r="L176" s="275">
        <f>Humidity!K68</f>
        <v>0</v>
      </c>
      <c r="M176" s="275">
        <f>Humidity!L68</f>
        <v>0</v>
      </c>
      <c r="N176" s="275">
        <f>Humidity!M68</f>
        <v>0</v>
      </c>
      <c r="O176" s="275">
        <f>Humidity!N68</f>
        <v>0</v>
      </c>
      <c r="P176" s="275">
        <f>Humidity!O68</f>
        <v>0</v>
      </c>
      <c r="Q176" s="275">
        <f>Humidity!P68</f>
        <v>0</v>
      </c>
      <c r="R176" s="275">
        <f>Humidity!Q68</f>
        <v>1.7749999999999998E-2</v>
      </c>
      <c r="S176" s="275">
        <f>Humidity!R68</f>
        <v>1.3180000000000001E-2</v>
      </c>
    </row>
    <row r="177" spans="1:22" ht="15" customHeight="1">
      <c r="B177" s="305" t="s">
        <v>984</v>
      </c>
      <c r="C177" s="275">
        <f>Humidity!B69</f>
        <v>1.6619999999999999E-2</v>
      </c>
      <c r="D177" s="275">
        <f>Humidity!C69</f>
        <v>1.3089999999999999E-2</v>
      </c>
      <c r="E177" s="275">
        <f>Humidity!D69</f>
        <v>0</v>
      </c>
      <c r="F177" s="275">
        <f>Humidity!E69</f>
        <v>7.7149999999999996E-3</v>
      </c>
      <c r="G177" s="275">
        <f>Humidity!F69</f>
        <v>0</v>
      </c>
      <c r="H177" s="275">
        <f>Humidity!G69</f>
        <v>0</v>
      </c>
      <c r="I177" s="275">
        <f>Humidity!H69</f>
        <v>5.9290000000000002E-3</v>
      </c>
      <c r="J177" s="275">
        <f>Humidity!I69</f>
        <v>0</v>
      </c>
      <c r="K177" s="275">
        <f>Humidity!J69</f>
        <v>0</v>
      </c>
      <c r="L177" s="275">
        <f>Humidity!K69</f>
        <v>0</v>
      </c>
      <c r="M177" s="275">
        <f>Humidity!L69</f>
        <v>0</v>
      </c>
      <c r="N177" s="275">
        <f>Humidity!M69</f>
        <v>0</v>
      </c>
      <c r="O177" s="275">
        <f>Humidity!N69</f>
        <v>0</v>
      </c>
      <c r="P177" s="275">
        <f>Humidity!O69</f>
        <v>0</v>
      </c>
      <c r="Q177" s="275">
        <f>Humidity!P69</f>
        <v>0</v>
      </c>
      <c r="R177" s="275">
        <f>Humidity!Q69</f>
        <v>1.188E-2</v>
      </c>
      <c r="S177" s="275">
        <f>Humidity!R69</f>
        <v>1.1429999999999999E-2</v>
      </c>
    </row>
    <row r="178" spans="1:22" ht="15" customHeight="1">
      <c r="B178" s="305" t="s">
        <v>985</v>
      </c>
      <c r="C178" s="275">
        <f>Humidity!B70</f>
        <v>1.452E-2</v>
      </c>
      <c r="D178" s="275">
        <f>Humidity!C70</f>
        <v>9.1240000000000002E-3</v>
      </c>
      <c r="E178" s="275">
        <f>Humidity!D70</f>
        <v>0</v>
      </c>
      <c r="F178" s="275">
        <f>Humidity!E70</f>
        <v>5.0899999999999999E-3</v>
      </c>
      <c r="G178" s="275">
        <f>Humidity!F70</f>
        <v>0</v>
      </c>
      <c r="H178" s="275">
        <f>Humidity!G70</f>
        <v>0</v>
      </c>
      <c r="I178" s="275">
        <f>Humidity!H70</f>
        <v>3.7090000000000001E-3</v>
      </c>
      <c r="J178" s="275">
        <f>Humidity!I70</f>
        <v>0</v>
      </c>
      <c r="K178" s="275">
        <f>Humidity!J70</f>
        <v>0</v>
      </c>
      <c r="L178" s="275">
        <f>Humidity!K70</f>
        <v>0</v>
      </c>
      <c r="M178" s="275">
        <f>Humidity!L70</f>
        <v>0</v>
      </c>
      <c r="N178" s="275">
        <f>Humidity!M70</f>
        <v>0</v>
      </c>
      <c r="O178" s="275">
        <f>Humidity!N70</f>
        <v>0</v>
      </c>
      <c r="P178" s="275">
        <f>Humidity!O70</f>
        <v>0</v>
      </c>
      <c r="Q178" s="275">
        <f>Humidity!P70</f>
        <v>0</v>
      </c>
      <c r="R178" s="275">
        <f>Humidity!Q70</f>
        <v>1.0070000000000001E-2</v>
      </c>
      <c r="S178" s="275">
        <f>Humidity!R70</f>
        <v>8.9569999999999997E-3</v>
      </c>
    </row>
    <row r="179" spans="1:22" ht="15" customHeight="1">
      <c r="B179" s="305" t="s">
        <v>1063</v>
      </c>
      <c r="C179" s="13">
        <f>Humidity!B8</f>
        <v>0</v>
      </c>
      <c r="D179" s="275">
        <f>Humidity!C8</f>
        <v>0</v>
      </c>
      <c r="E179" s="275">
        <f>Humidity!D8</f>
        <v>0</v>
      </c>
      <c r="F179" s="275">
        <f>Humidity!E8</f>
        <v>0</v>
      </c>
      <c r="G179" s="275">
        <f>Humidity!F8</f>
        <v>0</v>
      </c>
      <c r="H179" s="275">
        <f>Humidity!G8</f>
        <v>0</v>
      </c>
      <c r="I179" s="275">
        <f>Humidity!H8</f>
        <v>0</v>
      </c>
      <c r="J179" s="275">
        <f>Humidity!I8</f>
        <v>0</v>
      </c>
      <c r="K179" s="275">
        <f>Humidity!J8</f>
        <v>0</v>
      </c>
      <c r="L179" s="275">
        <f>Humidity!K8</f>
        <v>0</v>
      </c>
      <c r="M179" s="275">
        <f>Humidity!L8</f>
        <v>0</v>
      </c>
      <c r="N179" s="275">
        <f>Humidity!M8</f>
        <v>0</v>
      </c>
      <c r="O179" s="275">
        <f>Humidity!N8</f>
        <v>0</v>
      </c>
      <c r="P179" s="275">
        <f>Humidity!O8</f>
        <v>0</v>
      </c>
      <c r="Q179" s="275">
        <f>Humidity!P8</f>
        <v>0</v>
      </c>
      <c r="R179" s="275">
        <f>Humidity!Q8</f>
        <v>0</v>
      </c>
      <c r="S179" s="275">
        <f>Humidity!R8</f>
        <v>0</v>
      </c>
    </row>
    <row r="180" spans="1:22" ht="15" customHeight="1">
      <c r="B180" s="305" t="s">
        <v>1064</v>
      </c>
      <c r="C180" s="275">
        <f>Humidity!B9</f>
        <v>0</v>
      </c>
      <c r="D180" s="275">
        <f>Humidity!C9</f>
        <v>0</v>
      </c>
      <c r="E180" s="275">
        <f>Humidity!D9</f>
        <v>0</v>
      </c>
      <c r="F180" s="275">
        <f>Humidity!E9</f>
        <v>0</v>
      </c>
      <c r="G180" s="275">
        <f>Humidity!F9</f>
        <v>0</v>
      </c>
      <c r="H180" s="275">
        <f>Humidity!G9</f>
        <v>0</v>
      </c>
      <c r="I180" s="275">
        <f>Humidity!H9</f>
        <v>0</v>
      </c>
      <c r="J180" s="275">
        <f>Humidity!I9</f>
        <v>0</v>
      </c>
      <c r="K180" s="275">
        <f>Humidity!J9</f>
        <v>0</v>
      </c>
      <c r="L180" s="275">
        <f>Humidity!K9</f>
        <v>0</v>
      </c>
      <c r="M180" s="275">
        <f>Humidity!L9</f>
        <v>0</v>
      </c>
      <c r="N180" s="275">
        <f>Humidity!M9</f>
        <v>0</v>
      </c>
      <c r="O180" s="275">
        <f>Humidity!N9</f>
        <v>0</v>
      </c>
      <c r="P180" s="275">
        <f>Humidity!O9</f>
        <v>0</v>
      </c>
      <c r="Q180" s="275">
        <f>Humidity!P9</f>
        <v>0</v>
      </c>
      <c r="R180" s="275">
        <f>Humidity!Q9</f>
        <v>0</v>
      </c>
      <c r="S180" s="275">
        <f>Humidity!R9</f>
        <v>0</v>
      </c>
      <c r="U180" s="305"/>
      <c r="V180" s="305"/>
    </row>
    <row r="181" spans="1:22" ht="15" customHeight="1">
      <c r="B181" s="305" t="s">
        <v>1065</v>
      </c>
      <c r="C181" s="275">
        <f>Humidity!B10</f>
        <v>0</v>
      </c>
      <c r="D181" s="275">
        <f>Humidity!C10</f>
        <v>0</v>
      </c>
      <c r="E181" s="275">
        <f>Humidity!D10</f>
        <v>0</v>
      </c>
      <c r="F181" s="275">
        <f>Humidity!E10</f>
        <v>0</v>
      </c>
      <c r="G181" s="275">
        <f>Humidity!F10</f>
        <v>0</v>
      </c>
      <c r="H181" s="275">
        <f>Humidity!G10</f>
        <v>0</v>
      </c>
      <c r="I181" s="275">
        <f>Humidity!H10</f>
        <v>0</v>
      </c>
      <c r="J181" s="275">
        <f>Humidity!I10</f>
        <v>0</v>
      </c>
      <c r="K181" s="275">
        <f>Humidity!J10</f>
        <v>0</v>
      </c>
      <c r="L181" s="275">
        <f>Humidity!K10</f>
        <v>0</v>
      </c>
      <c r="M181" s="275">
        <f>Humidity!L10</f>
        <v>0</v>
      </c>
      <c r="N181" s="275">
        <f>Humidity!M10</f>
        <v>0</v>
      </c>
      <c r="O181" s="275">
        <f>Humidity!N10</f>
        <v>0</v>
      </c>
      <c r="P181" s="275">
        <f>Humidity!O10</f>
        <v>0</v>
      </c>
      <c r="Q181" s="275">
        <f>Humidity!P10</f>
        <v>0</v>
      </c>
      <c r="R181" s="275">
        <f>Humidity!Q10</f>
        <v>0</v>
      </c>
      <c r="S181" s="275">
        <f>Humidity!R10</f>
        <v>0</v>
      </c>
      <c r="U181" s="305"/>
      <c r="V181" s="305"/>
    </row>
    <row r="182" spans="1:22" ht="15" customHeight="1">
      <c r="B182" s="305" t="s">
        <v>1066</v>
      </c>
      <c r="C182" s="275">
        <f>Humidity!B11</f>
        <v>0</v>
      </c>
      <c r="D182" s="275">
        <f>Humidity!C11</f>
        <v>0</v>
      </c>
      <c r="E182" s="275">
        <f>Humidity!D11</f>
        <v>0</v>
      </c>
      <c r="F182" s="275">
        <f>Humidity!E11</f>
        <v>0</v>
      </c>
      <c r="G182" s="275">
        <f>Humidity!F11</f>
        <v>0</v>
      </c>
      <c r="H182" s="275">
        <f>Humidity!G11</f>
        <v>0</v>
      </c>
      <c r="I182" s="275">
        <f>Humidity!H11</f>
        <v>0</v>
      </c>
      <c r="J182" s="275">
        <f>Humidity!I11</f>
        <v>0</v>
      </c>
      <c r="K182" s="275">
        <f>Humidity!J11</f>
        <v>0</v>
      </c>
      <c r="L182" s="275">
        <f>Humidity!K11</f>
        <v>0</v>
      </c>
      <c r="M182" s="275">
        <f>Humidity!L11</f>
        <v>0</v>
      </c>
      <c r="N182" s="275">
        <f>Humidity!M11</f>
        <v>0</v>
      </c>
      <c r="O182" s="275">
        <f>Humidity!N11</f>
        <v>0</v>
      </c>
      <c r="P182" s="275">
        <f>Humidity!O11</f>
        <v>0</v>
      </c>
      <c r="Q182" s="275">
        <f>Humidity!P11</f>
        <v>0</v>
      </c>
      <c r="R182" s="275">
        <f>Humidity!Q11</f>
        <v>0</v>
      </c>
      <c r="S182" s="275">
        <f>Humidity!R11</f>
        <v>0</v>
      </c>
      <c r="U182" s="305"/>
      <c r="V182" s="305"/>
    </row>
    <row r="183" spans="1:22" ht="15" customHeight="1">
      <c r="B183" s="305" t="s">
        <v>1068</v>
      </c>
      <c r="C183" s="144" t="str">
        <f>Inputs!C183</f>
        <v>0 0 0</v>
      </c>
      <c r="D183" s="144" t="str">
        <f t="shared" ref="D183:S186" si="55">C183</f>
        <v>0 0 0</v>
      </c>
      <c r="E183" s="144" t="str">
        <f t="shared" si="55"/>
        <v>0 0 0</v>
      </c>
      <c r="F183" s="144" t="str">
        <f t="shared" si="55"/>
        <v>0 0 0</v>
      </c>
      <c r="G183" s="144" t="str">
        <f t="shared" si="55"/>
        <v>0 0 0</v>
      </c>
      <c r="H183" s="144" t="str">
        <f t="shared" si="55"/>
        <v>0 0 0</v>
      </c>
      <c r="I183" s="144" t="str">
        <f t="shared" si="55"/>
        <v>0 0 0</v>
      </c>
      <c r="J183" s="144" t="str">
        <f t="shared" si="55"/>
        <v>0 0 0</v>
      </c>
      <c r="K183" s="144" t="str">
        <f t="shared" si="55"/>
        <v>0 0 0</v>
      </c>
      <c r="L183" s="144" t="str">
        <f t="shared" si="55"/>
        <v>0 0 0</v>
      </c>
      <c r="M183" s="144" t="str">
        <f t="shared" si="55"/>
        <v>0 0 0</v>
      </c>
      <c r="N183" s="144" t="str">
        <f t="shared" si="55"/>
        <v>0 0 0</v>
      </c>
      <c r="O183" s="144" t="str">
        <f t="shared" si="55"/>
        <v>0 0 0</v>
      </c>
      <c r="P183" s="144" t="str">
        <f t="shared" si="55"/>
        <v>0 0 0</v>
      </c>
      <c r="Q183" s="144" t="str">
        <f t="shared" si="55"/>
        <v>0 0 0</v>
      </c>
      <c r="R183" s="144" t="str">
        <f t="shared" si="55"/>
        <v>0 0 0</v>
      </c>
      <c r="S183" s="144" t="str">
        <f t="shared" si="55"/>
        <v>0 0 0</v>
      </c>
    </row>
    <row r="184" spans="1:22" ht="15" customHeight="1">
      <c r="B184" s="305" t="s">
        <v>1069</v>
      </c>
      <c r="C184" s="144" t="str">
        <f>Inputs!C184</f>
        <v>0 0 0</v>
      </c>
      <c r="D184" s="144" t="str">
        <f t="shared" si="55"/>
        <v>0 0 0</v>
      </c>
      <c r="E184" s="144" t="str">
        <f t="shared" si="55"/>
        <v>0 0 0</v>
      </c>
      <c r="F184" s="144" t="str">
        <f t="shared" si="55"/>
        <v>0 0 0</v>
      </c>
      <c r="G184" s="144" t="str">
        <f t="shared" si="55"/>
        <v>0 0 0</v>
      </c>
      <c r="H184" s="144" t="str">
        <f t="shared" si="55"/>
        <v>0 0 0</v>
      </c>
      <c r="I184" s="144" t="str">
        <f t="shared" si="55"/>
        <v>0 0 0</v>
      </c>
      <c r="J184" s="144" t="str">
        <f t="shared" si="55"/>
        <v>0 0 0</v>
      </c>
      <c r="K184" s="144" t="str">
        <f t="shared" si="55"/>
        <v>0 0 0</v>
      </c>
      <c r="L184" s="144" t="str">
        <f t="shared" si="55"/>
        <v>0 0 0</v>
      </c>
      <c r="M184" s="144" t="str">
        <f t="shared" si="55"/>
        <v>0 0 0</v>
      </c>
      <c r="N184" s="144" t="str">
        <f t="shared" si="55"/>
        <v>0 0 0</v>
      </c>
      <c r="O184" s="144" t="str">
        <f t="shared" si="55"/>
        <v>0 0 0</v>
      </c>
      <c r="P184" s="144" t="str">
        <f t="shared" si="55"/>
        <v>0 0 0</v>
      </c>
      <c r="Q184" s="144" t="str">
        <f t="shared" si="55"/>
        <v>0 0 0</v>
      </c>
      <c r="R184" s="144" t="str">
        <f t="shared" si="55"/>
        <v>0 0 0</v>
      </c>
      <c r="S184" s="144" t="str">
        <f t="shared" si="55"/>
        <v>0 0 0</v>
      </c>
    </row>
    <row r="185" spans="1:22" ht="15" customHeight="1">
      <c r="B185" s="305" t="s">
        <v>1071</v>
      </c>
      <c r="C185" s="144">
        <f>Inputs!C185</f>
        <v>0</v>
      </c>
      <c r="D185" s="144">
        <f t="shared" si="55"/>
        <v>0</v>
      </c>
      <c r="E185" s="144">
        <f t="shared" si="55"/>
        <v>0</v>
      </c>
      <c r="F185" s="144">
        <f t="shared" si="55"/>
        <v>0</v>
      </c>
      <c r="G185" s="144">
        <f t="shared" si="55"/>
        <v>0</v>
      </c>
      <c r="H185" s="144">
        <f t="shared" si="55"/>
        <v>0</v>
      </c>
      <c r="I185" s="144">
        <f t="shared" si="55"/>
        <v>0</v>
      </c>
      <c r="J185" s="144">
        <f t="shared" si="55"/>
        <v>0</v>
      </c>
      <c r="K185" s="144">
        <f t="shared" si="55"/>
        <v>0</v>
      </c>
      <c r="L185" s="144">
        <f t="shared" si="55"/>
        <v>0</v>
      </c>
      <c r="M185" s="144">
        <f t="shared" si="55"/>
        <v>0</v>
      </c>
      <c r="N185" s="144">
        <f t="shared" si="55"/>
        <v>0</v>
      </c>
      <c r="O185" s="144">
        <f t="shared" si="55"/>
        <v>0</v>
      </c>
      <c r="P185" s="144">
        <f t="shared" si="55"/>
        <v>0</v>
      </c>
      <c r="Q185" s="144">
        <f t="shared" si="55"/>
        <v>0</v>
      </c>
      <c r="R185" s="144">
        <f t="shared" si="55"/>
        <v>0</v>
      </c>
      <c r="S185" s="144">
        <f t="shared" si="55"/>
        <v>0</v>
      </c>
    </row>
    <row r="186" spans="1:22" ht="15" customHeight="1">
      <c r="B186" s="305" t="s">
        <v>1070</v>
      </c>
      <c r="C186" s="144">
        <f>Inputs!C186</f>
        <v>0</v>
      </c>
      <c r="D186" s="144">
        <f t="shared" si="55"/>
        <v>0</v>
      </c>
      <c r="E186" s="144">
        <f t="shared" si="55"/>
        <v>0</v>
      </c>
      <c r="F186" s="144">
        <f t="shared" si="55"/>
        <v>0</v>
      </c>
      <c r="G186" s="144">
        <f t="shared" si="55"/>
        <v>0</v>
      </c>
      <c r="H186" s="144">
        <f t="shared" si="55"/>
        <v>0</v>
      </c>
      <c r="I186" s="144">
        <f t="shared" si="55"/>
        <v>0</v>
      </c>
      <c r="J186" s="144">
        <f t="shared" si="55"/>
        <v>0</v>
      </c>
      <c r="K186" s="144">
        <f t="shared" si="55"/>
        <v>0</v>
      </c>
      <c r="L186" s="144">
        <f t="shared" si="55"/>
        <v>0</v>
      </c>
      <c r="M186" s="144">
        <f t="shared" si="55"/>
        <v>0</v>
      </c>
      <c r="N186" s="144">
        <f t="shared" si="55"/>
        <v>0</v>
      </c>
      <c r="O186" s="144">
        <f t="shared" si="55"/>
        <v>0</v>
      </c>
      <c r="P186" s="144">
        <f t="shared" si="55"/>
        <v>0</v>
      </c>
      <c r="Q186" s="144">
        <f t="shared" si="55"/>
        <v>0</v>
      </c>
      <c r="R186" s="144">
        <f t="shared" si="55"/>
        <v>0</v>
      </c>
      <c r="S186" s="144">
        <f t="shared" si="55"/>
        <v>0</v>
      </c>
    </row>
    <row r="187" spans="1:22" ht="15" customHeight="1">
      <c r="A187" s="305" t="s">
        <v>1221</v>
      </c>
      <c r="B187" s="305" t="s">
        <v>1207</v>
      </c>
      <c r="C187" s="144">
        <f>Inputs!C187</f>
        <v>0</v>
      </c>
      <c r="D187" s="144">
        <f>C187</f>
        <v>0</v>
      </c>
      <c r="E187" s="144">
        <f t="shared" ref="E187:S187" si="56">D187</f>
        <v>0</v>
      </c>
      <c r="F187" s="144">
        <f t="shared" si="56"/>
        <v>0</v>
      </c>
      <c r="G187" s="144">
        <f t="shared" si="56"/>
        <v>0</v>
      </c>
      <c r="H187" s="144">
        <f t="shared" si="56"/>
        <v>0</v>
      </c>
      <c r="I187" s="144">
        <f t="shared" si="56"/>
        <v>0</v>
      </c>
      <c r="J187" s="144">
        <f t="shared" si="56"/>
        <v>0</v>
      </c>
      <c r="K187" s="144">
        <f t="shared" si="56"/>
        <v>0</v>
      </c>
      <c r="L187" s="144">
        <f t="shared" si="56"/>
        <v>0</v>
      </c>
      <c r="M187" s="144">
        <f t="shared" si="56"/>
        <v>0</v>
      </c>
      <c r="N187" s="144">
        <f t="shared" si="56"/>
        <v>0</v>
      </c>
      <c r="O187" s="144">
        <f t="shared" si="56"/>
        <v>0</v>
      </c>
      <c r="P187" s="144">
        <f t="shared" si="56"/>
        <v>0</v>
      </c>
      <c r="Q187" s="144">
        <f t="shared" si="56"/>
        <v>0</v>
      </c>
      <c r="R187" s="144">
        <f t="shared" si="56"/>
        <v>0</v>
      </c>
      <c r="S187" s="144">
        <f t="shared" si="56"/>
        <v>0</v>
      </c>
    </row>
    <row r="188" spans="1:22" ht="15" customHeight="1">
      <c r="B188" s="305" t="s">
        <v>1209</v>
      </c>
      <c r="C188" s="169">
        <f>Inputs!C188</f>
        <v>1.85</v>
      </c>
      <c r="D188" s="169">
        <f t="shared" ref="D188:S191" si="57">C188</f>
        <v>1.85</v>
      </c>
      <c r="E188" s="169">
        <f t="shared" si="57"/>
        <v>1.85</v>
      </c>
      <c r="F188" s="169">
        <f t="shared" si="57"/>
        <v>1.85</v>
      </c>
      <c r="G188" s="169">
        <f t="shared" si="57"/>
        <v>1.85</v>
      </c>
      <c r="H188" s="169">
        <f t="shared" si="57"/>
        <v>1.85</v>
      </c>
      <c r="I188" s="169">
        <f t="shared" si="57"/>
        <v>1.85</v>
      </c>
      <c r="J188" s="169">
        <f t="shared" si="57"/>
        <v>1.85</v>
      </c>
      <c r="K188" s="169">
        <f t="shared" si="57"/>
        <v>1.85</v>
      </c>
      <c r="L188" s="169">
        <f t="shared" si="57"/>
        <v>1.85</v>
      </c>
      <c r="M188" s="169">
        <f t="shared" si="57"/>
        <v>1.85</v>
      </c>
      <c r="N188" s="169">
        <f t="shared" si="57"/>
        <v>1.85</v>
      </c>
      <c r="O188" s="169">
        <f t="shared" si="57"/>
        <v>1.85</v>
      </c>
      <c r="P188" s="169">
        <f t="shared" si="57"/>
        <v>1.85</v>
      </c>
      <c r="Q188" s="169">
        <f t="shared" si="57"/>
        <v>1.85</v>
      </c>
      <c r="R188" s="169">
        <f t="shared" si="57"/>
        <v>1.85</v>
      </c>
      <c r="S188" s="169">
        <f t="shared" si="57"/>
        <v>1.85</v>
      </c>
    </row>
    <row r="189" spans="1:22" ht="15" customHeight="1">
      <c r="B189" s="305" t="s">
        <v>1210</v>
      </c>
      <c r="C189" s="144">
        <f>Inputs!C189</f>
        <v>55</v>
      </c>
      <c r="D189" s="144">
        <f t="shared" si="57"/>
        <v>55</v>
      </c>
      <c r="E189" s="144">
        <f t="shared" si="57"/>
        <v>55</v>
      </c>
      <c r="F189" s="144">
        <f t="shared" si="57"/>
        <v>55</v>
      </c>
      <c r="G189" s="144">
        <f t="shared" si="57"/>
        <v>55</v>
      </c>
      <c r="H189" s="144">
        <f t="shared" si="57"/>
        <v>55</v>
      </c>
      <c r="I189" s="144">
        <f t="shared" si="57"/>
        <v>55</v>
      </c>
      <c r="J189" s="144">
        <f t="shared" si="57"/>
        <v>55</v>
      </c>
      <c r="K189" s="144">
        <f t="shared" si="57"/>
        <v>55</v>
      </c>
      <c r="L189" s="144">
        <f t="shared" si="57"/>
        <v>55</v>
      </c>
      <c r="M189" s="144">
        <f t="shared" si="57"/>
        <v>55</v>
      </c>
      <c r="N189" s="144">
        <f t="shared" si="57"/>
        <v>55</v>
      </c>
      <c r="O189" s="144">
        <f t="shared" si="57"/>
        <v>55</v>
      </c>
      <c r="P189" s="144">
        <f t="shared" si="57"/>
        <v>55</v>
      </c>
      <c r="Q189" s="144">
        <f t="shared" si="57"/>
        <v>55</v>
      </c>
      <c r="R189" s="144">
        <f t="shared" si="57"/>
        <v>55</v>
      </c>
      <c r="S189" s="144">
        <f t="shared" si="57"/>
        <v>55</v>
      </c>
    </row>
    <row r="190" spans="1:22" ht="15" customHeight="1">
      <c r="B190" s="305" t="s">
        <v>1211</v>
      </c>
      <c r="C190" s="276">
        <f>Inputs!C190</f>
        <v>2.5</v>
      </c>
      <c r="D190" s="276">
        <f t="shared" si="57"/>
        <v>2.5</v>
      </c>
      <c r="E190" s="276">
        <f t="shared" si="57"/>
        <v>2.5</v>
      </c>
      <c r="F190" s="276">
        <f t="shared" si="57"/>
        <v>2.5</v>
      </c>
      <c r="G190" s="276">
        <f t="shared" si="57"/>
        <v>2.5</v>
      </c>
      <c r="H190" s="276">
        <f t="shared" si="57"/>
        <v>2.5</v>
      </c>
      <c r="I190" s="276">
        <f t="shared" si="57"/>
        <v>2.5</v>
      </c>
      <c r="J190" s="276">
        <f t="shared" si="57"/>
        <v>2.5</v>
      </c>
      <c r="K190" s="276">
        <f t="shared" si="57"/>
        <v>2.5</v>
      </c>
      <c r="L190" s="276">
        <f t="shared" si="57"/>
        <v>2.5</v>
      </c>
      <c r="M190" s="276">
        <f t="shared" si="57"/>
        <v>2.5</v>
      </c>
      <c r="N190" s="276">
        <f t="shared" si="57"/>
        <v>2.5</v>
      </c>
      <c r="O190" s="276">
        <f t="shared" si="57"/>
        <v>2.5</v>
      </c>
      <c r="P190" s="276">
        <f t="shared" si="57"/>
        <v>2.5</v>
      </c>
      <c r="Q190" s="276">
        <f t="shared" si="57"/>
        <v>2.5</v>
      </c>
      <c r="R190" s="276">
        <f t="shared" si="57"/>
        <v>2.5</v>
      </c>
      <c r="S190" s="276">
        <f t="shared" si="57"/>
        <v>2.5</v>
      </c>
    </row>
    <row r="191" spans="1:22" ht="15" customHeight="1">
      <c r="A191" s="305" t="s">
        <v>1252</v>
      </c>
      <c r="C191" s="276" t="str">
        <f>Inputs!C191</f>
        <v>E_O_F</v>
      </c>
      <c r="D191" s="276" t="str">
        <f t="shared" si="57"/>
        <v>E_O_F</v>
      </c>
      <c r="E191" s="276" t="str">
        <f t="shared" si="57"/>
        <v>E_O_F</v>
      </c>
      <c r="F191" s="276" t="str">
        <f t="shared" si="57"/>
        <v>E_O_F</v>
      </c>
      <c r="G191" s="276" t="str">
        <f t="shared" si="57"/>
        <v>E_O_F</v>
      </c>
      <c r="H191" s="276" t="str">
        <f t="shared" si="57"/>
        <v>E_O_F</v>
      </c>
      <c r="I191" s="276" t="str">
        <f t="shared" si="57"/>
        <v>E_O_F</v>
      </c>
      <c r="J191" s="276" t="str">
        <f t="shared" si="57"/>
        <v>E_O_F</v>
      </c>
      <c r="K191" s="276" t="str">
        <f t="shared" si="57"/>
        <v>E_O_F</v>
      </c>
      <c r="L191" s="276" t="str">
        <f t="shared" si="57"/>
        <v>E_O_F</v>
      </c>
      <c r="M191" s="276" t="str">
        <f t="shared" si="57"/>
        <v>E_O_F</v>
      </c>
      <c r="N191" s="276" t="str">
        <f t="shared" si="57"/>
        <v>E_O_F</v>
      </c>
      <c r="O191" s="276" t="str">
        <f t="shared" si="57"/>
        <v>E_O_F</v>
      </c>
      <c r="P191" s="276" t="str">
        <f t="shared" si="57"/>
        <v>E_O_F</v>
      </c>
      <c r="Q191" s="276" t="str">
        <f t="shared" si="57"/>
        <v>E_O_F</v>
      </c>
      <c r="R191" s="276" t="str">
        <f t="shared" si="57"/>
        <v>E_O_F</v>
      </c>
      <c r="S191" s="276" t="str">
        <f t="shared" si="57"/>
        <v>E_O_F</v>
      </c>
    </row>
    <row r="192" spans="1:22" ht="15" customHeight="1">
      <c r="D192" s="275"/>
      <c r="E192" s="275"/>
      <c r="F192" s="275"/>
      <c r="G192" s="275"/>
      <c r="H192" s="275"/>
      <c r="I192" s="275"/>
      <c r="J192" s="275"/>
      <c r="K192" s="275"/>
      <c r="L192" s="275"/>
      <c r="M192" s="275"/>
      <c r="N192" s="275"/>
      <c r="O192" s="275"/>
      <c r="P192" s="275"/>
      <c r="Q192" s="275"/>
      <c r="R192" s="275"/>
      <c r="S192" s="275"/>
    </row>
    <row r="193" spans="4:19" ht="15" customHeight="1">
      <c r="D193" s="275"/>
      <c r="E193" s="275"/>
      <c r="F193" s="275"/>
      <c r="G193" s="275"/>
      <c r="H193" s="275"/>
      <c r="I193" s="275"/>
      <c r="J193" s="275"/>
      <c r="K193" s="275"/>
      <c r="L193" s="275"/>
      <c r="M193" s="275"/>
      <c r="N193" s="275"/>
      <c r="O193" s="275"/>
      <c r="P193" s="275"/>
      <c r="Q193" s="275"/>
      <c r="R193" s="275"/>
      <c r="S193" s="275"/>
    </row>
  </sheetData>
  <pageMargins left="0.7" right="0.7" top="0.75" bottom="0.75" header="0.51180555555555551" footer="0.51180555555555551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M44"/>
  <sheetViews>
    <sheetView workbookViewId="0">
      <selection activeCell="D15" sqref="D15"/>
    </sheetView>
  </sheetViews>
  <sheetFormatPr baseColWidth="10" defaultColWidth="8.83203125" defaultRowHeight="15" customHeight="1" x14ac:dyDescent="0"/>
  <cols>
    <col min="1" max="1" width="18.6640625" style="5" customWidth="1"/>
    <col min="2" max="2" width="8" style="5" customWidth="1"/>
    <col min="3" max="3" width="3.5" style="5" customWidth="1"/>
    <col min="4" max="4" width="12" style="5" customWidth="1"/>
    <col min="5" max="5" width="8.1640625" style="5" bestFit="1" customWidth="1"/>
    <col min="6" max="6" width="29.33203125" style="5" bestFit="1" customWidth="1"/>
    <col min="7" max="7" width="27.5" style="5" bestFit="1" customWidth="1"/>
    <col min="8" max="8" width="5.6640625" style="5" customWidth="1"/>
    <col min="9" max="9" width="3.1640625" style="5" customWidth="1"/>
    <col min="10" max="10" width="6.83203125" style="5" customWidth="1"/>
    <col min="11" max="11" width="8.1640625" style="5" customWidth="1"/>
    <col min="12" max="16384" width="8.83203125" style="5"/>
  </cols>
  <sheetData>
    <row r="1" spans="1:13" ht="15" customHeight="1">
      <c r="A1" s="140" t="s">
        <v>126</v>
      </c>
      <c r="B1" s="4"/>
      <c r="C1" s="4"/>
      <c r="D1" s="4"/>
      <c r="E1" s="4"/>
      <c r="M1" s="4"/>
    </row>
    <row r="2" spans="1:13" ht="15" customHeight="1">
      <c r="A2" s="141" t="s">
        <v>562</v>
      </c>
    </row>
    <row r="3" spans="1:13" ht="15" customHeight="1">
      <c r="A3" s="142" t="s">
        <v>563</v>
      </c>
    </row>
    <row r="4" spans="1:13" ht="15" customHeight="1">
      <c r="A4" s="108" t="s">
        <v>128</v>
      </c>
      <c r="B4" s="109" t="s">
        <v>129</v>
      </c>
      <c r="C4" s="109" t="s">
        <v>130</v>
      </c>
      <c r="D4" s="109" t="s">
        <v>131</v>
      </c>
      <c r="E4" s="109" t="s">
        <v>130</v>
      </c>
      <c r="F4" s="5" t="s">
        <v>2</v>
      </c>
    </row>
    <row r="5" spans="1:13" ht="15" customHeight="1">
      <c r="A5" s="94" t="s">
        <v>635</v>
      </c>
      <c r="B5" s="330">
        <f>Stories</f>
        <v>1</v>
      </c>
      <c r="C5" s="285"/>
      <c r="D5" s="327">
        <f>Stories</f>
        <v>1</v>
      </c>
      <c r="E5" s="5" t="s">
        <v>11</v>
      </c>
    </row>
    <row r="6" spans="1:13" ht="15" customHeight="1">
      <c r="A6" s="94" t="s">
        <v>132</v>
      </c>
      <c r="B6" s="313">
        <f>3.28084*L_houseSI</f>
        <v>46.391077600000003</v>
      </c>
      <c r="C6" s="286" t="s">
        <v>133</v>
      </c>
      <c r="D6">
        <f>IF(HomeSize="Small",14.14,IF(HomeSize="Med",20,24.49))</f>
        <v>14.14</v>
      </c>
      <c r="E6" s="60" t="s">
        <v>134</v>
      </c>
      <c r="F6" s="139" t="s">
        <v>560</v>
      </c>
    </row>
    <row r="7" spans="1:13" ht="15" customHeight="1">
      <c r="A7" s="94" t="s">
        <v>135</v>
      </c>
      <c r="B7" s="313">
        <f>3.28084*W_houseSI</f>
        <v>23.195538800000001</v>
      </c>
      <c r="C7" s="286" t="s">
        <v>133</v>
      </c>
      <c r="D7" s="289">
        <f>L_houseSI/2</f>
        <v>7.07</v>
      </c>
      <c r="E7" s="60" t="s">
        <v>134</v>
      </c>
      <c r="F7" s="138"/>
      <c r="G7" s="60"/>
      <c r="H7" s="60"/>
      <c r="I7" s="60"/>
      <c r="J7" s="60"/>
      <c r="K7" s="60"/>
    </row>
    <row r="8" spans="1:13" ht="15" customHeight="1">
      <c r="A8" s="94" t="s">
        <v>136</v>
      </c>
      <c r="B8" s="287">
        <f>A_houseSI*(1/0.0929)</f>
        <v>1076.1011840688914</v>
      </c>
      <c r="C8" s="286" t="s">
        <v>557</v>
      </c>
      <c r="D8" s="287">
        <f>L_houseSI*W_houseSI*Stories</f>
        <v>99.969800000000006</v>
      </c>
      <c r="E8" s="60" t="s">
        <v>556</v>
      </c>
      <c r="F8" s="138"/>
      <c r="G8"/>
      <c r="H8"/>
      <c r="I8" s="60"/>
      <c r="J8" s="60"/>
      <c r="K8" s="60"/>
    </row>
    <row r="9" spans="1:13" ht="15" customHeight="1">
      <c r="A9" s="94" t="s">
        <v>555</v>
      </c>
      <c r="B9" s="313">
        <f>A_houseFT/B5</f>
        <v>1076.1011840688914</v>
      </c>
      <c r="C9" s="286" t="s">
        <v>557</v>
      </c>
      <c r="D9" s="329">
        <f>A_houseSI/Stories</f>
        <v>99.969800000000006</v>
      </c>
      <c r="E9" s="60" t="s">
        <v>556</v>
      </c>
      <c r="F9" s="138"/>
      <c r="G9"/>
      <c r="H9"/>
      <c r="I9" s="60"/>
      <c r="J9" s="60"/>
      <c r="K9" s="60"/>
    </row>
    <row r="10" spans="1:13" ht="15" customHeight="1">
      <c r="A10" s="94" t="s">
        <v>139</v>
      </c>
      <c r="B10" s="313">
        <f>IF(B5=2,A_houseFT/B5,0)</f>
        <v>0</v>
      </c>
      <c r="C10" s="286" t="s">
        <v>557</v>
      </c>
      <c r="D10" s="329">
        <f>IF(Stories=2,A_houseSI/Stories,0)</f>
        <v>0</v>
      </c>
      <c r="E10" s="60" t="s">
        <v>556</v>
      </c>
      <c r="F10" s="138"/>
    </row>
    <row r="11" spans="1:13" ht="15" customHeight="1">
      <c r="A11" s="94" t="s">
        <v>140</v>
      </c>
      <c r="B11" s="288">
        <f>3.28084*D11</f>
        <v>139.17323279999999</v>
      </c>
      <c r="C11" s="286" t="s">
        <v>133</v>
      </c>
      <c r="D11" s="289">
        <f>2*L_houseSI+2*W_houseSI</f>
        <v>42.42</v>
      </c>
      <c r="E11" s="60" t="s">
        <v>134</v>
      </c>
      <c r="F11" s="138"/>
    </row>
    <row r="12" spans="1:13" ht="15" customHeight="1">
      <c r="A12" s="94" t="s">
        <v>141</v>
      </c>
      <c r="B12" s="313">
        <f>3.28084*D12</f>
        <v>0.98425200000000013</v>
      </c>
      <c r="C12" s="286"/>
      <c r="D12" s="327">
        <v>0.30000000000000004</v>
      </c>
      <c r="E12" s="60" t="s">
        <v>134</v>
      </c>
      <c r="F12" s="138"/>
    </row>
    <row r="13" spans="1:13" ht="15" customHeight="1">
      <c r="A13" s="94" t="s">
        <v>142</v>
      </c>
      <c r="B13" s="313">
        <f>3.28084*D13</f>
        <v>8.2020999999999997</v>
      </c>
      <c r="C13" s="286"/>
      <c r="D13" s="327">
        <v>2.5</v>
      </c>
      <c r="E13" s="60" t="s">
        <v>134</v>
      </c>
      <c r="F13" s="138"/>
    </row>
    <row r="14" spans="1:13" ht="15" customHeight="1">
      <c r="A14" s="94" t="s">
        <v>143</v>
      </c>
      <c r="B14" s="313">
        <f>3.28084*D14</f>
        <v>0.49212599999999995</v>
      </c>
      <c r="C14" s="286"/>
      <c r="D14" s="327">
        <v>0.15</v>
      </c>
      <c r="E14" s="60" t="s">
        <v>134</v>
      </c>
      <c r="F14" s="138"/>
    </row>
    <row r="15" spans="1:13" ht="15" customHeight="1">
      <c r="A15" s="94" t="s">
        <v>144</v>
      </c>
      <c r="B15" s="313">
        <f>3.28084*D15</f>
        <v>9.6784779999999984</v>
      </c>
      <c r="C15" s="286"/>
      <c r="D15" s="327">
        <f>D12+(D13*Stories)+(D14*Stories)</f>
        <v>2.9499999999999997</v>
      </c>
      <c r="E15" s="60" t="s">
        <v>134</v>
      </c>
      <c r="F15" s="138"/>
      <c r="G15" s="5" t="s">
        <v>145</v>
      </c>
    </row>
    <row r="16" spans="1:13" ht="15" customHeight="1">
      <c r="A16" s="94" t="s">
        <v>146</v>
      </c>
      <c r="B16" s="289">
        <f>A_windowSI*(1/0.0929)</f>
        <v>215.22023681377829</v>
      </c>
      <c r="C16" s="286"/>
      <c r="D16" s="328">
        <f>0.2*A_houseSI</f>
        <v>19.993960000000001</v>
      </c>
      <c r="E16" s="60" t="s">
        <v>138</v>
      </c>
      <c r="F16" s="139" t="s">
        <v>561</v>
      </c>
      <c r="G16" s="5" t="s">
        <v>147</v>
      </c>
    </row>
    <row r="17" spans="1:8" s="305" customFormat="1" ht="15" customHeight="1">
      <c r="A17" s="228" t="s">
        <v>1049</v>
      </c>
      <c r="B17" s="289">
        <f>A_doors_SI*(1/0.0929)</f>
        <v>40.001313240043061</v>
      </c>
      <c r="C17" s="313"/>
      <c r="D17" s="328">
        <f>2*(1.858061)</f>
        <v>3.7161219999999999</v>
      </c>
      <c r="E17" s="313"/>
    </row>
    <row r="18" spans="1:8" ht="15" customHeight="1">
      <c r="A18" s="94" t="s">
        <v>148</v>
      </c>
      <c r="B18" s="313">
        <f>D18</f>
        <v>1.54</v>
      </c>
      <c r="C18" s="313"/>
      <c r="D18" s="313">
        <v>1.54</v>
      </c>
      <c r="E18" s="60" t="s">
        <v>11</v>
      </c>
      <c r="F18" s="338" t="s">
        <v>161</v>
      </c>
      <c r="H18"/>
    </row>
    <row r="19" spans="1:8" ht="15" customHeight="1">
      <c r="A19" s="94" t="s">
        <v>149</v>
      </c>
      <c r="B19" s="330">
        <f>A_wall*(1/0.0929)</f>
        <v>954.82150699677061</v>
      </c>
      <c r="C19" s="285"/>
      <c r="D19" s="328">
        <f>D11*(H_soffitSI-D12)-A_windowSI-A_doors_SI</f>
        <v>88.702917999999983</v>
      </c>
      <c r="E19" s="5" t="s">
        <v>138</v>
      </c>
      <c r="F19"/>
      <c r="G19" s="5">
        <f>((D11*D13*Stories))-A_windowSI</f>
        <v>86.05604000000001</v>
      </c>
    </row>
    <row r="20" spans="1:8" ht="15" customHeight="1">
      <c r="A20" s="94" t="s">
        <v>150</v>
      </c>
      <c r="B20" s="330">
        <f>35.3147*V_houseSI</f>
        <v>8826.0087401500004</v>
      </c>
      <c r="C20" s="285"/>
      <c r="D20" s="287">
        <f>A_houseSI*D13</f>
        <v>249.92450000000002</v>
      </c>
      <c r="E20" s="5" t="s">
        <v>151</v>
      </c>
      <c r="F20" s="138"/>
    </row>
    <row r="21" spans="1:8" ht="15" customHeight="1">
      <c r="B21" s="313"/>
    </row>
    <row r="22" spans="1:8" ht="15" customHeight="1">
      <c r="A22" s="108" t="s">
        <v>152</v>
      </c>
      <c r="B22" s="109" t="s">
        <v>129</v>
      </c>
      <c r="C22" s="109" t="s">
        <v>130</v>
      </c>
      <c r="D22" s="109" t="s">
        <v>131</v>
      </c>
      <c r="E22" s="109" t="s">
        <v>130</v>
      </c>
      <c r="F22" s="138"/>
    </row>
    <row r="23" spans="1:8" ht="15" customHeight="1">
      <c r="A23" s="94" t="s">
        <v>153</v>
      </c>
      <c r="B23" s="292">
        <v>0.17500000000000004</v>
      </c>
      <c r="C23" s="291" t="s">
        <v>11</v>
      </c>
      <c r="D23" s="328">
        <f>DEGREES(ATAN(4/12))</f>
        <v>18.43494882292201</v>
      </c>
      <c r="E23" s="5" t="s">
        <v>154</v>
      </c>
      <c r="F23" s="139" t="s">
        <v>592</v>
      </c>
    </row>
    <row r="24" spans="1:8" ht="15" customHeight="1">
      <c r="A24" s="94" t="s">
        <v>155</v>
      </c>
      <c r="B24" s="290"/>
      <c r="C24" s="290"/>
      <c r="D24" s="17">
        <f>TAN(RADIANS(D23))*(D7/2)</f>
        <v>1.1783333333333332</v>
      </c>
      <c r="E24" s="5" t="s">
        <v>134</v>
      </c>
    </row>
    <row r="25" spans="1:8" ht="15" customHeight="1">
      <c r="A25" s="94" t="s">
        <v>156</v>
      </c>
      <c r="B25" s="290"/>
      <c r="C25" s="290"/>
      <c r="D25" s="328">
        <f>0.5*(W_houseSI/2)*D24*2*L_houseSI</f>
        <v>58.898873833333326</v>
      </c>
      <c r="E25" s="5" t="s">
        <v>558</v>
      </c>
    </row>
    <row r="26" spans="1:8" ht="15" customHeight="1">
      <c r="A26" s="94" t="s">
        <v>157</v>
      </c>
      <c r="B26" s="290"/>
      <c r="C26" s="290"/>
      <c r="D26" s="328">
        <f>H_soffitSI+D24</f>
        <v>4.128333333333333</v>
      </c>
      <c r="E26" s="5" t="s">
        <v>134</v>
      </c>
    </row>
    <row r="27" spans="1:8" ht="15" customHeight="1">
      <c r="A27" s="94" t="s">
        <v>158</v>
      </c>
      <c r="B27" s="290"/>
      <c r="C27" s="290"/>
      <c r="D27" s="328">
        <f>H_soffitSI+(0.5*D24)</f>
        <v>3.5391666666666666</v>
      </c>
      <c r="E27" s="5" t="s">
        <v>134</v>
      </c>
      <c r="F27" s="5" t="s">
        <v>570</v>
      </c>
      <c r="H27" s="31"/>
    </row>
    <row r="28" spans="1:8" ht="15" customHeight="1">
      <c r="A28" s="94" t="s">
        <v>159</v>
      </c>
      <c r="B28" s="290"/>
      <c r="C28" s="290"/>
      <c r="D28" s="327">
        <v>0.3</v>
      </c>
      <c r="E28" s="5" t="s">
        <v>134</v>
      </c>
      <c r="F28" s="5" t="s">
        <v>160</v>
      </c>
      <c r="G28" s="5" t="s">
        <v>161</v>
      </c>
    </row>
    <row r="29" spans="1:8" ht="15" customHeight="1">
      <c r="A29" s="94" t="s">
        <v>162</v>
      </c>
      <c r="B29" s="290"/>
      <c r="C29" s="290"/>
      <c r="D29" s="328">
        <f>H_peak</f>
        <v>4.128333333333333</v>
      </c>
      <c r="E29" s="5" t="s">
        <v>134</v>
      </c>
      <c r="G29" s="5" t="s">
        <v>163</v>
      </c>
    </row>
    <row r="30" spans="1:8" ht="15" customHeight="1">
      <c r="A30" s="94" t="s">
        <v>446</v>
      </c>
      <c r="B30" s="290"/>
      <c r="C30" s="290"/>
      <c r="D30" s="327">
        <v>0.5</v>
      </c>
      <c r="E30" s="5" t="s">
        <v>134</v>
      </c>
    </row>
    <row r="31" spans="1:8" ht="15" customHeight="1">
      <c r="A31" s="139" t="s">
        <v>594</v>
      </c>
      <c r="B31" s="291"/>
      <c r="C31" s="290"/>
      <c r="D31" s="312">
        <f>(((W_houseSI/2+overhang)^2+(D24^2))^0.5)*(L_houseSI+2*overhang)*2</f>
        <v>127.28299639272764</v>
      </c>
      <c r="E31" s="136" t="s">
        <v>556</v>
      </c>
      <c r="F31" s="139" t="s">
        <v>593</v>
      </c>
      <c r="G31" s="305" t="s">
        <v>447</v>
      </c>
    </row>
    <row r="32" spans="1:8" ht="15" customHeight="1">
      <c r="A32" s="139"/>
      <c r="B32" s="139"/>
    </row>
    <row r="33" spans="1:5" ht="15" customHeight="1">
      <c r="A33" s="139"/>
      <c r="B33" s="139"/>
      <c r="D33" s="15"/>
    </row>
    <row r="36" spans="1:5" ht="15" customHeight="1">
      <c r="A36" s="5" t="s">
        <v>559</v>
      </c>
      <c r="D36" s="5">
        <f>W_houseSI/(W_houseSI+L_houseSI)</f>
        <v>0.33333333333333331</v>
      </c>
    </row>
    <row r="37" spans="1:5" ht="15" customHeight="1">
      <c r="A37" s="5" t="s">
        <v>454</v>
      </c>
    </row>
    <row r="39" spans="1:5" ht="15" customHeight="1">
      <c r="A39" s="4" t="s">
        <v>127</v>
      </c>
    </row>
    <row r="42" spans="1:5" ht="15" customHeight="1">
      <c r="A42" s="89"/>
      <c r="B42" s="109" t="s">
        <v>129</v>
      </c>
      <c r="C42" s="109" t="s">
        <v>130</v>
      </c>
      <c r="D42" s="109" t="s">
        <v>131</v>
      </c>
      <c r="E42" s="109" t="s">
        <v>130</v>
      </c>
    </row>
    <row r="43" spans="1:5" ht="15" customHeight="1">
      <c r="A43" s="145" t="s">
        <v>470</v>
      </c>
      <c r="B43" s="60">
        <v>200</v>
      </c>
      <c r="C43" s="60" t="s">
        <v>137</v>
      </c>
      <c r="D43" s="180">
        <f>B43*0.3048^2</f>
        <v>18.580608000000002</v>
      </c>
      <c r="E43" s="60" t="s">
        <v>556</v>
      </c>
    </row>
    <row r="44" spans="1:5" ht="15" customHeight="1">
      <c r="A44" s="145" t="s">
        <v>471</v>
      </c>
      <c r="B44" s="60">
        <v>240</v>
      </c>
      <c r="C44" s="60" t="s">
        <v>137</v>
      </c>
      <c r="D44" s="180">
        <f>B44*0.3048^2</f>
        <v>22.296729600000003</v>
      </c>
      <c r="E44" s="60" t="s">
        <v>556</v>
      </c>
    </row>
  </sheetData>
  <hyperlinks>
    <hyperlink ref="A3" r:id="rId1"/>
  </hyperlinks>
  <pageMargins left="0.7" right="0.7" top="0.75" bottom="0.75" header="0.51180555555555551" footer="0.51180555555555551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G34"/>
  <sheetViews>
    <sheetView topLeftCell="A3" zoomScale="85" zoomScaleNormal="85" zoomScalePageLayoutView="85" workbookViewId="0">
      <selection activeCell="H34" sqref="H34"/>
    </sheetView>
  </sheetViews>
  <sheetFormatPr baseColWidth="10" defaultColWidth="8.6640625" defaultRowHeight="15" customHeight="1" x14ac:dyDescent="0"/>
  <cols>
    <col min="1" max="1" width="14.1640625" style="1" customWidth="1"/>
    <col min="2" max="2" width="8" style="1" customWidth="1"/>
    <col min="3" max="4" width="8.83203125" style="1" customWidth="1"/>
    <col min="5" max="5" width="11.83203125" style="1" customWidth="1"/>
    <col min="6" max="6" width="9.6640625" style="1" customWidth="1"/>
    <col min="7" max="7" width="16.1640625" style="1" customWidth="1"/>
    <col min="8" max="8" width="18.6640625" style="1" customWidth="1"/>
    <col min="9" max="10" width="8.5" style="1" customWidth="1"/>
    <col min="11" max="11" width="7.33203125" style="1" customWidth="1"/>
    <col min="12" max="12" width="10.33203125" style="1" customWidth="1"/>
    <col min="13" max="13" width="5" style="1" customWidth="1"/>
    <col min="14" max="14" width="6.5" style="1" customWidth="1"/>
    <col min="15" max="15" width="8.6640625" style="1"/>
    <col min="16" max="16" width="12.1640625" style="1" customWidth="1"/>
    <col min="17" max="18" width="8.6640625" style="1"/>
    <col min="19" max="19" width="4.6640625" style="1" customWidth="1"/>
    <col min="20" max="20" width="11.5" style="1" customWidth="1"/>
    <col min="21" max="21" width="8.6640625" style="1"/>
    <col min="22" max="22" width="8.6640625" style="1" customWidth="1"/>
    <col min="23" max="23" width="6.6640625" style="1" customWidth="1"/>
    <col min="24" max="24" width="12" style="1" customWidth="1"/>
    <col min="25" max="16384" width="8.6640625" style="1"/>
  </cols>
  <sheetData>
    <row r="1" spans="1:33" s="4" customFormat="1" ht="15" customHeight="1">
      <c r="A1" s="4" t="s">
        <v>164</v>
      </c>
      <c r="G1" s="4" t="s">
        <v>165</v>
      </c>
      <c r="L1" s="475" t="s">
        <v>166</v>
      </c>
      <c r="M1" s="475"/>
      <c r="N1" s="475"/>
    </row>
    <row r="2" spans="1:33" ht="15" customHeight="1">
      <c r="A2" s="14" t="s">
        <v>6</v>
      </c>
      <c r="G2" s="14" t="s">
        <v>167</v>
      </c>
      <c r="L2" s="72" t="s">
        <v>469</v>
      </c>
      <c r="M2" s="72"/>
      <c r="N2" s="72"/>
    </row>
    <row r="3" spans="1:33" ht="15" customHeight="1">
      <c r="A3" s="14" t="s">
        <v>168</v>
      </c>
      <c r="L3" s="72"/>
      <c r="M3" s="72"/>
      <c r="N3" s="72"/>
    </row>
    <row r="4" spans="1:33" ht="15" customHeight="1">
      <c r="A4" s="14" t="s">
        <v>169</v>
      </c>
      <c r="G4" s="123"/>
      <c r="H4" s="109" t="s">
        <v>170</v>
      </c>
      <c r="I4" s="109" t="s">
        <v>171</v>
      </c>
      <c r="J4" s="92" t="s">
        <v>172</v>
      </c>
      <c r="L4" s="281"/>
      <c r="M4" s="72" t="s">
        <v>173</v>
      </c>
      <c r="N4" s="72" t="s">
        <v>130</v>
      </c>
      <c r="P4" s="131" t="s">
        <v>466</v>
      </c>
      <c r="Q4" s="130" t="s">
        <v>1058</v>
      </c>
      <c r="R4" s="130"/>
      <c r="T4" s="131" t="s">
        <v>467</v>
      </c>
      <c r="U4" s="130"/>
      <c r="V4" s="130"/>
      <c r="X4" s="131" t="s">
        <v>468</v>
      </c>
      <c r="Y4" s="130"/>
      <c r="Z4" s="130"/>
      <c r="AB4" s="1" t="s">
        <v>740</v>
      </c>
      <c r="AD4" s="1" t="s">
        <v>741</v>
      </c>
      <c r="AE4" s="1" t="s">
        <v>742</v>
      </c>
      <c r="AF4" s="1" t="s">
        <v>743</v>
      </c>
      <c r="AG4" s="1" t="s">
        <v>744</v>
      </c>
    </row>
    <row r="5" spans="1:33" ht="15" customHeight="1">
      <c r="A5" s="14" t="s">
        <v>174</v>
      </c>
      <c r="G5" s="100" t="s">
        <v>15</v>
      </c>
      <c r="H5" s="1">
        <v>0.65</v>
      </c>
      <c r="I5" s="1">
        <v>0.60000000000000009</v>
      </c>
      <c r="J5" s="204">
        <v>0.5</v>
      </c>
      <c r="L5" s="72" t="s">
        <v>175</v>
      </c>
      <c r="M5" s="477">
        <f>H23</f>
        <v>0.33333333333333331</v>
      </c>
      <c r="N5" s="72" t="s">
        <v>11</v>
      </c>
      <c r="P5" s="132" t="s">
        <v>464</v>
      </c>
      <c r="Q5" s="75">
        <v>4.8</v>
      </c>
      <c r="R5" s="75"/>
      <c r="T5" s="132" t="s">
        <v>464</v>
      </c>
      <c r="U5" s="75">
        <v>5.2</v>
      </c>
      <c r="V5" s="75"/>
      <c r="X5" s="132" t="s">
        <v>464</v>
      </c>
      <c r="Y5" s="75">
        <v>8.6</v>
      </c>
      <c r="Z5" s="75"/>
      <c r="AA5" s="342" t="s">
        <v>464</v>
      </c>
      <c r="AB5" s="75">
        <v>10</v>
      </c>
      <c r="AC5" s="1">
        <v>7</v>
      </c>
      <c r="AD5" s="75">
        <v>5</v>
      </c>
      <c r="AE5" s="75">
        <v>3</v>
      </c>
      <c r="AF5" s="75">
        <v>1.5</v>
      </c>
      <c r="AG5" s="75">
        <v>0.6</v>
      </c>
    </row>
    <row r="6" spans="1:33" ht="15" customHeight="1">
      <c r="G6" s="100" t="s">
        <v>18</v>
      </c>
      <c r="H6" s="1">
        <v>0.35</v>
      </c>
      <c r="I6" s="1">
        <v>0.4</v>
      </c>
      <c r="J6" s="205">
        <v>0</v>
      </c>
      <c r="L6" s="72" t="s">
        <v>176</v>
      </c>
      <c r="M6" s="477">
        <f>H22</f>
        <v>0.16666666666666666</v>
      </c>
      <c r="N6" s="72" t="s">
        <v>11</v>
      </c>
      <c r="P6" s="127" t="s">
        <v>465</v>
      </c>
      <c r="Q6" s="76">
        <f>V_houseSI</f>
        <v>249.92450000000002</v>
      </c>
      <c r="R6" s="75" t="s">
        <v>151</v>
      </c>
      <c r="T6" s="127" t="s">
        <v>465</v>
      </c>
      <c r="U6" s="76">
        <f>V_houseSI</f>
        <v>249.92450000000002</v>
      </c>
      <c r="V6" s="75" t="s">
        <v>151</v>
      </c>
      <c r="X6" s="127" t="s">
        <v>465</v>
      </c>
      <c r="Y6" s="76">
        <f>V_houseSI</f>
        <v>249.92450000000002</v>
      </c>
      <c r="Z6" s="75" t="s">
        <v>151</v>
      </c>
      <c r="AA6" s="125" t="s">
        <v>465</v>
      </c>
      <c r="AB6" s="76">
        <f t="shared" ref="AB6:AG6" si="0">V_houseSI</f>
        <v>249.92450000000002</v>
      </c>
      <c r="AC6" s="76">
        <f t="shared" si="0"/>
        <v>249.92450000000002</v>
      </c>
      <c r="AD6" s="76">
        <f t="shared" si="0"/>
        <v>249.92450000000002</v>
      </c>
      <c r="AE6" s="76">
        <f t="shared" si="0"/>
        <v>249.92450000000002</v>
      </c>
      <c r="AF6" s="76">
        <f t="shared" si="0"/>
        <v>249.92450000000002</v>
      </c>
      <c r="AG6" s="76">
        <f t="shared" si="0"/>
        <v>249.92450000000002</v>
      </c>
    </row>
    <row r="7" spans="1:33" ht="15" customHeight="1">
      <c r="A7" s="123"/>
      <c r="B7" s="109" t="s">
        <v>129</v>
      </c>
      <c r="C7" s="109" t="s">
        <v>130</v>
      </c>
      <c r="D7" s="109" t="s">
        <v>131</v>
      </c>
      <c r="E7" s="109" t="s">
        <v>130</v>
      </c>
      <c r="L7" s="72" t="s">
        <v>177</v>
      </c>
      <c r="M7" s="72">
        <f>M5*2+M6*2</f>
        <v>1</v>
      </c>
      <c r="N7" s="72"/>
      <c r="P7" s="127" t="s">
        <v>206</v>
      </c>
      <c r="Q7" s="77">
        <f>(Q5*Q6)/3600/14</f>
        <v>2.3802333333333335E-2</v>
      </c>
      <c r="R7" s="75" t="s">
        <v>138</v>
      </c>
      <c r="T7" s="127" t="s">
        <v>206</v>
      </c>
      <c r="U7" s="77">
        <f>(U5*U6)/3600/14</f>
        <v>2.5785861111111114E-2</v>
      </c>
      <c r="V7" s="75" t="s">
        <v>138</v>
      </c>
      <c r="X7" s="127" t="s">
        <v>206</v>
      </c>
      <c r="Y7" s="77">
        <f>(Y5*Y6)/3600/14</f>
        <v>4.264584722222222E-2</v>
      </c>
      <c r="Z7" s="75" t="s">
        <v>138</v>
      </c>
      <c r="AA7" s="125" t="s">
        <v>206</v>
      </c>
      <c r="AB7" s="77">
        <f t="shared" ref="AB7:AG7" si="1">(AB5*AB6)/3600/14</f>
        <v>4.9588194444444449E-2</v>
      </c>
      <c r="AC7" s="77">
        <f t="shared" si="1"/>
        <v>3.4711736111111113E-2</v>
      </c>
      <c r="AD7" s="77">
        <f t="shared" si="1"/>
        <v>2.4794097222222224E-2</v>
      </c>
      <c r="AE7" s="77">
        <f t="shared" si="1"/>
        <v>1.4876458333333334E-2</v>
      </c>
      <c r="AF7" s="77">
        <f t="shared" si="1"/>
        <v>7.4382291666666668E-3</v>
      </c>
      <c r="AG7" s="77">
        <f t="shared" si="1"/>
        <v>2.9752916666666669E-3</v>
      </c>
    </row>
    <row r="8" spans="1:33" ht="15" customHeight="1">
      <c r="A8" s="125" t="s">
        <v>178</v>
      </c>
      <c r="B8" s="223"/>
      <c r="C8" s="72"/>
      <c r="D8" s="72"/>
      <c r="E8" s="72"/>
      <c r="L8" s="72"/>
      <c r="M8" s="72"/>
      <c r="N8" s="72"/>
      <c r="P8" s="127" t="s">
        <v>178</v>
      </c>
      <c r="Q8" s="79">
        <f>10000*(Q7/A_houseSI)</f>
        <v>2.3809523809523809</v>
      </c>
      <c r="R8" s="78" t="s">
        <v>11</v>
      </c>
      <c r="T8" s="127" t="s">
        <v>178</v>
      </c>
      <c r="U8" s="79">
        <f>10000*(U7/A_houseSI)</f>
        <v>2.5793650793650795</v>
      </c>
      <c r="V8" s="78" t="s">
        <v>11</v>
      </c>
      <c r="X8" s="127" t="s">
        <v>178</v>
      </c>
      <c r="Y8" s="79">
        <f>10000*(Y7/A_houseSI)</f>
        <v>4.2658730158730158</v>
      </c>
      <c r="Z8" s="78" t="s">
        <v>11</v>
      </c>
      <c r="AA8" s="125" t="s">
        <v>178</v>
      </c>
      <c r="AB8" s="79">
        <f t="shared" ref="AB8:AG8" si="2">10000*(AB7/A_houseSI)</f>
        <v>4.9603174603174605</v>
      </c>
      <c r="AC8" s="79">
        <f t="shared" si="2"/>
        <v>3.4722222222222223</v>
      </c>
      <c r="AD8" s="79">
        <f t="shared" si="2"/>
        <v>2.4801587301587302</v>
      </c>
      <c r="AE8" s="79">
        <f t="shared" si="2"/>
        <v>1.4880952380952379</v>
      </c>
      <c r="AF8" s="79">
        <f t="shared" si="2"/>
        <v>0.74404761904761896</v>
      </c>
      <c r="AG8" s="79">
        <f t="shared" si="2"/>
        <v>0.29761904761904762</v>
      </c>
    </row>
    <row r="9" spans="1:33" ht="15" customHeight="1">
      <c r="A9" s="100" t="s">
        <v>179</v>
      </c>
      <c r="B9" s="18"/>
      <c r="D9" s="479">
        <f>VLOOKUP(Airtightness,Leakage!AB11:AF16,3,FALSE)</f>
        <v>7.4382291666666668E-3</v>
      </c>
      <c r="E9" s="1" t="s">
        <v>138</v>
      </c>
      <c r="G9" s="108" t="s">
        <v>7</v>
      </c>
      <c r="H9" s="109" t="s">
        <v>173</v>
      </c>
      <c r="I9" s="109" t="s">
        <v>130</v>
      </c>
      <c r="L9" s="476" t="s">
        <v>653</v>
      </c>
      <c r="M9" s="72"/>
      <c r="N9" s="72"/>
      <c r="P9" s="1" t="s">
        <v>870</v>
      </c>
      <c r="AA9" s="1" t="s">
        <v>870</v>
      </c>
      <c r="AB9" s="1">
        <f>1000*(AB7/A_houseSI)*(([0]!H_soffitSI-Geometry!D12)/2.5)^0.4</f>
        <v>0.50772882298229505</v>
      </c>
      <c r="AC9" s="1">
        <f>1000*(AC7/A_houseSI)*(([0]!H_soffitSI-Geometry!D12)/2.5)^0.4</f>
        <v>0.35541017608760656</v>
      </c>
      <c r="AD9" s="1">
        <f>1000*(AD7/A_houseSI)*(([0]!H_soffitSI-Geometry!D12)/2.5)^0.4</f>
        <v>0.25386441149114752</v>
      </c>
      <c r="AE9" s="1">
        <f>1000*(AE7/A_houseSI)*(([0]!H_soffitSI-Geometry!D12)/2.5)^0.4</f>
        <v>0.15231864689468855</v>
      </c>
      <c r="AF9" s="1">
        <f>1000*(AF7/A_houseSI)*(([0]!H_soffitSI-Geometry!D12)/2.5)^0.4</f>
        <v>7.6159323447344274E-2</v>
      </c>
      <c r="AG9" s="1">
        <f>1000*(AG7/A_houseSI)*(([0]!H_soffitSI-Geometry!D12)/2.5)^0.4</f>
        <v>3.0463729378937706E-2</v>
      </c>
    </row>
    <row r="10" spans="1:33" ht="15" customHeight="1">
      <c r="A10" s="100" t="s">
        <v>180</v>
      </c>
      <c r="D10" s="1">
        <v>1</v>
      </c>
      <c r="E10" s="1" t="s">
        <v>11</v>
      </c>
      <c r="G10" s="100" t="s">
        <v>181</v>
      </c>
      <c r="H10" s="477">
        <v>0.5</v>
      </c>
      <c r="I10" s="1" t="s">
        <v>11</v>
      </c>
      <c r="L10" s="72" t="s">
        <v>175</v>
      </c>
      <c r="M10" s="72">
        <v>0.5</v>
      </c>
      <c r="N10" s="72"/>
      <c r="AB10" s="342" t="s">
        <v>464</v>
      </c>
      <c r="AC10" s="125" t="s">
        <v>465</v>
      </c>
      <c r="AD10" s="125" t="s">
        <v>206</v>
      </c>
      <c r="AE10" s="125" t="s">
        <v>178</v>
      </c>
      <c r="AF10" s="1" t="s">
        <v>870</v>
      </c>
    </row>
    <row r="11" spans="1:33" ht="15" customHeight="1">
      <c r="A11" s="100" t="s">
        <v>182</v>
      </c>
      <c r="D11" s="18">
        <v>1.2</v>
      </c>
      <c r="E11" s="1" t="s">
        <v>183</v>
      </c>
      <c r="G11" s="100" t="s">
        <v>184</v>
      </c>
      <c r="H11" s="477">
        <v>0</v>
      </c>
      <c r="I11" s="1" t="s">
        <v>11</v>
      </c>
      <c r="L11" s="72" t="s">
        <v>176</v>
      </c>
      <c r="M11" s="72">
        <v>0</v>
      </c>
      <c r="N11" s="72"/>
      <c r="AA11" s="1" t="s">
        <v>740</v>
      </c>
      <c r="AB11" s="75">
        <v>10</v>
      </c>
      <c r="AC11" s="76">
        <f t="shared" ref="AC11:AC16" si="3">V_houseSI</f>
        <v>249.92450000000002</v>
      </c>
      <c r="AD11" s="77">
        <f t="shared" ref="AD11:AD16" si="4">(AB11*AC11)/3600/14</f>
        <v>4.9588194444444449E-2</v>
      </c>
      <c r="AE11" s="79">
        <f t="shared" ref="AE11:AE16" si="5">10000*(AD11/A_houseSI)</f>
        <v>4.9603174603174605</v>
      </c>
      <c r="AF11" s="1">
        <f>1000*(AD11/A_houseSI)*((H_soffitSI-Geometry!$D$12)/Geometry!$D$13)^0.4</f>
        <v>0.50772882298229505</v>
      </c>
    </row>
    <row r="12" spans="1:33" ht="15" customHeight="1">
      <c r="A12" s="125" t="s">
        <v>185</v>
      </c>
      <c r="B12" s="72"/>
      <c r="C12" s="72"/>
      <c r="D12" s="478">
        <v>4</v>
      </c>
      <c r="E12" s="72" t="s">
        <v>451</v>
      </c>
      <c r="G12" s="100"/>
      <c r="L12" s="72" t="s">
        <v>177</v>
      </c>
      <c r="M12" s="72">
        <f>M10*2+M11*2</f>
        <v>1</v>
      </c>
      <c r="N12" s="72"/>
      <c r="AB12" s="1">
        <v>7</v>
      </c>
      <c r="AC12" s="76">
        <f>V_houseSI</f>
        <v>249.92450000000002</v>
      </c>
      <c r="AD12" s="77">
        <f>(AB12*AC12)/3600/14</f>
        <v>3.4711736111111113E-2</v>
      </c>
      <c r="AE12" s="79">
        <f t="shared" si="5"/>
        <v>3.4722222222222223</v>
      </c>
      <c r="AF12" s="1">
        <f>1000*(AD12/A_houseSI)*((H_soffitSI-Geometry!$D$12)/Geometry!$D$13)^0.4</f>
        <v>0.35541017608760656</v>
      </c>
    </row>
    <row r="13" spans="1:33" ht="15" customHeight="1">
      <c r="A13" s="125" t="s">
        <v>4</v>
      </c>
      <c r="B13" s="72"/>
      <c r="C13" s="72"/>
      <c r="D13" s="532">
        <f>D9*D10/(SQRT(rho_air/2)*D12^(n-0.5))</f>
        <v>7.7998262904850112E-3</v>
      </c>
      <c r="E13" s="72" t="s">
        <v>472</v>
      </c>
      <c r="G13" s="100" t="s">
        <v>186</v>
      </c>
      <c r="H13" s="20">
        <f>(H10-H11)/2</f>
        <v>0.25</v>
      </c>
      <c r="I13" s="1" t="s">
        <v>11</v>
      </c>
      <c r="L13" s="21"/>
      <c r="M13" s="21"/>
      <c r="N13" s="21"/>
      <c r="O13" s="21"/>
      <c r="AA13" s="1" t="s">
        <v>741</v>
      </c>
      <c r="AB13" s="75">
        <v>5</v>
      </c>
      <c r="AC13" s="76">
        <f t="shared" si="3"/>
        <v>249.92450000000002</v>
      </c>
      <c r="AD13" s="77">
        <f t="shared" si="4"/>
        <v>2.4794097222222224E-2</v>
      </c>
      <c r="AE13" s="79">
        <f t="shared" si="5"/>
        <v>2.4801587301587302</v>
      </c>
      <c r="AF13" s="1">
        <f>1000*(AD13/A_houseSI)*((H_soffitSI-Geometry!$D$12)/Geometry!$D$13)^0.4</f>
        <v>0.25386441149114752</v>
      </c>
    </row>
    <row r="14" spans="1:33" ht="15" customHeight="1">
      <c r="A14" s="125" t="s">
        <v>8</v>
      </c>
      <c r="B14" s="72"/>
      <c r="C14" s="72"/>
      <c r="D14" s="496">
        <v>0.65</v>
      </c>
      <c r="G14" s="100" t="s">
        <v>187</v>
      </c>
      <c r="H14" s="20">
        <f>1-H13-H15</f>
        <v>0.25</v>
      </c>
      <c r="I14" s="1" t="s">
        <v>11</v>
      </c>
      <c r="P14" s="23" t="s">
        <v>188</v>
      </c>
      <c r="T14" s="23" t="s">
        <v>189</v>
      </c>
      <c r="AA14" s="1" t="s">
        <v>742</v>
      </c>
      <c r="AB14" s="75">
        <v>3</v>
      </c>
      <c r="AC14" s="76">
        <f t="shared" si="3"/>
        <v>249.92450000000002</v>
      </c>
      <c r="AD14" s="77">
        <f t="shared" si="4"/>
        <v>1.4876458333333334E-2</v>
      </c>
      <c r="AE14" s="79">
        <f t="shared" si="5"/>
        <v>1.4880952380952379</v>
      </c>
      <c r="AF14" s="1">
        <f>1000*(AD14/A_houseSI)*((H_soffitSI-Geometry!$D$12)/Geometry!$D$13)^0.4</f>
        <v>0.15231864689468855</v>
      </c>
    </row>
    <row r="15" spans="1:33" ht="15" customHeight="1">
      <c r="A15" s="23" t="s">
        <v>190</v>
      </c>
      <c r="G15" s="128" t="s">
        <v>191</v>
      </c>
      <c r="H15" s="24">
        <f>1-H10</f>
        <v>0.5</v>
      </c>
      <c r="I15" s="124" t="s">
        <v>11</v>
      </c>
      <c r="P15" s="1">
        <v>62.2</v>
      </c>
      <c r="Q15" s="21">
        <f>0.05*86+3.5*3</f>
        <v>14.8</v>
      </c>
      <c r="R15" s="1" t="s">
        <v>192</v>
      </c>
      <c r="T15" s="1" t="s">
        <v>193</v>
      </c>
      <c r="U15" s="1">
        <v>1.5</v>
      </c>
      <c r="V15" s="1" t="s">
        <v>194</v>
      </c>
      <c r="AA15" s="1" t="s">
        <v>743</v>
      </c>
      <c r="AB15" s="75">
        <v>1.5</v>
      </c>
      <c r="AC15" s="76">
        <f t="shared" si="3"/>
        <v>249.92450000000002</v>
      </c>
      <c r="AD15" s="77">
        <f t="shared" si="4"/>
        <v>7.4382291666666668E-3</v>
      </c>
      <c r="AE15" s="79">
        <f t="shared" si="5"/>
        <v>0.74404761904761896</v>
      </c>
      <c r="AF15" s="1">
        <f>1000*(AD15/A_houseSI)*((H_soffitSI-Geometry!$D$12)/Geometry!$D$13)^0.4</f>
        <v>7.6159323447344274E-2</v>
      </c>
    </row>
    <row r="16" spans="1:33" ht="15" customHeight="1">
      <c r="A16" s="108" t="s">
        <v>195</v>
      </c>
      <c r="B16" s="109" t="s">
        <v>196</v>
      </c>
      <c r="C16" s="109" t="s">
        <v>197</v>
      </c>
      <c r="D16" s="109" t="s">
        <v>198</v>
      </c>
      <c r="E16" s="109" t="s">
        <v>199</v>
      </c>
      <c r="G16" s="100" t="s">
        <v>177</v>
      </c>
      <c r="H16" s="1">
        <f>SUM(H13:H15)</f>
        <v>1</v>
      </c>
      <c r="I16" s="1" t="s">
        <v>11</v>
      </c>
      <c r="P16" s="1" t="s">
        <v>200</v>
      </c>
      <c r="Q16" s="1">
        <f>Q15+10/100*86</f>
        <v>23.4</v>
      </c>
      <c r="R16" s="1" t="s">
        <v>192</v>
      </c>
      <c r="T16" s="1" t="s">
        <v>201</v>
      </c>
      <c r="U16" s="1">
        <f>U15/1000*3600/2.5</f>
        <v>2.16</v>
      </c>
      <c r="V16" s="1" t="s">
        <v>202</v>
      </c>
      <c r="AA16" s="1" t="s">
        <v>744</v>
      </c>
      <c r="AB16" s="75">
        <v>0.6</v>
      </c>
      <c r="AC16" s="76">
        <f t="shared" si="3"/>
        <v>249.92450000000002</v>
      </c>
      <c r="AD16" s="77">
        <f t="shared" si="4"/>
        <v>2.9752916666666669E-3</v>
      </c>
      <c r="AE16" s="79">
        <f t="shared" si="5"/>
        <v>0.29761904761904762</v>
      </c>
      <c r="AF16" s="1">
        <f>1000*(AD16/A_houseSI)*((H_soffitSI-Geometry!$D$12)/Geometry!$D$13)^0.4</f>
        <v>3.0463729378937706E-2</v>
      </c>
    </row>
    <row r="17" spans="1:24" ht="15" customHeight="1">
      <c r="A17" s="100">
        <v>1000</v>
      </c>
      <c r="B17" s="1">
        <v>3.8</v>
      </c>
      <c r="C17" s="18">
        <f>B17*A17*144/10000</f>
        <v>54.72</v>
      </c>
      <c r="D17" s="25">
        <f>C17*(0.3048/12)^2</f>
        <v>3.5303155200000005E-2</v>
      </c>
      <c r="E17" s="19">
        <f>D17/(SQRT(1.2/2)*4^(0.65-0.5))</f>
        <v>3.7019359298582966E-2</v>
      </c>
      <c r="P17" s="1" t="s">
        <v>203</v>
      </c>
      <c r="Q17" s="1">
        <v>86</v>
      </c>
      <c r="R17" s="1" t="s">
        <v>151</v>
      </c>
      <c r="T17" s="1" t="s">
        <v>178</v>
      </c>
      <c r="U17" s="1">
        <f>U16/2</f>
        <v>1.08</v>
      </c>
      <c r="V17" s="1" t="s">
        <v>11</v>
      </c>
    </row>
    <row r="18" spans="1:24" ht="15" customHeight="1">
      <c r="A18" s="100">
        <v>2000</v>
      </c>
      <c r="B18" s="1">
        <v>3.8</v>
      </c>
      <c r="C18" s="18">
        <f>B18*A18*144/10000</f>
        <v>109.44</v>
      </c>
      <c r="D18" s="25">
        <f>C18*(0.3048/12)^2</f>
        <v>7.0606310400000011E-2</v>
      </c>
      <c r="E18" s="19">
        <f>D18/(SQRT(1.2/2)*4^(0.65-0.5))</f>
        <v>7.4038718597165931E-2</v>
      </c>
      <c r="P18" s="1" t="s">
        <v>150</v>
      </c>
      <c r="Q18" s="21">
        <f>Q17*2.5</f>
        <v>215</v>
      </c>
      <c r="R18" s="1" t="s">
        <v>151</v>
      </c>
      <c r="T18" s="14" t="s">
        <v>204</v>
      </c>
    </row>
    <row r="19" spans="1:24" ht="15" customHeight="1">
      <c r="A19" s="100">
        <v>2700</v>
      </c>
      <c r="B19" s="1">
        <v>3.8</v>
      </c>
      <c r="C19" s="18">
        <f>B19*A19*144/10000</f>
        <v>147.744</v>
      </c>
      <c r="D19" s="25">
        <f>C19*(0.3048/12)^2</f>
        <v>9.5318519040000008E-2</v>
      </c>
      <c r="E19" s="19">
        <f>D19/(SQRT(1.2/2)*4^(0.65-0.5))</f>
        <v>9.9952270106173996E-2</v>
      </c>
      <c r="G19" s="23" t="s">
        <v>456</v>
      </c>
      <c r="P19" s="1" t="s">
        <v>201</v>
      </c>
      <c r="Q19" s="22">
        <f>Q16/1000*3600/Q18</f>
        <v>0.39181395348837206</v>
      </c>
      <c r="R19" s="1" t="s">
        <v>202</v>
      </c>
    </row>
    <row r="20" spans="1:24" ht="15" customHeight="1">
      <c r="A20" s="100">
        <v>4000</v>
      </c>
      <c r="B20" s="1">
        <v>3.8</v>
      </c>
      <c r="C20" s="18">
        <f>B20*A20*144/10000</f>
        <v>218.88</v>
      </c>
      <c r="D20" s="25">
        <f>C20*(0.3048/12)^2</f>
        <v>0.14121262080000002</v>
      </c>
      <c r="E20" s="19">
        <f>D20/(SQRT(1.2/2)*4^(0.65-0.5))</f>
        <v>0.14807743719433186</v>
      </c>
      <c r="G20" s="100" t="s">
        <v>473</v>
      </c>
      <c r="H20" s="25">
        <f>W_houseSI</f>
        <v>7.07</v>
      </c>
      <c r="P20" s="1" t="s">
        <v>205</v>
      </c>
      <c r="Q20" s="1">
        <v>3.5</v>
      </c>
      <c r="R20" s="1" t="s">
        <v>202</v>
      </c>
    </row>
    <row r="21" spans="1:24" ht="15" customHeight="1">
      <c r="G21" s="100" t="s">
        <v>474</v>
      </c>
      <c r="H21" s="25">
        <f>L_houseSI</f>
        <v>14.14</v>
      </c>
      <c r="L21" s="21"/>
      <c r="M21" s="21"/>
      <c r="N21" s="21"/>
      <c r="O21" s="21"/>
      <c r="P21" s="1" t="s">
        <v>206</v>
      </c>
      <c r="Q21" s="19">
        <f>Q20*Q17*2.5/3600/14</f>
        <v>1.4930555555555556E-2</v>
      </c>
      <c r="R21" s="1" t="s">
        <v>138</v>
      </c>
    </row>
    <row r="22" spans="1:24" ht="15" customHeight="1">
      <c r="A22" s="23" t="s">
        <v>190</v>
      </c>
      <c r="B22" s="4"/>
      <c r="G22" s="100" t="s">
        <v>475</v>
      </c>
      <c r="H22" s="25">
        <f>H20/(2*H21+2*H20)</f>
        <v>0.16666666666666666</v>
      </c>
      <c r="P22" s="1" t="s">
        <v>207</v>
      </c>
      <c r="Q22" s="26">
        <f>PI()*(0.1/2)^2</f>
        <v>7.8539816339744835E-3</v>
      </c>
      <c r="R22" s="1" t="s">
        <v>138</v>
      </c>
      <c r="S22" s="27">
        <f>Q22/($Q$21+Q22)</f>
        <v>0.3447066564768122</v>
      </c>
    </row>
    <row r="23" spans="1:24" ht="15.75" customHeight="1">
      <c r="A23" s="108" t="s">
        <v>195</v>
      </c>
      <c r="B23" s="109" t="s">
        <v>196</v>
      </c>
      <c r="C23" s="109" t="s">
        <v>197</v>
      </c>
      <c r="D23" s="109" t="s">
        <v>198</v>
      </c>
      <c r="E23" s="109" t="s">
        <v>199</v>
      </c>
      <c r="G23" s="129" t="s">
        <v>476</v>
      </c>
      <c r="H23" s="25">
        <f>H21/(2*H20+2*H21)</f>
        <v>0.33333333333333331</v>
      </c>
      <c r="M23" s="25"/>
      <c r="N23" s="25"/>
      <c r="P23" s="1" t="s">
        <v>208</v>
      </c>
      <c r="Q23" s="26">
        <f>PI()*(0.2/2)^2</f>
        <v>3.1415926535897934E-2</v>
      </c>
      <c r="R23" s="1" t="s">
        <v>138</v>
      </c>
      <c r="S23" s="27">
        <f>Q23/($Q$21+Q23)</f>
        <v>0.67784921569465095</v>
      </c>
    </row>
    <row r="24" spans="1:24" ht="15" customHeight="1">
      <c r="A24" s="100">
        <v>1000</v>
      </c>
      <c r="B24" s="1">
        <v>2.7</v>
      </c>
      <c r="C24" s="18">
        <f>B24*A24*144/10000</f>
        <v>38.880000000000003</v>
      </c>
      <c r="D24" s="25">
        <f>C24*(0.3048/12)^2</f>
        <v>2.5083820800000003E-2</v>
      </c>
      <c r="E24" s="19">
        <f>D24/(SQRT(1.2/2)*4^(0.65-0.5))</f>
        <v>2.630322897530895E-2</v>
      </c>
      <c r="G24" s="20"/>
      <c r="H24" s="20"/>
      <c r="P24" s="1" t="s">
        <v>178</v>
      </c>
      <c r="Q24" s="1">
        <f>Q20/2</f>
        <v>1.75</v>
      </c>
      <c r="R24" s="1" t="s">
        <v>11</v>
      </c>
    </row>
    <row r="25" spans="1:24" ht="15" customHeight="1">
      <c r="A25" s="100">
        <v>2100</v>
      </c>
      <c r="B25" s="1">
        <f>B24</f>
        <v>2.7</v>
      </c>
      <c r="C25" s="18">
        <f>B25*A25*144/10000</f>
        <v>81.647999999999996</v>
      </c>
      <c r="D25" s="25">
        <f>C25*(0.3048/12)^2</f>
        <v>5.2676023680000003E-2</v>
      </c>
      <c r="E25" s="19">
        <f>D25/(SQRT(1.2/2)*4^(0.65-0.5))</f>
        <v>5.5236780848148787E-2</v>
      </c>
      <c r="G25" s="20"/>
      <c r="H25" s="20"/>
      <c r="P25" s="14" t="s">
        <v>209</v>
      </c>
    </row>
    <row r="26" spans="1:24" ht="15" customHeight="1">
      <c r="A26" s="100">
        <v>2700</v>
      </c>
      <c r="B26" s="1">
        <f>B25</f>
        <v>2.7</v>
      </c>
      <c r="C26" s="18">
        <f>B26*A26*144/10000</f>
        <v>104.97600000000003</v>
      </c>
      <c r="D26" s="25">
        <f>C26*(0.3048/12)^2</f>
        <v>6.7726316160000022E-2</v>
      </c>
      <c r="E26" s="19">
        <f>D26/(SQRT(1.2/2)*4^(0.65-0.5))</f>
        <v>7.101871823333418E-2</v>
      </c>
      <c r="G26" s="20"/>
      <c r="H26" s="20"/>
    </row>
    <row r="27" spans="1:24" ht="15" customHeight="1">
      <c r="A27" s="100">
        <v>4000</v>
      </c>
      <c r="B27" s="1">
        <f>B26</f>
        <v>2.7</v>
      </c>
      <c r="C27" s="18">
        <f>B27*A27*144/10000</f>
        <v>155.52000000000001</v>
      </c>
      <c r="D27" s="25">
        <f>C27*(0.3048/12)^2</f>
        <v>0.10033528320000001</v>
      </c>
      <c r="E27" s="19">
        <f>D27/(SQRT(1.2/2)*4^(0.65-0.5))</f>
        <v>0.1052129159012358</v>
      </c>
      <c r="G27" s="20"/>
      <c r="H27" s="20"/>
    </row>
    <row r="28" spans="1:24" ht="15" customHeight="1">
      <c r="G28" s="1" t="s">
        <v>999</v>
      </c>
    </row>
    <row r="29" spans="1:24" ht="15" customHeight="1">
      <c r="G29" s="210" t="s">
        <v>639</v>
      </c>
      <c r="H29" s="290" t="s">
        <v>707</v>
      </c>
      <c r="I29" s="290" t="s">
        <v>656</v>
      </c>
      <c r="J29" s="290" t="s">
        <v>657</v>
      </c>
      <c r="K29" s="290" t="s">
        <v>658</v>
      </c>
      <c r="L29" s="290" t="s">
        <v>659</v>
      </c>
      <c r="M29" s="290" t="s">
        <v>660</v>
      </c>
      <c r="N29" s="290" t="s">
        <v>661</v>
      </c>
      <c r="O29" s="290" t="s">
        <v>662</v>
      </c>
      <c r="P29" s="290" t="s">
        <v>663</v>
      </c>
      <c r="Q29" s="290" t="s">
        <v>664</v>
      </c>
      <c r="R29" s="290" t="s">
        <v>665</v>
      </c>
      <c r="S29" s="290" t="s">
        <v>666</v>
      </c>
      <c r="T29" s="290" t="s">
        <v>667</v>
      </c>
      <c r="U29" s="341">
        <v>7</v>
      </c>
      <c r="V29" s="341">
        <v>8</v>
      </c>
      <c r="W29" s="1" t="s">
        <v>919</v>
      </c>
      <c r="X29" s="1" t="s">
        <v>918</v>
      </c>
    </row>
    <row r="30" spans="1:24" ht="15" customHeight="1">
      <c r="G30" s="1" t="s">
        <v>873</v>
      </c>
      <c r="H30" s="1">
        <v>3</v>
      </c>
      <c r="I30" s="1">
        <v>3</v>
      </c>
      <c r="J30" s="1">
        <v>3</v>
      </c>
      <c r="K30" s="1">
        <v>2.5</v>
      </c>
      <c r="L30" s="1">
        <v>2.5</v>
      </c>
      <c r="M30" s="1">
        <v>2.5</v>
      </c>
      <c r="N30" s="1">
        <v>2.5</v>
      </c>
      <c r="O30" s="1">
        <v>2.5</v>
      </c>
      <c r="P30" s="1">
        <v>2.5</v>
      </c>
      <c r="Q30" s="1">
        <v>2</v>
      </c>
      <c r="R30" s="1">
        <v>2</v>
      </c>
      <c r="S30" s="1">
        <v>2</v>
      </c>
      <c r="T30" s="1">
        <v>2</v>
      </c>
      <c r="U30" s="1">
        <v>2</v>
      </c>
      <c r="V30" s="1">
        <v>1.5</v>
      </c>
      <c r="W30" s="1">
        <v>3</v>
      </c>
      <c r="X30" s="1">
        <v>2.5</v>
      </c>
    </row>
    <row r="31" spans="1:24" ht="15" customHeight="1">
      <c r="G31" s="1" t="s">
        <v>890</v>
      </c>
      <c r="H31" s="1">
        <f>(V_houseSI*H30)/3600/14</f>
        <v>1.4876458333333334E-2</v>
      </c>
      <c r="I31" s="1">
        <f t="shared" ref="I31:V31" si="6">(V_houseSI*I30)/3600/14</f>
        <v>1.4876458333333334E-2</v>
      </c>
      <c r="J31" s="1">
        <f t="shared" si="6"/>
        <v>1.4876458333333334E-2</v>
      </c>
      <c r="K31" s="1">
        <f t="shared" si="6"/>
        <v>1.2397048611111112E-2</v>
      </c>
      <c r="L31" s="1">
        <f t="shared" si="6"/>
        <v>1.2397048611111112E-2</v>
      </c>
      <c r="M31" s="1">
        <f t="shared" si="6"/>
        <v>1.2397048611111112E-2</v>
      </c>
      <c r="N31" s="1">
        <f t="shared" si="6"/>
        <v>1.2397048611111112E-2</v>
      </c>
      <c r="O31" s="1">
        <f t="shared" si="6"/>
        <v>1.2397048611111112E-2</v>
      </c>
      <c r="P31" s="1">
        <f t="shared" si="6"/>
        <v>1.2397048611111112E-2</v>
      </c>
      <c r="Q31" s="1">
        <f t="shared" si="6"/>
        <v>9.917638888888889E-3</v>
      </c>
      <c r="R31" s="1">
        <f t="shared" si="6"/>
        <v>9.917638888888889E-3</v>
      </c>
      <c r="S31" s="1">
        <f t="shared" si="6"/>
        <v>9.917638888888889E-3</v>
      </c>
      <c r="T31" s="1">
        <f t="shared" si="6"/>
        <v>9.917638888888889E-3</v>
      </c>
      <c r="U31" s="1">
        <f t="shared" si="6"/>
        <v>9.917638888888889E-3</v>
      </c>
      <c r="V31" s="1">
        <f t="shared" si="6"/>
        <v>7.4382291666666668E-3</v>
      </c>
      <c r="W31" s="1">
        <f>(V_houseSI*W30)/3600/14</f>
        <v>1.4876458333333334E-2</v>
      </c>
      <c r="X31" s="1">
        <f>(V_houseSI*X30)/3600/14</f>
        <v>1.2397048611111112E-2</v>
      </c>
    </row>
    <row r="32" spans="1:24" ht="15" customHeight="1">
      <c r="G32" s="1" t="s">
        <v>891</v>
      </c>
      <c r="H32" s="477">
        <f>H31*1.05</f>
        <v>1.5620281250000001E-2</v>
      </c>
      <c r="I32" s="477">
        <f t="shared" ref="I32:X32" si="7">I31*1.05</f>
        <v>1.5620281250000001E-2</v>
      </c>
      <c r="J32" s="477">
        <f t="shared" si="7"/>
        <v>1.5620281250000001E-2</v>
      </c>
      <c r="K32" s="477">
        <f t="shared" si="7"/>
        <v>1.3016901041666668E-2</v>
      </c>
      <c r="L32" s="477">
        <f t="shared" si="7"/>
        <v>1.3016901041666668E-2</v>
      </c>
      <c r="M32" s="477">
        <f t="shared" si="7"/>
        <v>1.3016901041666668E-2</v>
      </c>
      <c r="N32" s="477">
        <f t="shared" si="7"/>
        <v>1.3016901041666668E-2</v>
      </c>
      <c r="O32" s="477">
        <f t="shared" si="7"/>
        <v>1.3016901041666668E-2</v>
      </c>
      <c r="P32" s="477">
        <f t="shared" si="7"/>
        <v>1.3016901041666668E-2</v>
      </c>
      <c r="Q32" s="477">
        <f t="shared" si="7"/>
        <v>1.0413520833333334E-2</v>
      </c>
      <c r="R32" s="477">
        <f t="shared" si="7"/>
        <v>1.0413520833333334E-2</v>
      </c>
      <c r="S32" s="477">
        <f t="shared" si="7"/>
        <v>1.0413520833333334E-2</v>
      </c>
      <c r="T32" s="477">
        <f t="shared" si="7"/>
        <v>1.0413520833333334E-2</v>
      </c>
      <c r="U32" s="477">
        <f t="shared" si="7"/>
        <v>1.0413520833333334E-2</v>
      </c>
      <c r="V32" s="477">
        <f t="shared" si="7"/>
        <v>7.8101406250000007E-3</v>
      </c>
      <c r="W32" s="477">
        <f t="shared" si="7"/>
        <v>1.5620281250000001E-2</v>
      </c>
      <c r="X32" s="477">
        <f t="shared" si="7"/>
        <v>1.3016901041666668E-2</v>
      </c>
    </row>
    <row r="33" spans="7:24" ht="15" customHeight="1">
      <c r="G33" s="1" t="s">
        <v>8</v>
      </c>
      <c r="H33" s="1">
        <f t="shared" ref="H33:X33" si="8">n</f>
        <v>0.65</v>
      </c>
      <c r="I33" s="1">
        <f t="shared" si="8"/>
        <v>0.65</v>
      </c>
      <c r="J33" s="1">
        <f t="shared" si="8"/>
        <v>0.65</v>
      </c>
      <c r="K33" s="1">
        <f t="shared" si="8"/>
        <v>0.65</v>
      </c>
      <c r="L33" s="1">
        <f t="shared" si="8"/>
        <v>0.65</v>
      </c>
      <c r="M33" s="1">
        <f t="shared" si="8"/>
        <v>0.65</v>
      </c>
      <c r="N33" s="1">
        <f t="shared" si="8"/>
        <v>0.65</v>
      </c>
      <c r="O33" s="1">
        <f t="shared" si="8"/>
        <v>0.65</v>
      </c>
      <c r="P33" s="1">
        <f t="shared" si="8"/>
        <v>0.65</v>
      </c>
      <c r="Q33" s="1">
        <f t="shared" si="8"/>
        <v>0.65</v>
      </c>
      <c r="R33" s="1">
        <f t="shared" si="8"/>
        <v>0.65</v>
      </c>
      <c r="S33" s="25">
        <f t="shared" si="8"/>
        <v>0.65</v>
      </c>
      <c r="T33" s="1">
        <f t="shared" si="8"/>
        <v>0.65</v>
      </c>
      <c r="U33" s="1">
        <f t="shared" si="8"/>
        <v>0.65</v>
      </c>
      <c r="V33" s="1">
        <f t="shared" si="8"/>
        <v>0.65</v>
      </c>
      <c r="W33" s="1">
        <f t="shared" si="8"/>
        <v>0.65</v>
      </c>
      <c r="X33" s="1">
        <f t="shared" si="8"/>
        <v>0.65</v>
      </c>
    </row>
    <row r="34" spans="7:24" ht="15" customHeight="1">
      <c r="G34" s="1" t="s">
        <v>870</v>
      </c>
      <c r="H34" s="1">
        <f>1000*(H31/A_houseSI)*((H_soffitSI-Geometry!$D$12)/2.5)^0.4</f>
        <v>0.15231864689468855</v>
      </c>
      <c r="I34" s="1">
        <f>1000*(I31/A_houseSI)*((H_soffitSI-Geometry!$D$12)/2.5)^0.4</f>
        <v>0.15231864689468855</v>
      </c>
      <c r="J34" s="1">
        <f>1000*(J31/A_houseSI)*((H_soffitSI-Geometry!$D$12)/2.5)^0.4</f>
        <v>0.15231864689468855</v>
      </c>
      <c r="K34" s="1">
        <f>1000*(K31/A_houseSI)*((H_soffitSI-Geometry!$D$12)/2.5)^0.4</f>
        <v>0.12693220574557376</v>
      </c>
      <c r="L34" s="1">
        <f>1000*(L31/A_houseSI)*((H_soffitSI-Geometry!$D$12)/2.5)^0.4</f>
        <v>0.12693220574557376</v>
      </c>
      <c r="M34" s="1">
        <f>1000*(M31/A_houseSI)*((H_soffitSI-Geometry!$D$12)/2.5)^0.4</f>
        <v>0.12693220574557376</v>
      </c>
      <c r="N34" s="1">
        <f>1000*(N31/A_houseSI)*((H_soffitSI-Geometry!$D$12)/2.5)^0.4</f>
        <v>0.12693220574557376</v>
      </c>
      <c r="O34" s="1">
        <f>1000*(O31/A_houseSI)*((H_soffitSI-Geometry!$D$12)/2.5)^0.4</f>
        <v>0.12693220574557376</v>
      </c>
      <c r="P34" s="1">
        <f>1000*(P31/A_houseSI)*((H_soffitSI-Geometry!$D$12)/2.5)^0.4</f>
        <v>0.12693220574557376</v>
      </c>
      <c r="Q34" s="1">
        <f>1000*(Q31/A_houseSI)*((H_soffitSI-Geometry!$D$12)/2.5)^0.4</f>
        <v>0.10154576459645902</v>
      </c>
      <c r="R34" s="1">
        <f>1000*(R31/A_houseSI)*((H_soffitSI-Geometry!$D$12)/2.5)^0.4</f>
        <v>0.10154576459645902</v>
      </c>
      <c r="S34" s="1">
        <f>1000*(S31/A_houseSI)*((H_soffitSI-Geometry!$D$12)/2.5)^0.4</f>
        <v>0.10154576459645902</v>
      </c>
      <c r="T34" s="1">
        <f>1000*(T31/A_houseSI)*((H_soffitSI-Geometry!$D$12)/2.5)^0.4</f>
        <v>0.10154576459645902</v>
      </c>
      <c r="U34" s="1">
        <f>1000*(U31/A_houseSI)*((H_soffitSI-Geometry!$D$12)/2.5)^0.4</f>
        <v>0.10154576459645902</v>
      </c>
      <c r="V34" s="1">
        <f>1000*(V31/A_houseSI)*((H_soffitSI-Geometry!$D$12)/2.5)^0.4</f>
        <v>7.6159323447344274E-2</v>
      </c>
      <c r="W34" s="1">
        <f>1000*(W31/A_houseSI)*((H_soffitSI-Geometry!$D$12)/2.5)^0.4</f>
        <v>0.15231864689468855</v>
      </c>
      <c r="X34" s="1">
        <f>1000*(X31/A_houseSI)*((H_soffitSI-Geometry!$D$12)/2.5)^0.4</f>
        <v>0.12693220574557376</v>
      </c>
    </row>
  </sheetData>
  <pageMargins left="0.7" right="0.7" top="0.75" bottom="0.75" header="0.51180555555555551" footer="0.51180555555555551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S33"/>
  <sheetViews>
    <sheetView workbookViewId="0">
      <selection activeCell="C10" sqref="C10"/>
    </sheetView>
  </sheetViews>
  <sheetFormatPr baseColWidth="10" defaultColWidth="8.6640625" defaultRowHeight="15" customHeight="1" x14ac:dyDescent="0"/>
  <cols>
    <col min="1" max="1" width="14.5" style="5" customWidth="1"/>
    <col min="2" max="2" width="6.5" style="5" bestFit="1" customWidth="1"/>
    <col min="3" max="3" width="9.33203125" style="5" customWidth="1"/>
    <col min="4" max="12" width="10.5" style="5" bestFit="1" customWidth="1"/>
    <col min="13" max="13" width="9.33203125" style="5" customWidth="1"/>
    <col min="14" max="14" width="10.5" style="5" bestFit="1" customWidth="1"/>
    <col min="15" max="20" width="8.6640625" style="5"/>
    <col min="21" max="21" width="17.33203125" style="5" bestFit="1" customWidth="1"/>
    <col min="22" max="22" width="9.33203125" style="5" bestFit="1" customWidth="1"/>
    <col min="23" max="23" width="8.6640625" style="5"/>
    <col min="24" max="24" width="12.6640625" style="5" bestFit="1" customWidth="1"/>
    <col min="25" max="16384" width="8.6640625" style="5"/>
  </cols>
  <sheetData>
    <row r="1" spans="1:19" ht="15" customHeight="1">
      <c r="A1" s="4" t="s">
        <v>22</v>
      </c>
      <c r="Q1" s="28" t="s">
        <v>210</v>
      </c>
      <c r="R1" s="28"/>
      <c r="S1" s="28"/>
    </row>
    <row r="2" spans="1:19" s="305" customFormat="1" ht="15" customHeight="1">
      <c r="A2" s="290" t="s">
        <v>1106</v>
      </c>
      <c r="B2" s="518">
        <v>0</v>
      </c>
      <c r="Q2" s="28"/>
      <c r="R2" s="28"/>
      <c r="S2" s="28"/>
    </row>
    <row r="3" spans="1:19" s="305" customFormat="1" ht="15" customHeight="1">
      <c r="A3" s="290"/>
      <c r="B3" s="521"/>
      <c r="Q3" s="28"/>
      <c r="R3" s="28"/>
      <c r="S3" s="28"/>
    </row>
    <row r="4" spans="1:19" s="305" customFormat="1" ht="15" customHeight="1">
      <c r="A4" s="23" t="s">
        <v>211</v>
      </c>
      <c r="B4" s="521"/>
      <c r="Q4" s="28"/>
      <c r="R4" s="28"/>
      <c r="S4" s="28"/>
    </row>
    <row r="5" spans="1:19" ht="15" customHeight="1">
      <c r="A5" s="104"/>
      <c r="B5" s="104"/>
      <c r="C5" s="522" t="s">
        <v>1307</v>
      </c>
      <c r="D5" s="522" t="s">
        <v>1308</v>
      </c>
      <c r="E5" s="104"/>
      <c r="H5" s="109" t="s">
        <v>212</v>
      </c>
      <c r="I5" s="104"/>
      <c r="J5" s="104"/>
      <c r="K5" s="104"/>
      <c r="L5" s="104"/>
      <c r="M5" s="104"/>
      <c r="N5" s="104"/>
      <c r="Q5" s="28" t="s">
        <v>213</v>
      </c>
      <c r="R5" s="28"/>
      <c r="S5" s="28"/>
    </row>
    <row r="6" spans="1:19" ht="15" customHeight="1">
      <c r="A6" s="94" t="s">
        <v>214</v>
      </c>
      <c r="B6" s="17"/>
      <c r="C6" s="5">
        <v>3</v>
      </c>
      <c r="D6" s="305">
        <v>3</v>
      </c>
      <c r="E6" s="5" t="s">
        <v>134</v>
      </c>
      <c r="H6" s="94" t="s">
        <v>215</v>
      </c>
      <c r="I6" s="5">
        <v>6</v>
      </c>
      <c r="J6" s="5" t="s">
        <v>134</v>
      </c>
      <c r="K6"/>
      <c r="Q6" s="28" t="s">
        <v>214</v>
      </c>
      <c r="R6" s="28">
        <v>4.5</v>
      </c>
      <c r="S6" s="28" t="s">
        <v>134</v>
      </c>
    </row>
    <row r="7" spans="1:19" ht="15" customHeight="1">
      <c r="A7" s="94" t="s">
        <v>216</v>
      </c>
      <c r="B7" s="17"/>
      <c r="C7" s="29">
        <v>0.15</v>
      </c>
      <c r="D7" s="29">
        <v>0.15</v>
      </c>
      <c r="E7" s="5" t="s">
        <v>134</v>
      </c>
      <c r="H7" s="94" t="s">
        <v>218</v>
      </c>
      <c r="I7" s="29">
        <f>C7</f>
        <v>0.15</v>
      </c>
      <c r="J7" s="5" t="s">
        <v>134</v>
      </c>
      <c r="Q7" s="28" t="s">
        <v>216</v>
      </c>
      <c r="R7" s="28">
        <v>0.15</v>
      </c>
      <c r="S7" s="28" t="s">
        <v>134</v>
      </c>
    </row>
    <row r="8" spans="1:19" ht="15" customHeight="1">
      <c r="A8" s="94" t="s">
        <v>219</v>
      </c>
      <c r="C8" s="30">
        <f>PI()*(C7/2)^2</f>
        <v>1.7671458676442587E-2</v>
      </c>
      <c r="D8" s="30">
        <f>PI()*(D7/2)^2</f>
        <v>1.7671458676442587E-2</v>
      </c>
      <c r="E8" s="5" t="s">
        <v>138</v>
      </c>
      <c r="H8" s="94" t="s">
        <v>220</v>
      </c>
      <c r="I8" s="5">
        <v>1.3700000000000002E-2</v>
      </c>
      <c r="Q8" s="28" t="s">
        <v>221</v>
      </c>
      <c r="R8" s="28">
        <v>5.4000000000000006E-2</v>
      </c>
      <c r="S8" s="28"/>
    </row>
    <row r="9" spans="1:19" ht="15" customHeight="1">
      <c r="A9" s="94" t="s">
        <v>222</v>
      </c>
      <c r="C9" s="29">
        <f>I11</f>
        <v>2.0000406200209989E-2</v>
      </c>
      <c r="D9" s="29">
        <f>I11</f>
        <v>2.0000406200209989E-2</v>
      </c>
      <c r="E9" s="5" t="s">
        <v>11</v>
      </c>
      <c r="H9" s="94" t="s">
        <v>223</v>
      </c>
      <c r="I9" s="30">
        <f>PI()*(I7/2)^2</f>
        <v>1.7671458676442587E-2</v>
      </c>
      <c r="J9" s="5" t="s">
        <v>138</v>
      </c>
      <c r="L9" s="5" t="s">
        <v>693</v>
      </c>
      <c r="Q9" s="28" t="s">
        <v>219</v>
      </c>
      <c r="R9" s="28">
        <f>PI()*(R7/2)^2</f>
        <v>1.7671458676442587E-2</v>
      </c>
      <c r="S9" s="28" t="s">
        <v>138</v>
      </c>
    </row>
    <row r="10" spans="1:19" ht="15" customHeight="1">
      <c r="A10" s="516" t="s">
        <v>225</v>
      </c>
      <c r="B10" s="517"/>
      <c r="C10" s="515">
        <f>SQRT(2*C8^2/(1.2*(1+C9*C6/C7)))</f>
        <v>1.9281086206186945E-2</v>
      </c>
      <c r="D10" s="515">
        <f>SQRT(2*D8^2/(1.2*(1+D9*D6/D7)))</f>
        <v>1.9281086206186945E-2</v>
      </c>
      <c r="E10" s="517" t="s">
        <v>1289</v>
      </c>
      <c r="H10" s="94" t="s">
        <v>224</v>
      </c>
      <c r="I10" s="5">
        <v>1.9730000000000001</v>
      </c>
      <c r="J10" s="5" t="s">
        <v>11</v>
      </c>
      <c r="L10" s="5">
        <v>2</v>
      </c>
      <c r="Q10" s="28"/>
      <c r="R10" s="28">
        <f>(2/1.2*(R9/R8)^2-1)*R7/R6</f>
        <v>-2.7383774353124182E-2</v>
      </c>
      <c r="S10" s="28"/>
    </row>
    <row r="11" spans="1:19" ht="15" customHeight="1">
      <c r="A11" s="228" t="s">
        <v>1310</v>
      </c>
      <c r="C11" s="327">
        <v>-99</v>
      </c>
      <c r="D11" s="327">
        <v>-99</v>
      </c>
      <c r="E11" s="5" t="s">
        <v>1309</v>
      </c>
      <c r="H11" s="94" t="s">
        <v>226</v>
      </c>
      <c r="I11" s="29">
        <f>(2/1.2*(I9/I8)^2-I10)*I7/I6</f>
        <v>2.0000406200209989E-2</v>
      </c>
      <c r="L11" s="5">
        <v>0.02</v>
      </c>
      <c r="Q11" s="28"/>
      <c r="R11" s="28">
        <f>SQRT(2*R9^2/(1.2*(1+R10*R6/R7)))</f>
        <v>5.4000000000000006E-2</v>
      </c>
      <c r="S11" s="28"/>
    </row>
    <row r="12" spans="1:19" ht="15" customHeight="1">
      <c r="H12" s="122" t="s">
        <v>227</v>
      </c>
    </row>
    <row r="13" spans="1:19" ht="15" customHeight="1">
      <c r="H13" s="94" t="s">
        <v>4</v>
      </c>
      <c r="I13" s="5">
        <f>SQRT(2*I9^2/(1.2*(I10+I11*I6/I7)))</f>
        <v>1.37E-2</v>
      </c>
    </row>
    <row r="15" spans="1:19" ht="15" customHeight="1">
      <c r="A15" s="109" t="s">
        <v>228</v>
      </c>
      <c r="B15" s="104"/>
      <c r="C15" s="104"/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4" t="s">
        <v>229</v>
      </c>
    </row>
    <row r="16" spans="1:19" ht="15" customHeight="1">
      <c r="A16" s="94" t="s">
        <v>230</v>
      </c>
      <c r="B16" s="5">
        <v>6</v>
      </c>
      <c r="C16" s="5">
        <v>5</v>
      </c>
      <c r="D16" s="5">
        <v>4</v>
      </c>
      <c r="E16" s="5">
        <v>3</v>
      </c>
      <c r="F16" s="5">
        <v>6</v>
      </c>
      <c r="G16" s="5">
        <v>4</v>
      </c>
      <c r="H16" s="31">
        <v>3</v>
      </c>
      <c r="I16" s="31">
        <v>2</v>
      </c>
      <c r="J16" s="5">
        <v>6</v>
      </c>
      <c r="K16" s="5">
        <v>5</v>
      </c>
      <c r="L16" s="5">
        <v>4</v>
      </c>
      <c r="M16" s="5">
        <v>3</v>
      </c>
      <c r="N16" s="5">
        <v>5.95</v>
      </c>
      <c r="P16" s="5" t="s">
        <v>231</v>
      </c>
    </row>
    <row r="17" spans="1:16" ht="15" customHeight="1">
      <c r="A17" s="94" t="s">
        <v>232</v>
      </c>
      <c r="B17" s="5">
        <v>0.15</v>
      </c>
      <c r="C17" s="5">
        <v>0.15</v>
      </c>
      <c r="D17" s="5">
        <v>0.15</v>
      </c>
      <c r="E17" s="5">
        <v>0.15</v>
      </c>
      <c r="F17" s="5">
        <v>0.2</v>
      </c>
      <c r="G17" s="5">
        <v>0.2</v>
      </c>
      <c r="H17" s="31">
        <v>0.2</v>
      </c>
      <c r="I17" s="31">
        <v>0.2</v>
      </c>
      <c r="J17" s="5">
        <v>0.1</v>
      </c>
      <c r="K17" s="5">
        <v>0.1</v>
      </c>
      <c r="L17" s="5">
        <v>0.1</v>
      </c>
      <c r="M17" s="5">
        <v>0.1</v>
      </c>
      <c r="N17" s="5">
        <v>0.16</v>
      </c>
      <c r="P17" s="5" t="s">
        <v>233</v>
      </c>
    </row>
    <row r="18" spans="1:16" ht="15" customHeight="1">
      <c r="A18" s="94" t="s">
        <v>234</v>
      </c>
      <c r="B18" s="137">
        <f>B16/B17</f>
        <v>40</v>
      </c>
      <c r="C18" s="137">
        <f t="shared" ref="C18:M18" si="0">C16/C17</f>
        <v>33.333333333333336</v>
      </c>
      <c r="D18" s="137">
        <f t="shared" si="0"/>
        <v>26.666666666666668</v>
      </c>
      <c r="E18" s="137">
        <f t="shared" si="0"/>
        <v>20</v>
      </c>
      <c r="F18" s="137">
        <f t="shared" si="0"/>
        <v>30</v>
      </c>
      <c r="G18" s="137">
        <f t="shared" si="0"/>
        <v>20</v>
      </c>
      <c r="H18" s="137">
        <f t="shared" si="0"/>
        <v>15</v>
      </c>
      <c r="I18" s="137">
        <f t="shared" si="0"/>
        <v>10</v>
      </c>
      <c r="J18" s="137">
        <f t="shared" si="0"/>
        <v>60</v>
      </c>
      <c r="K18" s="137">
        <f t="shared" si="0"/>
        <v>50</v>
      </c>
      <c r="L18" s="137">
        <f t="shared" si="0"/>
        <v>40</v>
      </c>
      <c r="M18" s="137">
        <f t="shared" si="0"/>
        <v>30</v>
      </c>
      <c r="N18" s="137">
        <f>N16/N17</f>
        <v>37.1875</v>
      </c>
      <c r="P18" s="5" t="s">
        <v>235</v>
      </c>
    </row>
    <row r="19" spans="1:16" ht="15" customHeight="1">
      <c r="A19" s="94" t="s">
        <v>236</v>
      </c>
      <c r="B19" s="29">
        <f>SQRT(1/($L$11*B18+$L$10))</f>
        <v>0.59761430466719678</v>
      </c>
      <c r="C19" s="29">
        <f t="shared" ref="C19:N19" si="1">SQRT(1/($L$11*C18+$L$10))</f>
        <v>0.61237243569579447</v>
      </c>
      <c r="D19" s="29">
        <f t="shared" si="1"/>
        <v>0.62828086243754322</v>
      </c>
      <c r="E19" s="29">
        <f t="shared" si="1"/>
        <v>0.6454972243679028</v>
      </c>
      <c r="F19" s="29">
        <f t="shared" si="1"/>
        <v>0.6201736729460422</v>
      </c>
      <c r="G19" s="29">
        <f t="shared" si="1"/>
        <v>0.6454972243679028</v>
      </c>
      <c r="H19" s="29">
        <f t="shared" si="1"/>
        <v>0.65938047339578709</v>
      </c>
      <c r="I19" s="29">
        <f t="shared" si="1"/>
        <v>0.67419986246324204</v>
      </c>
      <c r="J19" s="29">
        <f t="shared" si="1"/>
        <v>0.55901699437494745</v>
      </c>
      <c r="K19" s="29">
        <f t="shared" si="1"/>
        <v>0.57735026918962573</v>
      </c>
      <c r="L19" s="29">
        <f t="shared" si="1"/>
        <v>0.59761430466719678</v>
      </c>
      <c r="M19" s="29">
        <f t="shared" si="1"/>
        <v>0.6201736729460422</v>
      </c>
      <c r="N19" s="29">
        <f t="shared" si="1"/>
        <v>0.60370911247298209</v>
      </c>
    </row>
    <row r="20" spans="1:16" ht="15" customHeight="1">
      <c r="A20" s="94" t="s">
        <v>238</v>
      </c>
      <c r="B20" s="30">
        <f>B19*(PI()*(B17/2)^2)*(2/1.2)^0.5</f>
        <v>1.3633826362458829E-2</v>
      </c>
      <c r="C20" s="30">
        <f t="shared" ref="C20:M20" si="2">C19*(PI()*(C17/2)^2)*(2/1.2)^0.5</f>
        <v>1.3970514748775767E-2</v>
      </c>
      <c r="D20" s="30">
        <f t="shared" si="2"/>
        <v>1.4333445699730302E-2</v>
      </c>
      <c r="E20" s="30">
        <f>E19*(PI()*(E17/2)^2)*(2/1.2)^0.5</f>
        <v>1.4726215563702155E-2</v>
      </c>
      <c r="F20" s="30">
        <f t="shared" si="2"/>
        <v>2.5152871581347911E-2</v>
      </c>
      <c r="G20" s="30">
        <f t="shared" si="2"/>
        <v>2.6179938779914945E-2</v>
      </c>
      <c r="H20" s="30">
        <f t="shared" si="2"/>
        <v>2.6743012633520188E-2</v>
      </c>
      <c r="I20" s="30">
        <f t="shared" si="2"/>
        <v>2.7344054255227592E-2</v>
      </c>
      <c r="J20" s="30">
        <f t="shared" si="2"/>
        <v>5.6681230132319309E-3</v>
      </c>
      <c r="K20" s="30">
        <f t="shared" si="2"/>
        <v>5.8540122758672713E-3</v>
      </c>
      <c r="L20" s="30">
        <f t="shared" si="2"/>
        <v>6.059478383315036E-3</v>
      </c>
      <c r="M20" s="30">
        <f t="shared" si="2"/>
        <v>6.2882178953369778E-3</v>
      </c>
      <c r="N20" s="30">
        <f>N19*(PI()*(N17/2)^2)*(2/1.2)^0.5</f>
        <v>1.5670467487096804E-2</v>
      </c>
      <c r="P20" s="5" t="s">
        <v>237</v>
      </c>
    </row>
    <row r="21" spans="1:16" ht="15" customHeight="1">
      <c r="A21" s="94" t="s">
        <v>239</v>
      </c>
      <c r="B21" s="30">
        <f t="shared" ref="B21:N21" si="3">SQRT(2*(PI()*(B17/2)^2)^2/(1.2*($I$10+$C$9*B16/B17)))</f>
        <v>1.37E-2</v>
      </c>
      <c r="C21" s="30">
        <f t="shared" si="3"/>
        <v>1.4041746112196262E-2</v>
      </c>
      <c r="D21" s="30">
        <f t="shared" si="3"/>
        <v>1.4410412766318437E-2</v>
      </c>
      <c r="E21" s="30">
        <f t="shared" si="3"/>
        <v>1.4809730713123625E-2</v>
      </c>
      <c r="F21" s="30">
        <f t="shared" si="3"/>
        <v>2.5284439222750501E-2</v>
      </c>
      <c r="G21" s="30">
        <f t="shared" si="3"/>
        <v>2.6328410156664223E-2</v>
      </c>
      <c r="H21" s="30">
        <f t="shared" si="3"/>
        <v>2.6901342111746464E-2</v>
      </c>
      <c r="I21" s="30">
        <f t="shared" si="3"/>
        <v>2.7513382025945641E-2</v>
      </c>
      <c r="J21" s="30">
        <f t="shared" si="3"/>
        <v>5.6921659388000255E-3</v>
      </c>
      <c r="K21" s="30">
        <f t="shared" si="3"/>
        <v>5.8805144046425355E-3</v>
      </c>
      <c r="L21" s="30">
        <f t="shared" si="3"/>
        <v>6.0888888888888893E-3</v>
      </c>
      <c r="M21" s="30">
        <f t="shared" si="3"/>
        <v>6.3211098056876252E-3</v>
      </c>
      <c r="N21" s="30">
        <f t="shared" si="3"/>
        <v>1.5748100448352707E-2</v>
      </c>
    </row>
    <row r="23" spans="1:16" ht="15" customHeight="1">
      <c r="A23" s="14" t="s">
        <v>240</v>
      </c>
    </row>
    <row r="24" spans="1:16" ht="15" customHeight="1">
      <c r="A24" s="14" t="s">
        <v>241</v>
      </c>
    </row>
    <row r="25" spans="1:16" ht="15" customHeight="1">
      <c r="A25" s="14" t="s">
        <v>242</v>
      </c>
    </row>
    <row r="28" spans="1:16" ht="15" customHeight="1">
      <c r="A28" s="4" t="s">
        <v>434</v>
      </c>
    </row>
    <row r="29" spans="1:16" ht="15" customHeight="1">
      <c r="A29" s="108"/>
      <c r="B29" s="109" t="s">
        <v>435</v>
      </c>
      <c r="C29" s="109" t="s">
        <v>436</v>
      </c>
      <c r="D29" s="109" t="s">
        <v>433</v>
      </c>
      <c r="E29" s="109"/>
    </row>
    <row r="30" spans="1:16" ht="15" customHeight="1">
      <c r="A30" s="94" t="s">
        <v>431</v>
      </c>
      <c r="C30" s="29">
        <f>Leakage!D9</f>
        <v>7.4382291666666668E-3</v>
      </c>
    </row>
    <row r="31" spans="1:16" ht="15" customHeight="1">
      <c r="A31" s="94" t="s">
        <v>432</v>
      </c>
      <c r="B31" s="5">
        <v>0.1</v>
      </c>
      <c r="C31" s="29">
        <f>PI()*(B31/2)^2</f>
        <v>7.8539816339744835E-3</v>
      </c>
      <c r="D31" s="68">
        <f>C31/($C$30+C31)</f>
        <v>0.51359360241392904</v>
      </c>
    </row>
    <row r="32" spans="1:16" ht="15" customHeight="1">
      <c r="A32" s="94" t="s">
        <v>432</v>
      </c>
      <c r="B32" s="5">
        <v>0.2</v>
      </c>
      <c r="C32" s="29">
        <f>PI()*(B32/2)^2</f>
        <v>3.1415926535897934E-2</v>
      </c>
      <c r="D32" s="68">
        <f>C32/($C$30+C32)</f>
        <v>0.80856026769420453</v>
      </c>
    </row>
    <row r="33" spans="1:4" ht="15" customHeight="1">
      <c r="A33" s="94" t="s">
        <v>432</v>
      </c>
      <c r="B33" s="5">
        <v>0.3</v>
      </c>
      <c r="C33" s="29">
        <f>PI()*(B33/2)^2</f>
        <v>7.0685834705770348E-2</v>
      </c>
      <c r="D33" s="68">
        <f>C33/($C$30+C33)</f>
        <v>0.9047895258135572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AO151"/>
  <sheetViews>
    <sheetView zoomScale="85" zoomScaleNormal="85" zoomScalePageLayoutView="85" workbookViewId="0">
      <selection activeCell="D20" sqref="D20"/>
    </sheetView>
  </sheetViews>
  <sheetFormatPr baseColWidth="10" defaultColWidth="8.6640625" defaultRowHeight="15" customHeight="1" x14ac:dyDescent="0"/>
  <cols>
    <col min="1" max="1" width="12.33203125" style="5" customWidth="1"/>
    <col min="2" max="2" width="11.5" style="5" bestFit="1" customWidth="1"/>
    <col min="3" max="3" width="10.33203125" style="2" customWidth="1"/>
    <col min="4" max="4" width="16.1640625" style="2" customWidth="1"/>
    <col min="5" max="5" width="16.6640625" style="2" customWidth="1"/>
    <col min="6" max="6" width="8" style="2" customWidth="1"/>
    <col min="7" max="8" width="5.6640625" style="2" bestFit="1" customWidth="1"/>
    <col min="9" max="9" width="7.5" style="2" bestFit="1" customWidth="1"/>
    <col min="10" max="10" width="5.5" style="2" bestFit="1" customWidth="1"/>
    <col min="11" max="11" width="5.83203125" style="2" customWidth="1"/>
    <col min="12" max="15" width="5.5" style="2" bestFit="1" customWidth="1"/>
    <col min="16" max="20" width="5.5" style="5" bestFit="1" customWidth="1"/>
    <col min="21" max="23" width="5.5" style="305" customWidth="1"/>
    <col min="24" max="24" width="5.5" style="5" bestFit="1" customWidth="1"/>
    <col min="25" max="25" width="37.5" style="5" customWidth="1"/>
    <col min="26" max="41" width="6.1640625" style="5" customWidth="1"/>
    <col min="42" max="16384" width="8.6640625" style="5"/>
  </cols>
  <sheetData>
    <row r="1" spans="1:41" ht="15" customHeight="1">
      <c r="A1" s="23" t="s">
        <v>243</v>
      </c>
      <c r="E1" s="340" t="s">
        <v>839</v>
      </c>
      <c r="Y1" s="5">
        <f>1/0.102</f>
        <v>9.8039215686274517</v>
      </c>
    </row>
    <row r="2" spans="1:41" ht="15" customHeight="1">
      <c r="A2" s="14" t="s">
        <v>492</v>
      </c>
      <c r="C2" s="5"/>
      <c r="F2" s="5"/>
      <c r="P2" s="2"/>
    </row>
    <row r="3" spans="1:41" ht="15" customHeight="1">
      <c r="A3" s="14" t="s">
        <v>586</v>
      </c>
      <c r="C3" s="5"/>
      <c r="F3" s="32"/>
      <c r="P3" s="2"/>
      <c r="Z3" s="23" t="s">
        <v>246</v>
      </c>
    </row>
    <row r="4" spans="1:41" ht="15" customHeight="1">
      <c r="A4" s="14"/>
      <c r="C4" s="5"/>
      <c r="F4" s="32" t="s">
        <v>247</v>
      </c>
      <c r="P4" s="2"/>
      <c r="Z4" s="32" t="s">
        <v>247</v>
      </c>
    </row>
    <row r="5" spans="1:41" s="14" customFormat="1" ht="15" customHeight="1">
      <c r="A5" s="92" t="s">
        <v>248</v>
      </c>
      <c r="B5" s="90" t="s">
        <v>463</v>
      </c>
      <c r="C5" s="91" t="s">
        <v>249</v>
      </c>
      <c r="D5" s="81" t="s">
        <v>250</v>
      </c>
      <c r="E5" s="82" t="s">
        <v>173</v>
      </c>
      <c r="F5" s="266" t="s">
        <v>707</v>
      </c>
      <c r="G5" s="80" t="s">
        <v>656</v>
      </c>
      <c r="H5" s="80" t="s">
        <v>657</v>
      </c>
      <c r="I5" s="80" t="s">
        <v>658</v>
      </c>
      <c r="J5" s="80" t="s">
        <v>659</v>
      </c>
      <c r="K5" s="80" t="s">
        <v>660</v>
      </c>
      <c r="L5" s="80" t="s">
        <v>661</v>
      </c>
      <c r="M5" s="80" t="s">
        <v>662</v>
      </c>
      <c r="N5" s="80" t="s">
        <v>663</v>
      </c>
      <c r="O5" s="80" t="s">
        <v>664</v>
      </c>
      <c r="P5" s="80" t="s">
        <v>665</v>
      </c>
      <c r="Q5" s="80" t="s">
        <v>666</v>
      </c>
      <c r="R5" s="80" t="s">
        <v>667</v>
      </c>
      <c r="S5" s="80">
        <v>7</v>
      </c>
      <c r="T5" s="266">
        <v>8</v>
      </c>
      <c r="U5" s="266" t="s">
        <v>917</v>
      </c>
      <c r="V5" s="266" t="s">
        <v>918</v>
      </c>
      <c r="W5" s="266"/>
      <c r="X5" s="247"/>
      <c r="Y5" s="23" t="s">
        <v>1</v>
      </c>
      <c r="Z5" s="80">
        <v>1</v>
      </c>
      <c r="AA5" s="80">
        <v>2</v>
      </c>
      <c r="AB5" s="80">
        <v>3</v>
      </c>
      <c r="AC5" s="80">
        <v>4</v>
      </c>
      <c r="AD5" s="80">
        <v>5</v>
      </c>
      <c r="AE5" s="80">
        <v>6</v>
      </c>
      <c r="AF5" s="80">
        <v>7</v>
      </c>
      <c r="AG5" s="80">
        <v>8</v>
      </c>
      <c r="AH5" s="80">
        <v>9</v>
      </c>
      <c r="AI5" s="80">
        <v>10</v>
      </c>
      <c r="AJ5" s="80">
        <v>11</v>
      </c>
      <c r="AK5" s="80">
        <v>12</v>
      </c>
      <c r="AL5" s="80">
        <v>13</v>
      </c>
      <c r="AM5" s="80">
        <v>14</v>
      </c>
      <c r="AN5" s="80">
        <v>15</v>
      </c>
      <c r="AO5" s="80">
        <v>16</v>
      </c>
    </row>
    <row r="6" spans="1:41" ht="15" customHeight="1">
      <c r="A6" s="93" t="s">
        <v>251</v>
      </c>
      <c r="B6" s="87">
        <f>IF(B10=1, 1.05, 1.19)</f>
        <v>1.05</v>
      </c>
      <c r="C6" s="88">
        <f>A_wall</f>
        <v>88.702917999999983</v>
      </c>
      <c r="D6" s="2" t="s">
        <v>252</v>
      </c>
      <c r="E6" s="83" t="s">
        <v>253</v>
      </c>
      <c r="F6" s="284">
        <v>13</v>
      </c>
      <c r="G6" s="273">
        <v>13</v>
      </c>
      <c r="H6" s="273">
        <v>13</v>
      </c>
      <c r="I6" s="273">
        <v>20</v>
      </c>
      <c r="J6" s="273">
        <v>20</v>
      </c>
      <c r="K6" s="273">
        <v>20</v>
      </c>
      <c r="L6" s="273">
        <v>20</v>
      </c>
      <c r="M6" s="273">
        <v>20</v>
      </c>
      <c r="N6" s="273">
        <v>20</v>
      </c>
      <c r="O6" s="273">
        <v>20</v>
      </c>
      <c r="P6" s="273">
        <v>20</v>
      </c>
      <c r="Q6" s="273">
        <v>25</v>
      </c>
      <c r="R6" s="273">
        <v>25</v>
      </c>
      <c r="S6" s="273">
        <v>25</v>
      </c>
      <c r="T6" s="273">
        <v>25</v>
      </c>
      <c r="U6" s="36">
        <f>G6</f>
        <v>13</v>
      </c>
      <c r="V6" s="36">
        <f>I6</f>
        <v>20</v>
      </c>
      <c r="W6" s="273"/>
      <c r="X6" s="248">
        <v>21</v>
      </c>
      <c r="Y6" s="14" t="s">
        <v>585</v>
      </c>
      <c r="Z6" s="34">
        <v>29</v>
      </c>
      <c r="AA6" s="34">
        <v>29</v>
      </c>
      <c r="AB6" s="34">
        <v>25</v>
      </c>
      <c r="AC6" s="34">
        <v>25</v>
      </c>
      <c r="AD6" s="34">
        <v>25</v>
      </c>
      <c r="AE6" s="34">
        <v>21</v>
      </c>
      <c r="AF6" s="34">
        <v>21</v>
      </c>
      <c r="AG6" s="34">
        <v>21</v>
      </c>
      <c r="AH6" s="34">
        <f>AG6</f>
        <v>21</v>
      </c>
      <c r="AI6" s="34">
        <v>25</v>
      </c>
      <c r="AJ6" s="34">
        <f>AA6</f>
        <v>29</v>
      </c>
      <c r="AK6" s="34">
        <f>AA6</f>
        <v>29</v>
      </c>
      <c r="AL6" s="34">
        <f>AA6</f>
        <v>29</v>
      </c>
      <c r="AM6" s="34">
        <v>29</v>
      </c>
      <c r="AN6" s="34">
        <v>29</v>
      </c>
      <c r="AO6" s="34">
        <f>Z6</f>
        <v>29</v>
      </c>
    </row>
    <row r="7" spans="1:41" ht="15" customHeight="1">
      <c r="A7" s="93" t="s">
        <v>254</v>
      </c>
      <c r="B7" s="87">
        <v>1</v>
      </c>
      <c r="C7" s="88">
        <f>A_windowSI</f>
        <v>19.993960000000001</v>
      </c>
      <c r="D7" s="2" t="s">
        <v>255</v>
      </c>
      <c r="E7" s="83" t="s">
        <v>253</v>
      </c>
      <c r="F7" s="284">
        <f>1/F84</f>
        <v>2.5</v>
      </c>
      <c r="G7" s="284">
        <f t="shared" ref="G7:T7" si="0">1/G84</f>
        <v>2.5</v>
      </c>
      <c r="H7" s="284">
        <f t="shared" si="0"/>
        <v>2.5</v>
      </c>
      <c r="I7" s="284">
        <f t="shared" si="0"/>
        <v>3.3333333333333335</v>
      </c>
      <c r="J7" s="284">
        <f t="shared" si="0"/>
        <v>3.3333333333333335</v>
      </c>
      <c r="K7" s="284">
        <f t="shared" si="0"/>
        <v>3.3333333333333335</v>
      </c>
      <c r="L7" s="284">
        <f t="shared" si="0"/>
        <v>3.3333333333333335</v>
      </c>
      <c r="M7" s="284">
        <f t="shared" si="0"/>
        <v>3.3333333333333335</v>
      </c>
      <c r="N7" s="284">
        <f t="shared" si="0"/>
        <v>3.7037037037037033</v>
      </c>
      <c r="O7" s="284">
        <f t="shared" si="0"/>
        <v>3.7037037037037033</v>
      </c>
      <c r="P7" s="284">
        <f t="shared" si="0"/>
        <v>3.7037037037037033</v>
      </c>
      <c r="Q7" s="284">
        <f t="shared" si="0"/>
        <v>3.7037037037037033</v>
      </c>
      <c r="R7" s="284">
        <f t="shared" si="0"/>
        <v>3.7037037037037033</v>
      </c>
      <c r="S7" s="284">
        <f t="shared" si="0"/>
        <v>3.7037037037037033</v>
      </c>
      <c r="T7" s="284">
        <f t="shared" si="0"/>
        <v>3.7037037037037033</v>
      </c>
      <c r="U7" s="36">
        <f t="shared" ref="U7:U8" si="1">G7</f>
        <v>2.5</v>
      </c>
      <c r="V7" s="36">
        <f t="shared" ref="V7:V8" si="2">I7</f>
        <v>3.3333333333333335</v>
      </c>
      <c r="W7" s="284"/>
      <c r="X7" s="248">
        <f>1/0.4</f>
        <v>2.5</v>
      </c>
      <c r="Y7" s="14" t="s">
        <v>583</v>
      </c>
      <c r="Z7" s="35">
        <f>1/0.38</f>
        <v>2.6315789473684212</v>
      </c>
      <c r="AA7" s="35">
        <f>Z7</f>
        <v>2.6315789473684212</v>
      </c>
      <c r="AB7" s="35">
        <f>AA7</f>
        <v>2.6315789473684212</v>
      </c>
      <c r="AC7" s="35">
        <f>AB7</f>
        <v>2.6315789473684212</v>
      </c>
      <c r="AD7" s="35">
        <f t="shared" ref="AD7:AO7" si="3">AC7</f>
        <v>2.6315789473684212</v>
      </c>
      <c r="AE7" s="35">
        <f t="shared" si="3"/>
        <v>2.6315789473684212</v>
      </c>
      <c r="AF7" s="35">
        <f t="shared" si="3"/>
        <v>2.6315789473684212</v>
      </c>
      <c r="AG7" s="35">
        <f t="shared" si="3"/>
        <v>2.6315789473684212</v>
      </c>
      <c r="AH7" s="35">
        <f t="shared" si="3"/>
        <v>2.6315789473684212</v>
      </c>
      <c r="AI7" s="35">
        <f t="shared" si="3"/>
        <v>2.6315789473684212</v>
      </c>
      <c r="AJ7" s="35">
        <f t="shared" si="3"/>
        <v>2.6315789473684212</v>
      </c>
      <c r="AK7" s="35">
        <f t="shared" si="3"/>
        <v>2.6315789473684212</v>
      </c>
      <c r="AL7" s="35">
        <f t="shared" si="3"/>
        <v>2.6315789473684212</v>
      </c>
      <c r="AM7" s="35">
        <f t="shared" si="3"/>
        <v>2.6315789473684212</v>
      </c>
      <c r="AN7" s="35">
        <f t="shared" si="3"/>
        <v>2.6315789473684212</v>
      </c>
      <c r="AO7" s="35">
        <f t="shared" si="3"/>
        <v>2.6315789473684212</v>
      </c>
    </row>
    <row r="8" spans="1:41" ht="15" customHeight="1">
      <c r="A8" s="93" t="s">
        <v>256</v>
      </c>
      <c r="B8" s="87">
        <v>1</v>
      </c>
      <c r="C8" s="88">
        <f>Geometry!D9</f>
        <v>99.969800000000006</v>
      </c>
      <c r="D8" s="2" t="s">
        <v>257</v>
      </c>
      <c r="E8" s="83" t="s">
        <v>253</v>
      </c>
      <c r="F8" s="284">
        <f>F76</f>
        <v>13</v>
      </c>
      <c r="G8" s="284">
        <f t="shared" ref="G8:T8" si="4">G76</f>
        <v>13</v>
      </c>
      <c r="H8" s="284">
        <f t="shared" si="4"/>
        <v>13</v>
      </c>
      <c r="I8" s="284">
        <f t="shared" si="4"/>
        <v>19</v>
      </c>
      <c r="J8" s="284">
        <f t="shared" si="4"/>
        <v>19</v>
      </c>
      <c r="K8" s="284">
        <f t="shared" si="4"/>
        <v>19</v>
      </c>
      <c r="L8" s="284">
        <f t="shared" si="4"/>
        <v>19</v>
      </c>
      <c r="M8" s="284">
        <f t="shared" si="4"/>
        <v>19</v>
      </c>
      <c r="N8" s="284">
        <f t="shared" si="4"/>
        <v>30</v>
      </c>
      <c r="O8" s="284">
        <f t="shared" si="4"/>
        <v>30</v>
      </c>
      <c r="P8" s="284">
        <f t="shared" si="4"/>
        <v>30</v>
      </c>
      <c r="Q8" s="284">
        <f t="shared" si="4"/>
        <v>30</v>
      </c>
      <c r="R8" s="284">
        <f t="shared" si="4"/>
        <v>30</v>
      </c>
      <c r="S8" s="284">
        <f t="shared" si="4"/>
        <v>38</v>
      </c>
      <c r="T8" s="284">
        <f t="shared" si="4"/>
        <v>38</v>
      </c>
      <c r="U8" s="36">
        <f t="shared" si="1"/>
        <v>13</v>
      </c>
      <c r="V8" s="36">
        <f t="shared" si="2"/>
        <v>19</v>
      </c>
      <c r="W8" s="284"/>
      <c r="X8" s="248">
        <v>19</v>
      </c>
      <c r="Y8" s="14" t="s">
        <v>584</v>
      </c>
      <c r="Z8" s="34">
        <v>30</v>
      </c>
      <c r="AA8" s="34">
        <v>30</v>
      </c>
      <c r="AB8" s="34">
        <v>30</v>
      </c>
      <c r="AC8" s="34">
        <v>30</v>
      </c>
      <c r="AD8" s="34">
        <v>30</v>
      </c>
      <c r="AE8" s="34">
        <v>21</v>
      </c>
      <c r="AF8" s="34">
        <v>21</v>
      </c>
      <c r="AG8" s="34">
        <v>21</v>
      </c>
      <c r="AH8" s="34">
        <f>AG8</f>
        <v>21</v>
      </c>
      <c r="AI8" s="34">
        <v>30</v>
      </c>
      <c r="AJ8" s="34">
        <f>AA8</f>
        <v>30</v>
      </c>
      <c r="AK8" s="34">
        <f>AA8</f>
        <v>30</v>
      </c>
      <c r="AL8" s="34">
        <f>AA8</f>
        <v>30</v>
      </c>
      <c r="AM8" s="34">
        <v>30</v>
      </c>
      <c r="AN8" s="34">
        <v>21</v>
      </c>
      <c r="AO8" s="34">
        <f>Z8</f>
        <v>30</v>
      </c>
    </row>
    <row r="9" spans="1:41" ht="15" customHeight="1">
      <c r="A9" s="5" t="s">
        <v>1050</v>
      </c>
      <c r="B9" s="5">
        <v>1</v>
      </c>
      <c r="C9" s="43">
        <f>A_doors_SI</f>
        <v>3.7161219999999999</v>
      </c>
      <c r="D9" s="2" t="s">
        <v>1051</v>
      </c>
      <c r="E9" s="2" t="s">
        <v>253</v>
      </c>
      <c r="F9" s="2">
        <v>5</v>
      </c>
      <c r="G9" s="241">
        <v>5</v>
      </c>
      <c r="H9" s="241">
        <v>5</v>
      </c>
      <c r="I9" s="241">
        <v>5</v>
      </c>
      <c r="J9" s="241">
        <v>5</v>
      </c>
      <c r="K9" s="241">
        <v>5</v>
      </c>
      <c r="L9" s="241">
        <v>5</v>
      </c>
      <c r="M9" s="241">
        <v>5</v>
      </c>
      <c r="N9" s="241">
        <v>5</v>
      </c>
      <c r="O9" s="241">
        <v>5</v>
      </c>
      <c r="P9" s="241">
        <v>5</v>
      </c>
      <c r="Q9" s="241">
        <v>5</v>
      </c>
      <c r="R9" s="241">
        <v>5</v>
      </c>
      <c r="S9" s="241">
        <v>5</v>
      </c>
      <c r="T9" s="241">
        <v>5</v>
      </c>
      <c r="U9" s="241">
        <v>5</v>
      </c>
      <c r="V9" s="241">
        <v>5</v>
      </c>
      <c r="Y9" s="143" t="s">
        <v>582</v>
      </c>
      <c r="Z9" s="36">
        <f t="shared" ref="Z9:AO9" si="5">1/Z6*$B$6*5.678*$C$6</f>
        <v>18.235790580144826</v>
      </c>
      <c r="AA9" s="36">
        <f t="shared" si="5"/>
        <v>18.235790580144826</v>
      </c>
      <c r="AB9" s="36">
        <f t="shared" si="5"/>
        <v>21.153517072967997</v>
      </c>
      <c r="AC9" s="36">
        <f t="shared" si="5"/>
        <v>21.153517072967997</v>
      </c>
      <c r="AD9" s="36">
        <f t="shared" si="5"/>
        <v>21.153517072967997</v>
      </c>
      <c r="AE9" s="36">
        <f t="shared" si="5"/>
        <v>25.182758420199995</v>
      </c>
      <c r="AF9" s="36">
        <f t="shared" si="5"/>
        <v>25.182758420199995</v>
      </c>
      <c r="AG9" s="36">
        <f t="shared" si="5"/>
        <v>25.182758420199995</v>
      </c>
      <c r="AH9" s="36">
        <f t="shared" si="5"/>
        <v>25.182758420199995</v>
      </c>
      <c r="AI9" s="36">
        <f t="shared" si="5"/>
        <v>21.153517072967997</v>
      </c>
      <c r="AJ9" s="36">
        <f t="shared" si="5"/>
        <v>18.235790580144826</v>
      </c>
      <c r="AK9" s="36">
        <f t="shared" si="5"/>
        <v>18.235790580144826</v>
      </c>
      <c r="AL9" s="36">
        <f t="shared" si="5"/>
        <v>18.235790580144826</v>
      </c>
      <c r="AM9" s="36">
        <f t="shared" si="5"/>
        <v>18.235790580144826</v>
      </c>
      <c r="AN9" s="36">
        <f t="shared" si="5"/>
        <v>18.235790580144826</v>
      </c>
      <c r="AO9" s="36">
        <f t="shared" si="5"/>
        <v>18.235790580144826</v>
      </c>
    </row>
    <row r="10" spans="1:41" ht="15" customHeight="1">
      <c r="A10" s="177" t="s">
        <v>477</v>
      </c>
      <c r="B10" s="134">
        <v>1</v>
      </c>
      <c r="C10" s="89"/>
      <c r="D10" s="2" t="s">
        <v>652</v>
      </c>
      <c r="E10" s="83" t="s">
        <v>259</v>
      </c>
      <c r="F10" s="267">
        <f>IF($B$12=0,0,$B$13*$K$59)</f>
        <v>0</v>
      </c>
      <c r="G10" s="267">
        <f t="shared" ref="G10:V10" si="6">IF($B$12=0,0,$B$13*$K$59)</f>
        <v>0</v>
      </c>
      <c r="H10" s="267">
        <f t="shared" si="6"/>
        <v>0</v>
      </c>
      <c r="I10" s="267">
        <f t="shared" si="6"/>
        <v>0</v>
      </c>
      <c r="J10" s="267">
        <f t="shared" si="6"/>
        <v>0</v>
      </c>
      <c r="K10" s="267">
        <f t="shared" si="6"/>
        <v>0</v>
      </c>
      <c r="L10" s="267">
        <f t="shared" si="6"/>
        <v>0</v>
      </c>
      <c r="M10" s="267">
        <f t="shared" si="6"/>
        <v>0</v>
      </c>
      <c r="N10" s="267">
        <f t="shared" si="6"/>
        <v>0</v>
      </c>
      <c r="O10" s="267">
        <f t="shared" si="6"/>
        <v>0</v>
      </c>
      <c r="P10" s="267">
        <f t="shared" si="6"/>
        <v>0</v>
      </c>
      <c r="Q10" s="267">
        <f t="shared" si="6"/>
        <v>0</v>
      </c>
      <c r="R10" s="267">
        <f t="shared" si="6"/>
        <v>0</v>
      </c>
      <c r="S10" s="267">
        <f t="shared" si="6"/>
        <v>0</v>
      </c>
      <c r="T10" s="267">
        <f t="shared" si="6"/>
        <v>0</v>
      </c>
      <c r="U10" s="267">
        <f t="shared" si="6"/>
        <v>0</v>
      </c>
      <c r="V10" s="267">
        <f t="shared" si="6"/>
        <v>0</v>
      </c>
      <c r="W10" s="267"/>
      <c r="X10" s="249">
        <f>$B$13*$K$60</f>
        <v>36.057000000000002</v>
      </c>
      <c r="Z10" s="36">
        <f t="shared" ref="Z10:AO10" si="7">1/Z7*$B$7*5.678*$C$7</f>
        <v>43.139767854399999</v>
      </c>
      <c r="AA10" s="36">
        <f t="shared" si="7"/>
        <v>43.139767854399999</v>
      </c>
      <c r="AB10" s="36">
        <f t="shared" si="7"/>
        <v>43.139767854399999</v>
      </c>
      <c r="AC10" s="36">
        <f t="shared" si="7"/>
        <v>43.139767854399999</v>
      </c>
      <c r="AD10" s="36">
        <f t="shared" si="7"/>
        <v>43.139767854399999</v>
      </c>
      <c r="AE10" s="36">
        <f t="shared" si="7"/>
        <v>43.139767854399999</v>
      </c>
      <c r="AF10" s="36">
        <f t="shared" si="7"/>
        <v>43.139767854399999</v>
      </c>
      <c r="AG10" s="36">
        <f t="shared" si="7"/>
        <v>43.139767854399999</v>
      </c>
      <c r="AH10" s="36">
        <f t="shared" si="7"/>
        <v>43.139767854399999</v>
      </c>
      <c r="AI10" s="36">
        <f t="shared" si="7"/>
        <v>43.139767854399999</v>
      </c>
      <c r="AJ10" s="36">
        <f t="shared" si="7"/>
        <v>43.139767854399999</v>
      </c>
      <c r="AK10" s="36">
        <f t="shared" si="7"/>
        <v>43.139767854399999</v>
      </c>
      <c r="AL10" s="36">
        <f t="shared" si="7"/>
        <v>43.139767854399999</v>
      </c>
      <c r="AM10" s="36">
        <f t="shared" si="7"/>
        <v>43.139767854399999</v>
      </c>
      <c r="AN10" s="36">
        <f t="shared" si="7"/>
        <v>43.139767854399999</v>
      </c>
      <c r="AO10" s="36">
        <f t="shared" si="7"/>
        <v>43.139767854399999</v>
      </c>
    </row>
    <row r="11" spans="1:41" ht="15" customHeight="1">
      <c r="A11" s="143" t="s">
        <v>817</v>
      </c>
      <c r="C11" s="5"/>
      <c r="D11" s="359" t="s">
        <v>258</v>
      </c>
      <c r="E11" s="360" t="s">
        <v>259</v>
      </c>
      <c r="F11" s="361">
        <f>((1/F6)*$B$6*5.6783*$C$6)+(1/F9*$B$9*5.678*$C$9)</f>
        <v>44.902018008074606</v>
      </c>
      <c r="G11" s="361">
        <f t="shared" ref="G11:V11" si="8">((1/G6)*$B$6*5.6783*$C$6)+(1/G9*$B$9*5.678*$C$9)</f>
        <v>44.902018008074606</v>
      </c>
      <c r="H11" s="361">
        <f t="shared" si="8"/>
        <v>44.902018008074606</v>
      </c>
      <c r="I11" s="361">
        <f t="shared" si="8"/>
        <v>30.663321555368498</v>
      </c>
      <c r="J11" s="361">
        <f t="shared" si="8"/>
        <v>30.663321555368498</v>
      </c>
      <c r="K11" s="361">
        <f t="shared" si="8"/>
        <v>30.663321555368498</v>
      </c>
      <c r="L11" s="361">
        <f t="shared" si="8"/>
        <v>30.663321555368498</v>
      </c>
      <c r="M11" s="361">
        <f t="shared" si="8"/>
        <v>30.663321555368498</v>
      </c>
      <c r="N11" s="361">
        <f t="shared" si="8"/>
        <v>30.663321555368498</v>
      </c>
      <c r="O11" s="361">
        <f t="shared" si="8"/>
        <v>30.663321555368498</v>
      </c>
      <c r="P11" s="361">
        <f t="shared" si="8"/>
        <v>30.663321555368498</v>
      </c>
      <c r="Q11" s="361">
        <f t="shared" si="8"/>
        <v>25.374662872934799</v>
      </c>
      <c r="R11" s="361">
        <f t="shared" si="8"/>
        <v>25.374662872934799</v>
      </c>
      <c r="S11" s="361">
        <f t="shared" si="8"/>
        <v>25.374662872934799</v>
      </c>
      <c r="T11" s="361">
        <f t="shared" si="8"/>
        <v>25.374662872934799</v>
      </c>
      <c r="U11" s="361">
        <f t="shared" si="8"/>
        <v>44.902018008074606</v>
      </c>
      <c r="V11" s="361">
        <f t="shared" si="8"/>
        <v>30.663321555368498</v>
      </c>
      <c r="W11" s="272"/>
      <c r="X11" s="250">
        <f>1/X6*$B$6*5.678*$C$6</f>
        <v>25.182758420199995</v>
      </c>
      <c r="Y11"/>
      <c r="Z11" s="36">
        <f t="shared" ref="Z11:AO11" si="9">1/Z8*$B$8*5.678*$C$8</f>
        <v>18.920950813333334</v>
      </c>
      <c r="AA11" s="36">
        <f t="shared" si="9"/>
        <v>18.920950813333334</v>
      </c>
      <c r="AB11" s="36">
        <f t="shared" si="9"/>
        <v>18.920950813333334</v>
      </c>
      <c r="AC11" s="36">
        <f t="shared" si="9"/>
        <v>18.920950813333334</v>
      </c>
      <c r="AD11" s="36">
        <f t="shared" si="9"/>
        <v>18.920950813333334</v>
      </c>
      <c r="AE11" s="36">
        <f t="shared" si="9"/>
        <v>27.029929733333336</v>
      </c>
      <c r="AF11" s="36">
        <f t="shared" si="9"/>
        <v>27.029929733333336</v>
      </c>
      <c r="AG11" s="36">
        <f t="shared" si="9"/>
        <v>27.029929733333336</v>
      </c>
      <c r="AH11" s="36">
        <f t="shared" si="9"/>
        <v>27.029929733333336</v>
      </c>
      <c r="AI11" s="36">
        <f t="shared" si="9"/>
        <v>18.920950813333334</v>
      </c>
      <c r="AJ11" s="36">
        <f t="shared" si="9"/>
        <v>18.920950813333334</v>
      </c>
      <c r="AK11" s="36">
        <f t="shared" si="9"/>
        <v>18.920950813333334</v>
      </c>
      <c r="AL11" s="36">
        <f t="shared" si="9"/>
        <v>18.920950813333334</v>
      </c>
      <c r="AM11" s="36">
        <f t="shared" si="9"/>
        <v>18.920950813333334</v>
      </c>
      <c r="AN11" s="36">
        <f t="shared" si="9"/>
        <v>27.029929733333336</v>
      </c>
      <c r="AO11" s="36">
        <f t="shared" si="9"/>
        <v>18.920950813333334</v>
      </c>
    </row>
    <row r="12" spans="1:41" ht="15" customHeight="1">
      <c r="A12" s="148" t="s">
        <v>595</v>
      </c>
      <c r="B12" s="149">
        <v>0</v>
      </c>
      <c r="C12" s="5"/>
      <c r="D12" s="359" t="s">
        <v>260</v>
      </c>
      <c r="E12" s="360" t="s">
        <v>259</v>
      </c>
      <c r="F12" s="361">
        <f>1/F7*$B$7*5.678*$C$7</f>
        <v>45.410281951999998</v>
      </c>
      <c r="G12" s="361">
        <f t="shared" ref="G12:T12" si="10">1/G7*$B$7*5.678*$C$7</f>
        <v>45.410281951999998</v>
      </c>
      <c r="H12" s="361">
        <f t="shared" si="10"/>
        <v>45.410281951999998</v>
      </c>
      <c r="I12" s="361">
        <f t="shared" si="10"/>
        <v>34.057711464</v>
      </c>
      <c r="J12" s="361">
        <f t="shared" si="10"/>
        <v>34.057711464</v>
      </c>
      <c r="K12" s="361">
        <f t="shared" si="10"/>
        <v>34.057711464</v>
      </c>
      <c r="L12" s="361">
        <f t="shared" si="10"/>
        <v>34.057711464</v>
      </c>
      <c r="M12" s="361">
        <f t="shared" si="10"/>
        <v>34.057711464</v>
      </c>
      <c r="N12" s="361">
        <f t="shared" si="10"/>
        <v>30.651940317600005</v>
      </c>
      <c r="O12" s="361">
        <f t="shared" si="10"/>
        <v>30.651940317600005</v>
      </c>
      <c r="P12" s="361">
        <f t="shared" si="10"/>
        <v>30.651940317600005</v>
      </c>
      <c r="Q12" s="361">
        <f t="shared" si="10"/>
        <v>30.651940317600005</v>
      </c>
      <c r="R12" s="361">
        <f t="shared" si="10"/>
        <v>30.651940317600005</v>
      </c>
      <c r="S12" s="361">
        <f t="shared" si="10"/>
        <v>30.651940317600005</v>
      </c>
      <c r="T12" s="361">
        <f t="shared" si="10"/>
        <v>30.651940317600005</v>
      </c>
      <c r="U12" s="361">
        <f>G12</f>
        <v>45.410281951999998</v>
      </c>
      <c r="V12" s="361">
        <f>I12</f>
        <v>34.057711464</v>
      </c>
      <c r="W12" s="272"/>
      <c r="X12" s="250">
        <f>1/X7*$B$7*5.678*$C$7</f>
        <v>45.410281951999998</v>
      </c>
      <c r="Y12" s="14" t="s">
        <v>264</v>
      </c>
      <c r="Z12" s="36">
        <f>20*5.678*0.3048^2</f>
        <v>10.550069222400001</v>
      </c>
      <c r="AA12" s="36">
        <f t="shared" ref="AA12:AO12" si="11">20*5.678*0.3048^2</f>
        <v>10.550069222400001</v>
      </c>
      <c r="AB12" s="36">
        <f t="shared" si="11"/>
        <v>10.550069222400001</v>
      </c>
      <c r="AC12" s="36">
        <f t="shared" si="11"/>
        <v>10.550069222400001</v>
      </c>
      <c r="AD12" s="36">
        <f t="shared" si="11"/>
        <v>10.550069222400001</v>
      </c>
      <c r="AE12" s="36">
        <f t="shared" si="11"/>
        <v>10.550069222400001</v>
      </c>
      <c r="AF12" s="36">
        <f t="shared" si="11"/>
        <v>10.550069222400001</v>
      </c>
      <c r="AG12" s="36">
        <f t="shared" si="11"/>
        <v>10.550069222400001</v>
      </c>
      <c r="AH12" s="36">
        <f t="shared" si="11"/>
        <v>10.550069222400001</v>
      </c>
      <c r="AI12" s="36">
        <f t="shared" si="11"/>
        <v>10.550069222400001</v>
      </c>
      <c r="AJ12" s="36">
        <f t="shared" si="11"/>
        <v>10.550069222400001</v>
      </c>
      <c r="AK12" s="36">
        <f t="shared" si="11"/>
        <v>10.550069222400001</v>
      </c>
      <c r="AL12" s="36">
        <f t="shared" si="11"/>
        <v>10.550069222400001</v>
      </c>
      <c r="AM12" s="36">
        <f t="shared" si="11"/>
        <v>10.550069222400001</v>
      </c>
      <c r="AN12" s="36">
        <f t="shared" si="11"/>
        <v>10.550069222400001</v>
      </c>
      <c r="AO12" s="36">
        <f t="shared" si="11"/>
        <v>10.550069222400001</v>
      </c>
    </row>
    <row r="13" spans="1:41" ht="15" customHeight="1">
      <c r="A13" s="149" t="s">
        <v>624</v>
      </c>
      <c r="B13" s="165">
        <f>Geometry!D11</f>
        <v>42.42</v>
      </c>
      <c r="C13" s="5" t="s">
        <v>134</v>
      </c>
      <c r="D13" s="359" t="s">
        <v>261</v>
      </c>
      <c r="E13" s="360" t="s">
        <v>259</v>
      </c>
      <c r="F13" s="361">
        <f>IF($B$12=0, 1/F8*$B$8*5.678*$C$8, $B$13*$K$59)</f>
        <v>43.663732646153854</v>
      </c>
      <c r="G13" s="361">
        <f t="shared" ref="G13:V13" si="12">IF($B$12=0, 1/G8*$B$8*5.678*$C$8, $B$13*$K$59)</f>
        <v>43.663732646153854</v>
      </c>
      <c r="H13" s="361">
        <f t="shared" si="12"/>
        <v>43.663732646153854</v>
      </c>
      <c r="I13" s="361">
        <f t="shared" si="12"/>
        <v>29.87518549473684</v>
      </c>
      <c r="J13" s="361">
        <f t="shared" si="12"/>
        <v>29.87518549473684</v>
      </c>
      <c r="K13" s="361">
        <f t="shared" si="12"/>
        <v>29.87518549473684</v>
      </c>
      <c r="L13" s="361">
        <f t="shared" si="12"/>
        <v>29.87518549473684</v>
      </c>
      <c r="M13" s="361">
        <f t="shared" si="12"/>
        <v>29.87518549473684</v>
      </c>
      <c r="N13" s="361">
        <f t="shared" si="12"/>
        <v>18.920950813333334</v>
      </c>
      <c r="O13" s="361">
        <f>IF($B$12=0, 1/O8*$B$8*5.678*$C$8, $B$13*$K$59)</f>
        <v>18.920950813333334</v>
      </c>
      <c r="P13" s="361">
        <f t="shared" si="12"/>
        <v>18.920950813333334</v>
      </c>
      <c r="Q13" s="361">
        <f t="shared" si="12"/>
        <v>18.920950813333334</v>
      </c>
      <c r="R13" s="361">
        <f t="shared" si="12"/>
        <v>18.920950813333334</v>
      </c>
      <c r="S13" s="361">
        <f t="shared" si="12"/>
        <v>14.93759274736842</v>
      </c>
      <c r="T13" s="361">
        <f t="shared" si="12"/>
        <v>14.93759274736842</v>
      </c>
      <c r="U13" s="361">
        <f t="shared" si="12"/>
        <v>43.663732646153854</v>
      </c>
      <c r="V13" s="361">
        <f t="shared" si="12"/>
        <v>29.87518549473684</v>
      </c>
      <c r="W13" s="272"/>
      <c r="X13" s="250">
        <f>1/X8*$B$8*5.678*$C$8</f>
        <v>29.87518549473684</v>
      </c>
      <c r="Y13" s="14" t="s">
        <v>634</v>
      </c>
      <c r="Z13" s="38">
        <f>SUM(Z9:Z12)</f>
        <v>90.84657847027816</v>
      </c>
      <c r="AA13" s="38">
        <f t="shared" ref="AA13:AO13" si="13">SUM(AA9:AA12)</f>
        <v>90.84657847027816</v>
      </c>
      <c r="AB13" s="38">
        <f t="shared" si="13"/>
        <v>93.764304963101324</v>
      </c>
      <c r="AC13" s="38">
        <f t="shared" si="13"/>
        <v>93.764304963101324</v>
      </c>
      <c r="AD13" s="38">
        <f t="shared" si="13"/>
        <v>93.764304963101324</v>
      </c>
      <c r="AE13" s="38">
        <f t="shared" si="13"/>
        <v>105.90252523033332</v>
      </c>
      <c r="AF13" s="38">
        <f t="shared" si="13"/>
        <v>105.90252523033332</v>
      </c>
      <c r="AG13" s="38">
        <f t="shared" si="13"/>
        <v>105.90252523033332</v>
      </c>
      <c r="AH13" s="38">
        <f t="shared" si="13"/>
        <v>105.90252523033332</v>
      </c>
      <c r="AI13" s="38">
        <f t="shared" si="13"/>
        <v>93.764304963101324</v>
      </c>
      <c r="AJ13" s="38">
        <f t="shared" si="13"/>
        <v>90.84657847027816</v>
      </c>
      <c r="AK13" s="38">
        <f t="shared" si="13"/>
        <v>90.84657847027816</v>
      </c>
      <c r="AL13" s="38">
        <f t="shared" si="13"/>
        <v>90.84657847027816</v>
      </c>
      <c r="AM13" s="38">
        <f t="shared" si="13"/>
        <v>90.84657847027816</v>
      </c>
      <c r="AN13" s="38">
        <f t="shared" si="13"/>
        <v>98.955557390278159</v>
      </c>
      <c r="AO13" s="38">
        <f t="shared" si="13"/>
        <v>90.84657847027816</v>
      </c>
    </row>
    <row r="14" spans="1:41" ht="15" customHeight="1">
      <c r="A14" s="87"/>
      <c r="B14" s="87"/>
      <c r="D14" s="2" t="s">
        <v>262</v>
      </c>
      <c r="E14" s="84" t="s">
        <v>259</v>
      </c>
      <c r="F14" s="272">
        <f>1/F9*$B$9*5.678*$C$9</f>
        <v>4.2200281431999995</v>
      </c>
      <c r="G14" s="272">
        <f t="shared" ref="G14:V14" si="14">1/G9*$B$9*5.678*$C$9</f>
        <v>4.2200281431999995</v>
      </c>
      <c r="H14" s="272">
        <f t="shared" si="14"/>
        <v>4.2200281431999995</v>
      </c>
      <c r="I14" s="272">
        <f t="shared" si="14"/>
        <v>4.2200281431999995</v>
      </c>
      <c r="J14" s="272">
        <f t="shared" si="14"/>
        <v>4.2200281431999995</v>
      </c>
      <c r="K14" s="272">
        <f t="shared" si="14"/>
        <v>4.2200281431999995</v>
      </c>
      <c r="L14" s="272">
        <f t="shared" si="14"/>
        <v>4.2200281431999995</v>
      </c>
      <c r="M14" s="272">
        <f t="shared" si="14"/>
        <v>4.2200281431999995</v>
      </c>
      <c r="N14" s="272">
        <f t="shared" si="14"/>
        <v>4.2200281431999995</v>
      </c>
      <c r="O14" s="272">
        <f t="shared" si="14"/>
        <v>4.2200281431999995</v>
      </c>
      <c r="P14" s="272">
        <f t="shared" si="14"/>
        <v>4.2200281431999995</v>
      </c>
      <c r="Q14" s="272">
        <f t="shared" si="14"/>
        <v>4.2200281431999995</v>
      </c>
      <c r="R14" s="272">
        <f t="shared" si="14"/>
        <v>4.2200281431999995</v>
      </c>
      <c r="S14" s="272">
        <f t="shared" si="14"/>
        <v>4.2200281431999995</v>
      </c>
      <c r="T14" s="272">
        <f t="shared" si="14"/>
        <v>4.2200281431999995</v>
      </c>
      <c r="U14" s="272">
        <f t="shared" si="14"/>
        <v>4.2200281431999995</v>
      </c>
      <c r="V14" s="272">
        <f t="shared" si="14"/>
        <v>4.2200281431999995</v>
      </c>
      <c r="W14" s="272"/>
      <c r="X14" s="250">
        <f t="shared" ref="X14" si="15">20*5.678*0.3048^2</f>
        <v>10.550069222400001</v>
      </c>
      <c r="Y14" s="23" t="s">
        <v>849</v>
      </c>
      <c r="Z14" s="38">
        <f>Z13-Z11</f>
        <v>71.925627656944826</v>
      </c>
      <c r="AA14" s="38">
        <f t="shared" ref="AA14:AO14" si="16">AA13-AA11</f>
        <v>71.925627656944826</v>
      </c>
      <c r="AB14" s="38">
        <f t="shared" si="16"/>
        <v>74.84335414976799</v>
      </c>
      <c r="AC14" s="38">
        <f t="shared" si="16"/>
        <v>74.84335414976799</v>
      </c>
      <c r="AD14" s="38">
        <f t="shared" si="16"/>
        <v>74.84335414976799</v>
      </c>
      <c r="AE14" s="38">
        <f t="shared" si="16"/>
        <v>78.872595496999992</v>
      </c>
      <c r="AF14" s="38">
        <f t="shared" si="16"/>
        <v>78.872595496999992</v>
      </c>
      <c r="AG14" s="38">
        <f t="shared" si="16"/>
        <v>78.872595496999992</v>
      </c>
      <c r="AH14" s="38">
        <f t="shared" si="16"/>
        <v>78.872595496999992</v>
      </c>
      <c r="AI14" s="38">
        <f t="shared" si="16"/>
        <v>74.84335414976799</v>
      </c>
      <c r="AJ14" s="38">
        <f t="shared" si="16"/>
        <v>71.925627656944826</v>
      </c>
      <c r="AK14" s="38">
        <f t="shared" si="16"/>
        <v>71.925627656944826</v>
      </c>
      <c r="AL14" s="38">
        <f t="shared" si="16"/>
        <v>71.925627656944826</v>
      </c>
      <c r="AM14" s="38">
        <f t="shared" si="16"/>
        <v>71.925627656944826</v>
      </c>
      <c r="AN14" s="38">
        <f t="shared" si="16"/>
        <v>71.925627656944826</v>
      </c>
      <c r="AO14" s="38">
        <f t="shared" si="16"/>
        <v>71.925627656944826</v>
      </c>
    </row>
    <row r="15" spans="1:41" ht="15" customHeight="1">
      <c r="C15" s="5"/>
      <c r="D15" s="362" t="s">
        <v>263</v>
      </c>
      <c r="E15" s="363" t="s">
        <v>259</v>
      </c>
      <c r="F15" s="364">
        <f>IF($B$12=0,SUM(F11:F14),SUM(F10,F11,F12,F14))</f>
        <v>138.19606074942845</v>
      </c>
      <c r="G15" s="364">
        <f>IF($B$12=0,SUM(G11:G14),SUM(G10,G11,G12,G14))</f>
        <v>138.19606074942845</v>
      </c>
      <c r="H15" s="364">
        <f t="shared" ref="H15:X15" si="17">IF($B$12=0,SUM(H11:H14),SUM(H10,H11,H12,H14))</f>
        <v>138.19606074942845</v>
      </c>
      <c r="I15" s="364">
        <f t="shared" si="17"/>
        <v>98.816246657305328</v>
      </c>
      <c r="J15" s="364">
        <f t="shared" si="17"/>
        <v>98.816246657305328</v>
      </c>
      <c r="K15" s="364">
        <f t="shared" si="17"/>
        <v>98.816246657305328</v>
      </c>
      <c r="L15" s="364">
        <f t="shared" si="17"/>
        <v>98.816246657305328</v>
      </c>
      <c r="M15" s="364">
        <f t="shared" si="17"/>
        <v>98.816246657305328</v>
      </c>
      <c r="N15" s="364">
        <f t="shared" si="17"/>
        <v>84.456240829501837</v>
      </c>
      <c r="O15" s="364">
        <f t="shared" si="17"/>
        <v>84.456240829501837</v>
      </c>
      <c r="P15" s="364">
        <f t="shared" si="17"/>
        <v>84.456240829501837</v>
      </c>
      <c r="Q15" s="364">
        <f t="shared" si="17"/>
        <v>79.167582147068131</v>
      </c>
      <c r="R15" s="364">
        <f t="shared" si="17"/>
        <v>79.167582147068131</v>
      </c>
      <c r="S15" s="364">
        <f t="shared" si="17"/>
        <v>75.18422408110321</v>
      </c>
      <c r="T15" s="364">
        <f t="shared" si="17"/>
        <v>75.18422408110321</v>
      </c>
      <c r="U15" s="364">
        <f t="shared" si="17"/>
        <v>138.19606074942845</v>
      </c>
      <c r="V15" s="364">
        <f t="shared" si="17"/>
        <v>98.816246657305328</v>
      </c>
      <c r="W15" s="364"/>
      <c r="X15" s="251">
        <f t="shared" si="17"/>
        <v>111.01829508933683</v>
      </c>
      <c r="Y15" s="23" t="s">
        <v>849</v>
      </c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</row>
    <row r="16" spans="1:41" ht="15" customHeight="1">
      <c r="A16" s="23" t="s">
        <v>266</v>
      </c>
      <c r="C16" s="5"/>
      <c r="D16" s="362" t="s">
        <v>265</v>
      </c>
      <c r="E16" s="363" t="s">
        <v>259</v>
      </c>
      <c r="F16" s="364">
        <f>SUM(F11,F12,F14)</f>
        <v>94.532328103274594</v>
      </c>
      <c r="G16" s="364">
        <f t="shared" ref="G16:X16" si="18">SUM(G11,G12,G14)</f>
        <v>94.532328103274594</v>
      </c>
      <c r="H16" s="364">
        <f t="shared" si="18"/>
        <v>94.532328103274594</v>
      </c>
      <c r="I16" s="364">
        <f t="shared" si="18"/>
        <v>68.941061162568488</v>
      </c>
      <c r="J16" s="364">
        <f t="shared" si="18"/>
        <v>68.941061162568488</v>
      </c>
      <c r="K16" s="364">
        <f t="shared" si="18"/>
        <v>68.941061162568488</v>
      </c>
      <c r="L16" s="364">
        <f t="shared" si="18"/>
        <v>68.941061162568488</v>
      </c>
      <c r="M16" s="364">
        <f t="shared" si="18"/>
        <v>68.941061162568488</v>
      </c>
      <c r="N16" s="364">
        <f t="shared" si="18"/>
        <v>65.535290016168503</v>
      </c>
      <c r="O16" s="364">
        <f t="shared" si="18"/>
        <v>65.535290016168503</v>
      </c>
      <c r="P16" s="364">
        <f t="shared" si="18"/>
        <v>65.535290016168503</v>
      </c>
      <c r="Q16" s="364">
        <f t="shared" si="18"/>
        <v>60.246631333734797</v>
      </c>
      <c r="R16" s="364">
        <f t="shared" si="18"/>
        <v>60.246631333734797</v>
      </c>
      <c r="S16" s="364">
        <f t="shared" si="18"/>
        <v>60.246631333734797</v>
      </c>
      <c r="T16" s="364">
        <f t="shared" si="18"/>
        <v>60.246631333734797</v>
      </c>
      <c r="U16" s="364">
        <f t="shared" si="18"/>
        <v>94.532328103274594</v>
      </c>
      <c r="V16" s="364">
        <f t="shared" si="18"/>
        <v>68.941061162568488</v>
      </c>
      <c r="W16" s="364"/>
      <c r="X16" s="251">
        <f t="shared" si="18"/>
        <v>81.143109594599991</v>
      </c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41" ht="15" customHeight="1">
      <c r="A17" s="14" t="s">
        <v>244</v>
      </c>
      <c r="C17" s="5"/>
      <c r="F17" s="300">
        <f>1/F20</f>
        <v>3.3333333333333333E-2</v>
      </c>
      <c r="G17" s="300">
        <f t="shared" ref="G17:T17" si="19">1/G7</f>
        <v>0.4</v>
      </c>
      <c r="H17" s="300">
        <f t="shared" si="19"/>
        <v>0.4</v>
      </c>
      <c r="I17" s="300">
        <f t="shared" si="19"/>
        <v>0.3</v>
      </c>
      <c r="J17" s="300">
        <f t="shared" si="19"/>
        <v>0.3</v>
      </c>
      <c r="K17" s="300">
        <f t="shared" si="19"/>
        <v>0.3</v>
      </c>
      <c r="L17" s="300">
        <f t="shared" si="19"/>
        <v>0.3</v>
      </c>
      <c r="M17" s="300">
        <f t="shared" si="19"/>
        <v>0.3</v>
      </c>
      <c r="N17" s="300">
        <f t="shared" si="19"/>
        <v>0.27</v>
      </c>
      <c r="O17" s="300">
        <f t="shared" si="19"/>
        <v>0.27</v>
      </c>
      <c r="P17" s="300">
        <f t="shared" si="19"/>
        <v>0.27</v>
      </c>
      <c r="Q17" s="300">
        <f t="shared" si="19"/>
        <v>0.27</v>
      </c>
      <c r="R17" s="300">
        <f t="shared" si="19"/>
        <v>0.27</v>
      </c>
      <c r="S17" s="300">
        <f t="shared" si="19"/>
        <v>0.27</v>
      </c>
      <c r="T17" s="300">
        <f t="shared" si="19"/>
        <v>0.27</v>
      </c>
      <c r="U17" s="300"/>
      <c r="V17" s="300"/>
      <c r="W17" s="300"/>
      <c r="X17" s="252"/>
    </row>
    <row r="18" spans="1:41" ht="15" customHeight="1">
      <c r="A18" s="92" t="s">
        <v>267</v>
      </c>
      <c r="B18" s="90" t="s">
        <v>268</v>
      </c>
      <c r="C18" s="91" t="s">
        <v>269</v>
      </c>
      <c r="F18" s="268" t="s">
        <v>247</v>
      </c>
      <c r="P18" s="2"/>
      <c r="Q18" s="2"/>
      <c r="R18" s="2"/>
      <c r="S18" s="2"/>
      <c r="T18" s="300"/>
      <c r="U18" s="300"/>
      <c r="V18" s="300"/>
      <c r="W18" s="300"/>
      <c r="X18" s="252"/>
      <c r="Z18" s="32" t="s">
        <v>247</v>
      </c>
      <c r="AA18" s="2"/>
      <c r="AB18" s="2"/>
      <c r="AC18" s="2"/>
      <c r="AD18" s="2"/>
      <c r="AE18" s="2"/>
      <c r="AF18" s="2"/>
      <c r="AG18" s="2"/>
      <c r="AH18" s="2"/>
      <c r="AI18" s="2"/>
    </row>
    <row r="19" spans="1:41" ht="15" customHeight="1">
      <c r="A19" s="93" t="s">
        <v>270</v>
      </c>
      <c r="B19" s="87" t="s">
        <v>11</v>
      </c>
      <c r="C19" s="83" t="s">
        <v>11</v>
      </c>
      <c r="D19" s="81" t="s">
        <v>250</v>
      </c>
      <c r="E19" s="82" t="s">
        <v>173</v>
      </c>
      <c r="F19" s="266" t="s">
        <v>707</v>
      </c>
      <c r="G19" s="297" t="s">
        <v>656</v>
      </c>
      <c r="H19" s="297" t="s">
        <v>657</v>
      </c>
      <c r="I19" s="297" t="s">
        <v>658</v>
      </c>
      <c r="J19" s="297" t="s">
        <v>659</v>
      </c>
      <c r="K19" s="297" t="s">
        <v>660</v>
      </c>
      <c r="L19" s="297" t="s">
        <v>661</v>
      </c>
      <c r="M19" s="297" t="s">
        <v>662</v>
      </c>
      <c r="N19" s="297" t="s">
        <v>663</v>
      </c>
      <c r="O19" s="297" t="s">
        <v>664</v>
      </c>
      <c r="P19" s="297" t="s">
        <v>665</v>
      </c>
      <c r="Q19" s="297" t="s">
        <v>666</v>
      </c>
      <c r="R19" s="297" t="s">
        <v>667</v>
      </c>
      <c r="S19" s="297">
        <v>7</v>
      </c>
      <c r="T19" s="266">
        <v>8</v>
      </c>
      <c r="U19" s="266" t="s">
        <v>917</v>
      </c>
      <c r="V19" s="266" t="s">
        <v>918</v>
      </c>
      <c r="W19" s="266"/>
      <c r="X19" s="247">
        <v>8</v>
      </c>
      <c r="Z19" s="81">
        <v>1</v>
      </c>
      <c r="AA19" s="81">
        <v>2</v>
      </c>
      <c r="AB19" s="81">
        <v>3</v>
      </c>
      <c r="AC19" s="81">
        <v>4</v>
      </c>
      <c r="AD19" s="81">
        <v>5</v>
      </c>
      <c r="AE19" s="81">
        <v>6</v>
      </c>
      <c r="AF19" s="81">
        <v>7</v>
      </c>
      <c r="AG19" s="81">
        <v>8</v>
      </c>
      <c r="AH19" s="81">
        <v>9</v>
      </c>
      <c r="AI19" s="81">
        <v>10</v>
      </c>
      <c r="AJ19" s="81">
        <v>11</v>
      </c>
      <c r="AK19" s="81">
        <v>12</v>
      </c>
      <c r="AL19" s="81">
        <v>13</v>
      </c>
      <c r="AM19" s="81">
        <v>14</v>
      </c>
      <c r="AN19" s="81">
        <v>15</v>
      </c>
      <c r="AO19" s="81">
        <v>16</v>
      </c>
    </row>
    <row r="20" spans="1:41" ht="15" customHeight="1">
      <c r="A20" s="178">
        <v>0</v>
      </c>
      <c r="B20" s="135">
        <f>IF(A20=1,0.01,0.02)</f>
        <v>0.02</v>
      </c>
      <c r="C20" s="94"/>
      <c r="D20" s="7" t="s">
        <v>271</v>
      </c>
      <c r="E20" s="83" t="s">
        <v>253</v>
      </c>
      <c r="F20" s="179">
        <f>F74</f>
        <v>30</v>
      </c>
      <c r="G20" s="179">
        <f t="shared" ref="G20:T20" si="20">G74</f>
        <v>38</v>
      </c>
      <c r="H20" s="179">
        <f t="shared" si="20"/>
        <v>38</v>
      </c>
      <c r="I20" s="179">
        <f t="shared" si="20"/>
        <v>38</v>
      </c>
      <c r="J20" s="179">
        <f t="shared" si="20"/>
        <v>38</v>
      </c>
      <c r="K20" s="179">
        <f t="shared" si="20"/>
        <v>38</v>
      </c>
      <c r="L20" s="179">
        <f t="shared" si="20"/>
        <v>49</v>
      </c>
      <c r="M20" s="179">
        <f t="shared" si="20"/>
        <v>49</v>
      </c>
      <c r="N20" s="179">
        <f t="shared" si="20"/>
        <v>49</v>
      </c>
      <c r="O20" s="179">
        <f t="shared" si="20"/>
        <v>49</v>
      </c>
      <c r="P20" s="179">
        <f t="shared" si="20"/>
        <v>49</v>
      </c>
      <c r="Q20" s="179">
        <f t="shared" si="20"/>
        <v>49</v>
      </c>
      <c r="R20" s="179">
        <f t="shared" si="20"/>
        <v>49</v>
      </c>
      <c r="S20" s="179">
        <f t="shared" si="20"/>
        <v>49</v>
      </c>
      <c r="T20" s="179">
        <f t="shared" si="20"/>
        <v>49</v>
      </c>
      <c r="U20" s="36">
        <f>G20</f>
        <v>38</v>
      </c>
      <c r="V20" s="36">
        <f>I20</f>
        <v>38</v>
      </c>
      <c r="W20" s="179"/>
      <c r="X20" s="253">
        <v>38</v>
      </c>
      <c r="Z20" s="2">
        <v>49</v>
      </c>
      <c r="AA20" s="2">
        <v>49</v>
      </c>
      <c r="AB20" s="2">
        <v>38</v>
      </c>
      <c r="AC20" s="2">
        <v>38</v>
      </c>
      <c r="AD20" s="2">
        <v>38</v>
      </c>
      <c r="AE20" s="2">
        <v>38</v>
      </c>
      <c r="AF20" s="2">
        <v>38</v>
      </c>
      <c r="AG20" s="2">
        <v>38</v>
      </c>
      <c r="AH20" s="2">
        <v>38</v>
      </c>
      <c r="AI20" s="2">
        <v>49</v>
      </c>
      <c r="AJ20" s="2">
        <v>49</v>
      </c>
      <c r="AK20" s="2">
        <v>49</v>
      </c>
      <c r="AL20" s="2">
        <v>49</v>
      </c>
      <c r="AM20" s="2">
        <v>49</v>
      </c>
      <c r="AN20" s="2">
        <v>49</v>
      </c>
      <c r="AO20" s="2">
        <v>49</v>
      </c>
    </row>
    <row r="21" spans="1:41" ht="15" customHeight="1">
      <c r="A21" s="177">
        <v>0</v>
      </c>
      <c r="B21" s="134">
        <f>IF(A21=1,0.02,0.005)</f>
        <v>5.0000000000000001E-3</v>
      </c>
      <c r="C21" s="89"/>
      <c r="D21" s="37" t="s">
        <v>272</v>
      </c>
      <c r="E21" s="86" t="s">
        <v>587</v>
      </c>
      <c r="F21" s="484">
        <f>(1/F20+$B$20)^-1/5.678</f>
        <v>3.3022190912293063</v>
      </c>
      <c r="G21" s="485">
        <f t="shared" ref="G21:X21" si="21">(1/G20+$B$20)^-1/5.678</f>
        <v>3.8025553171731401</v>
      </c>
      <c r="H21" s="485">
        <f t="shared" si="21"/>
        <v>3.8025553171731401</v>
      </c>
      <c r="I21" s="485">
        <f t="shared" si="21"/>
        <v>3.8025553171731401</v>
      </c>
      <c r="J21" s="485">
        <f t="shared" si="21"/>
        <v>3.8025553171731401</v>
      </c>
      <c r="K21" s="485">
        <f t="shared" si="21"/>
        <v>3.8025553171731401</v>
      </c>
      <c r="L21" s="485">
        <f t="shared" si="21"/>
        <v>4.358484457110734</v>
      </c>
      <c r="M21" s="485">
        <f t="shared" si="21"/>
        <v>4.358484457110734</v>
      </c>
      <c r="N21" s="485">
        <f t="shared" si="21"/>
        <v>4.358484457110734</v>
      </c>
      <c r="O21" s="485">
        <f t="shared" si="21"/>
        <v>4.358484457110734</v>
      </c>
      <c r="P21" s="485">
        <f t="shared" si="21"/>
        <v>4.358484457110734</v>
      </c>
      <c r="Q21" s="485">
        <f t="shared" si="21"/>
        <v>4.358484457110734</v>
      </c>
      <c r="R21" s="485">
        <f t="shared" si="21"/>
        <v>4.358484457110734</v>
      </c>
      <c r="S21" s="485">
        <f t="shared" si="21"/>
        <v>4.358484457110734</v>
      </c>
      <c r="T21" s="485">
        <f t="shared" si="21"/>
        <v>4.358484457110734</v>
      </c>
      <c r="U21" s="486">
        <f>G21</f>
        <v>3.8025553171731401</v>
      </c>
      <c r="V21" s="486">
        <f>I21</f>
        <v>3.8025553171731401</v>
      </c>
      <c r="W21" s="299"/>
      <c r="X21" s="254">
        <f t="shared" si="21"/>
        <v>3.8025553171731401</v>
      </c>
      <c r="Z21" s="39">
        <f>(1/Z20+$B$20)^-1/5.678</f>
        <v>4.358484457110734</v>
      </c>
      <c r="AA21" s="39">
        <f t="shared" ref="AA21:AO21" si="22">(1/AA20+$B$20)^-1/5.678</f>
        <v>4.358484457110734</v>
      </c>
      <c r="AB21" s="39">
        <f t="shared" si="22"/>
        <v>3.8025553171731401</v>
      </c>
      <c r="AC21" s="39">
        <f t="shared" si="22"/>
        <v>3.8025553171731401</v>
      </c>
      <c r="AD21" s="39">
        <f t="shared" si="22"/>
        <v>3.8025553171731401</v>
      </c>
      <c r="AE21" s="39">
        <f t="shared" si="22"/>
        <v>3.8025553171731401</v>
      </c>
      <c r="AF21" s="39">
        <f t="shared" si="22"/>
        <v>3.8025553171731401</v>
      </c>
      <c r="AG21" s="39">
        <f t="shared" si="22"/>
        <v>3.8025553171731401</v>
      </c>
      <c r="AH21" s="39">
        <f t="shared" si="22"/>
        <v>3.8025553171731401</v>
      </c>
      <c r="AI21" s="39">
        <f t="shared" si="22"/>
        <v>4.358484457110734</v>
      </c>
      <c r="AJ21" s="39">
        <f t="shared" si="22"/>
        <v>4.358484457110734</v>
      </c>
      <c r="AK21" s="39">
        <f t="shared" si="22"/>
        <v>4.358484457110734</v>
      </c>
      <c r="AL21" s="39">
        <f t="shared" si="22"/>
        <v>4.358484457110734</v>
      </c>
      <c r="AM21" s="39">
        <f t="shared" si="22"/>
        <v>4.358484457110734</v>
      </c>
      <c r="AN21" s="39">
        <f t="shared" si="22"/>
        <v>4.358484457110734</v>
      </c>
      <c r="AO21" s="39">
        <f t="shared" si="22"/>
        <v>4.358484457110734</v>
      </c>
    </row>
    <row r="22" spans="1:41" ht="15" customHeight="1">
      <c r="C22" s="5"/>
      <c r="D22" s="37" t="s">
        <v>273</v>
      </c>
      <c r="E22" s="86" t="s">
        <v>587</v>
      </c>
      <c r="F22" s="484">
        <f>(1/F20+$B$21)^-1/5.678</f>
        <v>4.5943917791016435</v>
      </c>
      <c r="G22" s="485">
        <f t="shared" ref="G22:X22" si="23">(1/G20+$B$21)^-1/5.678</f>
        <v>5.6239473598527123</v>
      </c>
      <c r="H22" s="485">
        <f t="shared" si="23"/>
        <v>5.6239473598527123</v>
      </c>
      <c r="I22" s="485">
        <f t="shared" si="23"/>
        <v>5.6239473598527123</v>
      </c>
      <c r="J22" s="485">
        <f t="shared" si="23"/>
        <v>5.6239473598527123</v>
      </c>
      <c r="K22" s="485">
        <f t="shared" si="23"/>
        <v>5.6239473598527123</v>
      </c>
      <c r="L22" s="485">
        <f t="shared" si="23"/>
        <v>6.931565642633938</v>
      </c>
      <c r="M22" s="485">
        <f t="shared" si="23"/>
        <v>6.931565642633938</v>
      </c>
      <c r="N22" s="485">
        <f t="shared" si="23"/>
        <v>6.931565642633938</v>
      </c>
      <c r="O22" s="485">
        <f t="shared" si="23"/>
        <v>6.931565642633938</v>
      </c>
      <c r="P22" s="485">
        <f t="shared" si="23"/>
        <v>6.931565642633938</v>
      </c>
      <c r="Q22" s="485">
        <f t="shared" si="23"/>
        <v>6.931565642633938</v>
      </c>
      <c r="R22" s="485">
        <f t="shared" si="23"/>
        <v>6.931565642633938</v>
      </c>
      <c r="S22" s="485">
        <f t="shared" si="23"/>
        <v>6.931565642633938</v>
      </c>
      <c r="T22" s="485">
        <f t="shared" si="23"/>
        <v>6.931565642633938</v>
      </c>
      <c r="U22" s="486">
        <f>G22</f>
        <v>5.6239473598527123</v>
      </c>
      <c r="V22" s="486">
        <f>I22</f>
        <v>5.6239473598527123</v>
      </c>
      <c r="W22" s="299"/>
      <c r="X22" s="254">
        <f t="shared" si="23"/>
        <v>5.6239473598527123</v>
      </c>
      <c r="Z22" s="39">
        <f>(1/Z20+$B$21)^-1/5.678</f>
        <v>6.931565642633938</v>
      </c>
      <c r="AA22" s="39">
        <f t="shared" ref="AA22:AO22" si="24">(1/AA20+$B$21)^-1/5.678</f>
        <v>6.931565642633938</v>
      </c>
      <c r="AB22" s="39">
        <f t="shared" si="24"/>
        <v>5.6239473598527123</v>
      </c>
      <c r="AC22" s="39">
        <f t="shared" si="24"/>
        <v>5.6239473598527123</v>
      </c>
      <c r="AD22" s="39">
        <f t="shared" si="24"/>
        <v>5.6239473598527123</v>
      </c>
      <c r="AE22" s="39">
        <f t="shared" si="24"/>
        <v>5.6239473598527123</v>
      </c>
      <c r="AF22" s="39">
        <f t="shared" si="24"/>
        <v>5.6239473598527123</v>
      </c>
      <c r="AG22" s="39">
        <f t="shared" si="24"/>
        <v>5.6239473598527123</v>
      </c>
      <c r="AH22" s="39">
        <f t="shared" si="24"/>
        <v>5.6239473598527123</v>
      </c>
      <c r="AI22" s="39">
        <f t="shared" si="24"/>
        <v>6.931565642633938</v>
      </c>
      <c r="AJ22" s="39">
        <f t="shared" si="24"/>
        <v>6.931565642633938</v>
      </c>
      <c r="AK22" s="39">
        <f t="shared" si="24"/>
        <v>6.931565642633938</v>
      </c>
      <c r="AL22" s="39">
        <f t="shared" si="24"/>
        <v>6.931565642633938</v>
      </c>
      <c r="AM22" s="39">
        <f t="shared" si="24"/>
        <v>6.931565642633938</v>
      </c>
      <c r="AN22" s="39">
        <f t="shared" si="24"/>
        <v>6.931565642633938</v>
      </c>
      <c r="AO22" s="39">
        <f t="shared" si="24"/>
        <v>6.931565642633938</v>
      </c>
    </row>
    <row r="23" spans="1:41" ht="15" customHeight="1">
      <c r="A23" s="14" t="s">
        <v>274</v>
      </c>
      <c r="F23" s="300"/>
      <c r="P23" s="2"/>
      <c r="Q23" s="2"/>
      <c r="R23" s="2"/>
      <c r="S23" s="2"/>
      <c r="T23" s="300"/>
      <c r="U23" s="300"/>
      <c r="V23" s="300"/>
      <c r="W23" s="300"/>
      <c r="X23" s="25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</row>
    <row r="24" spans="1:41" ht="15" customHeight="1">
      <c r="A24" s="40" t="s">
        <v>275</v>
      </c>
      <c r="F24" s="300"/>
      <c r="P24" s="2"/>
      <c r="Q24" s="2"/>
      <c r="R24" s="2"/>
      <c r="S24" s="2"/>
      <c r="T24" s="300"/>
      <c r="U24" s="300"/>
      <c r="V24" s="300"/>
      <c r="W24" s="300"/>
      <c r="X24" s="252"/>
      <c r="Z24" s="2"/>
      <c r="AA24" s="2"/>
      <c r="AB24" s="2"/>
      <c r="AC24" s="2"/>
      <c r="AD24" s="2"/>
      <c r="AE24" s="2"/>
      <c r="AF24" s="2"/>
      <c r="AG24" s="14"/>
      <c r="AH24" s="2"/>
      <c r="AI24" s="2"/>
      <c r="AJ24" s="2"/>
      <c r="AK24" s="2"/>
      <c r="AL24" s="2"/>
      <c r="AM24" s="2"/>
      <c r="AN24" s="2"/>
    </row>
    <row r="25" spans="1:41" ht="15" customHeight="1">
      <c r="F25" s="300"/>
      <c r="P25" s="2"/>
      <c r="Q25" s="2"/>
      <c r="R25" s="2"/>
      <c r="S25" s="2"/>
      <c r="T25" s="300"/>
      <c r="U25" s="300"/>
      <c r="V25" s="300"/>
      <c r="W25" s="300"/>
      <c r="X25" s="25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41"/>
      <c r="AK25" s="42"/>
      <c r="AL25" s="42"/>
      <c r="AM25" s="43"/>
      <c r="AN25" s="43"/>
    </row>
    <row r="26" spans="1:41" ht="15" customHeight="1">
      <c r="A26" s="4" t="s">
        <v>276</v>
      </c>
      <c r="F26" s="268" t="s">
        <v>247</v>
      </c>
      <c r="P26" s="2"/>
      <c r="Q26" s="2"/>
      <c r="R26" s="2"/>
      <c r="S26" s="2"/>
      <c r="T26" s="300"/>
      <c r="U26" s="300"/>
      <c r="V26" s="300"/>
      <c r="W26" s="300"/>
      <c r="X26" s="25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42"/>
      <c r="AL26" s="42"/>
      <c r="AM26" s="43"/>
      <c r="AN26" s="43"/>
    </row>
    <row r="27" spans="1:41" ht="15" customHeight="1">
      <c r="A27" s="94"/>
      <c r="B27" s="23" t="s">
        <v>627</v>
      </c>
      <c r="D27" s="81" t="s">
        <v>250</v>
      </c>
      <c r="E27" s="82"/>
      <c r="F27" s="266" t="s">
        <v>707</v>
      </c>
      <c r="G27" s="297" t="s">
        <v>656</v>
      </c>
      <c r="H27" s="297" t="s">
        <v>657</v>
      </c>
      <c r="I27" s="297" t="s">
        <v>658</v>
      </c>
      <c r="J27" s="297" t="s">
        <v>659</v>
      </c>
      <c r="K27" s="297" t="s">
        <v>660</v>
      </c>
      <c r="L27" s="297" t="s">
        <v>661</v>
      </c>
      <c r="M27" s="297" t="s">
        <v>662</v>
      </c>
      <c r="N27" s="297" t="s">
        <v>663</v>
      </c>
      <c r="O27" s="297" t="s">
        <v>664</v>
      </c>
      <c r="P27" s="297" t="s">
        <v>665</v>
      </c>
      <c r="Q27" s="297" t="s">
        <v>666</v>
      </c>
      <c r="R27" s="297" t="s">
        <v>667</v>
      </c>
      <c r="S27" s="297">
        <v>7</v>
      </c>
      <c r="T27" s="266">
        <v>8</v>
      </c>
      <c r="U27" s="266" t="s">
        <v>917</v>
      </c>
      <c r="V27" s="266" t="s">
        <v>918</v>
      </c>
      <c r="W27" s="266"/>
      <c r="X27" s="255">
        <v>16</v>
      </c>
    </row>
    <row r="28" spans="1:41" ht="15" customHeight="1">
      <c r="A28" s="167" t="s">
        <v>625</v>
      </c>
      <c r="B28" s="168">
        <v>25.6</v>
      </c>
      <c r="C28" s="5"/>
      <c r="D28" s="2" t="s">
        <v>277</v>
      </c>
      <c r="E28" s="95" t="s">
        <v>11</v>
      </c>
      <c r="F28" s="487">
        <f>F85</f>
        <v>0.25</v>
      </c>
      <c r="G28" s="487">
        <f t="shared" ref="G28:M28" si="25">G85</f>
        <v>0.25</v>
      </c>
      <c r="H28" s="487">
        <f t="shared" si="25"/>
        <v>0.25</v>
      </c>
      <c r="I28" s="487">
        <f t="shared" si="25"/>
        <v>0.27</v>
      </c>
      <c r="J28" s="487">
        <f t="shared" si="25"/>
        <v>0.27</v>
      </c>
      <c r="K28" s="487">
        <f t="shared" si="25"/>
        <v>0.27</v>
      </c>
      <c r="L28" s="487">
        <f t="shared" si="25"/>
        <v>0.27</v>
      </c>
      <c r="M28" s="487">
        <f t="shared" si="25"/>
        <v>0.27</v>
      </c>
      <c r="N28" s="488">
        <v>0.3</v>
      </c>
      <c r="O28" s="488">
        <v>0.3</v>
      </c>
      <c r="P28" s="488">
        <v>0.3</v>
      </c>
      <c r="Q28" s="488">
        <v>0.3</v>
      </c>
      <c r="R28" s="488">
        <v>0.3</v>
      </c>
      <c r="S28" s="488">
        <v>0.3</v>
      </c>
      <c r="T28" s="489">
        <v>0.35</v>
      </c>
      <c r="U28" s="487">
        <f>G28</f>
        <v>0.25</v>
      </c>
      <c r="V28" s="487">
        <f>I28</f>
        <v>0.27</v>
      </c>
      <c r="W28" s="262"/>
      <c r="X28" s="256">
        <v>0.4</v>
      </c>
      <c r="Z28" s="32" t="s">
        <v>247</v>
      </c>
      <c r="AA28" s="2"/>
      <c r="AB28" s="2"/>
      <c r="AC28" s="2"/>
      <c r="AD28" s="2"/>
      <c r="AE28" s="2"/>
      <c r="AF28" s="2"/>
      <c r="AG28" s="2"/>
      <c r="AH28" s="2"/>
      <c r="AI28" s="2"/>
    </row>
    <row r="29" spans="1:41" ht="15" customHeight="1">
      <c r="A29" s="94" t="s">
        <v>626</v>
      </c>
      <c r="B29" s="43">
        <v>20.7</v>
      </c>
      <c r="D29" s="170" t="s">
        <v>628</v>
      </c>
      <c r="E29" s="83"/>
      <c r="F29" s="269">
        <v>47</v>
      </c>
      <c r="G29" s="277">
        <v>32</v>
      </c>
      <c r="H29" s="277">
        <v>40</v>
      </c>
      <c r="I29" s="277">
        <v>21</v>
      </c>
      <c r="J29" s="277">
        <v>26</v>
      </c>
      <c r="K29" s="277">
        <v>40</v>
      </c>
      <c r="L29" s="277">
        <v>17</v>
      </c>
      <c r="M29" s="277">
        <v>20</v>
      </c>
      <c r="N29" s="277">
        <v>25</v>
      </c>
      <c r="O29" s="277">
        <v>1</v>
      </c>
      <c r="P29" s="277">
        <v>9</v>
      </c>
      <c r="Q29" s="277">
        <v>-4</v>
      </c>
      <c r="R29" s="277">
        <v>-10</v>
      </c>
      <c r="S29" s="277">
        <v>-15</v>
      </c>
      <c r="T29" s="269">
        <v>-47</v>
      </c>
      <c r="U29" s="269"/>
      <c r="V29" s="269"/>
      <c r="W29" s="269"/>
      <c r="X29" s="257">
        <v>17</v>
      </c>
      <c r="Z29" s="81">
        <v>1</v>
      </c>
      <c r="AA29" s="81">
        <v>2</v>
      </c>
      <c r="AB29" s="81">
        <v>3</v>
      </c>
      <c r="AC29" s="81">
        <v>4</v>
      </c>
      <c r="AD29" s="81">
        <v>5</v>
      </c>
      <c r="AE29" s="81">
        <v>6</v>
      </c>
      <c r="AF29" s="81">
        <v>7</v>
      </c>
      <c r="AG29" s="81">
        <v>8</v>
      </c>
      <c r="AH29" s="81">
        <v>9</v>
      </c>
      <c r="AI29" s="81">
        <v>10</v>
      </c>
      <c r="AJ29" s="81">
        <v>11</v>
      </c>
      <c r="AK29" s="81">
        <v>12</v>
      </c>
      <c r="AL29" s="81">
        <v>13</v>
      </c>
      <c r="AM29" s="81">
        <v>14</v>
      </c>
      <c r="AN29" s="81">
        <v>15</v>
      </c>
      <c r="AO29" s="81">
        <v>16</v>
      </c>
    </row>
    <row r="30" spans="1:41" s="139" customFormat="1" ht="15" customHeight="1">
      <c r="A30" s="87"/>
      <c r="B30" s="43"/>
      <c r="C30" s="2"/>
      <c r="D30" s="170" t="s">
        <v>629</v>
      </c>
      <c r="E30" s="171"/>
      <c r="F30" s="264">
        <f>(5/9)*(F29-32)</f>
        <v>8.3333333333333339</v>
      </c>
      <c r="G30" s="276">
        <v>0</v>
      </c>
      <c r="H30" s="276">
        <v>4.4444444444444446</v>
      </c>
      <c r="I30" s="280">
        <v>-6.1111111111111116</v>
      </c>
      <c r="J30" s="280">
        <v>-3.3333333333333335</v>
      </c>
      <c r="K30" s="280">
        <v>4.4444444444444446</v>
      </c>
      <c r="L30" s="280">
        <v>-8.3333333333333339</v>
      </c>
      <c r="M30" s="280">
        <v>-6.666666666666667</v>
      </c>
      <c r="N30" s="280">
        <v>-3.8888888888888893</v>
      </c>
      <c r="O30" s="280">
        <v>-17.222222222222221</v>
      </c>
      <c r="P30" s="280">
        <v>-12.777777777777779</v>
      </c>
      <c r="Q30" s="280">
        <v>-20</v>
      </c>
      <c r="R30" s="280">
        <v>-23.333333333333336</v>
      </c>
      <c r="S30" s="280">
        <v>-26.111111111111111</v>
      </c>
      <c r="T30" s="264">
        <f>(5/9)*(T29-32)</f>
        <v>-43.888888888888893</v>
      </c>
      <c r="U30" s="264"/>
      <c r="V30" s="264"/>
      <c r="W30" s="264"/>
      <c r="X30" s="258">
        <f>(5/9)*(X29-32)</f>
        <v>-8.3333333333333339</v>
      </c>
      <c r="Z30" s="172"/>
      <c r="AA30" s="172"/>
      <c r="AB30" s="172"/>
      <c r="AC30" s="172"/>
      <c r="AD30" s="172"/>
      <c r="AE30" s="172"/>
      <c r="AF30" s="172"/>
      <c r="AG30" s="172"/>
      <c r="AH30" s="172"/>
      <c r="AI30" s="172"/>
      <c r="AJ30" s="172"/>
      <c r="AK30" s="172"/>
      <c r="AL30" s="172"/>
      <c r="AM30" s="172"/>
      <c r="AN30" s="172"/>
      <c r="AO30" s="172"/>
    </row>
    <row r="31" spans="1:41" ht="15" customHeight="1">
      <c r="A31" s="166"/>
      <c r="B31" s="2"/>
      <c r="D31" s="173" t="s">
        <v>630</v>
      </c>
      <c r="E31" s="174"/>
      <c r="F31" s="270">
        <f>$B$29-F30</f>
        <v>12.366666666666665</v>
      </c>
      <c r="G31" s="279">
        <v>20.740738888888892</v>
      </c>
      <c r="H31" s="279">
        <v>16.296294444444449</v>
      </c>
      <c r="I31" s="279">
        <v>26.851850000000002</v>
      </c>
      <c r="J31" s="279">
        <v>24.074072222222224</v>
      </c>
      <c r="K31" s="279">
        <v>16.296294444444449</v>
      </c>
      <c r="L31" s="279">
        <v>29.074072222222227</v>
      </c>
      <c r="M31" s="279">
        <v>27.40740555555556</v>
      </c>
      <c r="N31" s="279">
        <v>24.629627777777781</v>
      </c>
      <c r="O31" s="279">
        <v>37.962961111111113</v>
      </c>
      <c r="P31" s="279">
        <v>33.51851666666667</v>
      </c>
      <c r="Q31" s="279">
        <v>40.740738888888892</v>
      </c>
      <c r="R31" s="279">
        <v>44.074072222222227</v>
      </c>
      <c r="S31" s="279">
        <v>46.851849999999999</v>
      </c>
      <c r="T31" s="270">
        <f>$B$29-T30</f>
        <v>64.588888888888889</v>
      </c>
      <c r="U31" s="270"/>
      <c r="V31" s="270"/>
      <c r="W31" s="270"/>
      <c r="X31" s="259">
        <f>$B$29-X30</f>
        <v>29.033333333333331</v>
      </c>
      <c r="Z31" s="44">
        <v>0.4</v>
      </c>
      <c r="AA31" s="44">
        <v>0.4</v>
      </c>
      <c r="AB31" s="44">
        <v>0.4</v>
      </c>
      <c r="AC31" s="44">
        <v>0.4</v>
      </c>
      <c r="AD31" s="44">
        <v>0.4</v>
      </c>
      <c r="AE31" s="44">
        <v>0.4</v>
      </c>
      <c r="AF31" s="44">
        <v>0.4</v>
      </c>
      <c r="AG31" s="44">
        <v>0.4</v>
      </c>
      <c r="AH31" s="44">
        <v>0.4</v>
      </c>
      <c r="AI31" s="44">
        <v>0.4</v>
      </c>
      <c r="AJ31" s="44">
        <v>0.4</v>
      </c>
      <c r="AK31" s="44">
        <v>0.4</v>
      </c>
      <c r="AL31" s="44">
        <v>0.4</v>
      </c>
      <c r="AM31" s="44">
        <v>0.4</v>
      </c>
      <c r="AN31" s="44">
        <v>0.4</v>
      </c>
      <c r="AO31" s="44">
        <v>0.4</v>
      </c>
    </row>
    <row r="32" spans="1:41" s="139" customFormat="1" ht="15" customHeight="1">
      <c r="A32" s="166" t="s">
        <v>267</v>
      </c>
      <c r="B32" s="241" t="s">
        <v>790</v>
      </c>
      <c r="C32" s="241" t="s">
        <v>269</v>
      </c>
      <c r="D32" s="170" t="s">
        <v>631</v>
      </c>
      <c r="E32" s="175"/>
      <c r="F32" s="263">
        <v>90</v>
      </c>
      <c r="G32" s="278">
        <v>95</v>
      </c>
      <c r="H32" s="278">
        <v>108</v>
      </c>
      <c r="I32" s="278">
        <v>94</v>
      </c>
      <c r="J32" s="278">
        <v>99</v>
      </c>
      <c r="K32" s="278">
        <v>78</v>
      </c>
      <c r="L32" s="278">
        <v>91</v>
      </c>
      <c r="M32" s="278">
        <v>94</v>
      </c>
      <c r="N32" s="278">
        <v>87</v>
      </c>
      <c r="O32" s="278">
        <v>89</v>
      </c>
      <c r="P32" s="278">
        <v>94</v>
      </c>
      <c r="Q32" s="278">
        <v>85</v>
      </c>
      <c r="R32" s="278">
        <v>88</v>
      </c>
      <c r="S32" s="278">
        <v>81</v>
      </c>
      <c r="T32" s="263">
        <v>78</v>
      </c>
      <c r="U32" s="263"/>
      <c r="V32" s="263"/>
      <c r="W32" s="263"/>
      <c r="X32" s="260">
        <v>92</v>
      </c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</row>
    <row r="33" spans="1:24" ht="15" customHeight="1">
      <c r="A33" s="305" t="s">
        <v>819</v>
      </c>
      <c r="D33" s="170" t="s">
        <v>632</v>
      </c>
      <c r="E33" s="94"/>
      <c r="F33" s="264">
        <f>(5/9)*(F32-32)</f>
        <v>32.222222222222221</v>
      </c>
      <c r="G33" s="276">
        <v>35</v>
      </c>
      <c r="H33" s="276">
        <v>42.222222222222221</v>
      </c>
      <c r="I33" s="276">
        <v>34.444444444444443</v>
      </c>
      <c r="J33" s="276">
        <v>37.222222222222221</v>
      </c>
      <c r="K33" s="276">
        <v>25.555555555555557</v>
      </c>
      <c r="L33" s="276">
        <v>32.777777777777779</v>
      </c>
      <c r="M33" s="276">
        <v>34.444444444444443</v>
      </c>
      <c r="N33" s="276">
        <v>30.555555555555557</v>
      </c>
      <c r="O33" s="276">
        <v>31.666666666666668</v>
      </c>
      <c r="P33" s="276">
        <v>34.444444444444443</v>
      </c>
      <c r="Q33" s="276">
        <v>29.444444444444446</v>
      </c>
      <c r="R33" s="276">
        <v>31.111111111111114</v>
      </c>
      <c r="S33" s="276">
        <v>27.222222222222225</v>
      </c>
      <c r="T33" s="264">
        <f>(5/9)*(T32-32)</f>
        <v>25.555555555555557</v>
      </c>
      <c r="U33" s="264"/>
      <c r="V33" s="264"/>
      <c r="W33" s="264"/>
      <c r="X33" s="258">
        <f>(5/9)*(X32-32)</f>
        <v>33.333333333333336</v>
      </c>
    </row>
    <row r="34" spans="1:24" s="139" customFormat="1" ht="15" customHeight="1">
      <c r="C34" s="2"/>
      <c r="D34" s="173" t="s">
        <v>630</v>
      </c>
      <c r="E34" s="89"/>
      <c r="F34" s="270">
        <f>ABS($B$28-F33)</f>
        <v>6.62222222222222</v>
      </c>
      <c r="G34" s="279">
        <v>9.375</v>
      </c>
      <c r="H34" s="279">
        <v>16.597222222222221</v>
      </c>
      <c r="I34" s="279">
        <v>8.8194444444444429</v>
      </c>
      <c r="J34" s="279">
        <v>11.597222222222221</v>
      </c>
      <c r="K34" s="279">
        <v>6.9444444444442865E-2</v>
      </c>
      <c r="L34" s="279">
        <v>7.1527777777777786</v>
      </c>
      <c r="M34" s="279">
        <v>8.8194444444444429</v>
      </c>
      <c r="N34" s="279">
        <v>4.9305555555555571</v>
      </c>
      <c r="O34" s="279">
        <v>6.0416666666666679</v>
      </c>
      <c r="P34" s="279">
        <v>8.8194444444444429</v>
      </c>
      <c r="Q34" s="279">
        <v>3.8194444444444464</v>
      </c>
      <c r="R34" s="279">
        <v>5.4861111111111143</v>
      </c>
      <c r="S34" s="279">
        <v>1.597222222222225</v>
      </c>
      <c r="T34" s="270">
        <f>ABS($B$28-T33)</f>
        <v>4.4444444444444287E-2</v>
      </c>
      <c r="U34" s="270"/>
      <c r="V34" s="270"/>
      <c r="W34" s="270"/>
      <c r="X34" s="259">
        <f>ABS($B$28-X33)</f>
        <v>7.7333333333333343</v>
      </c>
    </row>
    <row r="35" spans="1:24" s="139" customFormat="1" ht="15" customHeight="1">
      <c r="C35" s="2"/>
      <c r="D35" s="170" t="s">
        <v>633</v>
      </c>
      <c r="E35" s="83"/>
      <c r="F35" s="271">
        <f t="shared" ref="F35:X35" si="26">$B$13*$K$59*F31</f>
        <v>760.66129999999987</v>
      </c>
      <c r="G35" s="176">
        <f t="shared" si="26"/>
        <v>1275.7421083166669</v>
      </c>
      <c r="H35" s="176">
        <f t="shared" si="26"/>
        <v>1002.3687749833337</v>
      </c>
      <c r="I35" s="176">
        <f t="shared" si="26"/>
        <v>1651.6304416500002</v>
      </c>
      <c r="J35" s="176">
        <f t="shared" si="26"/>
        <v>1480.7721083166668</v>
      </c>
      <c r="K35" s="176">
        <f t="shared" si="26"/>
        <v>1002.3687749833337</v>
      </c>
      <c r="L35" s="176">
        <f t="shared" si="26"/>
        <v>1788.3171083166669</v>
      </c>
      <c r="M35" s="176">
        <f t="shared" si="26"/>
        <v>1685.8021083166668</v>
      </c>
      <c r="N35" s="176">
        <f t="shared" si="26"/>
        <v>1514.9437749833335</v>
      </c>
      <c r="O35" s="176">
        <f t="shared" si="26"/>
        <v>2335.0637749833336</v>
      </c>
      <c r="P35" s="176">
        <f t="shared" si="26"/>
        <v>2061.6904416500001</v>
      </c>
      <c r="Q35" s="176">
        <f t="shared" si="26"/>
        <v>2505.9221083166667</v>
      </c>
      <c r="R35" s="176">
        <f t="shared" si="26"/>
        <v>2710.9521083166669</v>
      </c>
      <c r="S35" s="176">
        <f t="shared" si="26"/>
        <v>2881.81044165</v>
      </c>
      <c r="T35" s="271">
        <f t="shared" si="26"/>
        <v>3972.7979666666665</v>
      </c>
      <c r="U35" s="271"/>
      <c r="V35" s="271"/>
      <c r="W35" s="271"/>
      <c r="X35" s="261">
        <f t="shared" si="26"/>
        <v>1785.8112999999998</v>
      </c>
    </row>
    <row r="36" spans="1:24" s="139" customFormat="1" ht="15" customHeight="1">
      <c r="C36" s="2"/>
      <c r="D36" s="170"/>
      <c r="E36" s="83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276"/>
      <c r="V36" s="276"/>
      <c r="W36" s="276"/>
      <c r="X36" s="8"/>
    </row>
    <row r="37" spans="1:24" s="139" customFormat="1" ht="15" customHeight="1">
      <c r="A37" s="139" t="e">
        <f>(1/3.5*(C33*B33)+(1/F6*((1-B33)*C32)))</f>
        <v>#VALUE!</v>
      </c>
      <c r="C37" s="2"/>
      <c r="D37" s="2"/>
      <c r="E37" s="2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276"/>
      <c r="V37" s="276"/>
      <c r="W37" s="276"/>
      <c r="X37" s="8"/>
    </row>
    <row r="39" spans="1:24" ht="15" customHeight="1">
      <c r="D39" s="298" t="s">
        <v>250</v>
      </c>
      <c r="E39" s="82" t="s">
        <v>173</v>
      </c>
      <c r="F39" s="266" t="s">
        <v>707</v>
      </c>
      <c r="G39" s="314" t="s">
        <v>656</v>
      </c>
      <c r="H39" s="314" t="s">
        <v>657</v>
      </c>
      <c r="I39" s="314" t="s">
        <v>658</v>
      </c>
      <c r="J39" s="314" t="s">
        <v>659</v>
      </c>
      <c r="K39" s="314" t="s">
        <v>660</v>
      </c>
      <c r="L39" s="314" t="s">
        <v>661</v>
      </c>
      <c r="M39" s="314" t="s">
        <v>662</v>
      </c>
      <c r="N39" s="314" t="s">
        <v>663</v>
      </c>
      <c r="O39" s="314" t="s">
        <v>664</v>
      </c>
      <c r="P39" s="314" t="s">
        <v>665</v>
      </c>
      <c r="Q39" s="314" t="s">
        <v>666</v>
      </c>
      <c r="R39" s="314" t="s">
        <v>667</v>
      </c>
      <c r="S39" s="314">
        <v>7</v>
      </c>
      <c r="T39" s="266">
        <v>8</v>
      </c>
      <c r="U39" s="351"/>
      <c r="V39" s="351"/>
      <c r="W39" s="351"/>
    </row>
    <row r="40" spans="1:24" ht="15" customHeight="1">
      <c r="D40" s="241" t="s">
        <v>252</v>
      </c>
      <c r="E40" s="83" t="s">
        <v>253</v>
      </c>
      <c r="F40" s="284">
        <v>13</v>
      </c>
      <c r="G40" s="273">
        <v>13</v>
      </c>
      <c r="H40" s="273">
        <v>13</v>
      </c>
      <c r="I40" s="273">
        <v>13</v>
      </c>
      <c r="J40" s="273">
        <v>13</v>
      </c>
      <c r="K40" s="273">
        <v>13</v>
      </c>
      <c r="L40" s="273">
        <v>13</v>
      </c>
      <c r="M40" s="273">
        <v>13</v>
      </c>
      <c r="N40" s="273">
        <v>20</v>
      </c>
      <c r="O40" s="273">
        <v>20</v>
      </c>
      <c r="P40" s="273">
        <v>20</v>
      </c>
      <c r="Q40" s="273">
        <v>20</v>
      </c>
      <c r="R40" s="273">
        <v>20</v>
      </c>
      <c r="S40" s="273">
        <v>21</v>
      </c>
      <c r="T40" s="284">
        <v>21</v>
      </c>
      <c r="U40" s="284"/>
      <c r="V40" s="284"/>
      <c r="W40" s="284"/>
    </row>
    <row r="41" spans="1:24" ht="15" customHeight="1">
      <c r="D41" s="241" t="s">
        <v>255</v>
      </c>
      <c r="E41" s="83" t="s">
        <v>253</v>
      </c>
      <c r="F41" s="284">
        <v>1.5</v>
      </c>
      <c r="G41" s="274">
        <v>1.5384615384615383</v>
      </c>
      <c r="H41" s="274">
        <v>1.5384615384615383</v>
      </c>
      <c r="I41" s="274">
        <v>2</v>
      </c>
      <c r="J41" s="274">
        <v>2</v>
      </c>
      <c r="K41" s="274">
        <v>2</v>
      </c>
      <c r="L41" s="274">
        <v>2.8571428571428572</v>
      </c>
      <c r="M41" s="274">
        <v>2.8571428571428572</v>
      </c>
      <c r="N41" s="274">
        <v>2.8571428571428572</v>
      </c>
      <c r="O41" s="274">
        <v>2.8571428571428572</v>
      </c>
      <c r="P41" s="274">
        <v>2.8571428571428572</v>
      </c>
      <c r="Q41" s="274">
        <v>2.8571428571428572</v>
      </c>
      <c r="R41" s="274">
        <v>2.8571428571428572</v>
      </c>
      <c r="S41" s="274">
        <v>2.8571428571428572</v>
      </c>
      <c r="T41" s="284">
        <v>2.9</v>
      </c>
      <c r="U41" s="284"/>
      <c r="V41" s="284"/>
      <c r="W41" s="284"/>
    </row>
    <row r="42" spans="1:24" ht="15" customHeight="1">
      <c r="D42" s="241" t="s">
        <v>257</v>
      </c>
      <c r="E42" s="83" t="s">
        <v>253</v>
      </c>
      <c r="F42" s="284">
        <v>13</v>
      </c>
      <c r="G42" s="273">
        <v>13</v>
      </c>
      <c r="H42" s="273">
        <v>13</v>
      </c>
      <c r="I42" s="273">
        <v>19</v>
      </c>
      <c r="J42" s="273">
        <v>19</v>
      </c>
      <c r="K42" s="273">
        <v>19</v>
      </c>
      <c r="L42" s="273">
        <v>19</v>
      </c>
      <c r="M42" s="273">
        <v>19</v>
      </c>
      <c r="N42" s="273">
        <v>19</v>
      </c>
      <c r="O42" s="273">
        <v>30</v>
      </c>
      <c r="P42" s="273">
        <v>30</v>
      </c>
      <c r="Q42" s="273">
        <v>30</v>
      </c>
      <c r="R42" s="273">
        <v>30</v>
      </c>
      <c r="S42" s="273">
        <v>38</v>
      </c>
      <c r="T42" s="284">
        <v>38</v>
      </c>
      <c r="U42" s="284"/>
      <c r="V42" s="284"/>
      <c r="W42" s="284"/>
    </row>
    <row r="43" spans="1:24" ht="15" customHeight="1">
      <c r="D43" s="241" t="s">
        <v>652</v>
      </c>
      <c r="E43" s="83" t="s">
        <v>259</v>
      </c>
      <c r="F43" s="267">
        <f t="shared" ref="F43:T43" si="27">$B$13*$K$59</f>
        <v>61.509</v>
      </c>
      <c r="G43" s="144">
        <f t="shared" si="27"/>
        <v>61.509</v>
      </c>
      <c r="H43" s="144">
        <f t="shared" si="27"/>
        <v>61.509</v>
      </c>
      <c r="I43" s="144">
        <f t="shared" si="27"/>
        <v>61.509</v>
      </c>
      <c r="J43" s="144">
        <f t="shared" si="27"/>
        <v>61.509</v>
      </c>
      <c r="K43" s="144">
        <f t="shared" si="27"/>
        <v>61.509</v>
      </c>
      <c r="L43" s="144">
        <f t="shared" si="27"/>
        <v>61.509</v>
      </c>
      <c r="M43" s="144">
        <f t="shared" si="27"/>
        <v>61.509</v>
      </c>
      <c r="N43" s="144">
        <f t="shared" si="27"/>
        <v>61.509</v>
      </c>
      <c r="O43" s="144">
        <f t="shared" si="27"/>
        <v>61.509</v>
      </c>
      <c r="P43" s="144">
        <f t="shared" si="27"/>
        <v>61.509</v>
      </c>
      <c r="Q43" s="144">
        <f t="shared" si="27"/>
        <v>61.509</v>
      </c>
      <c r="R43" s="144">
        <f t="shared" si="27"/>
        <v>61.509</v>
      </c>
      <c r="S43" s="144">
        <f t="shared" si="27"/>
        <v>61.509</v>
      </c>
      <c r="T43" s="267">
        <f t="shared" si="27"/>
        <v>61.509</v>
      </c>
      <c r="U43" s="267"/>
      <c r="V43" s="267"/>
      <c r="W43" s="267"/>
    </row>
    <row r="44" spans="1:24" ht="15" customHeight="1">
      <c r="D44" s="241" t="s">
        <v>258</v>
      </c>
      <c r="E44" s="84" t="s">
        <v>259</v>
      </c>
      <c r="F44" s="272">
        <f>(1/F40)*$B$6*5.6783*$C$6</f>
        <v>40.681989864874609</v>
      </c>
      <c r="G44" s="36">
        <f>1/G40*$B$6*5.678*$C$6</f>
        <v>40.679840524938456</v>
      </c>
      <c r="H44" s="36">
        <f>1/H40*$B$6*5.678*$C$6</f>
        <v>40.679840524938456</v>
      </c>
      <c r="I44" s="36">
        <f t="shared" ref="I44:T44" si="28">1/I40*$B$6*5.678*$C$6</f>
        <v>40.679840524938456</v>
      </c>
      <c r="J44" s="36">
        <f t="shared" si="28"/>
        <v>40.679840524938456</v>
      </c>
      <c r="K44" s="36">
        <f t="shared" si="28"/>
        <v>40.679840524938456</v>
      </c>
      <c r="L44" s="36">
        <f t="shared" si="28"/>
        <v>40.679840524938456</v>
      </c>
      <c r="M44" s="36">
        <f t="shared" si="28"/>
        <v>40.679840524938456</v>
      </c>
      <c r="N44" s="36">
        <f t="shared" si="28"/>
        <v>26.441896341209993</v>
      </c>
      <c r="O44" s="36">
        <f t="shared" si="28"/>
        <v>26.441896341209993</v>
      </c>
      <c r="P44" s="36">
        <f t="shared" si="28"/>
        <v>26.441896341209993</v>
      </c>
      <c r="Q44" s="36">
        <f t="shared" si="28"/>
        <v>26.441896341209993</v>
      </c>
      <c r="R44" s="36">
        <f t="shared" si="28"/>
        <v>26.441896341209993</v>
      </c>
      <c r="S44" s="36">
        <f t="shared" si="28"/>
        <v>25.182758420199995</v>
      </c>
      <c r="T44" s="272">
        <f t="shared" si="28"/>
        <v>25.182758420199995</v>
      </c>
      <c r="U44" s="272"/>
      <c r="V44" s="272"/>
      <c r="W44" s="272"/>
    </row>
    <row r="45" spans="1:24" ht="15" customHeight="1">
      <c r="D45" s="241" t="s">
        <v>260</v>
      </c>
      <c r="E45" s="84" t="s">
        <v>259</v>
      </c>
      <c r="F45" s="272">
        <f t="shared" ref="F45:T45" si="29">1/F41*$B$7*5.678*$C$7</f>
        <v>75.683803253333338</v>
      </c>
      <c r="G45" s="36">
        <f t="shared" si="29"/>
        <v>73.791708172</v>
      </c>
      <c r="H45" s="36">
        <f t="shared" si="29"/>
        <v>73.791708172</v>
      </c>
      <c r="I45" s="36">
        <f t="shared" si="29"/>
        <v>56.762852440000003</v>
      </c>
      <c r="J45" s="36">
        <f t="shared" si="29"/>
        <v>56.762852440000003</v>
      </c>
      <c r="K45" s="36">
        <f t="shared" si="29"/>
        <v>56.762852440000003</v>
      </c>
      <c r="L45" s="36">
        <f t="shared" si="29"/>
        <v>39.733996707999999</v>
      </c>
      <c r="M45" s="36">
        <f t="shared" si="29"/>
        <v>39.733996707999999</v>
      </c>
      <c r="N45" s="36">
        <f t="shared" si="29"/>
        <v>39.733996707999999</v>
      </c>
      <c r="O45" s="36">
        <f t="shared" si="29"/>
        <v>39.733996707999999</v>
      </c>
      <c r="P45" s="36">
        <f t="shared" si="29"/>
        <v>39.733996707999999</v>
      </c>
      <c r="Q45" s="36">
        <f t="shared" si="29"/>
        <v>39.733996707999999</v>
      </c>
      <c r="R45" s="36">
        <f t="shared" si="29"/>
        <v>39.733996707999999</v>
      </c>
      <c r="S45" s="36">
        <f t="shared" si="29"/>
        <v>39.733996707999999</v>
      </c>
      <c r="T45" s="272">
        <f t="shared" si="29"/>
        <v>39.146794786206904</v>
      </c>
      <c r="U45" s="272"/>
      <c r="V45" s="272"/>
      <c r="W45" s="272"/>
    </row>
    <row r="46" spans="1:24" ht="15" customHeight="1">
      <c r="D46" s="241" t="s">
        <v>261</v>
      </c>
      <c r="E46" s="84" t="s">
        <v>259</v>
      </c>
      <c r="F46" s="272">
        <f t="shared" ref="F46:T46" si="30">1/F42*$B$8*5.678*$C$8</f>
        <v>43.663732646153854</v>
      </c>
      <c r="G46" s="36">
        <f t="shared" si="30"/>
        <v>43.663732646153854</v>
      </c>
      <c r="H46" s="36">
        <f t="shared" si="30"/>
        <v>43.663732646153854</v>
      </c>
      <c r="I46" s="36">
        <f t="shared" si="30"/>
        <v>29.87518549473684</v>
      </c>
      <c r="J46" s="36">
        <f t="shared" si="30"/>
        <v>29.87518549473684</v>
      </c>
      <c r="K46" s="36">
        <f t="shared" si="30"/>
        <v>29.87518549473684</v>
      </c>
      <c r="L46" s="36">
        <f t="shared" si="30"/>
        <v>29.87518549473684</v>
      </c>
      <c r="M46" s="36">
        <f t="shared" si="30"/>
        <v>29.87518549473684</v>
      </c>
      <c r="N46" s="36">
        <f t="shared" si="30"/>
        <v>29.87518549473684</v>
      </c>
      <c r="O46" s="36">
        <f t="shared" si="30"/>
        <v>18.920950813333334</v>
      </c>
      <c r="P46" s="36">
        <f t="shared" si="30"/>
        <v>18.920950813333334</v>
      </c>
      <c r="Q46" s="36">
        <f t="shared" si="30"/>
        <v>18.920950813333334</v>
      </c>
      <c r="R46" s="36">
        <f t="shared" si="30"/>
        <v>18.920950813333334</v>
      </c>
      <c r="S46" s="36">
        <f t="shared" si="30"/>
        <v>14.93759274736842</v>
      </c>
      <c r="T46" s="272">
        <f t="shared" si="30"/>
        <v>14.93759274736842</v>
      </c>
      <c r="U46" s="272"/>
      <c r="V46" s="272"/>
      <c r="W46" s="272"/>
    </row>
    <row r="47" spans="1:24" ht="15" customHeight="1">
      <c r="D47" s="241" t="s">
        <v>262</v>
      </c>
      <c r="E47" s="84" t="s">
        <v>259</v>
      </c>
      <c r="F47" s="272">
        <f>20*5.678*0.3048^2</f>
        <v>10.550069222400001</v>
      </c>
      <c r="G47" s="36">
        <f t="shared" ref="G47:T47" si="31">20*5.678*0.3048^2</f>
        <v>10.550069222400001</v>
      </c>
      <c r="H47" s="36">
        <f t="shared" si="31"/>
        <v>10.550069222400001</v>
      </c>
      <c r="I47" s="36">
        <f t="shared" si="31"/>
        <v>10.550069222400001</v>
      </c>
      <c r="J47" s="36">
        <f t="shared" si="31"/>
        <v>10.550069222400001</v>
      </c>
      <c r="K47" s="36">
        <f t="shared" si="31"/>
        <v>10.550069222400001</v>
      </c>
      <c r="L47" s="36">
        <f t="shared" si="31"/>
        <v>10.550069222400001</v>
      </c>
      <c r="M47" s="36">
        <f t="shared" si="31"/>
        <v>10.550069222400001</v>
      </c>
      <c r="N47" s="36">
        <f t="shared" si="31"/>
        <v>10.550069222400001</v>
      </c>
      <c r="O47" s="36">
        <f t="shared" si="31"/>
        <v>10.550069222400001</v>
      </c>
      <c r="P47" s="36">
        <f t="shared" si="31"/>
        <v>10.550069222400001</v>
      </c>
      <c r="Q47" s="36">
        <f t="shared" si="31"/>
        <v>10.550069222400001</v>
      </c>
      <c r="R47" s="36">
        <f t="shared" si="31"/>
        <v>10.550069222400001</v>
      </c>
      <c r="S47" s="36">
        <f t="shared" si="31"/>
        <v>10.550069222400001</v>
      </c>
      <c r="T47" s="272">
        <f t="shared" si="31"/>
        <v>10.550069222400001</v>
      </c>
      <c r="U47" s="272"/>
      <c r="V47" s="272"/>
      <c r="W47" s="272"/>
    </row>
    <row r="48" spans="1:24" ht="15" customHeight="1">
      <c r="D48" s="37" t="s">
        <v>263</v>
      </c>
      <c r="E48" s="85" t="s">
        <v>259</v>
      </c>
      <c r="F48" s="294">
        <f>IF($B$12=0,SUM(F44:F47),SUM(F43,F44,F45,F47))</f>
        <v>170.5795949867618</v>
      </c>
      <c r="G48" s="294">
        <f t="shared" ref="G48:T48" si="32">IF($B$12=0,SUM(G44:G47),SUM(G43,G44,G45,G47))</f>
        <v>168.68535056549231</v>
      </c>
      <c r="H48" s="294">
        <f t="shared" si="32"/>
        <v>168.68535056549231</v>
      </c>
      <c r="I48" s="294">
        <f t="shared" si="32"/>
        <v>137.86794768207531</v>
      </c>
      <c r="J48" s="294">
        <f t="shared" si="32"/>
        <v>137.86794768207531</v>
      </c>
      <c r="K48" s="294">
        <f t="shared" si="32"/>
        <v>137.86794768207531</v>
      </c>
      <c r="L48" s="294">
        <f t="shared" si="32"/>
        <v>120.83909195007529</v>
      </c>
      <c r="M48" s="294">
        <f t="shared" si="32"/>
        <v>120.83909195007529</v>
      </c>
      <c r="N48" s="294">
        <f t="shared" si="32"/>
        <v>106.60114776634683</v>
      </c>
      <c r="O48" s="294">
        <f t="shared" si="32"/>
        <v>95.646913084943321</v>
      </c>
      <c r="P48" s="294">
        <f t="shared" si="32"/>
        <v>95.646913084943321</v>
      </c>
      <c r="Q48" s="294">
        <f t="shared" si="32"/>
        <v>95.646913084943321</v>
      </c>
      <c r="R48" s="294">
        <f t="shared" si="32"/>
        <v>95.646913084943321</v>
      </c>
      <c r="S48" s="294">
        <f t="shared" si="32"/>
        <v>90.404417097968405</v>
      </c>
      <c r="T48" s="294">
        <f t="shared" si="32"/>
        <v>89.817215176175324</v>
      </c>
      <c r="U48" s="294"/>
      <c r="V48" s="294"/>
      <c r="W48" s="294"/>
    </row>
    <row r="49" spans="2:24" ht="15" customHeight="1">
      <c r="D49" s="37" t="s">
        <v>265</v>
      </c>
      <c r="E49" s="85" t="s">
        <v>259</v>
      </c>
      <c r="F49" s="294">
        <f>SUM(F44,F45,F47)</f>
        <v>126.91586234060794</v>
      </c>
      <c r="G49" s="294">
        <f t="shared" ref="G49:T49" si="33">SUM(G44,G45,G47)</f>
        <v>125.02161791933845</v>
      </c>
      <c r="H49" s="294">
        <f t="shared" si="33"/>
        <v>125.02161791933845</v>
      </c>
      <c r="I49" s="294">
        <f t="shared" si="33"/>
        <v>107.99276218733846</v>
      </c>
      <c r="J49" s="294">
        <f t="shared" si="33"/>
        <v>107.99276218733846</v>
      </c>
      <c r="K49" s="294">
        <f t="shared" si="33"/>
        <v>107.99276218733846</v>
      </c>
      <c r="L49" s="294">
        <f t="shared" si="33"/>
        <v>90.963906455338446</v>
      </c>
      <c r="M49" s="294">
        <f t="shared" si="33"/>
        <v>90.963906455338446</v>
      </c>
      <c r="N49" s="294">
        <f t="shared" si="33"/>
        <v>76.725962271609987</v>
      </c>
      <c r="O49" s="294">
        <f t="shared" si="33"/>
        <v>76.725962271609987</v>
      </c>
      <c r="P49" s="294">
        <f t="shared" si="33"/>
        <v>76.725962271609987</v>
      </c>
      <c r="Q49" s="294">
        <f t="shared" si="33"/>
        <v>76.725962271609987</v>
      </c>
      <c r="R49" s="294">
        <f t="shared" si="33"/>
        <v>76.725962271609987</v>
      </c>
      <c r="S49" s="294">
        <f t="shared" si="33"/>
        <v>75.466824350599992</v>
      </c>
      <c r="T49" s="294">
        <f t="shared" si="33"/>
        <v>74.879622428806897</v>
      </c>
      <c r="U49" s="294"/>
      <c r="V49" s="294"/>
      <c r="W49" s="294"/>
    </row>
    <row r="55" spans="2:24" ht="15" customHeight="1">
      <c r="H55" s="161"/>
      <c r="I55" s="161"/>
      <c r="J55" s="161"/>
      <c r="S55" s="17"/>
      <c r="T55" s="17"/>
      <c r="U55" s="17"/>
      <c r="V55" s="17"/>
      <c r="W55" s="17"/>
    </row>
    <row r="56" spans="2:24" ht="15" customHeight="1">
      <c r="D56" s="558" t="s">
        <v>622</v>
      </c>
      <c r="E56" s="555"/>
      <c r="F56" s="559"/>
      <c r="G56" s="554" t="s">
        <v>615</v>
      </c>
      <c r="H56" s="555"/>
      <c r="I56" s="556"/>
      <c r="J56" s="557"/>
      <c r="K56" s="162" t="s">
        <v>613</v>
      </c>
      <c r="L56" s="163"/>
      <c r="N56" s="198" t="s">
        <v>645</v>
      </c>
      <c r="O56" s="81"/>
      <c r="P56" s="109"/>
      <c r="Q56" s="108"/>
      <c r="R56" s="201" t="s">
        <v>646</v>
      </c>
      <c r="S56" s="200"/>
      <c r="T56" s="200"/>
      <c r="U56" s="200"/>
      <c r="V56" s="200"/>
      <c r="W56" s="200"/>
      <c r="X56" s="109" t="s">
        <v>650</v>
      </c>
    </row>
    <row r="57" spans="2:24" ht="15" customHeight="1">
      <c r="D57" s="549" t="s">
        <v>614</v>
      </c>
      <c r="E57" s="550"/>
      <c r="F57" s="551"/>
      <c r="G57" s="552" t="s">
        <v>616</v>
      </c>
      <c r="H57" s="550"/>
      <c r="I57" s="553"/>
      <c r="J57" s="551"/>
      <c r="K57" s="548">
        <v>1.17</v>
      </c>
      <c r="L57" s="548"/>
      <c r="N57" s="170" t="s">
        <v>647</v>
      </c>
      <c r="Q57" s="94"/>
      <c r="R57" s="5">
        <v>0.1</v>
      </c>
      <c r="S57" s="17" t="s">
        <v>649</v>
      </c>
      <c r="T57" s="17"/>
      <c r="U57" s="17"/>
      <c r="V57" s="17"/>
      <c r="W57" s="17"/>
      <c r="X57" s="5">
        <f>1/(R57+0.12)</f>
        <v>4.5454545454545459</v>
      </c>
    </row>
    <row r="58" spans="2:24" ht="15" customHeight="1">
      <c r="D58" s="549"/>
      <c r="E58" s="550"/>
      <c r="F58" s="551"/>
      <c r="G58" s="552" t="s">
        <v>617</v>
      </c>
      <c r="H58" s="550"/>
      <c r="I58" s="553"/>
      <c r="J58" s="551"/>
      <c r="K58" s="548">
        <v>0.86</v>
      </c>
      <c r="L58" s="548"/>
      <c r="N58" s="199" t="s">
        <v>648</v>
      </c>
      <c r="S58" s="17"/>
      <c r="T58" s="17"/>
      <c r="U58" s="17"/>
      <c r="V58" s="17"/>
      <c r="W58" s="17"/>
    </row>
    <row r="59" spans="2:24" ht="15" customHeight="1">
      <c r="D59" s="549" t="s">
        <v>618</v>
      </c>
      <c r="E59" s="550"/>
      <c r="F59" s="551"/>
      <c r="G59" s="552" t="s">
        <v>616</v>
      </c>
      <c r="H59" s="550"/>
      <c r="I59" s="553"/>
      <c r="J59" s="551"/>
      <c r="K59" s="548">
        <v>1.45</v>
      </c>
      <c r="L59" s="548"/>
      <c r="S59" s="17"/>
      <c r="T59" s="17"/>
      <c r="U59" s="17"/>
      <c r="V59" s="17"/>
      <c r="W59" s="17"/>
    </row>
    <row r="60" spans="2:24" ht="15" customHeight="1">
      <c r="D60" s="549"/>
      <c r="E60" s="550"/>
      <c r="F60" s="551"/>
      <c r="G60" s="552" t="s">
        <v>617</v>
      </c>
      <c r="H60" s="550"/>
      <c r="I60" s="553"/>
      <c r="J60" s="551"/>
      <c r="K60" s="548">
        <v>0.85</v>
      </c>
      <c r="L60" s="548"/>
      <c r="S60" s="17"/>
      <c r="T60" s="17"/>
      <c r="U60" s="17"/>
      <c r="V60" s="17"/>
      <c r="W60" s="17"/>
    </row>
    <row r="61" spans="2:24" ht="15" customHeight="1">
      <c r="D61" s="549" t="s">
        <v>619</v>
      </c>
      <c r="E61" s="550"/>
      <c r="F61" s="551"/>
      <c r="G61" s="552" t="s">
        <v>616</v>
      </c>
      <c r="H61" s="550"/>
      <c r="I61" s="553"/>
      <c r="J61" s="551"/>
      <c r="K61" s="548">
        <v>2.0699999999999998</v>
      </c>
      <c r="L61" s="548"/>
      <c r="S61" s="17"/>
      <c r="T61" s="17"/>
      <c r="U61" s="17"/>
      <c r="V61" s="17"/>
      <c r="W61" s="17"/>
    </row>
    <row r="62" spans="2:24" ht="15" customHeight="1">
      <c r="B62" s="2"/>
      <c r="D62" s="549"/>
      <c r="E62" s="550"/>
      <c r="F62" s="551"/>
      <c r="G62" s="552" t="s">
        <v>617</v>
      </c>
      <c r="H62" s="550"/>
      <c r="I62" s="553"/>
      <c r="J62" s="551"/>
      <c r="K62" s="548">
        <v>0.92</v>
      </c>
      <c r="L62" s="548"/>
      <c r="S62" s="17"/>
      <c r="T62" s="17"/>
      <c r="U62" s="17"/>
      <c r="V62" s="17"/>
      <c r="W62" s="17"/>
    </row>
    <row r="63" spans="2:24" ht="15" customHeight="1">
      <c r="D63" s="549" t="s">
        <v>620</v>
      </c>
      <c r="E63" s="550"/>
      <c r="F63" s="551"/>
      <c r="G63" s="552" t="s">
        <v>616</v>
      </c>
      <c r="H63" s="550"/>
      <c r="I63" s="553"/>
      <c r="J63" s="551"/>
      <c r="K63" s="548">
        <v>3.67</v>
      </c>
      <c r="L63" s="548"/>
      <c r="S63" s="17"/>
      <c r="T63" s="17"/>
      <c r="U63" s="17"/>
      <c r="V63" s="17"/>
      <c r="W63" s="17"/>
    </row>
    <row r="64" spans="2:24" ht="15" customHeight="1">
      <c r="D64" s="549" t="s">
        <v>621</v>
      </c>
      <c r="E64" s="550"/>
      <c r="F64" s="551"/>
      <c r="G64" s="552" t="s">
        <v>617</v>
      </c>
      <c r="H64" s="550"/>
      <c r="I64" s="553"/>
      <c r="J64" s="551"/>
      <c r="K64" s="548">
        <v>1.24</v>
      </c>
      <c r="L64" s="548"/>
    </row>
    <row r="65" spans="4:25" ht="15" customHeight="1">
      <c r="D65" s="164" t="s">
        <v>623</v>
      </c>
    </row>
    <row r="69" spans="4:25" ht="15" customHeight="1">
      <c r="Y69" s="305" t="s">
        <v>778</v>
      </c>
    </row>
    <row r="71" spans="4:25" ht="15" customHeight="1">
      <c r="D71" s="332" t="s">
        <v>745</v>
      </c>
      <c r="F71" s="266" t="s">
        <v>707</v>
      </c>
      <c r="G71" s="314" t="s">
        <v>656</v>
      </c>
      <c r="H71" s="314" t="s">
        <v>657</v>
      </c>
      <c r="I71" s="314" t="s">
        <v>658</v>
      </c>
      <c r="J71" s="314" t="s">
        <v>659</v>
      </c>
      <c r="K71" s="314" t="s">
        <v>660</v>
      </c>
      <c r="L71" s="314" t="s">
        <v>661</v>
      </c>
      <c r="M71" s="314" t="s">
        <v>662</v>
      </c>
      <c r="N71" s="314" t="s">
        <v>663</v>
      </c>
      <c r="O71" s="314" t="s">
        <v>664</v>
      </c>
      <c r="P71" s="314" t="s">
        <v>665</v>
      </c>
      <c r="Q71" s="314" t="s">
        <v>666</v>
      </c>
      <c r="R71" s="314" t="s">
        <v>667</v>
      </c>
      <c r="S71" s="314">
        <v>7</v>
      </c>
      <c r="T71" s="266">
        <v>8</v>
      </c>
      <c r="U71" s="351"/>
      <c r="V71" s="351"/>
      <c r="W71" s="351"/>
      <c r="Y71" s="305" t="s">
        <v>770</v>
      </c>
    </row>
    <row r="72" spans="4:25" ht="15" customHeight="1">
      <c r="E72" s="241" t="s">
        <v>746</v>
      </c>
      <c r="F72" s="2">
        <v>0.65</v>
      </c>
      <c r="G72" s="2">
        <v>0.4</v>
      </c>
      <c r="H72" s="2">
        <v>0.35</v>
      </c>
      <c r="I72" s="241">
        <v>0.35</v>
      </c>
      <c r="J72" s="241">
        <v>0.35</v>
      </c>
      <c r="K72" s="241">
        <v>0.35</v>
      </c>
      <c r="L72" s="241">
        <v>0.35</v>
      </c>
      <c r="M72" s="241">
        <v>0.35</v>
      </c>
      <c r="N72" s="2">
        <v>0.32</v>
      </c>
      <c r="O72" s="2">
        <v>0.32</v>
      </c>
      <c r="P72" s="241">
        <v>0.32</v>
      </c>
      <c r="Q72" s="241">
        <v>0.32</v>
      </c>
      <c r="R72" s="241">
        <v>0.32</v>
      </c>
      <c r="S72" s="241">
        <v>0.32</v>
      </c>
      <c r="T72" s="241">
        <v>0.32</v>
      </c>
      <c r="U72" s="241"/>
      <c r="V72" s="241"/>
      <c r="W72" s="241"/>
    </row>
    <row r="73" spans="4:25" ht="15" customHeight="1">
      <c r="E73" s="241" t="s">
        <v>747</v>
      </c>
      <c r="F73" s="2">
        <v>0.25</v>
      </c>
      <c r="G73" s="241">
        <v>0.25</v>
      </c>
      <c r="H73" s="241">
        <v>0.25</v>
      </c>
      <c r="I73" s="241">
        <v>0.25</v>
      </c>
      <c r="J73" s="241">
        <v>0.25</v>
      </c>
      <c r="K73" s="241">
        <v>0.25</v>
      </c>
      <c r="L73" s="2">
        <v>0.4</v>
      </c>
      <c r="M73" s="241">
        <v>0.4</v>
      </c>
      <c r="N73" s="241" t="s">
        <v>748</v>
      </c>
      <c r="O73" s="241" t="s">
        <v>748</v>
      </c>
      <c r="P73" s="241" t="s">
        <v>748</v>
      </c>
      <c r="Q73" s="241" t="s">
        <v>748</v>
      </c>
      <c r="R73" s="241" t="s">
        <v>748</v>
      </c>
      <c r="S73" s="241" t="s">
        <v>748</v>
      </c>
      <c r="T73" s="241" t="s">
        <v>748</v>
      </c>
      <c r="U73" s="241"/>
      <c r="V73" s="241"/>
      <c r="W73" s="241"/>
    </row>
    <row r="74" spans="4:25" ht="15" customHeight="1">
      <c r="E74" s="241" t="s">
        <v>270</v>
      </c>
      <c r="F74" s="2">
        <v>30</v>
      </c>
      <c r="G74" s="2">
        <v>38</v>
      </c>
      <c r="H74" s="241">
        <v>38</v>
      </c>
      <c r="I74" s="241">
        <v>38</v>
      </c>
      <c r="J74" s="241">
        <v>38</v>
      </c>
      <c r="K74" s="241">
        <v>38</v>
      </c>
      <c r="L74" s="2">
        <v>49</v>
      </c>
      <c r="M74" s="241">
        <v>49</v>
      </c>
      <c r="N74" s="241">
        <v>49</v>
      </c>
      <c r="O74" s="241">
        <v>49</v>
      </c>
      <c r="P74" s="241">
        <v>49</v>
      </c>
      <c r="Q74" s="241">
        <v>49</v>
      </c>
      <c r="R74" s="241">
        <v>49</v>
      </c>
      <c r="S74" s="241">
        <v>49</v>
      </c>
      <c r="T74" s="241">
        <v>49</v>
      </c>
      <c r="U74" s="241"/>
      <c r="V74" s="241"/>
      <c r="W74" s="241"/>
    </row>
    <row r="75" spans="4:25" ht="15" customHeight="1">
      <c r="E75" s="241" t="s">
        <v>749</v>
      </c>
      <c r="F75" s="2">
        <v>13</v>
      </c>
      <c r="G75" s="2">
        <v>13</v>
      </c>
      <c r="H75" s="2">
        <v>13</v>
      </c>
      <c r="I75" s="241" t="s">
        <v>750</v>
      </c>
      <c r="J75" s="241" t="s">
        <v>750</v>
      </c>
      <c r="K75" s="241" t="s">
        <v>750</v>
      </c>
      <c r="L75" s="241" t="s">
        <v>750</v>
      </c>
      <c r="M75" s="241" t="s">
        <v>750</v>
      </c>
      <c r="N75" s="241" t="s">
        <v>750</v>
      </c>
      <c r="O75" s="241" t="s">
        <v>750</v>
      </c>
      <c r="P75" s="241" t="s">
        <v>750</v>
      </c>
      <c r="Q75" s="305" t="s">
        <v>751</v>
      </c>
      <c r="R75" s="305" t="s">
        <v>751</v>
      </c>
      <c r="S75" s="305" t="s">
        <v>751</v>
      </c>
      <c r="T75" s="305" t="s">
        <v>751</v>
      </c>
    </row>
    <row r="76" spans="4:25" ht="15" customHeight="1">
      <c r="E76" s="241" t="s">
        <v>256</v>
      </c>
      <c r="F76" s="2">
        <v>13</v>
      </c>
      <c r="G76" s="2">
        <v>13</v>
      </c>
      <c r="H76" s="2">
        <v>13</v>
      </c>
      <c r="I76" s="2">
        <v>19</v>
      </c>
      <c r="J76" s="241">
        <v>19</v>
      </c>
      <c r="K76" s="241">
        <v>19</v>
      </c>
      <c r="L76" s="241">
        <v>19</v>
      </c>
      <c r="M76" s="241">
        <v>19</v>
      </c>
      <c r="N76" s="2">
        <v>30</v>
      </c>
      <c r="O76" s="241">
        <v>30</v>
      </c>
      <c r="P76" s="241">
        <v>30</v>
      </c>
      <c r="Q76" s="241">
        <v>30</v>
      </c>
      <c r="R76" s="241">
        <v>30</v>
      </c>
      <c r="S76" s="5">
        <v>38</v>
      </c>
      <c r="T76" s="305">
        <v>38</v>
      </c>
    </row>
    <row r="77" spans="4:25" ht="15" customHeight="1">
      <c r="E77" s="241" t="s">
        <v>752</v>
      </c>
      <c r="F77" s="2">
        <v>0</v>
      </c>
      <c r="G77" s="241">
        <v>0</v>
      </c>
      <c r="H77" s="241">
        <v>0</v>
      </c>
      <c r="I77" s="241">
        <v>0</v>
      </c>
      <c r="J77" s="241">
        <v>0</v>
      </c>
      <c r="K77" s="241">
        <v>0</v>
      </c>
      <c r="L77" s="241" t="s">
        <v>753</v>
      </c>
      <c r="M77" s="241" t="s">
        <v>753</v>
      </c>
      <c r="N77" s="241" t="s">
        <v>753</v>
      </c>
      <c r="O77" s="241" t="s">
        <v>753</v>
      </c>
      <c r="P77" s="241" t="s">
        <v>753</v>
      </c>
      <c r="Q77" s="305" t="s">
        <v>754</v>
      </c>
      <c r="R77" s="305" t="s">
        <v>754</v>
      </c>
      <c r="S77" s="305" t="s">
        <v>754</v>
      </c>
      <c r="T77" s="305" t="s">
        <v>754</v>
      </c>
    </row>
    <row r="78" spans="4:25" ht="15" customHeight="1">
      <c r="E78" s="241" t="s">
        <v>755</v>
      </c>
      <c r="F78" s="2">
        <v>0</v>
      </c>
      <c r="G78" s="2">
        <v>0</v>
      </c>
      <c r="H78" s="2">
        <v>0</v>
      </c>
      <c r="I78" s="331" t="s">
        <v>756</v>
      </c>
      <c r="J78" s="331" t="s">
        <v>757</v>
      </c>
      <c r="K78" s="331" t="s">
        <v>758</v>
      </c>
      <c r="L78" s="241" t="s">
        <v>759</v>
      </c>
      <c r="M78" s="241" t="s">
        <v>760</v>
      </c>
      <c r="N78" s="241" t="s">
        <v>761</v>
      </c>
      <c r="O78" s="241" t="s">
        <v>762</v>
      </c>
      <c r="P78" s="241" t="s">
        <v>763</v>
      </c>
      <c r="Q78" s="241" t="s">
        <v>764</v>
      </c>
      <c r="R78" s="241" t="s">
        <v>765</v>
      </c>
      <c r="S78" s="241" t="s">
        <v>766</v>
      </c>
      <c r="T78" s="241" t="s">
        <v>767</v>
      </c>
      <c r="U78" s="241"/>
      <c r="V78" s="241"/>
      <c r="W78" s="241"/>
    </row>
    <row r="79" spans="4:25" ht="15" customHeight="1">
      <c r="E79" s="241" t="s">
        <v>768</v>
      </c>
      <c r="F79" s="2">
        <v>4</v>
      </c>
      <c r="G79" s="241">
        <v>4</v>
      </c>
      <c r="H79" s="241">
        <v>4</v>
      </c>
      <c r="I79" s="241">
        <v>4</v>
      </c>
      <c r="J79" s="241">
        <v>4</v>
      </c>
      <c r="K79" s="241">
        <v>4</v>
      </c>
      <c r="L79" s="241">
        <v>4</v>
      </c>
      <c r="M79" s="241">
        <v>4</v>
      </c>
      <c r="N79" s="241">
        <v>4</v>
      </c>
      <c r="O79" s="241">
        <v>4</v>
      </c>
      <c r="P79" s="241">
        <v>4</v>
      </c>
      <c r="Q79" s="241">
        <v>4</v>
      </c>
      <c r="R79" s="241">
        <v>4</v>
      </c>
      <c r="S79" s="241">
        <v>4</v>
      </c>
      <c r="T79" s="241">
        <v>4</v>
      </c>
      <c r="U79" s="241"/>
      <c r="V79" s="241"/>
      <c r="W79" s="241"/>
    </row>
    <row r="80" spans="4:25" ht="15" customHeight="1">
      <c r="E80" s="241" t="s">
        <v>769</v>
      </c>
      <c r="F80" s="2">
        <v>5</v>
      </c>
      <c r="G80" s="2">
        <v>5</v>
      </c>
      <c r="H80" s="2">
        <v>5</v>
      </c>
      <c r="I80" s="2">
        <v>3</v>
      </c>
      <c r="J80" s="241">
        <v>3</v>
      </c>
      <c r="K80" s="241">
        <v>3</v>
      </c>
      <c r="L80" s="241">
        <v>3</v>
      </c>
      <c r="M80" s="241">
        <v>3</v>
      </c>
      <c r="N80" s="241">
        <v>3</v>
      </c>
      <c r="O80" s="241">
        <v>3</v>
      </c>
      <c r="P80" s="241">
        <v>3</v>
      </c>
      <c r="Q80" s="241">
        <v>3</v>
      </c>
      <c r="R80" s="241">
        <v>3</v>
      </c>
      <c r="S80" s="241">
        <v>3</v>
      </c>
      <c r="T80" s="241">
        <v>3</v>
      </c>
      <c r="U80" s="241"/>
      <c r="V80" s="241"/>
      <c r="W80" s="241"/>
    </row>
    <row r="82" spans="4:25" ht="15" customHeight="1">
      <c r="D82" s="332" t="s">
        <v>775</v>
      </c>
      <c r="E82" s="241" t="s">
        <v>774</v>
      </c>
      <c r="F82" s="2">
        <v>1.4</v>
      </c>
      <c r="G82" s="241">
        <v>1.4</v>
      </c>
      <c r="H82" s="241">
        <v>1.4</v>
      </c>
      <c r="I82" s="241">
        <v>1.4</v>
      </c>
      <c r="J82" s="241">
        <v>1.4</v>
      </c>
      <c r="K82" s="241">
        <v>1.4</v>
      </c>
      <c r="L82" s="241">
        <v>1.4</v>
      </c>
      <c r="M82" s="241">
        <v>1.4</v>
      </c>
      <c r="N82" s="2">
        <v>1.2</v>
      </c>
      <c r="O82" s="241">
        <v>1.2</v>
      </c>
      <c r="P82" s="241">
        <v>1.2</v>
      </c>
      <c r="Q82" s="241">
        <v>1.2</v>
      </c>
      <c r="R82" s="241">
        <v>1.2</v>
      </c>
      <c r="S82" s="241">
        <v>1.2</v>
      </c>
      <c r="T82" s="241">
        <v>1.2</v>
      </c>
      <c r="U82" s="241"/>
      <c r="V82" s="241"/>
      <c r="W82" s="241"/>
      <c r="Y82" s="305" t="s">
        <v>777</v>
      </c>
    </row>
    <row r="83" spans="4:25" ht="15" customHeight="1">
      <c r="E83" s="241" t="s">
        <v>769</v>
      </c>
      <c r="F83" s="2">
        <v>3</v>
      </c>
      <c r="G83" s="241">
        <v>3</v>
      </c>
      <c r="H83" s="241">
        <v>3</v>
      </c>
      <c r="I83" s="2">
        <v>2.5</v>
      </c>
      <c r="J83" s="241">
        <v>2.5</v>
      </c>
      <c r="K83" s="241">
        <v>2.5</v>
      </c>
      <c r="L83" s="241">
        <v>2.5</v>
      </c>
      <c r="M83" s="241">
        <v>2.5</v>
      </c>
      <c r="N83" s="241">
        <v>2.5</v>
      </c>
      <c r="O83" s="2">
        <v>2</v>
      </c>
      <c r="P83" s="241">
        <v>2</v>
      </c>
      <c r="Q83" s="241">
        <v>2</v>
      </c>
      <c r="R83" s="241">
        <v>2</v>
      </c>
      <c r="S83" s="241">
        <v>2</v>
      </c>
      <c r="T83" s="5">
        <v>1.5</v>
      </c>
    </row>
    <row r="84" spans="4:25" ht="15" customHeight="1">
      <c r="E84" s="241" t="s">
        <v>746</v>
      </c>
      <c r="F84" s="2">
        <v>0.4</v>
      </c>
      <c r="G84" s="241">
        <v>0.4</v>
      </c>
      <c r="H84" s="241">
        <v>0.4</v>
      </c>
      <c r="I84" s="2">
        <v>0.3</v>
      </c>
      <c r="J84" s="241">
        <v>0.3</v>
      </c>
      <c r="K84" s="241">
        <v>0.3</v>
      </c>
      <c r="L84" s="241">
        <v>0.3</v>
      </c>
      <c r="M84" s="241">
        <v>0.3</v>
      </c>
      <c r="N84" s="2">
        <v>0.27</v>
      </c>
      <c r="O84" s="241">
        <v>0.27</v>
      </c>
      <c r="P84" s="241">
        <v>0.27</v>
      </c>
      <c r="Q84" s="241">
        <v>0.27</v>
      </c>
      <c r="R84" s="241">
        <v>0.27</v>
      </c>
      <c r="S84" s="241">
        <v>0.27</v>
      </c>
      <c r="T84" s="241">
        <v>0.27</v>
      </c>
      <c r="U84" s="241"/>
      <c r="V84" s="241"/>
      <c r="W84" s="241"/>
    </row>
    <row r="85" spans="4:25" ht="15" customHeight="1">
      <c r="E85" s="241" t="s">
        <v>747</v>
      </c>
      <c r="F85" s="2">
        <v>0.25</v>
      </c>
      <c r="G85" s="241">
        <v>0.25</v>
      </c>
      <c r="H85" s="241">
        <v>0.25</v>
      </c>
      <c r="I85" s="2">
        <v>0.27</v>
      </c>
      <c r="J85" s="241">
        <v>0.27</v>
      </c>
      <c r="K85" s="241">
        <v>0.27</v>
      </c>
      <c r="L85" s="241">
        <v>0.27</v>
      </c>
      <c r="M85" s="241">
        <v>0.27</v>
      </c>
      <c r="N85" s="241" t="s">
        <v>748</v>
      </c>
      <c r="O85" s="241" t="s">
        <v>748</v>
      </c>
      <c r="P85" s="241" t="s">
        <v>748</v>
      </c>
      <c r="Q85" s="241" t="s">
        <v>748</v>
      </c>
      <c r="R85" s="241" t="s">
        <v>748</v>
      </c>
      <c r="S85" s="241" t="s">
        <v>748</v>
      </c>
      <c r="T85" s="241" t="s">
        <v>748</v>
      </c>
      <c r="U85" s="241"/>
      <c r="V85" s="241"/>
      <c r="W85" s="241"/>
    </row>
    <row r="86" spans="4:25" ht="15" customHeight="1">
      <c r="E86" s="241" t="s">
        <v>776</v>
      </c>
      <c r="F86" s="2">
        <v>15</v>
      </c>
      <c r="G86" s="241">
        <v>15</v>
      </c>
      <c r="H86" s="241">
        <v>15</v>
      </c>
      <c r="I86" s="241">
        <v>15</v>
      </c>
      <c r="J86" s="241">
        <v>15</v>
      </c>
      <c r="K86" s="241">
        <v>15</v>
      </c>
      <c r="L86" s="241">
        <v>15</v>
      </c>
      <c r="M86" s="241">
        <v>15</v>
      </c>
      <c r="N86" s="241">
        <v>15</v>
      </c>
      <c r="O86" s="241">
        <v>15</v>
      </c>
      <c r="P86" s="241">
        <v>15</v>
      </c>
      <c r="Q86" s="241">
        <v>15</v>
      </c>
      <c r="R86" s="241">
        <v>15</v>
      </c>
      <c r="S86" s="241">
        <v>15</v>
      </c>
      <c r="T86" s="241">
        <v>15</v>
      </c>
      <c r="U86" s="241"/>
      <c r="V86" s="241"/>
      <c r="W86" s="241"/>
    </row>
    <row r="87" spans="4:25" ht="15" customHeight="1">
      <c r="E87" s="241" t="s">
        <v>779</v>
      </c>
    </row>
    <row r="89" spans="4:25" ht="15" customHeight="1">
      <c r="F89" s="2">
        <f>1/F84</f>
        <v>2.5</v>
      </c>
      <c r="G89" s="241">
        <f t="shared" ref="G89:T89" si="34">1/G84</f>
        <v>2.5</v>
      </c>
      <c r="H89" s="241">
        <f t="shared" si="34"/>
        <v>2.5</v>
      </c>
      <c r="I89" s="241">
        <f t="shared" si="34"/>
        <v>3.3333333333333335</v>
      </c>
      <c r="J89" s="241">
        <f t="shared" si="34"/>
        <v>3.3333333333333335</v>
      </c>
      <c r="K89" s="241">
        <f t="shared" si="34"/>
        <v>3.3333333333333335</v>
      </c>
      <c r="L89" s="241">
        <f t="shared" si="34"/>
        <v>3.3333333333333335</v>
      </c>
      <c r="M89" s="241">
        <f t="shared" si="34"/>
        <v>3.3333333333333335</v>
      </c>
      <c r="N89" s="241">
        <f t="shared" si="34"/>
        <v>3.7037037037037033</v>
      </c>
      <c r="O89" s="241">
        <f t="shared" si="34"/>
        <v>3.7037037037037033</v>
      </c>
      <c r="P89" s="241">
        <f t="shared" si="34"/>
        <v>3.7037037037037033</v>
      </c>
      <c r="Q89" s="241">
        <f t="shared" si="34"/>
        <v>3.7037037037037033</v>
      </c>
      <c r="R89" s="241">
        <f t="shared" si="34"/>
        <v>3.7037037037037033</v>
      </c>
      <c r="S89" s="241">
        <f t="shared" si="34"/>
        <v>3.7037037037037033</v>
      </c>
      <c r="T89" s="241">
        <f t="shared" si="34"/>
        <v>3.7037037037037033</v>
      </c>
      <c r="U89" s="241"/>
      <c r="V89" s="241"/>
      <c r="W89" s="241"/>
    </row>
    <row r="92" spans="4:25" ht="15" customHeight="1">
      <c r="D92" s="332" t="s">
        <v>780</v>
      </c>
    </row>
    <row r="93" spans="4:25" ht="15" customHeight="1">
      <c r="D93" s="332" t="s">
        <v>782</v>
      </c>
      <c r="Y93" s="241" t="s">
        <v>781</v>
      </c>
    </row>
    <row r="94" spans="4:25" ht="15" customHeight="1">
      <c r="E94" s="241" t="s">
        <v>783</v>
      </c>
      <c r="F94" s="2">
        <v>0</v>
      </c>
      <c r="G94" s="241">
        <v>0</v>
      </c>
      <c r="H94" s="241">
        <v>0</v>
      </c>
      <c r="I94" s="241">
        <v>0</v>
      </c>
      <c r="J94" s="241">
        <v>0</v>
      </c>
      <c r="K94" s="241">
        <v>0</v>
      </c>
      <c r="L94" s="241">
        <v>0</v>
      </c>
      <c r="M94" s="241">
        <v>0</v>
      </c>
      <c r="N94" s="241">
        <v>0</v>
      </c>
      <c r="O94" s="241">
        <v>0</v>
      </c>
      <c r="P94" s="241">
        <v>0</v>
      </c>
      <c r="Q94" s="241">
        <v>0</v>
      </c>
      <c r="R94" s="241">
        <v>0</v>
      </c>
      <c r="S94" s="241">
        <v>0</v>
      </c>
      <c r="T94" s="241">
        <v>0</v>
      </c>
      <c r="U94" s="241"/>
      <c r="V94" s="241"/>
      <c r="W94" s="241"/>
    </row>
    <row r="95" spans="4:25" ht="15" customHeight="1">
      <c r="E95" s="241" t="s">
        <v>784</v>
      </c>
      <c r="F95" s="2">
        <v>0.91</v>
      </c>
      <c r="G95" s="241">
        <v>0.91</v>
      </c>
      <c r="H95" s="241">
        <v>0.91</v>
      </c>
      <c r="I95" s="241">
        <v>0.91</v>
      </c>
      <c r="J95" s="241">
        <v>0.91</v>
      </c>
      <c r="K95" s="241">
        <v>0.91</v>
      </c>
      <c r="L95" s="241">
        <v>0.91</v>
      </c>
      <c r="M95" s="241">
        <v>0.91</v>
      </c>
      <c r="N95" s="241">
        <v>0.91</v>
      </c>
      <c r="O95" s="241">
        <v>0.91</v>
      </c>
      <c r="P95" s="241">
        <v>0.91</v>
      </c>
      <c r="Q95" s="241">
        <v>0.91</v>
      </c>
      <c r="R95" s="241">
        <v>0.91</v>
      </c>
      <c r="S95" s="241">
        <v>0.91</v>
      </c>
      <c r="T95" s="241">
        <v>0.91</v>
      </c>
      <c r="U95" s="241"/>
      <c r="V95" s="241"/>
      <c r="W95" s="241"/>
    </row>
    <row r="96" spans="4:25" ht="15" customHeight="1">
      <c r="E96" s="241" t="s">
        <v>785</v>
      </c>
      <c r="F96" s="2">
        <v>0.7</v>
      </c>
      <c r="G96" s="241">
        <v>0.7</v>
      </c>
      <c r="H96" s="241">
        <v>0.7</v>
      </c>
      <c r="I96" s="241">
        <v>0.7</v>
      </c>
      <c r="J96" s="241">
        <v>0.7</v>
      </c>
      <c r="K96" s="241">
        <v>0.7</v>
      </c>
      <c r="L96" s="241">
        <v>0.7</v>
      </c>
      <c r="M96" s="241">
        <v>0.7</v>
      </c>
      <c r="N96" s="241">
        <v>0.7</v>
      </c>
      <c r="O96" s="241">
        <v>0.7</v>
      </c>
      <c r="P96" s="241">
        <v>0.7</v>
      </c>
      <c r="Q96" s="241">
        <v>0.7</v>
      </c>
      <c r="R96" s="241">
        <v>0.7</v>
      </c>
      <c r="S96" s="241">
        <v>0.7</v>
      </c>
      <c r="T96" s="241">
        <v>0.7</v>
      </c>
      <c r="U96" s="241"/>
      <c r="V96" s="241"/>
      <c r="W96" s="241"/>
    </row>
    <row r="101" spans="1:37" ht="15" customHeight="1">
      <c r="D101" s="241" t="s">
        <v>793</v>
      </c>
      <c r="E101" s="332" t="s">
        <v>792</v>
      </c>
      <c r="F101" s="241" t="s">
        <v>791</v>
      </c>
      <c r="G101" s="241" t="s">
        <v>790</v>
      </c>
      <c r="Y101" s="305" t="s">
        <v>781</v>
      </c>
    </row>
    <row r="102" spans="1:37" ht="15" customHeight="1">
      <c r="E102" s="241" t="s">
        <v>786</v>
      </c>
      <c r="F102" s="2">
        <v>16</v>
      </c>
      <c r="G102" s="2">
        <v>0.23</v>
      </c>
    </row>
    <row r="103" spans="1:37" ht="15" customHeight="1">
      <c r="E103" s="241" t="s">
        <v>787</v>
      </c>
      <c r="F103" s="241">
        <v>16</v>
      </c>
      <c r="G103" s="2">
        <v>0.18</v>
      </c>
    </row>
    <row r="104" spans="1:37" ht="15" customHeight="1">
      <c r="E104" s="241" t="s">
        <v>788</v>
      </c>
      <c r="F104" s="241">
        <v>16</v>
      </c>
      <c r="G104" s="2">
        <v>0.13</v>
      </c>
    </row>
    <row r="105" spans="1:37" ht="15" customHeight="1">
      <c r="E105" s="241" t="s">
        <v>789</v>
      </c>
      <c r="F105" s="2">
        <v>24</v>
      </c>
      <c r="G105" s="2">
        <v>0.11</v>
      </c>
    </row>
    <row r="107" spans="1:37" s="305" customFormat="1" ht="15" customHeight="1">
      <c r="A107" s="5"/>
      <c r="B107" s="5"/>
      <c r="C107" s="2"/>
      <c r="D107" s="241" t="s">
        <v>802</v>
      </c>
      <c r="E107" s="332" t="s">
        <v>794</v>
      </c>
      <c r="F107" s="241" t="s">
        <v>405</v>
      </c>
      <c r="G107" s="241" t="s">
        <v>800</v>
      </c>
      <c r="H107" s="241" t="s">
        <v>801</v>
      </c>
      <c r="I107" s="2"/>
      <c r="J107" s="273" t="s">
        <v>810</v>
      </c>
      <c r="K107" s="2"/>
      <c r="L107" s="2"/>
      <c r="M107" s="2"/>
      <c r="N107" s="2"/>
      <c r="O107" s="2"/>
      <c r="P107" s="5"/>
      <c r="Q107" s="5"/>
      <c r="R107" s="5"/>
      <c r="S107" s="5"/>
      <c r="T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</row>
    <row r="108" spans="1:37" ht="15" customHeight="1">
      <c r="E108" s="241" t="s">
        <v>795</v>
      </c>
      <c r="F108" s="2">
        <v>90</v>
      </c>
      <c r="G108" s="334">
        <v>5.0000000000000001E-3</v>
      </c>
      <c r="H108" s="334">
        <v>1.4999999999999999E-2</v>
      </c>
    </row>
    <row r="109" spans="1:37" ht="15" customHeight="1">
      <c r="E109" s="241" t="s">
        <v>796</v>
      </c>
      <c r="F109" s="2">
        <v>80</v>
      </c>
      <c r="G109" s="334">
        <v>5.0000000000000001E-3</v>
      </c>
      <c r="H109" s="334">
        <v>1.4999999999999999E-2</v>
      </c>
    </row>
    <row r="110" spans="1:37" s="305" customFormat="1" ht="15" customHeight="1">
      <c r="A110" s="5"/>
      <c r="B110" s="5"/>
      <c r="C110" s="2"/>
      <c r="D110" s="2"/>
      <c r="E110" s="241" t="s">
        <v>797</v>
      </c>
      <c r="F110" s="2">
        <v>78</v>
      </c>
      <c r="G110" s="334">
        <v>5.0000000000000001E-3</v>
      </c>
      <c r="H110" s="334">
        <v>1.4999999999999999E-2</v>
      </c>
      <c r="I110" s="2"/>
      <c r="J110" s="2"/>
      <c r="K110" s="2"/>
      <c r="L110" s="2"/>
      <c r="M110" s="2"/>
      <c r="N110" s="2"/>
      <c r="O110" s="2"/>
      <c r="P110" s="5"/>
      <c r="Q110" s="5"/>
      <c r="R110" s="5"/>
      <c r="S110" s="5"/>
      <c r="T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</row>
    <row r="111" spans="1:37" ht="15" customHeight="1">
      <c r="E111" s="333" t="s">
        <v>798</v>
      </c>
      <c r="F111" s="2">
        <v>75</v>
      </c>
      <c r="G111" s="334">
        <v>5.0000000000000001E-3</v>
      </c>
      <c r="H111" s="334">
        <v>1.4999999999999999E-2</v>
      </c>
    </row>
    <row r="112" spans="1:37" ht="15" customHeight="1">
      <c r="E112" s="333" t="s">
        <v>799</v>
      </c>
      <c r="F112" s="2">
        <v>64</v>
      </c>
      <c r="G112" s="334">
        <v>5.0000000000000001E-3</v>
      </c>
      <c r="H112" s="334">
        <v>1.4999999999999999E-2</v>
      </c>
    </row>
    <row r="113" spans="1:37" ht="15" customHeight="1">
      <c r="E113" s="333"/>
    </row>
    <row r="114" spans="1:37" ht="15" customHeight="1">
      <c r="D114" s="241" t="s">
        <v>809</v>
      </c>
      <c r="E114" s="335" t="s">
        <v>803</v>
      </c>
      <c r="F114" s="241" t="s">
        <v>804</v>
      </c>
      <c r="G114" s="241" t="s">
        <v>805</v>
      </c>
      <c r="H114" s="241" t="s">
        <v>806</v>
      </c>
      <c r="I114" s="241" t="s">
        <v>800</v>
      </c>
      <c r="J114" s="241" t="s">
        <v>801</v>
      </c>
    </row>
    <row r="115" spans="1:37" s="305" customFormat="1" ht="15" customHeight="1">
      <c r="A115" s="5"/>
      <c r="B115" s="5"/>
      <c r="C115" s="2"/>
      <c r="D115" s="2"/>
      <c r="E115" s="333" t="s">
        <v>807</v>
      </c>
      <c r="F115" s="2">
        <v>6.5</v>
      </c>
      <c r="G115" s="2">
        <v>6.4</v>
      </c>
      <c r="H115" s="2"/>
      <c r="I115" s="2">
        <v>0.01</v>
      </c>
      <c r="J115" s="2">
        <v>0.03</v>
      </c>
      <c r="K115" s="2"/>
      <c r="L115" s="2"/>
      <c r="M115" s="2"/>
      <c r="N115" s="2"/>
      <c r="O115" s="2"/>
      <c r="P115" s="5"/>
      <c r="Q115" s="5"/>
      <c r="R115" s="5"/>
      <c r="S115" s="5"/>
      <c r="T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</row>
    <row r="116" spans="1:37" ht="15" customHeight="1">
      <c r="E116" s="333" t="s">
        <v>808</v>
      </c>
      <c r="F116" s="2">
        <v>6.5</v>
      </c>
      <c r="G116" s="2">
        <v>6.4</v>
      </c>
      <c r="H116" s="2">
        <v>6</v>
      </c>
      <c r="I116" s="241">
        <v>0.01</v>
      </c>
      <c r="J116" s="241">
        <v>0.03</v>
      </c>
    </row>
    <row r="118" spans="1:37" s="305" customFormat="1" ht="15" customHeight="1">
      <c r="A118" s="5"/>
      <c r="B118" s="5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5"/>
      <c r="Q118" s="5"/>
      <c r="R118" s="5"/>
      <c r="S118" s="5"/>
      <c r="T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</row>
    <row r="119" spans="1:37" ht="15" customHeight="1">
      <c r="E119" s="333"/>
      <c r="F119" s="266" t="s">
        <v>707</v>
      </c>
      <c r="G119" s="314" t="s">
        <v>656</v>
      </c>
      <c r="H119" s="314" t="s">
        <v>657</v>
      </c>
      <c r="I119" s="314" t="s">
        <v>658</v>
      </c>
      <c r="J119" s="314" t="s">
        <v>659</v>
      </c>
      <c r="K119" s="314" t="s">
        <v>660</v>
      </c>
      <c r="L119" s="314" t="s">
        <v>661</v>
      </c>
      <c r="M119" s="314" t="s">
        <v>662</v>
      </c>
      <c r="N119" s="314" t="s">
        <v>663</v>
      </c>
      <c r="O119" s="314" t="s">
        <v>664</v>
      </c>
      <c r="P119" s="314" t="s">
        <v>665</v>
      </c>
      <c r="Q119" s="314" t="s">
        <v>666</v>
      </c>
      <c r="R119" s="314" t="s">
        <v>667</v>
      </c>
      <c r="S119" s="314">
        <v>7</v>
      </c>
      <c r="T119" s="266">
        <v>8</v>
      </c>
      <c r="U119" s="351"/>
      <c r="V119" s="351"/>
      <c r="W119" s="351"/>
      <c r="Y119" s="305" t="s">
        <v>811</v>
      </c>
    </row>
    <row r="120" spans="1:37" ht="15" customHeight="1">
      <c r="E120" s="333" t="s">
        <v>812</v>
      </c>
      <c r="F120" s="2">
        <v>21</v>
      </c>
      <c r="G120" s="2">
        <v>21</v>
      </c>
      <c r="H120" s="2">
        <v>12</v>
      </c>
      <c r="I120" s="2">
        <v>16</v>
      </c>
      <c r="J120" s="2">
        <v>12</v>
      </c>
      <c r="K120" s="2">
        <v>13</v>
      </c>
      <c r="L120" s="2">
        <v>18</v>
      </c>
      <c r="M120" s="2">
        <v>12</v>
      </c>
      <c r="N120" s="2">
        <v>16</v>
      </c>
      <c r="O120" s="2">
        <v>14</v>
      </c>
      <c r="P120" s="5">
        <v>12</v>
      </c>
      <c r="Q120" s="5">
        <v>13</v>
      </c>
      <c r="R120" s="5">
        <v>13</v>
      </c>
      <c r="S120" s="5">
        <v>13</v>
      </c>
      <c r="T120" s="5">
        <v>13</v>
      </c>
    </row>
    <row r="121" spans="1:37" ht="15" customHeight="1">
      <c r="E121" s="333"/>
    </row>
    <row r="122" spans="1:37" ht="15" customHeight="1">
      <c r="A122" s="305" t="s">
        <v>836</v>
      </c>
      <c r="B122" s="5">
        <v>0</v>
      </c>
      <c r="E122" s="339" t="s">
        <v>835</v>
      </c>
    </row>
    <row r="123" spans="1:37" ht="15" customHeight="1">
      <c r="B123" s="305" t="s">
        <v>830</v>
      </c>
      <c r="C123" s="5"/>
      <c r="D123" s="305" t="s">
        <v>790</v>
      </c>
      <c r="E123" s="333"/>
    </row>
    <row r="124" spans="1:37" ht="15" customHeight="1">
      <c r="A124" s="305"/>
      <c r="B124" s="83" t="s">
        <v>253</v>
      </c>
      <c r="C124" s="305"/>
      <c r="D124" s="83" t="s">
        <v>253</v>
      </c>
      <c r="E124" s="333"/>
      <c r="F124" s="241"/>
      <c r="G124" s="241"/>
      <c r="H124" s="241"/>
      <c r="I124" s="241"/>
      <c r="J124" s="241"/>
      <c r="K124" s="241"/>
      <c r="L124" s="241"/>
      <c r="M124" s="241"/>
      <c r="N124" s="241"/>
      <c r="O124" s="241"/>
      <c r="P124" s="305"/>
      <c r="Q124" s="305"/>
      <c r="R124" s="305"/>
      <c r="S124" s="305"/>
      <c r="T124" s="305"/>
      <c r="X124" s="305"/>
      <c r="Y124" s="305"/>
      <c r="Z124" s="305"/>
      <c r="AA124" s="305"/>
      <c r="AB124" s="305"/>
      <c r="AC124" s="305"/>
      <c r="AD124" s="305"/>
      <c r="AE124" s="305"/>
      <c r="AF124" s="305"/>
      <c r="AG124" s="305"/>
      <c r="AH124" s="305"/>
      <c r="AI124" s="305"/>
      <c r="AJ124" s="305"/>
      <c r="AK124" s="305"/>
    </row>
    <row r="125" spans="1:37" ht="15" customHeight="1">
      <c r="A125" s="305" t="s">
        <v>833</v>
      </c>
      <c r="B125" s="5">
        <v>0.17</v>
      </c>
      <c r="C125" s="305" t="s">
        <v>829</v>
      </c>
      <c r="D125" s="5">
        <f>B125</f>
        <v>0.17</v>
      </c>
      <c r="E125" s="333"/>
    </row>
    <row r="126" spans="1:37" ht="15" customHeight="1">
      <c r="A126" s="305" t="s">
        <v>820</v>
      </c>
      <c r="B126" s="5">
        <v>0.67</v>
      </c>
      <c r="C126" s="305" t="s">
        <v>826</v>
      </c>
      <c r="D126" s="305">
        <f>B126</f>
        <v>0.67</v>
      </c>
      <c r="E126" s="83"/>
    </row>
    <row r="127" spans="1:37" ht="15" customHeight="1">
      <c r="A127" s="305" t="s">
        <v>831</v>
      </c>
      <c r="B127" s="305">
        <v>5</v>
      </c>
      <c r="C127" s="305" t="s">
        <v>831</v>
      </c>
      <c r="D127" s="305">
        <f>B127</f>
        <v>5</v>
      </c>
      <c r="E127" s="333"/>
      <c r="F127" s="241"/>
      <c r="G127" s="241"/>
      <c r="H127" s="241"/>
      <c r="I127" s="241"/>
      <c r="J127" s="241"/>
      <c r="K127" s="241"/>
      <c r="L127" s="241"/>
      <c r="M127" s="241"/>
      <c r="N127" s="241"/>
      <c r="O127" s="241"/>
      <c r="P127" s="305"/>
      <c r="Q127" s="305"/>
      <c r="R127" s="305"/>
      <c r="S127" s="305"/>
      <c r="T127" s="305"/>
      <c r="X127" s="305"/>
      <c r="Y127" s="305"/>
      <c r="Z127" s="305"/>
      <c r="AA127" s="305"/>
      <c r="AB127" s="305"/>
      <c r="AC127" s="305"/>
      <c r="AD127" s="305"/>
      <c r="AE127" s="305"/>
      <c r="AF127" s="305"/>
      <c r="AG127" s="305"/>
      <c r="AH127" s="305"/>
      <c r="AI127" s="305"/>
      <c r="AJ127" s="305"/>
      <c r="AK127" s="305"/>
    </row>
    <row r="128" spans="1:37" ht="15" customHeight="1">
      <c r="A128" s="305" t="s">
        <v>821</v>
      </c>
      <c r="B128" s="5">
        <v>0.79</v>
      </c>
      <c r="C128" s="305" t="s">
        <v>824</v>
      </c>
      <c r="D128" s="305">
        <f>B128</f>
        <v>0.79</v>
      </c>
      <c r="E128" s="333"/>
    </row>
    <row r="129" spans="1:37" ht="15" customHeight="1">
      <c r="A129" s="305" t="s">
        <v>822</v>
      </c>
      <c r="B129" s="5">
        <v>20</v>
      </c>
      <c r="C129" s="305" t="s">
        <v>827</v>
      </c>
      <c r="D129" s="5">
        <f>0.95*5.5</f>
        <v>5.2249999999999996</v>
      </c>
      <c r="E129" s="333"/>
    </row>
    <row r="130" spans="1:37" ht="15" customHeight="1">
      <c r="A130" s="305" t="s">
        <v>823</v>
      </c>
      <c r="B130" s="5">
        <v>0.55000000000000004</v>
      </c>
      <c r="C130" s="305" t="s">
        <v>825</v>
      </c>
      <c r="D130" s="305">
        <v>0.55000000000000004</v>
      </c>
      <c r="E130" s="333"/>
    </row>
    <row r="131" spans="1:37" ht="15" customHeight="1">
      <c r="A131" s="305" t="s">
        <v>832</v>
      </c>
      <c r="B131" s="5">
        <v>0.68</v>
      </c>
      <c r="C131" s="305" t="s">
        <v>828</v>
      </c>
      <c r="D131" s="305">
        <v>0.68</v>
      </c>
      <c r="E131" s="333"/>
    </row>
    <row r="132" spans="1:37" ht="15" customHeight="1">
      <c r="A132" s="305"/>
      <c r="B132" s="305"/>
      <c r="C132" s="305"/>
      <c r="D132" s="305"/>
      <c r="E132" s="333"/>
      <c r="F132" s="241"/>
      <c r="G132" s="241"/>
      <c r="H132" s="241"/>
      <c r="I132" s="241"/>
      <c r="J132" s="241"/>
      <c r="K132" s="241"/>
      <c r="L132" s="241"/>
      <c r="M132" s="241"/>
      <c r="N132" s="241"/>
      <c r="O132" s="241"/>
      <c r="P132" s="305"/>
      <c r="Q132" s="305"/>
      <c r="R132" s="305"/>
      <c r="S132" s="305"/>
      <c r="T132" s="305"/>
      <c r="X132" s="305"/>
      <c r="Y132" s="305"/>
      <c r="Z132" s="305"/>
      <c r="AA132" s="305"/>
      <c r="AB132" s="305"/>
      <c r="AC132" s="305"/>
      <c r="AD132" s="305"/>
      <c r="AE132" s="305"/>
      <c r="AF132" s="305"/>
      <c r="AG132" s="305"/>
      <c r="AH132" s="305"/>
      <c r="AI132" s="305"/>
      <c r="AJ132" s="305"/>
      <c r="AK132" s="305"/>
    </row>
    <row r="133" spans="1:37" ht="15" customHeight="1">
      <c r="A133" s="305" t="s">
        <v>382</v>
      </c>
      <c r="B133" s="5">
        <f>IF(B122=0,SUM(B125:B131),((1-0.19)*B129)+SUM(B125:B128,B130:B131))</f>
        <v>27.86</v>
      </c>
      <c r="D133" s="305">
        <f>SUM(D125:D131)</f>
        <v>13.085000000000001</v>
      </c>
      <c r="E133" s="333"/>
    </row>
    <row r="134" spans="1:37" ht="15" customHeight="1">
      <c r="A134" s="305" t="s">
        <v>834</v>
      </c>
      <c r="B134" s="5">
        <f>1/B133</f>
        <v>3.5893754486719311E-2</v>
      </c>
      <c r="D134" s="305">
        <f>1/D133</f>
        <v>7.642338555598012E-2</v>
      </c>
      <c r="E134" s="333"/>
    </row>
    <row r="135" spans="1:37" ht="15" customHeight="1">
      <c r="A135" s="305"/>
      <c r="C135" s="241"/>
      <c r="D135" s="305"/>
      <c r="E135" s="333"/>
      <c r="F135" s="241"/>
      <c r="G135" s="241"/>
      <c r="H135" s="241"/>
      <c r="I135" s="241"/>
      <c r="J135" s="241"/>
      <c r="K135" s="241"/>
      <c r="L135" s="241"/>
      <c r="M135" s="241"/>
      <c r="N135" s="241"/>
      <c r="O135" s="241"/>
      <c r="P135" s="305"/>
      <c r="Q135" s="305"/>
      <c r="R135" s="305"/>
      <c r="S135" s="305"/>
      <c r="T135" s="305"/>
      <c r="X135" s="305"/>
      <c r="Y135" s="305"/>
      <c r="Z135" s="305"/>
      <c r="AA135" s="305"/>
      <c r="AB135" s="305"/>
      <c r="AC135" s="305"/>
      <c r="AD135" s="305"/>
      <c r="AE135" s="305"/>
      <c r="AF135" s="305"/>
      <c r="AG135" s="305"/>
      <c r="AH135" s="305"/>
      <c r="AI135" s="305"/>
      <c r="AJ135" s="305"/>
      <c r="AK135" s="305"/>
    </row>
    <row r="136" spans="1:37" ht="15" customHeight="1">
      <c r="A136" s="305" t="s">
        <v>790</v>
      </c>
      <c r="B136" s="5">
        <v>0.23</v>
      </c>
      <c r="E136" s="333"/>
    </row>
    <row r="137" spans="1:37" ht="15" customHeight="1">
      <c r="A137" s="305" t="s">
        <v>842</v>
      </c>
      <c r="B137" s="305">
        <f>(B134*(1-B136))+(D134*B136)</f>
        <v>4.5215569632649298E-2</v>
      </c>
      <c r="E137" s="333"/>
    </row>
    <row r="138" spans="1:37" s="305" customFormat="1" ht="15" customHeight="1">
      <c r="C138" s="241"/>
      <c r="D138" s="241"/>
      <c r="E138" s="333"/>
      <c r="F138" s="241"/>
      <c r="G138" s="241"/>
      <c r="H138" s="241"/>
      <c r="I138" s="241"/>
      <c r="J138" s="241"/>
      <c r="K138" s="241"/>
      <c r="L138" s="241"/>
      <c r="M138" s="241"/>
      <c r="N138" s="241"/>
      <c r="O138" s="241"/>
    </row>
    <row r="139" spans="1:37" s="305" customFormat="1" ht="15" customHeight="1">
      <c r="A139" s="305" t="s">
        <v>837</v>
      </c>
      <c r="B139" s="5">
        <v>261.39999999999998</v>
      </c>
      <c r="C139" s="241"/>
      <c r="D139" s="241"/>
      <c r="E139" s="333"/>
      <c r="F139" s="241"/>
      <c r="G139" s="241"/>
      <c r="H139" s="241"/>
      <c r="I139" s="241"/>
      <c r="J139" s="241"/>
      <c r="K139" s="241"/>
      <c r="L139" s="241"/>
      <c r="M139" s="241"/>
      <c r="N139" s="241"/>
      <c r="O139" s="241"/>
    </row>
    <row r="140" spans="1:37" ht="15" customHeight="1">
      <c r="A140" s="305" t="s">
        <v>838</v>
      </c>
      <c r="B140" s="2">
        <f>B137*B139*5.6783</f>
        <v>67.113814548381953</v>
      </c>
      <c r="E140" s="333"/>
    </row>
    <row r="141" spans="1:37" ht="15" customHeight="1">
      <c r="E141" s="333"/>
    </row>
    <row r="142" spans="1:37" ht="15" customHeight="1">
      <c r="E142" s="333"/>
    </row>
    <row r="143" spans="1:37" ht="15" customHeight="1">
      <c r="E143" s="333"/>
    </row>
    <row r="144" spans="1:37" ht="15" customHeight="1">
      <c r="A144" s="305" t="s">
        <v>846</v>
      </c>
      <c r="B144" s="305" t="s">
        <v>847</v>
      </c>
      <c r="C144" s="305" t="s">
        <v>848</v>
      </c>
      <c r="E144" s="333"/>
    </row>
    <row r="145" spans="1:5" ht="15" customHeight="1">
      <c r="A145" s="305" t="s">
        <v>843</v>
      </c>
      <c r="B145" s="305">
        <v>8.5736552962920293E-2</v>
      </c>
      <c r="E145" s="333"/>
    </row>
    <row r="146" spans="1:5" ht="15" customHeight="1">
      <c r="A146" s="305" t="s">
        <v>840</v>
      </c>
      <c r="B146" s="5">
        <v>5.7476006036368224E-2</v>
      </c>
      <c r="E146" s="333"/>
    </row>
    <row r="147" spans="1:5" ht="15" customHeight="1">
      <c r="A147" s="305" t="s">
        <v>841</v>
      </c>
      <c r="B147" s="5">
        <v>6.2131032322258431E-2</v>
      </c>
      <c r="E147" s="333"/>
    </row>
    <row r="148" spans="1:5" ht="15" customHeight="1">
      <c r="A148" s="305" t="s">
        <v>844</v>
      </c>
      <c r="B148" s="5">
        <v>3.5893754486719311E-2</v>
      </c>
      <c r="E148" s="333"/>
    </row>
    <row r="149" spans="1:5" ht="15" customHeight="1">
      <c r="A149" s="305" t="s">
        <v>845</v>
      </c>
      <c r="B149" s="5">
        <v>4.3986404300048673E-2</v>
      </c>
      <c r="E149" s="333"/>
    </row>
    <row r="150" spans="1:5" ht="15" customHeight="1">
      <c r="E150" s="333"/>
    </row>
    <row r="151" spans="1:5" ht="15" customHeight="1">
      <c r="E151" s="333"/>
    </row>
  </sheetData>
  <mergeCells count="26">
    <mergeCell ref="D56:F56"/>
    <mergeCell ref="D57:F57"/>
    <mergeCell ref="D58:F58"/>
    <mergeCell ref="D59:F59"/>
    <mergeCell ref="D60:F60"/>
    <mergeCell ref="G56:J56"/>
    <mergeCell ref="G57:J57"/>
    <mergeCell ref="G58:J58"/>
    <mergeCell ref="G59:J59"/>
    <mergeCell ref="G60:J60"/>
    <mergeCell ref="K58:L58"/>
    <mergeCell ref="K57:L57"/>
    <mergeCell ref="D64:F64"/>
    <mergeCell ref="K64:L64"/>
    <mergeCell ref="K63:L63"/>
    <mergeCell ref="K62:L62"/>
    <mergeCell ref="K61:L61"/>
    <mergeCell ref="K60:L60"/>
    <mergeCell ref="K59:L59"/>
    <mergeCell ref="G61:J61"/>
    <mergeCell ref="G62:J62"/>
    <mergeCell ref="G63:J63"/>
    <mergeCell ref="G64:J64"/>
    <mergeCell ref="D63:F63"/>
    <mergeCell ref="D61:F61"/>
    <mergeCell ref="D62:F62"/>
  </mergeCells>
  <hyperlinks>
    <hyperlink ref="A24" r:id="rId1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V117"/>
  <sheetViews>
    <sheetView zoomScale="85" zoomScaleNormal="85" zoomScalePageLayoutView="85" workbookViewId="0">
      <selection activeCell="L25" sqref="L25"/>
    </sheetView>
  </sheetViews>
  <sheetFormatPr baseColWidth="10" defaultColWidth="8.83203125" defaultRowHeight="15" customHeight="1" x14ac:dyDescent="0"/>
  <cols>
    <col min="1" max="1" width="28.5" style="1" customWidth="1"/>
    <col min="2" max="2" width="9" style="7" customWidth="1"/>
    <col min="3" max="3" width="9" style="226" customWidth="1"/>
    <col min="4" max="4" width="8" style="7" customWidth="1"/>
    <col min="5" max="5" width="7.1640625" style="7" customWidth="1"/>
    <col min="6" max="6" width="7" style="7" customWidth="1"/>
    <col min="7" max="7" width="25.6640625" style="7" customWidth="1"/>
    <col min="8" max="8" width="12.33203125" style="7" bestFit="1" customWidth="1"/>
    <col min="9" max="9" width="9.5" style="7" customWidth="1"/>
    <col min="10" max="10" width="7.5" style="7" customWidth="1"/>
    <col min="11" max="11" width="8.83203125" style="7"/>
    <col min="12" max="12" width="13.83203125" style="7" bestFit="1" customWidth="1"/>
    <col min="13" max="13" width="15.5" style="7" customWidth="1"/>
    <col min="14" max="14" width="8.33203125" style="7" customWidth="1"/>
    <col min="15" max="17" width="8.83203125" style="7"/>
    <col min="18" max="18" width="12.5" style="1" customWidth="1"/>
    <col min="19" max="19" width="8.33203125" style="1" bestFit="1" customWidth="1"/>
    <col min="20" max="20" width="84.1640625" style="1" customWidth="1"/>
    <col min="21" max="21" width="12" style="1" customWidth="1"/>
    <col min="22" max="22" width="113.6640625" style="1" customWidth="1"/>
    <col min="23" max="16384" width="8.83203125" style="1"/>
  </cols>
  <sheetData>
    <row r="1" spans="1:22" ht="15" customHeight="1">
      <c r="A1" s="4" t="s">
        <v>50</v>
      </c>
      <c r="H1" s="181" t="s">
        <v>1000</v>
      </c>
      <c r="I1" s="81">
        <v>25</v>
      </c>
      <c r="J1" s="81">
        <v>50</v>
      </c>
      <c r="K1" s="81">
        <v>75</v>
      </c>
      <c r="L1" s="81">
        <v>100</v>
      </c>
      <c r="M1" s="298">
        <v>125</v>
      </c>
      <c r="N1" s="81">
        <v>200</v>
      </c>
      <c r="O1" s="81">
        <v>300</v>
      </c>
      <c r="R1" s="375" t="s">
        <v>922</v>
      </c>
      <c r="S1" s="396" t="s">
        <v>946</v>
      </c>
      <c r="T1" s="388" t="s">
        <v>499</v>
      </c>
      <c r="U1" s="389" t="s">
        <v>500</v>
      </c>
      <c r="V1" s="390" t="s">
        <v>501</v>
      </c>
    </row>
    <row r="2" spans="1:22" ht="15" customHeight="1">
      <c r="A2" s="14" t="s">
        <v>478</v>
      </c>
      <c r="G2" s="242" t="s">
        <v>868</v>
      </c>
      <c r="H2" s="84" t="s">
        <v>636</v>
      </c>
      <c r="I2" s="49">
        <f>L2*0.25</f>
        <v>7.2488675000000002</v>
      </c>
      <c r="J2" s="49">
        <f>L2*0.5</f>
        <v>14.497735</v>
      </c>
      <c r="K2" s="49">
        <f>L2*0.75</f>
        <v>21.746602500000002</v>
      </c>
      <c r="L2" s="356">
        <f>IF(Age="existing",0.15*A_houseSI+3.5*(Nbedrooms+1)+(65/4),0.15*A_houseSI+3.5*(Nbedrooms+1))</f>
        <v>28.995470000000001</v>
      </c>
      <c r="M2" s="296">
        <f>1.25*L2</f>
        <v>36.2443375</v>
      </c>
      <c r="N2" s="49">
        <f>L2*2</f>
        <v>57.990940000000002</v>
      </c>
      <c r="O2" s="49">
        <f>L2*3</f>
        <v>86.986410000000006</v>
      </c>
      <c r="R2" s="397" t="s">
        <v>920</v>
      </c>
      <c r="S2" s="366">
        <v>13</v>
      </c>
      <c r="T2" s="391" t="s">
        <v>502</v>
      </c>
      <c r="U2" s="146" t="s">
        <v>503</v>
      </c>
      <c r="V2" s="392" t="s">
        <v>504</v>
      </c>
    </row>
    <row r="3" spans="1:22" ht="15" customHeight="1" thickBot="1">
      <c r="A3" s="14" t="s">
        <v>278</v>
      </c>
      <c r="B3" s="45"/>
      <c r="C3" s="227"/>
      <c r="G3" s="242" t="s">
        <v>869</v>
      </c>
      <c r="H3" s="2" t="s">
        <v>675</v>
      </c>
      <c r="I3" s="216">
        <f>L3*0.25</f>
        <v>15.570758880516685</v>
      </c>
      <c r="J3" s="49">
        <f>L3*0.5</f>
        <v>31.14151776103337</v>
      </c>
      <c r="K3" s="49">
        <f>L3*0.75</f>
        <v>46.712276641550055</v>
      </c>
      <c r="L3" s="357">
        <f>IF(Age="existing",0.03*A_houseFT+7.5*(Nbedrooms+1)+(130/4), 0.03*A_houseFT+7.5*(Nbedrooms+1))</f>
        <v>62.28303552206674</v>
      </c>
      <c r="M3" s="296">
        <f>1.25*L3</f>
        <v>77.853794402583418</v>
      </c>
      <c r="N3" s="49">
        <f>L3*2</f>
        <v>124.56607104413348</v>
      </c>
      <c r="O3" s="49">
        <f>L3*3</f>
        <v>186.84910656620022</v>
      </c>
      <c r="R3" s="398" t="s">
        <v>921</v>
      </c>
      <c r="S3" s="368">
        <v>17</v>
      </c>
      <c r="T3" s="391" t="s">
        <v>505</v>
      </c>
      <c r="U3" s="146" t="s">
        <v>506</v>
      </c>
      <c r="V3" s="392" t="s">
        <v>507</v>
      </c>
    </row>
    <row r="4" spans="1:22" ht="15" customHeight="1">
      <c r="A4" s="14"/>
      <c r="B4" s="45"/>
      <c r="C4" s="227"/>
      <c r="H4" s="2"/>
      <c r="L4" s="242"/>
      <c r="T4" s="391" t="s">
        <v>508</v>
      </c>
      <c r="U4" s="146" t="s">
        <v>506</v>
      </c>
      <c r="V4" s="392" t="s">
        <v>507</v>
      </c>
    </row>
    <row r="5" spans="1:22" ht="15" customHeight="1">
      <c r="A5" s="14" t="s">
        <v>581</v>
      </c>
      <c r="B5" s="355">
        <f>Nbedrooms</f>
        <v>3</v>
      </c>
      <c r="C5" s="227"/>
      <c r="H5" s="2"/>
      <c r="T5" s="391" t="s">
        <v>509</v>
      </c>
      <c r="U5" s="146">
        <v>3</v>
      </c>
      <c r="V5" s="392" t="s">
        <v>507</v>
      </c>
    </row>
    <row r="6" spans="1:22" ht="15" customHeight="1">
      <c r="A6" s="143" t="s">
        <v>906</v>
      </c>
      <c r="B6" s="355">
        <f>VLOOKUP(CONCATENATE(OccDensity,HomeSize),'Internal gains'!C28:F37,2,FALSE)</f>
        <v>2</v>
      </c>
      <c r="D6" s="242"/>
      <c r="E6" s="242"/>
      <c r="F6" s="242"/>
      <c r="G6" s="227" t="s">
        <v>1001</v>
      </c>
      <c r="H6" s="241"/>
      <c r="I6" s="242"/>
      <c r="J6" s="242"/>
      <c r="K6" s="242"/>
      <c r="L6" s="242"/>
      <c r="M6" s="242"/>
      <c r="N6" s="242"/>
      <c r="O6" s="242"/>
      <c r="P6" s="242"/>
      <c r="Q6" s="242"/>
      <c r="T6" s="391" t="s">
        <v>510</v>
      </c>
      <c r="U6" s="146"/>
      <c r="V6" s="392"/>
    </row>
    <row r="7" spans="1:22" ht="15" customHeight="1"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242"/>
      <c r="T7" s="391" t="s">
        <v>511</v>
      </c>
      <c r="U7" s="146" t="s">
        <v>512</v>
      </c>
      <c r="V7" s="392" t="s">
        <v>513</v>
      </c>
    </row>
    <row r="8" spans="1:22" ht="15" customHeight="1">
      <c r="A8" s="1" t="s">
        <v>895</v>
      </c>
      <c r="B8" s="71" t="s">
        <v>707</v>
      </c>
      <c r="C8" s="71" t="s">
        <v>656</v>
      </c>
      <c r="D8" s="71" t="s">
        <v>657</v>
      </c>
      <c r="E8" s="71" t="s">
        <v>658</v>
      </c>
      <c r="F8" s="71" t="s">
        <v>659</v>
      </c>
      <c r="G8" s="71" t="s">
        <v>660</v>
      </c>
      <c r="H8" s="71" t="s">
        <v>661</v>
      </c>
      <c r="I8" s="71" t="s">
        <v>662</v>
      </c>
      <c r="J8" s="71" t="s">
        <v>663</v>
      </c>
      <c r="K8" s="71" t="s">
        <v>664</v>
      </c>
      <c r="L8" s="71" t="s">
        <v>665</v>
      </c>
      <c r="M8" s="71" t="s">
        <v>666</v>
      </c>
      <c r="N8" s="71" t="s">
        <v>667</v>
      </c>
      <c r="O8" s="71">
        <v>7</v>
      </c>
      <c r="P8" s="71">
        <v>8</v>
      </c>
      <c r="Q8" s="242" t="s">
        <v>917</v>
      </c>
      <c r="R8" s="1" t="s">
        <v>918</v>
      </c>
      <c r="T8" s="391" t="s">
        <v>514</v>
      </c>
      <c r="U8" s="146">
        <v>7</v>
      </c>
      <c r="V8" s="392" t="s">
        <v>515</v>
      </c>
    </row>
    <row r="9" spans="1:22" ht="15" customHeight="1">
      <c r="A9" s="143" t="s">
        <v>876</v>
      </c>
      <c r="B9" s="227">
        <f>(Leakage!H34*A_houseSI*Weather!B25)/1.44</f>
        <v>4.3355406341641531</v>
      </c>
      <c r="C9" s="227">
        <f>(Leakage!I34*A_houseSI*Weather!C25)/1.44</f>
        <v>4.4412855276803525</v>
      </c>
      <c r="D9" s="227">
        <f>(Leakage!J34*A_houseSI*Weather!D25)/1.44</f>
        <v>4.5470304211965509</v>
      </c>
      <c r="E9" s="227">
        <f>(Leakage!K34*A_houseSI*Weather!E25)/1.44</f>
        <v>4.0535542514542886</v>
      </c>
      <c r="F9" s="227">
        <f>(Leakage!L34*A_houseSI*Weather!F25)/1.44</f>
        <v>4.2297957406479538</v>
      </c>
      <c r="G9" s="227">
        <f>(Leakage!M34*A_houseSI*Weather!G25)/1.44</f>
        <v>5.2872446758099416</v>
      </c>
      <c r="H9" s="227">
        <f>(Leakage!N34*A_houseSI*Weather!H25)/1.44</f>
        <v>4.4060372298416182</v>
      </c>
      <c r="I9" s="227">
        <f>(Leakage!O34*A_houseSI*Weather!I25)/1.44</f>
        <v>4.7585202082289486</v>
      </c>
      <c r="J9" s="227">
        <f>(Leakage!P34*A_houseSI*Weather!J25)/1.44</f>
        <v>4.8466409528257808</v>
      </c>
      <c r="K9" s="227">
        <f>(Leakage!Q34*A_houseSI*Weather!K25)/1.44</f>
        <v>4.2297957406479538</v>
      </c>
      <c r="L9" s="227">
        <f>(Leakage!R34*A_houseSI*Weather!L25)/1.44</f>
        <v>3.9478093579380906</v>
      </c>
      <c r="M9" s="227">
        <f>(Leakage!S34*A_houseSI*Weather!M25)/1.44</f>
        <v>4.3002923363254197</v>
      </c>
      <c r="N9" s="227">
        <f>(Leakage!T34*A_houseSI*Weather!N25)/1.44</f>
        <v>4.4412855276803516</v>
      </c>
      <c r="O9" s="227">
        <f>(Leakage!U34*A_houseSI*Weather!O25)/1.44</f>
        <v>4.9347616974226129</v>
      </c>
      <c r="P9" s="227">
        <f>(Leakage!V34*A_houseSI*Weather!P25)/1.44</f>
        <v>3.7010712730669599</v>
      </c>
      <c r="Q9" s="227">
        <f>(Leakage!W34*A_houseSI*Weather!Q25)/1.44</f>
        <v>4.0183059536155579</v>
      </c>
      <c r="R9" s="227">
        <f>(Leakage!X34*A_houseSI*Weather!R25)/1.44</f>
        <v>3.7891920176637921</v>
      </c>
      <c r="T9" s="391" t="s">
        <v>516</v>
      </c>
      <c r="U9" s="146">
        <v>8</v>
      </c>
      <c r="V9" s="392" t="s">
        <v>517</v>
      </c>
    </row>
    <row r="10" spans="1:22" ht="15" customHeight="1">
      <c r="A10" s="1" t="s">
        <v>875</v>
      </c>
      <c r="B10" s="348">
        <f t="shared" ref="B10:R10" si="0">FanSize*IF($L$2=0,0,$L$2-B9)</f>
        <v>24.659929365835847</v>
      </c>
      <c r="C10" s="348">
        <f t="shared" si="0"/>
        <v>24.554184472319648</v>
      </c>
      <c r="D10" s="348">
        <f t="shared" si="0"/>
        <v>24.448439578803452</v>
      </c>
      <c r="E10" s="348">
        <f t="shared" si="0"/>
        <v>24.941915748545711</v>
      </c>
      <c r="F10" s="348">
        <f t="shared" si="0"/>
        <v>24.765674259352046</v>
      </c>
      <c r="G10" s="348">
        <f t="shared" si="0"/>
        <v>23.70822532419006</v>
      </c>
      <c r="H10" s="348">
        <f t="shared" si="0"/>
        <v>24.589432770158382</v>
      </c>
      <c r="I10" s="348">
        <f t="shared" si="0"/>
        <v>24.236949791771053</v>
      </c>
      <c r="J10" s="348">
        <f t="shared" si="0"/>
        <v>24.148829047174221</v>
      </c>
      <c r="K10" s="348">
        <f t="shared" si="0"/>
        <v>24.765674259352046</v>
      </c>
      <c r="L10" s="348">
        <f t="shared" si="0"/>
        <v>25.04766064206191</v>
      </c>
      <c r="M10" s="348">
        <f t="shared" si="0"/>
        <v>24.695177663674581</v>
      </c>
      <c r="N10" s="348">
        <f t="shared" si="0"/>
        <v>24.554184472319648</v>
      </c>
      <c r="O10" s="348">
        <f t="shared" si="0"/>
        <v>24.060708302577389</v>
      </c>
      <c r="P10" s="348">
        <f t="shared" si="0"/>
        <v>25.294398726933039</v>
      </c>
      <c r="Q10" s="348">
        <f t="shared" si="0"/>
        <v>24.977164046384445</v>
      </c>
      <c r="R10" s="348">
        <f t="shared" si="0"/>
        <v>25.206277982336211</v>
      </c>
      <c r="T10" s="391" t="s">
        <v>518</v>
      </c>
      <c r="U10" s="146"/>
      <c r="V10" s="392"/>
    </row>
    <row r="11" spans="1:22" ht="15" customHeight="1">
      <c r="A11" s="1" t="s">
        <v>896</v>
      </c>
      <c r="B11" s="242">
        <f>B10*0.4361</f>
        <v>10.754195196441012</v>
      </c>
      <c r="C11" s="242">
        <f>C10*0.4361</f>
        <v>10.708079848378597</v>
      </c>
      <c r="D11" s="242">
        <f t="shared" ref="D11:P11" si="1">D10*0.4361</f>
        <v>10.661964500316184</v>
      </c>
      <c r="E11" s="242">
        <f t="shared" si="1"/>
        <v>10.877169457940784</v>
      </c>
      <c r="F11" s="242">
        <f t="shared" si="1"/>
        <v>10.800310544503427</v>
      </c>
      <c r="G11" s="242">
        <f t="shared" si="1"/>
        <v>10.339157063879284</v>
      </c>
      <c r="H11" s="242">
        <f t="shared" si="1"/>
        <v>10.723451631066069</v>
      </c>
      <c r="I11" s="242">
        <f t="shared" si="1"/>
        <v>10.569733804191356</v>
      </c>
      <c r="J11" s="242">
        <f t="shared" si="1"/>
        <v>10.531304347472677</v>
      </c>
      <c r="K11" s="242">
        <f t="shared" si="1"/>
        <v>10.800310544503427</v>
      </c>
      <c r="L11" s="242">
        <f t="shared" si="1"/>
        <v>10.923284806003199</v>
      </c>
      <c r="M11" s="242">
        <f t="shared" si="1"/>
        <v>10.769566979128484</v>
      </c>
      <c r="N11" s="242">
        <f t="shared" si="1"/>
        <v>10.708079848378597</v>
      </c>
      <c r="O11" s="242">
        <f t="shared" si="1"/>
        <v>10.492874890753999</v>
      </c>
      <c r="P11" s="242">
        <f t="shared" si="1"/>
        <v>11.030887284815497</v>
      </c>
      <c r="Q11" s="242">
        <f>Q10*0.4361</f>
        <v>10.892541240628256</v>
      </c>
      <c r="R11" s="242">
        <f>R10*0.4361</f>
        <v>10.992457828096821</v>
      </c>
      <c r="T11" s="391" t="s">
        <v>519</v>
      </c>
      <c r="U11" s="146">
        <v>5</v>
      </c>
      <c r="V11" s="392" t="s">
        <v>520</v>
      </c>
    </row>
    <row r="12" spans="1:22" ht="15" customHeight="1">
      <c r="A12" s="87" t="s">
        <v>1100</v>
      </c>
      <c r="B12" s="399">
        <f t="shared" ref="B12:R12" si="2">IF(VentSystem="CFIS",0,0.566*B13*-1000)</f>
        <v>0</v>
      </c>
      <c r="C12" s="399">
        <f t="shared" si="2"/>
        <v>0</v>
      </c>
      <c r="D12" s="399">
        <f t="shared" si="2"/>
        <v>0</v>
      </c>
      <c r="E12" s="399">
        <f t="shared" si="2"/>
        <v>0</v>
      </c>
      <c r="F12" s="399">
        <f t="shared" si="2"/>
        <v>0</v>
      </c>
      <c r="G12" s="399">
        <f t="shared" si="2"/>
        <v>0</v>
      </c>
      <c r="H12" s="399">
        <f t="shared" si="2"/>
        <v>0</v>
      </c>
      <c r="I12" s="399">
        <f t="shared" si="2"/>
        <v>0</v>
      </c>
      <c r="J12" s="399">
        <f t="shared" si="2"/>
        <v>0</v>
      </c>
      <c r="K12" s="399">
        <f t="shared" si="2"/>
        <v>0</v>
      </c>
      <c r="L12" s="399">
        <f t="shared" si="2"/>
        <v>0</v>
      </c>
      <c r="M12" s="399">
        <f t="shared" si="2"/>
        <v>0</v>
      </c>
      <c r="N12" s="399">
        <f t="shared" si="2"/>
        <v>0</v>
      </c>
      <c r="O12" s="399">
        <f t="shared" si="2"/>
        <v>0</v>
      </c>
      <c r="P12" s="399">
        <f t="shared" si="2"/>
        <v>0</v>
      </c>
      <c r="Q12" s="399">
        <f t="shared" si="2"/>
        <v>0</v>
      </c>
      <c r="R12" s="399">
        <f t="shared" si="2"/>
        <v>0</v>
      </c>
      <c r="T12" s="391" t="s">
        <v>521</v>
      </c>
      <c r="U12" s="146" t="s">
        <v>522</v>
      </c>
      <c r="V12" s="392" t="s">
        <v>507</v>
      </c>
    </row>
    <row r="13" spans="1:22" ht="15" customHeight="1">
      <c r="A13" s="87" t="s">
        <v>1101</v>
      </c>
      <c r="B13" s="399">
        <f t="shared" ref="B13:R13" si="3">IF(VentSystem="CFIS",3*B10/-1000,3*B10/-1000)</f>
        <v>-7.3979788097507534E-2</v>
      </c>
      <c r="C13" s="399">
        <f t="shared" si="3"/>
        <v>-7.3662553416958945E-2</v>
      </c>
      <c r="D13" s="399">
        <f t="shared" si="3"/>
        <v>-7.3345318736410342E-2</v>
      </c>
      <c r="E13" s="399">
        <f t="shared" si="3"/>
        <v>-7.4825747245637134E-2</v>
      </c>
      <c r="F13" s="399">
        <f t="shared" si="3"/>
        <v>-7.4297022778056152E-2</v>
      </c>
      <c r="G13" s="399">
        <f t="shared" si="3"/>
        <v>-7.1124675972570175E-2</v>
      </c>
      <c r="H13" s="399">
        <f t="shared" si="3"/>
        <v>-7.3768298310475142E-2</v>
      </c>
      <c r="I13" s="399">
        <f t="shared" si="3"/>
        <v>-7.2710849375313164E-2</v>
      </c>
      <c r="J13" s="399">
        <f t="shared" si="3"/>
        <v>-7.2446487141522672E-2</v>
      </c>
      <c r="K13" s="399">
        <f t="shared" si="3"/>
        <v>-7.4297022778056152E-2</v>
      </c>
      <c r="L13" s="399">
        <f t="shared" si="3"/>
        <v>-7.5142981926185723E-2</v>
      </c>
      <c r="M13" s="399">
        <f t="shared" si="3"/>
        <v>-7.4085532991023745E-2</v>
      </c>
      <c r="N13" s="399">
        <f t="shared" si="3"/>
        <v>-7.3662553416958945E-2</v>
      </c>
      <c r="O13" s="399">
        <f t="shared" si="3"/>
        <v>-7.2182124907732167E-2</v>
      </c>
      <c r="P13" s="399">
        <f t="shared" si="3"/>
        <v>-7.5883196180799112E-2</v>
      </c>
      <c r="Q13" s="399">
        <f t="shared" si="3"/>
        <v>-7.493149213915333E-2</v>
      </c>
      <c r="R13" s="399">
        <f t="shared" si="3"/>
        <v>-7.5618833947008621E-2</v>
      </c>
      <c r="T13" s="391" t="s">
        <v>523</v>
      </c>
      <c r="U13" s="146" t="s">
        <v>524</v>
      </c>
      <c r="V13" s="392" t="s">
        <v>507</v>
      </c>
    </row>
    <row r="14" spans="1:22" ht="15" customHeight="1">
      <c r="A14" s="87" t="s">
        <v>1102</v>
      </c>
      <c r="B14" s="400">
        <f t="shared" ref="B14:R14" si="4">VLOOKUP(VentSystem,$R$2:$S$3,2,FALSE)</f>
        <v>13</v>
      </c>
      <c r="C14" s="400">
        <f t="shared" si="4"/>
        <v>13</v>
      </c>
      <c r="D14" s="400">
        <f t="shared" si="4"/>
        <v>13</v>
      </c>
      <c r="E14" s="400">
        <f t="shared" si="4"/>
        <v>13</v>
      </c>
      <c r="F14" s="400">
        <f t="shared" si="4"/>
        <v>13</v>
      </c>
      <c r="G14" s="400">
        <f t="shared" si="4"/>
        <v>13</v>
      </c>
      <c r="H14" s="400">
        <f t="shared" si="4"/>
        <v>13</v>
      </c>
      <c r="I14" s="400">
        <f t="shared" si="4"/>
        <v>13</v>
      </c>
      <c r="J14" s="400">
        <f t="shared" si="4"/>
        <v>13</v>
      </c>
      <c r="K14" s="400">
        <f t="shared" si="4"/>
        <v>13</v>
      </c>
      <c r="L14" s="400">
        <f t="shared" si="4"/>
        <v>13</v>
      </c>
      <c r="M14" s="400">
        <f t="shared" si="4"/>
        <v>13</v>
      </c>
      <c r="N14" s="400">
        <f t="shared" si="4"/>
        <v>13</v>
      </c>
      <c r="O14" s="400">
        <f t="shared" si="4"/>
        <v>13</v>
      </c>
      <c r="P14" s="400">
        <f t="shared" si="4"/>
        <v>13</v>
      </c>
      <c r="Q14" s="400">
        <f t="shared" si="4"/>
        <v>13</v>
      </c>
      <c r="R14" s="400">
        <f t="shared" si="4"/>
        <v>13</v>
      </c>
      <c r="T14" s="391" t="s">
        <v>525</v>
      </c>
      <c r="U14" s="146" t="s">
        <v>526</v>
      </c>
      <c r="V14" s="392" t="s">
        <v>513</v>
      </c>
    </row>
    <row r="15" spans="1:22" ht="15" customHeight="1">
      <c r="B15" s="242"/>
      <c r="C15" s="242"/>
      <c r="D15" s="242"/>
      <c r="E15" s="242"/>
      <c r="F15" s="242"/>
      <c r="G15" s="242"/>
      <c r="H15" s="241"/>
      <c r="I15" s="242"/>
      <c r="J15" s="242"/>
      <c r="K15" s="227"/>
      <c r="L15" s="242"/>
      <c r="M15" s="242"/>
      <c r="N15" s="242"/>
      <c r="O15" s="242"/>
      <c r="P15" s="242"/>
      <c r="Q15" s="242"/>
      <c r="T15" s="391" t="s">
        <v>527</v>
      </c>
      <c r="U15" s="146">
        <v>7</v>
      </c>
      <c r="V15" s="392" t="s">
        <v>513</v>
      </c>
    </row>
    <row r="16" spans="1:22" ht="15" customHeight="1">
      <c r="A16" s="91" t="s">
        <v>279</v>
      </c>
      <c r="B16" s="244" t="s">
        <v>705</v>
      </c>
      <c r="C16" s="244" t="s">
        <v>706</v>
      </c>
      <c r="D16" s="96" t="s">
        <v>130</v>
      </c>
      <c r="E16" s="96" t="s">
        <v>281</v>
      </c>
      <c r="F16" s="96" t="s">
        <v>130</v>
      </c>
      <c r="G16" s="96" t="s">
        <v>282</v>
      </c>
      <c r="H16" s="96" t="s">
        <v>569</v>
      </c>
      <c r="I16" s="96" t="s">
        <v>283</v>
      </c>
      <c r="J16" s="96"/>
      <c r="K16" s="96" t="s">
        <v>449</v>
      </c>
      <c r="L16" s="96" t="s">
        <v>450</v>
      </c>
      <c r="M16" s="96" t="s">
        <v>284</v>
      </c>
      <c r="N16" s="96"/>
      <c r="O16" s="96" t="s">
        <v>285</v>
      </c>
      <c r="P16" s="96" t="s">
        <v>286</v>
      </c>
      <c r="Q16" s="96" t="s">
        <v>287</v>
      </c>
      <c r="R16" s="96" t="s">
        <v>0</v>
      </c>
      <c r="T16" s="391" t="s">
        <v>528</v>
      </c>
      <c r="U16" s="146" t="s">
        <v>529</v>
      </c>
      <c r="V16" s="392" t="s">
        <v>513</v>
      </c>
    </row>
    <row r="17" spans="1:22" ht="15" customHeight="1">
      <c r="A17" s="100" t="s">
        <v>288</v>
      </c>
      <c r="B17" s="242">
        <v>50</v>
      </c>
      <c r="C17" s="482">
        <f>E17/1000*-1</f>
        <v>-2.3596035865974516E-2</v>
      </c>
      <c r="D17" s="7" t="s">
        <v>289</v>
      </c>
      <c r="E17" s="49">
        <f>B17/2.119</f>
        <v>23.596035865974514</v>
      </c>
      <c r="F17" s="7" t="s">
        <v>192</v>
      </c>
      <c r="G17" s="7">
        <v>1</v>
      </c>
      <c r="H17" s="49">
        <f>E17*G17</f>
        <v>23.596035865974514</v>
      </c>
      <c r="I17" s="480">
        <f>F29*G17</f>
        <v>10.199999999999999</v>
      </c>
      <c r="K17" s="42">
        <f>E17*10^-3*3600/V_houseSI</f>
        <v>0.33988556190972968</v>
      </c>
      <c r="L17" s="44">
        <f>E17*10^-3*3600/V_houseSI+10/100*A_houseSI*3600/1000/V_houseSI</f>
        <v>0.48388556190972964</v>
      </c>
      <c r="M17" s="46">
        <v>31</v>
      </c>
      <c r="N17" s="47">
        <v>0.25</v>
      </c>
      <c r="O17" s="48">
        <f t="shared" ref="O17:O23" si="5">$H$19*(1+N17)</f>
        <v>41.293062765455403</v>
      </c>
      <c r="P17" s="48">
        <f t="shared" ref="P17:P23" si="6">O17*10^-3/(0.3048^3)*60</f>
        <v>87.495044968294053</v>
      </c>
      <c r="Q17" s="48">
        <f t="shared" ref="Q17:Q23" si="7">$F$50</f>
        <v>16.2</v>
      </c>
      <c r="T17" s="391" t="s">
        <v>530</v>
      </c>
      <c r="U17" s="146">
        <v>4</v>
      </c>
      <c r="V17" s="392" t="s">
        <v>531</v>
      </c>
    </row>
    <row r="18" spans="1:22" ht="15" customHeight="1">
      <c r="A18" s="100" t="s">
        <v>290</v>
      </c>
      <c r="B18" s="242">
        <v>100</v>
      </c>
      <c r="C18" s="482">
        <f>E18/1000*-1</f>
        <v>-4.7192071731949031E-2</v>
      </c>
      <c r="D18" s="7" t="s">
        <v>289</v>
      </c>
      <c r="E18" s="49">
        <f>B18/2.119</f>
        <v>47.192071731949028</v>
      </c>
      <c r="F18" s="7" t="s">
        <v>192</v>
      </c>
      <c r="G18" s="7">
        <v>1</v>
      </c>
      <c r="H18" s="49">
        <f>E18*G18</f>
        <v>47.192071731949028</v>
      </c>
      <c r="I18" s="480">
        <f>F24*G18</f>
        <v>37.200000000000003</v>
      </c>
      <c r="K18" s="42">
        <f>E18*10^-3*3600/V_houseSI</f>
        <v>0.67977112381945937</v>
      </c>
      <c r="L18" s="44">
        <f>E18*10^-3*3600/V_houseSI+10/100*A_houseSI*3600/1000/V_houseSI</f>
        <v>0.82377112381945938</v>
      </c>
      <c r="M18" s="46">
        <v>32</v>
      </c>
      <c r="N18" s="47">
        <v>0.25</v>
      </c>
      <c r="O18" s="48">
        <f t="shared" si="5"/>
        <v>41.293062765455403</v>
      </c>
      <c r="P18" s="48">
        <f t="shared" si="6"/>
        <v>87.495044968294053</v>
      </c>
      <c r="Q18" s="48">
        <f t="shared" si="7"/>
        <v>16.2</v>
      </c>
      <c r="T18" s="391" t="s">
        <v>532</v>
      </c>
      <c r="U18" s="146">
        <v>4</v>
      </c>
      <c r="V18" s="392" t="s">
        <v>531</v>
      </c>
    </row>
    <row r="19" spans="1:22" ht="15" customHeight="1">
      <c r="A19" s="100" t="s">
        <v>291</v>
      </c>
      <c r="B19" s="241">
        <v>70</v>
      </c>
      <c r="C19" s="483">
        <f>E19/1000*-1</f>
        <v>-3.303445021236432E-2</v>
      </c>
      <c r="D19" s="2" t="s">
        <v>289</v>
      </c>
      <c r="E19" s="49">
        <f>B19/2.119</f>
        <v>33.03445021236432</v>
      </c>
      <c r="F19" s="7" t="s">
        <v>192</v>
      </c>
      <c r="G19" s="7">
        <v>1</v>
      </c>
      <c r="H19" s="49">
        <f>E19*G19</f>
        <v>33.03445021236432</v>
      </c>
      <c r="I19" s="480">
        <f>F42</f>
        <v>11.8</v>
      </c>
      <c r="K19" s="42">
        <f>E19*10^-3*3600/V_houseSI</f>
        <v>0.47583978667362159</v>
      </c>
      <c r="L19" s="44">
        <f>E19*10^-3*3600/V_houseSI+10/100*A_houseSI*3600/1000/V_houseSI</f>
        <v>0.61983978667362161</v>
      </c>
      <c r="M19" s="46">
        <v>33</v>
      </c>
      <c r="N19" s="47">
        <v>0.25</v>
      </c>
      <c r="O19" s="48">
        <f t="shared" si="5"/>
        <v>41.293062765455403</v>
      </c>
      <c r="P19" s="48">
        <f t="shared" si="6"/>
        <v>87.495044968294053</v>
      </c>
      <c r="Q19" s="48">
        <f t="shared" si="7"/>
        <v>16.2</v>
      </c>
      <c r="T19" s="391" t="s">
        <v>533</v>
      </c>
      <c r="U19" s="146">
        <v>6</v>
      </c>
      <c r="V19" s="392" t="s">
        <v>507</v>
      </c>
    </row>
    <row r="20" spans="1:22" ht="15" customHeight="1">
      <c r="A20" s="100" t="s">
        <v>55</v>
      </c>
      <c r="B20" s="242">
        <v>150</v>
      </c>
      <c r="C20" s="482">
        <f>E20/1000*-1</f>
        <v>-7.0788107597923547E-2</v>
      </c>
      <c r="D20" s="7" t="s">
        <v>289</v>
      </c>
      <c r="E20" s="49">
        <f>B20/2.119</f>
        <v>70.788107597923542</v>
      </c>
      <c r="F20" s="7" t="s">
        <v>192</v>
      </c>
      <c r="G20" s="7">
        <v>1</v>
      </c>
      <c r="H20" s="49">
        <f>E20*G20</f>
        <v>70.788107597923542</v>
      </c>
      <c r="I20" s="481">
        <v>0</v>
      </c>
      <c r="K20" s="42">
        <f>E20*10^-3*3600/V_houseSI</f>
        <v>1.0196566857291893</v>
      </c>
      <c r="L20" s="44">
        <f>E20*10^-3*3600/V_houseSI+10/100*A_houseSI*3600/1000/V_houseSI</f>
        <v>1.1636566857291892</v>
      </c>
      <c r="M20" s="46">
        <v>34</v>
      </c>
      <c r="N20" s="47">
        <v>0.25</v>
      </c>
      <c r="O20" s="48">
        <f t="shared" si="5"/>
        <v>41.293062765455403</v>
      </c>
      <c r="P20" s="48">
        <f t="shared" si="6"/>
        <v>87.495044968294053</v>
      </c>
      <c r="Q20" s="48">
        <f t="shared" si="7"/>
        <v>16.2</v>
      </c>
      <c r="T20" s="391" t="s">
        <v>540</v>
      </c>
      <c r="U20" s="146"/>
      <c r="V20" s="392"/>
    </row>
    <row r="21" spans="1:22" ht="15" customHeight="1">
      <c r="M21" s="46">
        <v>35</v>
      </c>
      <c r="N21" s="47">
        <v>0.25</v>
      </c>
      <c r="O21" s="48">
        <f t="shared" si="5"/>
        <v>41.293062765455403</v>
      </c>
      <c r="P21" s="48">
        <f t="shared" si="6"/>
        <v>87.495044968294053</v>
      </c>
      <c r="Q21" s="48">
        <f t="shared" si="7"/>
        <v>16.2</v>
      </c>
      <c r="T21" s="391" t="s">
        <v>534</v>
      </c>
      <c r="U21" s="146" t="s">
        <v>535</v>
      </c>
      <c r="V21" s="392" t="s">
        <v>536</v>
      </c>
    </row>
    <row r="22" spans="1:22" ht="15" customHeight="1">
      <c r="A22" s="4" t="s">
        <v>292</v>
      </c>
      <c r="M22" s="46">
        <v>36</v>
      </c>
      <c r="N22" s="47">
        <v>0.25</v>
      </c>
      <c r="O22" s="48">
        <f t="shared" si="5"/>
        <v>41.293062765455403</v>
      </c>
      <c r="P22" s="48">
        <f t="shared" si="6"/>
        <v>87.495044968294053</v>
      </c>
      <c r="Q22" s="46">
        <f t="shared" si="7"/>
        <v>16.2</v>
      </c>
      <c r="T22" s="391" t="s">
        <v>537</v>
      </c>
      <c r="U22" s="146" t="s">
        <v>426</v>
      </c>
      <c r="V22" s="392" t="s">
        <v>538</v>
      </c>
    </row>
    <row r="23" spans="1:22" ht="15" customHeight="1" thickBot="1">
      <c r="A23" s="97" t="s">
        <v>293</v>
      </c>
      <c r="B23" s="239" t="s">
        <v>705</v>
      </c>
      <c r="C23" s="240" t="s">
        <v>706</v>
      </c>
      <c r="D23" s="33" t="s">
        <v>294</v>
      </c>
      <c r="E23" s="33" t="s">
        <v>295</v>
      </c>
      <c r="F23" s="33" t="s">
        <v>32</v>
      </c>
      <c r="G23" s="81" t="s">
        <v>296</v>
      </c>
      <c r="H23" s="231" t="s">
        <v>192</v>
      </c>
      <c r="M23" s="46">
        <v>37</v>
      </c>
      <c r="N23" s="47">
        <v>0.25</v>
      </c>
      <c r="O23" s="48">
        <f t="shared" si="5"/>
        <v>41.293062765455403</v>
      </c>
      <c r="P23" s="48">
        <f t="shared" si="6"/>
        <v>87.495044968294053</v>
      </c>
      <c r="Q23" s="46">
        <f t="shared" si="7"/>
        <v>16.2</v>
      </c>
      <c r="T23" s="393" t="s">
        <v>539</v>
      </c>
      <c r="U23" s="394"/>
      <c r="V23" s="395"/>
    </row>
    <row r="24" spans="1:22" ht="15" customHeight="1">
      <c r="A24" s="98" t="s">
        <v>297</v>
      </c>
      <c r="B24" s="50">
        <v>100</v>
      </c>
      <c r="C24" s="229">
        <f>H24/1000*-1</f>
        <v>-4.7192071731949031E-2</v>
      </c>
      <c r="D24" s="50">
        <v>0.8</v>
      </c>
      <c r="E24" s="50">
        <v>0.02</v>
      </c>
      <c r="F24" s="50">
        <v>37.200000000000003</v>
      </c>
      <c r="G24" s="103" t="s">
        <v>481</v>
      </c>
      <c r="H24" s="230">
        <f>B24/2.119</f>
        <v>47.192071731949028</v>
      </c>
      <c r="M24" s="46">
        <v>38</v>
      </c>
      <c r="N24" s="47"/>
      <c r="O24" s="48"/>
      <c r="P24" s="48"/>
      <c r="Q24" s="46"/>
    </row>
    <row r="25" spans="1:22" ht="15" customHeight="1">
      <c r="A25" s="100" t="s">
        <v>298</v>
      </c>
      <c r="B25" s="51">
        <v>100</v>
      </c>
      <c r="C25" s="229">
        <f>H25/1000*-1</f>
        <v>-4.7192071731949031E-2</v>
      </c>
      <c r="D25" s="51">
        <v>0.9</v>
      </c>
      <c r="E25" s="51">
        <v>0.02</v>
      </c>
      <c r="F25" s="51">
        <v>36.700000000000003</v>
      </c>
      <c r="G25" s="103" t="s">
        <v>299</v>
      </c>
      <c r="H25" s="230">
        <f>B25/2.119</f>
        <v>47.192071731949028</v>
      </c>
      <c r="M25" s="46">
        <v>39</v>
      </c>
      <c r="N25" s="47"/>
      <c r="O25" s="48"/>
      <c r="P25" s="48"/>
      <c r="Q25" s="46"/>
    </row>
    <row r="26" spans="1:22" ht="15" customHeight="1">
      <c r="M26" s="46">
        <v>40</v>
      </c>
      <c r="N26" s="47">
        <v>0.25</v>
      </c>
      <c r="O26" s="48">
        <f>$H$19*(1+N26)</f>
        <v>41.293062765455403</v>
      </c>
      <c r="P26" s="48">
        <f>O26*10^-3/(0.3048^3)*60</f>
        <v>87.495044968294053</v>
      </c>
      <c r="Q26" s="46">
        <f>$F$50</f>
        <v>16.2</v>
      </c>
    </row>
    <row r="27" spans="1:22" ht="15" customHeight="1">
      <c r="M27" s="46">
        <v>41</v>
      </c>
      <c r="N27" s="47">
        <v>0.25</v>
      </c>
      <c r="O27" s="48">
        <f>$H$19*(1+N27)</f>
        <v>41.293062765455403</v>
      </c>
      <c r="P27" s="48">
        <f>O27*10^-3/(0.3048^3)*60</f>
        <v>87.495044968294053</v>
      </c>
      <c r="Q27" s="46">
        <f>$F$50</f>
        <v>16.2</v>
      </c>
    </row>
    <row r="28" spans="1:22" ht="15" customHeight="1">
      <c r="A28" s="97" t="s">
        <v>300</v>
      </c>
      <c r="B28" s="237" t="s">
        <v>705</v>
      </c>
      <c r="C28" s="238" t="s">
        <v>706</v>
      </c>
      <c r="D28" s="33" t="s">
        <v>294</v>
      </c>
      <c r="E28" s="33" t="s">
        <v>295</v>
      </c>
      <c r="F28" s="33" t="s">
        <v>32</v>
      </c>
      <c r="G28" s="33" t="s">
        <v>296</v>
      </c>
      <c r="H28" s="231" t="s">
        <v>192</v>
      </c>
      <c r="M28" s="46">
        <v>42</v>
      </c>
      <c r="N28" s="47"/>
      <c r="O28" s="48"/>
      <c r="P28" s="48"/>
      <c r="Q28" s="46"/>
    </row>
    <row r="29" spans="1:22" ht="15" customHeight="1">
      <c r="A29" s="98" t="s">
        <v>301</v>
      </c>
      <c r="B29" s="50">
        <v>50</v>
      </c>
      <c r="C29" s="229">
        <f t="shared" ref="C29:C34" si="8">H29/1000*-1</f>
        <v>-2.3596035865974516E-2</v>
      </c>
      <c r="D29" s="50" t="s">
        <v>302</v>
      </c>
      <c r="E29" s="50">
        <v>0.25</v>
      </c>
      <c r="F29" s="50">
        <v>10.199999999999999</v>
      </c>
      <c r="G29" s="50" t="s">
        <v>303</v>
      </c>
      <c r="H29" s="230">
        <f t="shared" ref="H29:H34" si="9">B29/2.119</f>
        <v>23.596035865974514</v>
      </c>
      <c r="I29" s="49"/>
      <c r="J29" s="242">
        <f>F29/H29</f>
        <v>0.43227599999999999</v>
      </c>
      <c r="K29" s="49"/>
      <c r="M29" s="46">
        <v>43</v>
      </c>
      <c r="N29" s="47"/>
      <c r="O29" s="48"/>
      <c r="P29" s="48"/>
      <c r="Q29" s="46"/>
    </row>
    <row r="30" spans="1:22" ht="15" customHeight="1">
      <c r="A30" s="100" t="s">
        <v>304</v>
      </c>
      <c r="B30" s="51">
        <v>50</v>
      </c>
      <c r="C30" s="229">
        <f t="shared" si="8"/>
        <v>-2.3596035865974516E-2</v>
      </c>
      <c r="D30" s="51" t="s">
        <v>302</v>
      </c>
      <c r="E30" s="51">
        <v>0.25</v>
      </c>
      <c r="F30" s="51">
        <v>10.199999999999999</v>
      </c>
      <c r="G30" s="51" t="s">
        <v>305</v>
      </c>
      <c r="H30" s="230">
        <f t="shared" si="9"/>
        <v>23.596035865974514</v>
      </c>
      <c r="I30" s="49"/>
      <c r="J30" s="242">
        <f>F30/H30</f>
        <v>0.43227599999999999</v>
      </c>
      <c r="K30" s="49"/>
      <c r="M30" s="46">
        <v>44</v>
      </c>
      <c r="N30" s="47"/>
      <c r="O30" s="48"/>
      <c r="P30" s="48"/>
      <c r="Q30" s="46"/>
    </row>
    <row r="31" spans="1:22" ht="15" customHeight="1">
      <c r="A31" s="100" t="s">
        <v>306</v>
      </c>
      <c r="B31" s="7">
        <v>50</v>
      </c>
      <c r="C31" s="229">
        <f t="shared" si="8"/>
        <v>-2.3596035865974516E-2</v>
      </c>
      <c r="D31" s="7" t="s">
        <v>302</v>
      </c>
      <c r="E31" s="7">
        <v>0.25</v>
      </c>
      <c r="F31" s="7">
        <v>11.2</v>
      </c>
      <c r="G31" s="7" t="s">
        <v>303</v>
      </c>
      <c r="H31" s="230">
        <f t="shared" si="9"/>
        <v>23.596035865974514</v>
      </c>
      <c r="I31" s="49"/>
      <c r="J31" s="242">
        <f>F31/H31</f>
        <v>0.47465600000000002</v>
      </c>
      <c r="K31" s="49"/>
      <c r="M31" s="46">
        <v>45</v>
      </c>
      <c r="N31" s="47"/>
      <c r="O31" s="48"/>
      <c r="P31" s="48"/>
      <c r="Q31" s="46"/>
    </row>
    <row r="32" spans="1:22" ht="15" customHeight="1">
      <c r="A32" s="102" t="s">
        <v>307</v>
      </c>
      <c r="B32" s="7">
        <v>50</v>
      </c>
      <c r="C32" s="229">
        <f t="shared" si="8"/>
        <v>-2.3596035865974516E-2</v>
      </c>
      <c r="D32" s="2" t="s">
        <v>302</v>
      </c>
      <c r="E32" s="7">
        <v>0.1</v>
      </c>
      <c r="F32" s="7">
        <v>19.7</v>
      </c>
      <c r="G32" s="2" t="s">
        <v>308</v>
      </c>
      <c r="H32" s="230">
        <f t="shared" si="9"/>
        <v>23.596035865974514</v>
      </c>
      <c r="M32" s="46">
        <v>46</v>
      </c>
      <c r="N32" s="47"/>
      <c r="O32" s="48"/>
      <c r="P32" s="48"/>
      <c r="Q32" s="46"/>
    </row>
    <row r="33" spans="1:17" ht="15" customHeight="1">
      <c r="A33" s="100" t="s">
        <v>309</v>
      </c>
      <c r="B33" s="52">
        <v>50</v>
      </c>
      <c r="C33" s="229">
        <f t="shared" si="8"/>
        <v>-2.3596035865974516E-2</v>
      </c>
      <c r="D33" s="2" t="s">
        <v>302</v>
      </c>
      <c r="E33" s="7">
        <v>0.25</v>
      </c>
      <c r="F33" s="7">
        <v>11.8</v>
      </c>
      <c r="G33" s="2" t="s">
        <v>310</v>
      </c>
      <c r="H33" s="230">
        <f t="shared" si="9"/>
        <v>23.596035865974514</v>
      </c>
      <c r="M33" s="46">
        <v>47</v>
      </c>
      <c r="N33" s="47"/>
      <c r="O33" s="48"/>
      <c r="P33" s="48"/>
      <c r="Q33" s="46"/>
    </row>
    <row r="34" spans="1:17" ht="15" customHeight="1">
      <c r="A34" s="100" t="s">
        <v>480</v>
      </c>
      <c r="B34" s="7">
        <v>50</v>
      </c>
      <c r="C34" s="229">
        <f t="shared" si="8"/>
        <v>-2.3596035865974516E-2</v>
      </c>
      <c r="F34" s="7">
        <v>55</v>
      </c>
      <c r="G34" s="7" t="s">
        <v>479</v>
      </c>
      <c r="H34" s="230">
        <f t="shared" si="9"/>
        <v>23.596035865974514</v>
      </c>
      <c r="M34" s="46">
        <v>48</v>
      </c>
      <c r="N34" s="47"/>
      <c r="O34" s="48"/>
      <c r="P34" s="48"/>
      <c r="Q34" s="46"/>
    </row>
    <row r="35" spans="1:17" ht="15" customHeight="1">
      <c r="M35" s="46">
        <v>49</v>
      </c>
      <c r="N35" s="47"/>
      <c r="O35" s="48"/>
      <c r="P35" s="48"/>
      <c r="Q35" s="46"/>
    </row>
    <row r="36" spans="1:17" ht="15" customHeight="1">
      <c r="A36" s="97" t="s">
        <v>311</v>
      </c>
      <c r="B36" s="236" t="s">
        <v>705</v>
      </c>
      <c r="C36" s="243" t="s">
        <v>706</v>
      </c>
      <c r="D36" s="33" t="s">
        <v>294</v>
      </c>
      <c r="E36" s="33" t="s">
        <v>295</v>
      </c>
      <c r="F36" s="33" t="s">
        <v>32</v>
      </c>
      <c r="G36" s="33" t="s">
        <v>296</v>
      </c>
      <c r="H36" s="231" t="s">
        <v>192</v>
      </c>
      <c r="M36" s="46">
        <v>50</v>
      </c>
      <c r="N36" s="47">
        <v>0.25</v>
      </c>
      <c r="O36" s="48">
        <f>$H$19*(1+N36)</f>
        <v>41.293062765455403</v>
      </c>
      <c r="P36" s="48">
        <f>O36*10^-3/(0.3048^3)*60</f>
        <v>87.495044968294053</v>
      </c>
      <c r="Q36" s="46">
        <f>$F$50</f>
        <v>16.2</v>
      </c>
    </row>
    <row r="37" spans="1:17" ht="15" customHeight="1">
      <c r="A37" s="101" t="s">
        <v>312</v>
      </c>
      <c r="B37" s="53">
        <v>70</v>
      </c>
      <c r="C37" s="229">
        <f t="shared" ref="C37:C42" si="10">H37/1000*-1</f>
        <v>-3.303445021236432E-2</v>
      </c>
      <c r="D37" s="53">
        <v>0.60000000000000009</v>
      </c>
      <c r="E37" s="53" t="s">
        <v>313</v>
      </c>
      <c r="F37" s="53">
        <v>19.399999999999999</v>
      </c>
      <c r="G37" s="53" t="s">
        <v>314</v>
      </c>
      <c r="H37" s="230">
        <f t="shared" ref="H37:H42" si="11">B37/2.119</f>
        <v>33.03445021236432</v>
      </c>
    </row>
    <row r="38" spans="1:17" ht="15" customHeight="1">
      <c r="A38" s="99" t="s">
        <v>315</v>
      </c>
      <c r="B38" s="54">
        <v>72</v>
      </c>
      <c r="C38" s="229">
        <f t="shared" si="10"/>
        <v>-3.3978291647003306E-2</v>
      </c>
      <c r="D38" s="54">
        <v>0.64</v>
      </c>
      <c r="E38" s="54" t="s">
        <v>313</v>
      </c>
      <c r="F38" s="54">
        <v>20</v>
      </c>
      <c r="G38" s="54" t="s">
        <v>316</v>
      </c>
      <c r="H38" s="230">
        <f t="shared" si="11"/>
        <v>33.978291647003303</v>
      </c>
    </row>
    <row r="39" spans="1:17" ht="15" customHeight="1">
      <c r="A39" s="99" t="s">
        <v>317</v>
      </c>
      <c r="B39" s="54">
        <v>68</v>
      </c>
      <c r="C39" s="229">
        <f t="shared" si="10"/>
        <v>-3.2090608777725335E-2</v>
      </c>
      <c r="D39" s="54">
        <v>0.9</v>
      </c>
      <c r="E39" s="54" t="s">
        <v>313</v>
      </c>
      <c r="F39" s="54">
        <v>28.3</v>
      </c>
      <c r="G39" s="54" t="s">
        <v>318</v>
      </c>
      <c r="H39" s="230">
        <f t="shared" si="11"/>
        <v>32.090608777725336</v>
      </c>
    </row>
    <row r="40" spans="1:17" ht="15" customHeight="1">
      <c r="A40" s="99" t="s">
        <v>319</v>
      </c>
      <c r="B40" s="54">
        <v>70</v>
      </c>
      <c r="C40" s="229">
        <f t="shared" si="10"/>
        <v>-3.303445021236432E-2</v>
      </c>
      <c r="D40" s="54">
        <v>0.25</v>
      </c>
      <c r="E40" s="54" t="s">
        <v>313</v>
      </c>
      <c r="F40" s="54">
        <v>24.5</v>
      </c>
      <c r="G40" s="54" t="s">
        <v>320</v>
      </c>
      <c r="H40" s="230">
        <f t="shared" si="11"/>
        <v>33.03445021236432</v>
      </c>
    </row>
    <row r="41" spans="1:17" ht="15" customHeight="1">
      <c r="A41" s="100" t="s">
        <v>321</v>
      </c>
      <c r="B41" s="2">
        <v>70</v>
      </c>
      <c r="C41" s="229">
        <f t="shared" si="10"/>
        <v>-3.303445021236432E-2</v>
      </c>
      <c r="D41" s="2">
        <v>0.30000000000000004</v>
      </c>
      <c r="E41" s="2">
        <v>0.25</v>
      </c>
      <c r="F41" s="2">
        <v>14</v>
      </c>
      <c r="G41" s="2" t="s">
        <v>322</v>
      </c>
      <c r="H41" s="230">
        <f t="shared" si="11"/>
        <v>33.03445021236432</v>
      </c>
      <c r="J41" s="7">
        <f>F41/H41</f>
        <v>0.42380000000000007</v>
      </c>
    </row>
    <row r="42" spans="1:17" ht="15" customHeight="1">
      <c r="A42" s="100" t="s">
        <v>321</v>
      </c>
      <c r="B42" s="7">
        <v>60</v>
      </c>
      <c r="C42" s="229">
        <f t="shared" si="10"/>
        <v>-2.8315243039169418E-2</v>
      </c>
      <c r="D42" s="7">
        <v>0.30000000000000004</v>
      </c>
      <c r="E42" s="7">
        <v>0.25</v>
      </c>
      <c r="F42" s="7">
        <v>11.8</v>
      </c>
      <c r="G42" s="2" t="s">
        <v>322</v>
      </c>
      <c r="H42" s="230">
        <f t="shared" si="11"/>
        <v>28.315243039169417</v>
      </c>
      <c r="J42" s="242">
        <f>F42/H42</f>
        <v>0.41673666666666676</v>
      </c>
    </row>
    <row r="44" spans="1:17" ht="15" customHeight="1">
      <c r="A44" s="97" t="s">
        <v>323</v>
      </c>
      <c r="B44" s="233" t="s">
        <v>705</v>
      </c>
      <c r="C44" s="234" t="s">
        <v>706</v>
      </c>
      <c r="D44" s="33" t="s">
        <v>294</v>
      </c>
      <c r="E44" s="33" t="s">
        <v>295</v>
      </c>
      <c r="F44" s="33" t="s">
        <v>32</v>
      </c>
      <c r="G44" s="33" t="s">
        <v>296</v>
      </c>
      <c r="H44" s="231" t="s">
        <v>192</v>
      </c>
    </row>
    <row r="45" spans="1:17" ht="15" customHeight="1">
      <c r="A45" s="98" t="s">
        <v>324</v>
      </c>
      <c r="B45" s="55">
        <v>83</v>
      </c>
      <c r="C45" s="225">
        <f>H45/1000*-1</f>
        <v>-3.9169419537517687E-2</v>
      </c>
      <c r="D45" s="56">
        <v>0.30000000000000004</v>
      </c>
      <c r="E45" s="50">
        <v>0.25</v>
      </c>
      <c r="F45" s="50">
        <v>16.3</v>
      </c>
      <c r="G45" s="56" t="s">
        <v>325</v>
      </c>
      <c r="H45" s="230">
        <f>B45/2.119</f>
        <v>39.16941953751769</v>
      </c>
    </row>
    <row r="46" spans="1:17" ht="15" customHeight="1">
      <c r="A46" s="99" t="s">
        <v>326</v>
      </c>
      <c r="B46" s="54">
        <v>80</v>
      </c>
      <c r="C46" s="225">
        <f t="shared" ref="C46:C52" si="12">H46/1000*-1</f>
        <v>-3.7753657385559219E-2</v>
      </c>
      <c r="D46" s="54">
        <v>0.7</v>
      </c>
      <c r="E46" s="54" t="s">
        <v>313</v>
      </c>
      <c r="F46" s="54">
        <v>23.6</v>
      </c>
      <c r="G46" s="54" t="s">
        <v>327</v>
      </c>
      <c r="H46" s="230">
        <f t="shared" ref="H46:H52" si="13">B46/2.119</f>
        <v>37.753657385559222</v>
      </c>
    </row>
    <row r="47" spans="1:17" ht="15" customHeight="1">
      <c r="A47" s="99" t="s">
        <v>328</v>
      </c>
      <c r="B47" s="54">
        <v>80</v>
      </c>
      <c r="C47" s="225">
        <f t="shared" si="12"/>
        <v>-3.7753657385559219E-2</v>
      </c>
      <c r="D47" s="54">
        <v>1</v>
      </c>
      <c r="E47" s="54" t="s">
        <v>313</v>
      </c>
      <c r="F47" s="54">
        <v>27.2</v>
      </c>
      <c r="G47" s="54" t="s">
        <v>329</v>
      </c>
      <c r="H47" s="230">
        <f t="shared" si="13"/>
        <v>37.753657385559222</v>
      </c>
    </row>
    <row r="48" spans="1:17" ht="15" customHeight="1">
      <c r="A48" s="100" t="s">
        <v>330</v>
      </c>
      <c r="B48" s="7">
        <v>83</v>
      </c>
      <c r="C48" s="225">
        <f t="shared" si="12"/>
        <v>-3.9169419537517687E-2</v>
      </c>
      <c r="D48" s="7">
        <v>0.7</v>
      </c>
      <c r="E48" s="2" t="s">
        <v>331</v>
      </c>
      <c r="F48" s="7">
        <v>24.11</v>
      </c>
      <c r="G48" s="2" t="s">
        <v>332</v>
      </c>
      <c r="H48" s="230">
        <f t="shared" si="13"/>
        <v>39.16941953751769</v>
      </c>
    </row>
    <row r="49" spans="1:17" ht="15" customHeight="1">
      <c r="A49" s="100" t="s">
        <v>333</v>
      </c>
      <c r="B49" s="7">
        <v>80</v>
      </c>
      <c r="C49" s="225">
        <f t="shared" si="12"/>
        <v>-3.7753657385559219E-2</v>
      </c>
      <c r="D49" s="7">
        <v>0.8</v>
      </c>
      <c r="E49" s="2" t="s">
        <v>331</v>
      </c>
      <c r="F49" s="7">
        <v>28.6</v>
      </c>
      <c r="G49" s="2" t="s">
        <v>334</v>
      </c>
      <c r="H49" s="230">
        <f t="shared" si="13"/>
        <v>37.753657385559222</v>
      </c>
    </row>
    <row r="50" spans="1:17" ht="15" customHeight="1">
      <c r="A50" s="100" t="s">
        <v>321</v>
      </c>
      <c r="B50" s="7">
        <v>80</v>
      </c>
      <c r="C50" s="225">
        <f t="shared" si="12"/>
        <v>-3.7753657385559219E-2</v>
      </c>
      <c r="D50" s="7">
        <v>0.30000000000000004</v>
      </c>
      <c r="E50" s="7">
        <v>0.25</v>
      </c>
      <c r="F50" s="7">
        <v>16.2</v>
      </c>
      <c r="G50" s="2" t="s">
        <v>335</v>
      </c>
      <c r="H50" s="230">
        <f t="shared" si="13"/>
        <v>37.753657385559222</v>
      </c>
      <c r="J50" s="242">
        <f>F50/H50</f>
        <v>0.42909750000000002</v>
      </c>
    </row>
    <row r="51" spans="1:17" ht="15" customHeight="1">
      <c r="A51" s="71" t="s">
        <v>678</v>
      </c>
      <c r="B51" s="219">
        <v>100</v>
      </c>
      <c r="C51" s="232">
        <f t="shared" si="12"/>
        <v>-4.7192071731949031E-2</v>
      </c>
      <c r="D51" s="219">
        <v>0.9</v>
      </c>
      <c r="E51" s="219">
        <v>0.25</v>
      </c>
      <c r="F51" s="219">
        <v>27.3</v>
      </c>
      <c r="G51" s="219" t="s">
        <v>679</v>
      </c>
      <c r="H51" s="230">
        <f t="shared" si="13"/>
        <v>47.192071731949028</v>
      </c>
    </row>
    <row r="52" spans="1:17" ht="15" customHeight="1">
      <c r="A52" s="71" t="s">
        <v>676</v>
      </c>
      <c r="B52" s="219">
        <v>150</v>
      </c>
      <c r="C52" s="232">
        <f t="shared" si="12"/>
        <v>-7.0788107597923547E-2</v>
      </c>
      <c r="D52" s="219">
        <v>0.6</v>
      </c>
      <c r="E52" s="219">
        <v>0.25</v>
      </c>
      <c r="F52" s="219">
        <v>31.4</v>
      </c>
      <c r="G52" s="219" t="s">
        <v>677</v>
      </c>
      <c r="H52" s="230">
        <f t="shared" si="13"/>
        <v>70.788107597923542</v>
      </c>
      <c r="J52" s="242">
        <f>F52/H52</f>
        <v>0.44357733333333338</v>
      </c>
    </row>
    <row r="54" spans="1:17" ht="15" customHeight="1">
      <c r="A54" s="97" t="s">
        <v>680</v>
      </c>
      <c r="B54" s="235" t="s">
        <v>705</v>
      </c>
      <c r="C54" s="243" t="s">
        <v>706</v>
      </c>
      <c r="D54" s="33" t="s">
        <v>681</v>
      </c>
      <c r="E54" s="33" t="s">
        <v>682</v>
      </c>
      <c r="F54" s="33" t="s">
        <v>32</v>
      </c>
      <c r="G54" s="33" t="s">
        <v>296</v>
      </c>
      <c r="H54" s="81" t="s">
        <v>192</v>
      </c>
      <c r="J54" s="7">
        <f>AVERAGE(J29:J31,J41:J42,J50,J52)</f>
        <v>0.43605992857142867</v>
      </c>
    </row>
    <row r="55" spans="1:17" ht="15" customHeight="1">
      <c r="A55" s="98" t="s">
        <v>683</v>
      </c>
      <c r="B55" s="220">
        <v>89</v>
      </c>
      <c r="C55" s="225">
        <f t="shared" ref="C55:C60" si="14">H55/1000*-1</f>
        <v>-4.2000943841434636E-2</v>
      </c>
      <c r="D55" s="56">
        <v>73</v>
      </c>
      <c r="E55" s="50">
        <v>84</v>
      </c>
      <c r="F55" s="50">
        <v>89</v>
      </c>
      <c r="G55" s="56" t="s">
        <v>684</v>
      </c>
      <c r="H55" s="49">
        <f>B55/2.119</f>
        <v>42.000943841434633</v>
      </c>
    </row>
    <row r="56" spans="1:17" ht="15" customHeight="1">
      <c r="A56" s="100" t="s">
        <v>685</v>
      </c>
      <c r="B56" s="7">
        <v>114</v>
      </c>
      <c r="C56" s="225">
        <f t="shared" si="14"/>
        <v>-5.3798961774421887E-2</v>
      </c>
      <c r="D56" s="7">
        <v>78</v>
      </c>
      <c r="E56" s="7">
        <v>86</v>
      </c>
      <c r="F56" s="7">
        <v>98</v>
      </c>
      <c r="G56" s="133" t="s">
        <v>686</v>
      </c>
      <c r="H56" s="49">
        <f>B56/2.119</f>
        <v>53.79896177442189</v>
      </c>
    </row>
    <row r="57" spans="1:17" ht="15" customHeight="1">
      <c r="A57" s="1" t="s">
        <v>687</v>
      </c>
      <c r="B57" s="7">
        <v>155</v>
      </c>
      <c r="C57" s="225">
        <f t="shared" si="14"/>
        <v>-7.3147711184520986E-2</v>
      </c>
      <c r="D57" s="7">
        <v>75</v>
      </c>
      <c r="E57" s="7">
        <v>82</v>
      </c>
      <c r="F57" s="7">
        <v>123</v>
      </c>
      <c r="G57" s="133" t="s">
        <v>688</v>
      </c>
      <c r="H57" s="49">
        <f>B57/2.119</f>
        <v>73.147711184520986</v>
      </c>
    </row>
    <row r="58" spans="1:17" ht="15" customHeight="1">
      <c r="A58" s="126" t="s">
        <v>689</v>
      </c>
      <c r="B58" s="221">
        <f>H58*2.119</f>
        <v>84.76</v>
      </c>
      <c r="C58" s="245">
        <f t="shared" si="14"/>
        <v>-0.04</v>
      </c>
      <c r="D58" s="219">
        <v>68</v>
      </c>
      <c r="E58" s="219">
        <v>75</v>
      </c>
      <c r="F58" s="219">
        <v>64</v>
      </c>
      <c r="G58" s="219" t="s">
        <v>690</v>
      </c>
      <c r="H58" s="221">
        <v>40</v>
      </c>
      <c r="I58" s="222">
        <v>1200</v>
      </c>
    </row>
    <row r="59" spans="1:17" ht="15" customHeight="1">
      <c r="A59" s="126" t="s">
        <v>691</v>
      </c>
      <c r="B59" s="221">
        <f>H59*2.119</f>
        <v>118.66400000000002</v>
      </c>
      <c r="C59" s="245">
        <f t="shared" si="14"/>
        <v>-5.6000000000000001E-2</v>
      </c>
      <c r="D59" s="219">
        <v>65</v>
      </c>
      <c r="E59" s="219">
        <v>75</v>
      </c>
      <c r="F59" s="219">
        <v>114</v>
      </c>
      <c r="G59" s="219" t="s">
        <v>690</v>
      </c>
      <c r="H59" s="221">
        <v>56</v>
      </c>
      <c r="I59" s="222">
        <v>2100</v>
      </c>
    </row>
    <row r="60" spans="1:17" ht="15" customHeight="1">
      <c r="A60" s="126" t="s">
        <v>692</v>
      </c>
      <c r="B60" s="221">
        <f>H60*2.119</f>
        <v>137.73500000000001</v>
      </c>
      <c r="C60" s="245">
        <f t="shared" si="14"/>
        <v>-6.5000000000000002E-2</v>
      </c>
      <c r="D60" s="219">
        <v>64</v>
      </c>
      <c r="E60" s="219">
        <v>72</v>
      </c>
      <c r="F60" s="219">
        <v>124</v>
      </c>
      <c r="G60" s="219" t="s">
        <v>690</v>
      </c>
      <c r="H60" s="221">
        <v>65</v>
      </c>
      <c r="I60" s="222">
        <v>2700</v>
      </c>
    </row>
    <row r="63" spans="1:17" ht="15" customHeight="1">
      <c r="A63" s="1" t="s">
        <v>1002</v>
      </c>
    </row>
    <row r="64" spans="1:17" ht="15" customHeight="1">
      <c r="A64" s="71" t="s">
        <v>871</v>
      </c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</row>
    <row r="65" spans="1:19" ht="15" customHeight="1">
      <c r="A65" s="71" t="s">
        <v>876</v>
      </c>
      <c r="B65" s="71"/>
      <c r="C65" s="71" t="s">
        <v>639</v>
      </c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</row>
    <row r="66" spans="1:19" ht="15" customHeight="1">
      <c r="A66" s="71" t="s">
        <v>873</v>
      </c>
      <c r="B66" s="71" t="s">
        <v>872</v>
      </c>
      <c r="C66" s="71" t="s">
        <v>707</v>
      </c>
      <c r="D66" s="71" t="s">
        <v>656</v>
      </c>
      <c r="E66" s="71" t="s">
        <v>657</v>
      </c>
      <c r="F66" s="71" t="s">
        <v>658</v>
      </c>
      <c r="G66" s="71" t="s">
        <v>659</v>
      </c>
      <c r="H66" s="71" t="s">
        <v>660</v>
      </c>
      <c r="I66" s="71" t="s">
        <v>661</v>
      </c>
      <c r="J66" s="71" t="s">
        <v>662</v>
      </c>
      <c r="K66" s="71" t="s">
        <v>663</v>
      </c>
      <c r="L66" s="71" t="s">
        <v>664</v>
      </c>
      <c r="M66" s="71" t="s">
        <v>665</v>
      </c>
      <c r="N66" s="71" t="s">
        <v>666</v>
      </c>
      <c r="O66" s="71" t="s">
        <v>667</v>
      </c>
      <c r="P66" s="71">
        <v>7</v>
      </c>
      <c r="Q66" s="71">
        <v>8</v>
      </c>
    </row>
    <row r="67" spans="1:19" ht="15" customHeight="1">
      <c r="A67" s="71">
        <v>10</v>
      </c>
      <c r="B67" s="71">
        <f>Leakage!AF11</f>
        <v>0.50772882298229505</v>
      </c>
      <c r="C67" s="71">
        <f>($B$67*A_houseSI*Weather!B25)/1.44</f>
        <v>14.451802113880508</v>
      </c>
      <c r="D67" s="71">
        <f>($B$67*A_houseSI*Weather!C25)/1.44</f>
        <v>14.804285092267838</v>
      </c>
      <c r="E67" s="71">
        <f>($B$67*A_houseSI*Weather!D25)/1.44</f>
        <v>15.156768070655168</v>
      </c>
      <c r="F67" s="71">
        <f>($B$67*A_houseSI*Weather!E25)/1.44</f>
        <v>16.214217005817154</v>
      </c>
      <c r="G67" s="71">
        <f>($B$67*A_houseSI*Weather!F25)/1.44</f>
        <v>16.919182962591815</v>
      </c>
      <c r="H67" s="71">
        <f>($B$67*A_houseSI*Weather!G25)/1.44</f>
        <v>21.148978703239766</v>
      </c>
      <c r="I67" s="71">
        <f>($B$67*A_houseSI*Weather!H25)/1.44</f>
        <v>17.624148919366473</v>
      </c>
      <c r="J67" s="71">
        <f>($B$67*A_houseSI*Weather!I25)/1.44</f>
        <v>19.034080832915794</v>
      </c>
      <c r="K67" s="71">
        <f>($B$67*A_houseSI*Weather!J25)/1.44</f>
        <v>19.386563811303123</v>
      </c>
      <c r="L67" s="71">
        <f>($B$67*A_houseSI*Weather!K25)/1.44</f>
        <v>21.148978703239766</v>
      </c>
      <c r="M67" s="71">
        <f>($B$67*A_houseSI*Weather!L25)/1.44</f>
        <v>19.739046789690452</v>
      </c>
      <c r="N67" s="71">
        <f>($B$67*A_houseSI*Weather!M25)/1.44</f>
        <v>21.501461681627099</v>
      </c>
      <c r="O67" s="71">
        <f>($B$67*A_houseSI*Weather!N25)/1.44</f>
        <v>22.206427638401756</v>
      </c>
      <c r="P67" s="71">
        <f>($B$67*A_houseSI*Weather!O25)/1.44</f>
        <v>24.67380848711306</v>
      </c>
      <c r="Q67" s="71">
        <f>($B$67*A_houseSI*Weather!P25)/1.44</f>
        <v>24.67380848711306</v>
      </c>
    </row>
    <row r="68" spans="1:19" ht="15" customHeight="1">
      <c r="A68" s="71">
        <v>7</v>
      </c>
      <c r="B68" s="71">
        <f>Leakage!AF12</f>
        <v>0.35541017608760656</v>
      </c>
      <c r="C68" s="71">
        <f>($B$68*A_houseSI*Weather!B25)/1.44</f>
        <v>10.116261479716357</v>
      </c>
      <c r="D68" s="71">
        <f>($B$68*A_houseSI*Weather!C25)/1.44</f>
        <v>10.362999564587486</v>
      </c>
      <c r="E68" s="71">
        <f>($B$68*A_houseSI*Weather!D25)/1.44</f>
        <v>10.609737649458618</v>
      </c>
      <c r="F68" s="71">
        <f>($B$68*A_houseSI*Weather!E25)/1.44</f>
        <v>11.349951904072011</v>
      </c>
      <c r="G68" s="71">
        <f>($B$68*A_houseSI*Weather!F25)/1.44</f>
        <v>11.843428073814271</v>
      </c>
      <c r="H68" s="71">
        <f>($B$68*A_houseSI*Weather!G25)/1.44</f>
        <v>14.804285092267838</v>
      </c>
      <c r="I68" s="71">
        <f>($B$68*A_houseSI*Weather!H25)/1.44</f>
        <v>12.336904243556532</v>
      </c>
      <c r="J68" s="71">
        <f>($B$68*A_houseSI*Weather!I25)/1.44</f>
        <v>13.323856583041056</v>
      </c>
      <c r="K68" s="71">
        <f>($B$68*A_houseSI*Weather!J25)/1.44</f>
        <v>13.570594667912188</v>
      </c>
      <c r="L68" s="71">
        <f>($B$68*A_houseSI*Weather!K25)/1.44</f>
        <v>14.804285092267838</v>
      </c>
      <c r="M68" s="71">
        <f>($B$68*A_houseSI*Weather!L25)/1.44</f>
        <v>13.817332752783319</v>
      </c>
      <c r="N68" s="71">
        <f>($B$68*A_houseSI*Weather!M25)/1.44</f>
        <v>15.051023177138969</v>
      </c>
      <c r="O68" s="71">
        <f>($B$68*A_houseSI*Weather!N25)/1.44</f>
        <v>15.544499346881231</v>
      </c>
      <c r="P68" s="71">
        <f>($B$68*A_houseSI*Weather!O25)/1.44</f>
        <v>17.271665940979144</v>
      </c>
      <c r="Q68" s="71">
        <f>($B$68*A_houseSI*Weather!P25)/1.44</f>
        <v>17.271665940979144</v>
      </c>
    </row>
    <row r="69" spans="1:19" ht="15" customHeight="1">
      <c r="A69" s="71">
        <v>5</v>
      </c>
      <c r="B69" s="71">
        <f>Leakage!AF13</f>
        <v>0.25386441149114752</v>
      </c>
      <c r="C69" s="71">
        <f>($B$69*A_houseSI*Weather!B25)/1.44</f>
        <v>7.2259010569402538</v>
      </c>
      <c r="D69" s="71">
        <f>($B$69*A_houseSI*Weather!C25)/1.44</f>
        <v>7.402142546133919</v>
      </c>
      <c r="E69" s="71">
        <f>($B$69*A_houseSI*Weather!D25)/1.44</f>
        <v>7.5783840353275842</v>
      </c>
      <c r="F69" s="71">
        <f>($B$69*A_houseSI*Weather!E25)/1.44</f>
        <v>8.1071085029085772</v>
      </c>
      <c r="G69" s="71">
        <f>($B$69*A_houseSI*Weather!F25)/1.44</f>
        <v>8.4595914812959077</v>
      </c>
      <c r="H69" s="71">
        <f>($B$69*A_houseSI*Weather!G25)/1.44</f>
        <v>10.574489351619883</v>
      </c>
      <c r="I69" s="71">
        <f>($B$69*A_houseSI*Weather!H25)/1.44</f>
        <v>8.8120744596832363</v>
      </c>
      <c r="J69" s="71">
        <f>($B$69*A_houseSI*Weather!I25)/1.44</f>
        <v>9.5170404164578972</v>
      </c>
      <c r="K69" s="71">
        <f>($B$69*A_houseSI*Weather!J25)/1.44</f>
        <v>9.6932819056515616</v>
      </c>
      <c r="L69" s="71">
        <f>($B$69*A_houseSI*Weather!K25)/1.44</f>
        <v>10.574489351619883</v>
      </c>
      <c r="M69" s="71">
        <f>($B$69*A_houseSI*Weather!L25)/1.44</f>
        <v>9.8695233948452259</v>
      </c>
      <c r="N69" s="71">
        <f>($B$69*A_houseSI*Weather!M25)/1.44</f>
        <v>10.750730840813549</v>
      </c>
      <c r="O69" s="71">
        <f>($B$69*A_houseSI*Weather!N25)/1.44</f>
        <v>11.103213819200878</v>
      </c>
      <c r="P69" s="71">
        <f>($B$69*A_houseSI*Weather!O25)/1.44</f>
        <v>12.33690424355653</v>
      </c>
      <c r="Q69" s="71">
        <f>($B$69*A_houseSI*Weather!P25)/1.44</f>
        <v>12.33690424355653</v>
      </c>
    </row>
    <row r="70" spans="1:19" ht="15" customHeight="1">
      <c r="A70" s="71">
        <v>3</v>
      </c>
      <c r="B70" s="71">
        <f>Leakage!AF14</f>
        <v>0.15231864689468855</v>
      </c>
      <c r="C70" s="71">
        <f>($B$70*A_houseSI*Weather!B25)/1.44</f>
        <v>4.3355406341641531</v>
      </c>
      <c r="D70" s="71">
        <f>($B$70*A_houseSI*Weather!C25)/1.44</f>
        <v>4.4412855276803525</v>
      </c>
      <c r="E70" s="71">
        <f>($B$70*A_houseSI*Weather!D25)/1.44</f>
        <v>4.5470304211965509</v>
      </c>
      <c r="F70" s="71">
        <f>($B$70*A_houseSI*Weather!E25)/1.44</f>
        <v>4.8642651017451488</v>
      </c>
      <c r="G70" s="71">
        <f>($B$70*A_houseSI*Weather!F25)/1.44</f>
        <v>5.0757548887775457</v>
      </c>
      <c r="H70" s="71">
        <f>($B$70*A_houseSI*Weather!G25)/1.44</f>
        <v>6.344693610971933</v>
      </c>
      <c r="I70" s="71">
        <f>($B$70*A_houseSI*Weather!H25)/1.44</f>
        <v>5.2872446758099434</v>
      </c>
      <c r="J70" s="71">
        <f>($B$70*A_houseSI*Weather!I25)/1.44</f>
        <v>5.7102242498747389</v>
      </c>
      <c r="K70" s="71">
        <f>($B$70*A_houseSI*Weather!J25)/1.44</f>
        <v>5.8159691433909391</v>
      </c>
      <c r="L70" s="71">
        <f>($B$70*A_houseSI*Weather!K25)/1.44</f>
        <v>6.344693610971933</v>
      </c>
      <c r="M70" s="71">
        <f>($B$70*A_houseSI*Weather!L25)/1.44</f>
        <v>5.9217140369071366</v>
      </c>
      <c r="N70" s="71">
        <f>($B$70*A_houseSI*Weather!M25)/1.44</f>
        <v>6.4504385044881305</v>
      </c>
      <c r="O70" s="71">
        <f>($B$70*A_houseSI*Weather!N25)/1.44</f>
        <v>6.6619282915205282</v>
      </c>
      <c r="P70" s="71">
        <f>($B$70*A_houseSI*Weather!O25)/1.44</f>
        <v>7.4021425461339199</v>
      </c>
      <c r="Q70" s="71">
        <f>($B$70*A_houseSI*Weather!P25)/1.44</f>
        <v>7.4021425461339199</v>
      </c>
    </row>
    <row r="71" spans="1:19" ht="15" customHeight="1">
      <c r="A71" s="71">
        <v>1.5</v>
      </c>
      <c r="B71" s="71">
        <f>Leakage!AF15</f>
        <v>7.6159323447344274E-2</v>
      </c>
      <c r="C71" s="71">
        <f>($B$71*A_houseSI*Weather!B25)/1.44</f>
        <v>2.1677703170820766</v>
      </c>
      <c r="D71" s="71">
        <f>($B$71*A_houseSI*Weather!C25)/1.44</f>
        <v>2.2206427638401762</v>
      </c>
      <c r="E71" s="71">
        <f>($B$71*A_houseSI*Weather!D25)/1.44</f>
        <v>2.2735152105982754</v>
      </c>
      <c r="F71" s="71">
        <f>($B$71*A_houseSI*Weather!E25)/1.44</f>
        <v>2.4321325508725744</v>
      </c>
      <c r="G71" s="71">
        <f>($B$71*A_houseSI*Weather!F25)/1.44</f>
        <v>2.5378774443887728</v>
      </c>
      <c r="H71" s="71">
        <f>($B$71*A_houseSI*Weather!G25)/1.44</f>
        <v>3.1723468054859665</v>
      </c>
      <c r="I71" s="71">
        <f>($B$71*A_houseSI*Weather!H25)/1.44</f>
        <v>2.6436223379049717</v>
      </c>
      <c r="J71" s="71">
        <f>($B$71*A_houseSI*Weather!I25)/1.44</f>
        <v>2.8551121249373694</v>
      </c>
      <c r="K71" s="71">
        <f>($B$71*A_houseSI*Weather!J25)/1.44</f>
        <v>2.9079845716954695</v>
      </c>
      <c r="L71" s="71">
        <f>($B$71*A_houseSI*Weather!K25)/1.44</f>
        <v>3.1723468054859665</v>
      </c>
      <c r="M71" s="71">
        <f>($B$71*A_houseSI*Weather!L25)/1.44</f>
        <v>2.9608570184535683</v>
      </c>
      <c r="N71" s="71">
        <f>($B$71*A_houseSI*Weather!M25)/1.44</f>
        <v>3.2252192522440652</v>
      </c>
      <c r="O71" s="71">
        <f>($B$71*A_houseSI*Weather!N25)/1.44</f>
        <v>3.3309641457602641</v>
      </c>
      <c r="P71" s="71">
        <f>($B$71*A_houseSI*Weather!O25)/1.44</f>
        <v>3.7010712730669599</v>
      </c>
      <c r="Q71" s="71">
        <f>($B$71*A_houseSI*Weather!P25)/1.44</f>
        <v>3.7010712730669599</v>
      </c>
    </row>
    <row r="72" spans="1:19" ht="15" customHeight="1">
      <c r="A72" s="71">
        <v>0.6</v>
      </c>
      <c r="B72" s="71">
        <f>Leakage!AF16</f>
        <v>3.0463729378937706E-2</v>
      </c>
      <c r="C72" s="71">
        <f>($B$72*A_houseSI*Weather!B25)/1.44</f>
        <v>0.86710812683283045</v>
      </c>
      <c r="D72" s="71">
        <f>($B$72*A_houseSI*Weather!C25)/1.44</f>
        <v>0.8882571055360704</v>
      </c>
      <c r="E72" s="71">
        <f>($B$72*A_houseSI*Weather!D25)/1.44</f>
        <v>0.90940608423931013</v>
      </c>
      <c r="F72" s="71">
        <f>($B$72*A_houseSI*Weather!E25)/1.44</f>
        <v>0.97285302034902954</v>
      </c>
      <c r="G72" s="71">
        <f>($B$72*A_houseSI*Weather!F25)/1.44</f>
        <v>1.0151509777555088</v>
      </c>
      <c r="H72" s="71">
        <f>($B$72*A_houseSI*Weather!G25)/1.44</f>
        <v>1.2689387221943862</v>
      </c>
      <c r="I72" s="71">
        <f>($B$72*A_houseSI*Weather!H25)/1.44</f>
        <v>1.0574489351619885</v>
      </c>
      <c r="J72" s="71">
        <f>($B$72*A_houseSI*Weather!I25)/1.44</f>
        <v>1.1420448499749476</v>
      </c>
      <c r="K72" s="71">
        <f>($B$72*A_houseSI*Weather!J25)/1.44</f>
        <v>1.1631938286781873</v>
      </c>
      <c r="L72" s="71">
        <f>($B$72*A_houseSI*Weather!K25)/1.44</f>
        <v>1.2689387221943862</v>
      </c>
      <c r="M72" s="71">
        <f>($B$72*A_houseSI*Weather!L25)/1.44</f>
        <v>1.1843428073814273</v>
      </c>
      <c r="N72" s="71">
        <f>($B$72*A_houseSI*Weather!M25)/1.44</f>
        <v>1.2900877008976259</v>
      </c>
      <c r="O72" s="71">
        <f>($B$72*A_houseSI*Weather!N25)/1.44</f>
        <v>1.3323856583041056</v>
      </c>
      <c r="P72" s="71">
        <f>($B$72*A_houseSI*Weather!O25)/1.44</f>
        <v>1.4804285092267839</v>
      </c>
      <c r="Q72" s="71">
        <f>($B$72*A_houseSI*Weather!P25)/1.44</f>
        <v>1.4804285092267839</v>
      </c>
    </row>
    <row r="73" spans="1:19" ht="15" customHeight="1">
      <c r="A73" s="71" t="s">
        <v>885</v>
      </c>
      <c r="B73" s="71" t="s">
        <v>748</v>
      </c>
      <c r="C73" s="71">
        <v>0</v>
      </c>
      <c r="D73" s="71">
        <v>0</v>
      </c>
      <c r="E73" s="71">
        <v>0</v>
      </c>
      <c r="F73" s="71">
        <v>0</v>
      </c>
      <c r="G73" s="71">
        <v>0</v>
      </c>
      <c r="H73" s="71">
        <v>0</v>
      </c>
      <c r="I73" s="71">
        <v>0</v>
      </c>
      <c r="J73" s="71">
        <v>0</v>
      </c>
      <c r="K73" s="71">
        <v>0</v>
      </c>
      <c r="L73" s="71">
        <v>0</v>
      </c>
      <c r="M73" s="71">
        <v>0</v>
      </c>
      <c r="N73" s="71">
        <v>0</v>
      </c>
      <c r="O73" s="71">
        <v>0</v>
      </c>
      <c r="P73" s="71">
        <v>0</v>
      </c>
      <c r="Q73" s="71">
        <v>0</v>
      </c>
    </row>
    <row r="74" spans="1:19" ht="15" customHeight="1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</row>
    <row r="75" spans="1:19" ht="15" customHeight="1">
      <c r="A75" s="345" t="s">
        <v>874</v>
      </c>
      <c r="B75" s="345"/>
      <c r="C75" s="345"/>
      <c r="D75" s="345"/>
      <c r="E75" s="345"/>
      <c r="F75" s="345"/>
      <c r="G75" s="345"/>
      <c r="H75" s="345"/>
      <c r="I75" s="345"/>
      <c r="J75" s="345"/>
      <c r="K75" s="345"/>
      <c r="L75" s="345"/>
      <c r="M75" s="345"/>
      <c r="N75" s="345"/>
      <c r="O75" s="345"/>
      <c r="P75" s="345"/>
      <c r="Q75" s="345"/>
    </row>
    <row r="76" spans="1:19" ht="15" customHeight="1">
      <c r="A76" s="345" t="s">
        <v>875</v>
      </c>
      <c r="B76" s="345"/>
      <c r="C76" s="345" t="s">
        <v>639</v>
      </c>
      <c r="D76" s="345"/>
      <c r="E76" s="345"/>
      <c r="F76" s="345"/>
      <c r="G76" s="345"/>
      <c r="H76" s="345"/>
      <c r="I76" s="345"/>
      <c r="J76" s="345"/>
      <c r="K76" s="345"/>
      <c r="L76" s="345"/>
      <c r="M76" s="345"/>
      <c r="N76" s="345"/>
      <c r="O76" s="345"/>
      <c r="P76" s="345"/>
      <c r="Q76" s="345"/>
    </row>
    <row r="77" spans="1:19" ht="15" customHeight="1">
      <c r="A77" s="345" t="s">
        <v>873</v>
      </c>
      <c r="B77" s="345" t="s">
        <v>872</v>
      </c>
      <c r="C77" s="345" t="s">
        <v>707</v>
      </c>
      <c r="D77" s="345" t="s">
        <v>656</v>
      </c>
      <c r="E77" s="345" t="s">
        <v>657</v>
      </c>
      <c r="F77" s="345" t="s">
        <v>658</v>
      </c>
      <c r="G77" s="345" t="s">
        <v>659</v>
      </c>
      <c r="H77" s="345" t="s">
        <v>660</v>
      </c>
      <c r="I77" s="345" t="s">
        <v>661</v>
      </c>
      <c r="J77" s="345" t="s">
        <v>662</v>
      </c>
      <c r="K77" s="345" t="s">
        <v>663</v>
      </c>
      <c r="L77" s="345" t="s">
        <v>664</v>
      </c>
      <c r="M77" s="345" t="s">
        <v>665</v>
      </c>
      <c r="N77" s="345" t="s">
        <v>666</v>
      </c>
      <c r="O77" s="345" t="s">
        <v>667</v>
      </c>
      <c r="P77" s="345">
        <v>7</v>
      </c>
      <c r="Q77" s="345">
        <v>8</v>
      </c>
      <c r="R77" s="1" t="s">
        <v>878</v>
      </c>
      <c r="S77" s="1" t="s">
        <v>877</v>
      </c>
    </row>
    <row r="78" spans="1:19" ht="15" customHeight="1">
      <c r="A78" s="345">
        <v>10</v>
      </c>
      <c r="B78" s="345">
        <f>Leakage!AF11</f>
        <v>0.50772882298229505</v>
      </c>
      <c r="C78" s="345">
        <f>IF(Age="existing",IF(Fans!$L$2-Fans!C67&lt;=0,0,Fans!$L$2-Fans!C67),IF(C67&lt;(2/3)*Fans!$L$2,Fans!$L$2-Fans!C67,(1/3)*Fans!$L$2))</f>
        <v>14.543667886119493</v>
      </c>
      <c r="D78" s="345">
        <f>IF(Age="existing",IF(Fans!$L$2-Fans!D67&lt;=0,0,Fans!$L$2-Fans!D67),IF(D67&lt;(2/3)*Fans!$L$2,Fans!$L$2-Fans!D67,(1/3)*Fans!$L$2))</f>
        <v>14.191184907732163</v>
      </c>
      <c r="E78" s="345">
        <f>IF(Age="existing",IF(Fans!$L$2-Fans!E67&lt;=0,0,Fans!$L$2-Fans!E67),IF(E67&lt;(2/3)*Fans!$L$2,Fans!$L$2-Fans!E67,(1/3)*Fans!$L$2))</f>
        <v>13.838701929344833</v>
      </c>
      <c r="F78" s="345">
        <f>IF(Age="existing",IF(Fans!$L$2-Fans!F67&lt;=0,0,Fans!$L$2-Fans!F67),IF(F67&lt;(2/3)*Fans!$L$2,Fans!$L$2-Fans!F67,(1/3)*Fans!$L$2))</f>
        <v>12.781252994182847</v>
      </c>
      <c r="G78" s="345">
        <f>IF(Age="existing",IF(Fans!$L$2-Fans!G67&lt;=0,0,Fans!$L$2-Fans!G67),IF(G67&lt;(2/3)*Fans!$L$2,Fans!$L$2-Fans!G67,(1/3)*Fans!$L$2))</f>
        <v>12.076287037408186</v>
      </c>
      <c r="H78" s="345">
        <f>IF(Age="existing",IF(Fans!$L$2-Fans!H67&lt;=0,0,Fans!$L$2-Fans!H67),IF(H67&lt;(2/3)*Fans!$L$2,Fans!$L$2-Fans!H67,(1/3)*Fans!$L$2))</f>
        <v>9.6651566666666664</v>
      </c>
      <c r="I78" s="345">
        <f>IF(Age="existing",IF(Fans!$L$2-Fans!I67&lt;=0,0,Fans!$L$2-Fans!I67),IF(I67&lt;(2/3)*Fans!$L$2,Fans!$L$2-Fans!I67,(1/3)*Fans!$L$2))</f>
        <v>11.371321080633528</v>
      </c>
      <c r="J78" s="345">
        <f>IF(Age="existing",IF(Fans!$L$2-Fans!J67&lt;=0,0,Fans!$L$2-Fans!J67),IF(J67&lt;(2/3)*Fans!$L$2,Fans!$L$2-Fans!J67,(1/3)*Fans!$L$2))</f>
        <v>9.9613891670842065</v>
      </c>
      <c r="K78" s="345">
        <f>IF(Age="existing",IF(Fans!$L$2-Fans!K67&lt;=0,0,Fans!$L$2-Fans!K67),IF(K67&lt;(2/3)*Fans!$L$2,Fans!$L$2-Fans!K67,(1/3)*Fans!$L$2))</f>
        <v>9.6651566666666664</v>
      </c>
      <c r="L78" s="345">
        <f>IF(Age="existing",IF(Fans!$L$2-Fans!L67&lt;=0,0,Fans!$L$2-Fans!L67),IF(L67&lt;(2/3)*Fans!$L$2,Fans!$L$2-Fans!L67,(1/3)*Fans!$L$2))</f>
        <v>9.6651566666666664</v>
      </c>
      <c r="M78" s="345">
        <f>IF(Age="existing",IF(Fans!$L$2-Fans!M67&lt;=0,0,Fans!$L$2-Fans!M67),IF(M67&lt;(2/3)*Fans!$L$2,Fans!$L$2-Fans!M67,(1/3)*Fans!$L$2))</f>
        <v>9.6651566666666664</v>
      </c>
      <c r="N78" s="345">
        <f>IF(Age="existing",IF(Fans!$L$2-Fans!N67&lt;=0,0,Fans!$L$2-Fans!N67),IF(N67&lt;(2/3)*Fans!$L$2,Fans!$L$2-Fans!N67,(1/3)*Fans!$L$2))</f>
        <v>9.6651566666666664</v>
      </c>
      <c r="O78" s="345">
        <f>IF(Age="existing",IF(Fans!$L$2-Fans!O67&lt;=0,0,Fans!$L$2-Fans!O67),IF(O67&lt;(2/3)*Fans!$L$2,Fans!$L$2-Fans!O67,(1/3)*Fans!$L$2))</f>
        <v>9.6651566666666664</v>
      </c>
      <c r="P78" s="345">
        <f>IF(Age="existing",IF(Fans!$L$2-Fans!P67&lt;=0,0,Fans!$L$2-Fans!P67),IF(P67&lt;(2/3)*Fans!$L$2,Fans!$L$2-Fans!P67,(1/3)*Fans!$L$2))</f>
        <v>9.6651566666666664</v>
      </c>
      <c r="Q78" s="345">
        <f>IF(Age="existing",IF(Fans!$L$2-Fans!Q67&lt;=0,0,Fans!$L$2-Fans!Q67),IF(Q67&lt;(2/3)*Fans!$L$2,Fans!$L$2-Fans!Q67,(1/3)*Fans!$L$2))</f>
        <v>9.6651566666666664</v>
      </c>
      <c r="R78" s="98" t="s">
        <v>301</v>
      </c>
      <c r="S78" s="1">
        <v>50</v>
      </c>
    </row>
    <row r="79" spans="1:19" ht="15" customHeight="1">
      <c r="A79" s="345">
        <v>7</v>
      </c>
      <c r="B79" s="345">
        <f>Leakage!AF12</f>
        <v>0.35541017608760656</v>
      </c>
      <c r="C79" s="345">
        <f>IF(Age="existing",IF(Fans!$L$2-Fans!C68&lt;=0,0,Fans!$L$2-Fans!C68),IF(C68&lt;(2/3)*Fans!$L$2,Fans!$L$2-Fans!C68,(1/3)*Fans!$L$2))</f>
        <v>18.879208520283644</v>
      </c>
      <c r="D79" s="345">
        <f>IF(Age="existing",IF(Fans!$L$2-Fans!D68&lt;=0,0,Fans!$L$2-Fans!D68),IF(D68&lt;(2/3)*Fans!$L$2,Fans!$L$2-Fans!D68,(1/3)*Fans!$L$2))</f>
        <v>18.632470435412515</v>
      </c>
      <c r="E79" s="345">
        <f>IF(Age="existing",IF(Fans!$L$2-Fans!E68&lt;=0,0,Fans!$L$2-Fans!E68),IF(E68&lt;(2/3)*Fans!$L$2,Fans!$L$2-Fans!E68,(1/3)*Fans!$L$2))</f>
        <v>18.385732350541382</v>
      </c>
      <c r="F79" s="345">
        <f>IF(Age="existing",IF(Fans!$L$2-Fans!F68&lt;=0,0,Fans!$L$2-Fans!F68),IF(F68&lt;(2/3)*Fans!$L$2,Fans!$L$2-Fans!F68,(1/3)*Fans!$L$2))</f>
        <v>17.64551809592799</v>
      </c>
      <c r="G79" s="345">
        <f>IF(Age="existing",IF(Fans!$L$2-Fans!G68&lt;=0,0,Fans!$L$2-Fans!G68),IF(G68&lt;(2/3)*Fans!$L$2,Fans!$L$2-Fans!G68,(1/3)*Fans!$L$2))</f>
        <v>17.152041926185731</v>
      </c>
      <c r="H79" s="345">
        <f>IF(Age="existing",IF(Fans!$L$2-Fans!H68&lt;=0,0,Fans!$L$2-Fans!H68),IF(H68&lt;(2/3)*Fans!$L$2,Fans!$L$2-Fans!H68,(1/3)*Fans!$L$2))</f>
        <v>14.191184907732163</v>
      </c>
      <c r="I79" s="345">
        <f>IF(Age="existing",IF(Fans!$L$2-Fans!I68&lt;=0,0,Fans!$L$2-Fans!I68),IF(I68&lt;(2/3)*Fans!$L$2,Fans!$L$2-Fans!I68,(1/3)*Fans!$L$2))</f>
        <v>16.658565756443469</v>
      </c>
      <c r="J79" s="345">
        <f>IF(Age="existing",IF(Fans!$L$2-Fans!J68&lt;=0,0,Fans!$L$2-Fans!J68),IF(J68&lt;(2/3)*Fans!$L$2,Fans!$L$2-Fans!J68,(1/3)*Fans!$L$2))</f>
        <v>15.671613416958944</v>
      </c>
      <c r="K79" s="345">
        <f>IF(Age="existing",IF(Fans!$L$2-Fans!K68&lt;=0,0,Fans!$L$2-Fans!K68),IF(K68&lt;(2/3)*Fans!$L$2,Fans!$L$2-Fans!K68,(1/3)*Fans!$L$2))</f>
        <v>15.424875332087813</v>
      </c>
      <c r="L79" s="345">
        <f>IF(Age="existing",IF(Fans!$L$2-Fans!L68&lt;=0,0,Fans!$L$2-Fans!L68),IF(L68&lt;(2/3)*Fans!$L$2,Fans!$L$2-Fans!L68,(1/3)*Fans!$L$2))</f>
        <v>14.191184907732163</v>
      </c>
      <c r="M79" s="345">
        <f>IF(Age="existing",IF(Fans!$L$2-Fans!M68&lt;=0,0,Fans!$L$2-Fans!M68),IF(M68&lt;(2/3)*Fans!$L$2,Fans!$L$2-Fans!M68,(1/3)*Fans!$L$2))</f>
        <v>15.178137247216682</v>
      </c>
      <c r="N79" s="345">
        <f>IF(Age="existing",IF(Fans!$L$2-Fans!N68&lt;=0,0,Fans!$L$2-Fans!N68),IF(N68&lt;(2/3)*Fans!$L$2,Fans!$L$2-Fans!N68,(1/3)*Fans!$L$2))</f>
        <v>13.944446822861032</v>
      </c>
      <c r="O79" s="345">
        <f>IF(Age="existing",IF(Fans!$L$2-Fans!O68&lt;=0,0,Fans!$L$2-Fans!O68),IF(O68&lt;(2/3)*Fans!$L$2,Fans!$L$2-Fans!O68,(1/3)*Fans!$L$2))</f>
        <v>13.45097065311877</v>
      </c>
      <c r="P79" s="345">
        <f>IF(Age="existing",IF(Fans!$L$2-Fans!P68&lt;=0,0,Fans!$L$2-Fans!P68),IF(P68&lt;(2/3)*Fans!$L$2,Fans!$L$2-Fans!P68,(1/3)*Fans!$L$2))</f>
        <v>11.723804059020857</v>
      </c>
      <c r="Q79" s="345">
        <f>IF(Age="existing",IF(Fans!$L$2-Fans!Q68&lt;=0,0,Fans!$L$2-Fans!Q68),IF(Q68&lt;(2/3)*Fans!$L$2,Fans!$L$2-Fans!Q68,(1/3)*Fans!$L$2))</f>
        <v>11.723804059020857</v>
      </c>
      <c r="R79" s="98" t="s">
        <v>301</v>
      </c>
      <c r="S79" s="1">
        <v>50</v>
      </c>
    </row>
    <row r="80" spans="1:19" ht="15" customHeight="1">
      <c r="A80" s="345">
        <v>5</v>
      </c>
      <c r="B80" s="345">
        <f>Leakage!AF13</f>
        <v>0.25386441149114752</v>
      </c>
      <c r="C80" s="345">
        <f>IF(Age="existing",IF(Fans!$L$2-Fans!C69&lt;=0,0,Fans!$L$2-Fans!C69),IF(C69&lt;(2/3)*Fans!$L$2,Fans!$L$2-Fans!C69,(1/3)*Fans!$L$2))</f>
        <v>21.769568943059745</v>
      </c>
      <c r="D80" s="345">
        <f>IF(Age="existing",IF(Fans!$L$2-Fans!D69&lt;=0,0,Fans!$L$2-Fans!D69),IF(D69&lt;(2/3)*Fans!$L$2,Fans!$L$2-Fans!D69,(1/3)*Fans!$L$2))</f>
        <v>21.593327453866081</v>
      </c>
      <c r="E80" s="345">
        <f>IF(Age="existing",IF(Fans!$L$2-Fans!E69&lt;=0,0,Fans!$L$2-Fans!E69),IF(E69&lt;(2/3)*Fans!$L$2,Fans!$L$2-Fans!E69,(1/3)*Fans!$L$2))</f>
        <v>21.417085964672417</v>
      </c>
      <c r="F80" s="345">
        <f>IF(Age="existing",IF(Fans!$L$2-Fans!F69&lt;=0,0,Fans!$L$2-Fans!F69),IF(F69&lt;(2/3)*Fans!$L$2,Fans!$L$2-Fans!F69,(1/3)*Fans!$L$2))</f>
        <v>20.888361497091424</v>
      </c>
      <c r="G80" s="345">
        <f>IF(Age="existing",IF(Fans!$L$2-Fans!G69&lt;=0,0,Fans!$L$2-Fans!G69),IF(G69&lt;(2/3)*Fans!$L$2,Fans!$L$2-Fans!G69,(1/3)*Fans!$L$2))</f>
        <v>20.535878518704095</v>
      </c>
      <c r="H80" s="345">
        <f>IF(Age="existing",IF(Fans!$L$2-Fans!H69&lt;=0,0,Fans!$L$2-Fans!H69),IF(H69&lt;(2/3)*Fans!$L$2,Fans!$L$2-Fans!H69,(1/3)*Fans!$L$2))</f>
        <v>18.420980648380116</v>
      </c>
      <c r="I80" s="345">
        <f>IF(Age="existing",IF(Fans!$L$2-Fans!I69&lt;=0,0,Fans!$L$2-Fans!I69),IF(I69&lt;(2/3)*Fans!$L$2,Fans!$L$2-Fans!I69,(1/3)*Fans!$L$2))</f>
        <v>20.183395540316766</v>
      </c>
      <c r="J80" s="345">
        <f>IF(Age="existing",IF(Fans!$L$2-Fans!J69&lt;=0,0,Fans!$L$2-Fans!J69),IF(J69&lt;(2/3)*Fans!$L$2,Fans!$L$2-Fans!J69,(1/3)*Fans!$L$2))</f>
        <v>19.478429583542102</v>
      </c>
      <c r="K80" s="345">
        <f>IF(Age="existing",IF(Fans!$L$2-Fans!K69&lt;=0,0,Fans!$L$2-Fans!K69),IF(K69&lt;(2/3)*Fans!$L$2,Fans!$L$2-Fans!K69,(1/3)*Fans!$L$2))</f>
        <v>19.302188094348438</v>
      </c>
      <c r="L80" s="345">
        <f>IF(Age="existing",IF(Fans!$L$2-Fans!L69&lt;=0,0,Fans!$L$2-Fans!L69),IF(L69&lt;(2/3)*Fans!$L$2,Fans!$L$2-Fans!L69,(1/3)*Fans!$L$2))</f>
        <v>18.420980648380116</v>
      </c>
      <c r="M80" s="345">
        <f>IF(Age="existing",IF(Fans!$L$2-Fans!M69&lt;=0,0,Fans!$L$2-Fans!M69),IF(M69&lt;(2/3)*Fans!$L$2,Fans!$L$2-Fans!M69,(1/3)*Fans!$L$2))</f>
        <v>19.125946605154773</v>
      </c>
      <c r="N80" s="345">
        <f>IF(Age="existing",IF(Fans!$L$2-Fans!N69&lt;=0,0,Fans!$L$2-Fans!N69),IF(N69&lt;(2/3)*Fans!$L$2,Fans!$L$2-Fans!N69,(1/3)*Fans!$L$2))</f>
        <v>18.244739159186452</v>
      </c>
      <c r="O80" s="345">
        <f>IF(Age="existing",IF(Fans!$L$2-Fans!O69&lt;=0,0,Fans!$L$2-Fans!O69),IF(O69&lt;(2/3)*Fans!$L$2,Fans!$L$2-Fans!O69,(1/3)*Fans!$L$2))</f>
        <v>17.892256180799123</v>
      </c>
      <c r="P80" s="345">
        <f>IF(Age="existing",IF(Fans!$L$2-Fans!P69&lt;=0,0,Fans!$L$2-Fans!P69),IF(P69&lt;(2/3)*Fans!$L$2,Fans!$L$2-Fans!P69,(1/3)*Fans!$L$2))</f>
        <v>16.658565756443473</v>
      </c>
      <c r="Q80" s="345">
        <f>IF(Age="existing",IF(Fans!$L$2-Fans!Q69&lt;=0,0,Fans!$L$2-Fans!Q69),IF(Q69&lt;(2/3)*Fans!$L$2,Fans!$L$2-Fans!Q69,(1/3)*Fans!$L$2))</f>
        <v>16.658565756443473</v>
      </c>
      <c r="R80" s="98" t="s">
        <v>301</v>
      </c>
      <c r="S80" s="1">
        <v>50</v>
      </c>
    </row>
    <row r="81" spans="1:19" ht="15" customHeight="1">
      <c r="A81" s="345">
        <v>3</v>
      </c>
      <c r="B81" s="345">
        <f>Leakage!AF14</f>
        <v>0.15231864689468855</v>
      </c>
      <c r="C81" s="345">
        <f>IF(Age="existing",IF(Fans!$L$2-Fans!C70&lt;=0,0,Fans!$L$2-Fans!C70),IF(C70&lt;(2/3)*Fans!$L$2,Fans!$L$2-Fans!C70,(1/3)*Fans!$L$2))</f>
        <v>24.659929365835847</v>
      </c>
      <c r="D81" s="345">
        <f>IF(Age="existing",IF(Fans!$L$2-Fans!D70&lt;=0,0,Fans!$L$2-Fans!D70),IF(D70&lt;(2/3)*Fans!$L$2,Fans!$L$2-Fans!D70,(1/3)*Fans!$L$2))</f>
        <v>24.554184472319648</v>
      </c>
      <c r="E81" s="345">
        <f>IF(Age="existing",IF(Fans!$L$2-Fans!E70&lt;=0,0,Fans!$L$2-Fans!E70),IF(E70&lt;(2/3)*Fans!$L$2,Fans!$L$2-Fans!E70,(1/3)*Fans!$L$2))</f>
        <v>24.448439578803452</v>
      </c>
      <c r="F81" s="345">
        <f>IF(Age="existing",IF(Fans!$L$2-Fans!F70&lt;=0,0,Fans!$L$2-Fans!F70),IF(F70&lt;(2/3)*Fans!$L$2,Fans!$L$2-Fans!F70,(1/3)*Fans!$L$2))</f>
        <v>24.13120489825485</v>
      </c>
      <c r="G81" s="345">
        <f>IF(Age="existing",IF(Fans!$L$2-Fans!G70&lt;=0,0,Fans!$L$2-Fans!G70),IF(G70&lt;(2/3)*Fans!$L$2,Fans!$L$2-Fans!G70,(1/3)*Fans!$L$2))</f>
        <v>23.919715111222455</v>
      </c>
      <c r="H81" s="345">
        <f>IF(Age="existing",IF(Fans!$L$2-Fans!H70&lt;=0,0,Fans!$L$2-Fans!H70),IF(H70&lt;(2/3)*Fans!$L$2,Fans!$L$2-Fans!H70,(1/3)*Fans!$L$2))</f>
        <v>22.650776389028067</v>
      </c>
      <c r="I81" s="345">
        <f>IF(Age="existing",IF(Fans!$L$2-Fans!I70&lt;=0,0,Fans!$L$2-Fans!I70),IF(I70&lt;(2/3)*Fans!$L$2,Fans!$L$2-Fans!I70,(1/3)*Fans!$L$2))</f>
        <v>23.708225324190057</v>
      </c>
      <c r="J81" s="345">
        <f>IF(Age="existing",IF(Fans!$L$2-Fans!J70&lt;=0,0,Fans!$L$2-Fans!J70),IF(J70&lt;(2/3)*Fans!$L$2,Fans!$L$2-Fans!J70,(1/3)*Fans!$L$2))</f>
        <v>23.285245750125263</v>
      </c>
      <c r="K81" s="345">
        <f>IF(Age="existing",IF(Fans!$L$2-Fans!K70&lt;=0,0,Fans!$L$2-Fans!K70),IF(K70&lt;(2/3)*Fans!$L$2,Fans!$L$2-Fans!K70,(1/3)*Fans!$L$2))</f>
        <v>23.17950085660906</v>
      </c>
      <c r="L81" s="345">
        <f>IF(Age="existing",IF(Fans!$L$2-Fans!L70&lt;=0,0,Fans!$L$2-Fans!L70),IF(L70&lt;(2/3)*Fans!$L$2,Fans!$L$2-Fans!L70,(1/3)*Fans!$L$2))</f>
        <v>22.650776389028067</v>
      </c>
      <c r="M81" s="345">
        <f>IF(Age="existing",IF(Fans!$L$2-Fans!M70&lt;=0,0,Fans!$L$2-Fans!M70),IF(M70&lt;(2/3)*Fans!$L$2,Fans!$L$2-Fans!M70,(1/3)*Fans!$L$2))</f>
        <v>23.073755963092864</v>
      </c>
      <c r="N81" s="345">
        <f>IF(Age="existing",IF(Fans!$L$2-Fans!N70&lt;=0,0,Fans!$L$2-Fans!N70),IF(N70&lt;(2/3)*Fans!$L$2,Fans!$L$2-Fans!N70,(1/3)*Fans!$L$2))</f>
        <v>22.545031495511871</v>
      </c>
      <c r="O81" s="345">
        <f>IF(Age="existing",IF(Fans!$L$2-Fans!O70&lt;=0,0,Fans!$L$2-Fans!O70),IF(O70&lt;(2/3)*Fans!$L$2,Fans!$L$2-Fans!O70,(1/3)*Fans!$L$2))</f>
        <v>22.333541708479473</v>
      </c>
      <c r="P81" s="345">
        <f>IF(Age="existing",IF(Fans!$L$2-Fans!P70&lt;=0,0,Fans!$L$2-Fans!P70),IF(P70&lt;(2/3)*Fans!$L$2,Fans!$L$2-Fans!P70,(1/3)*Fans!$L$2))</f>
        <v>21.593327453866081</v>
      </c>
      <c r="Q81" s="345">
        <f>IF(Age="existing",IF(Fans!$L$2-Fans!Q70&lt;=0,0,Fans!$L$2-Fans!Q70),IF(Q70&lt;(2/3)*Fans!$L$2,Fans!$L$2-Fans!Q70,(1/3)*Fans!$L$2))</f>
        <v>21.593327453866081</v>
      </c>
      <c r="R81" s="100" t="s">
        <v>321</v>
      </c>
      <c r="S81" s="1">
        <v>70</v>
      </c>
    </row>
    <row r="82" spans="1:19" ht="15" customHeight="1">
      <c r="A82" s="345">
        <v>1.5</v>
      </c>
      <c r="B82" s="345">
        <f>Leakage!AF15</f>
        <v>7.6159323447344274E-2</v>
      </c>
      <c r="C82" s="345">
        <f>IF(Age="existing",IF(Fans!$L$2-Fans!C71&lt;=0,0,Fans!$L$2-Fans!C71),IF(C71&lt;(2/3)*Fans!$L$2,Fans!$L$2-Fans!C71,(1/3)*Fans!$L$2))</f>
        <v>26.827699682917924</v>
      </c>
      <c r="D82" s="345">
        <f>IF(Age="existing",IF(Fans!$L$2-Fans!D71&lt;=0,0,Fans!$L$2-Fans!D71),IF(D71&lt;(2/3)*Fans!$L$2,Fans!$L$2-Fans!D71,(1/3)*Fans!$L$2))</f>
        <v>26.774827236159826</v>
      </c>
      <c r="E82" s="345">
        <f>IF(Age="existing",IF(Fans!$L$2-Fans!E71&lt;=0,0,Fans!$L$2-Fans!E71),IF(E71&lt;(2/3)*Fans!$L$2,Fans!$L$2-Fans!E71,(1/3)*Fans!$L$2))</f>
        <v>26.721954789401725</v>
      </c>
      <c r="F82" s="345">
        <f>IF(Age="existing",IF(Fans!$L$2-Fans!F71&lt;=0,0,Fans!$L$2-Fans!F71),IF(F71&lt;(2/3)*Fans!$L$2,Fans!$L$2-Fans!F71,(1/3)*Fans!$L$2))</f>
        <v>26.563337449127427</v>
      </c>
      <c r="G82" s="345">
        <f>IF(Age="existing",IF(Fans!$L$2-Fans!G71&lt;=0,0,Fans!$L$2-Fans!G71),IF(G71&lt;(2/3)*Fans!$L$2,Fans!$L$2-Fans!G71,(1/3)*Fans!$L$2))</f>
        <v>26.457592555611228</v>
      </c>
      <c r="H82" s="345">
        <f>IF(Age="existing",IF(Fans!$L$2-Fans!H71&lt;=0,0,Fans!$L$2-Fans!H71),IF(H71&lt;(2/3)*Fans!$L$2,Fans!$L$2-Fans!H71,(1/3)*Fans!$L$2))</f>
        <v>25.823123194514036</v>
      </c>
      <c r="I82" s="345">
        <f>IF(Age="existing",IF(Fans!$L$2-Fans!I71&lt;=0,0,Fans!$L$2-Fans!I71),IF(I71&lt;(2/3)*Fans!$L$2,Fans!$L$2-Fans!I71,(1/3)*Fans!$L$2))</f>
        <v>26.351847662095029</v>
      </c>
      <c r="J82" s="345">
        <f>IF(Age="existing",IF(Fans!$L$2-Fans!J71&lt;=0,0,Fans!$L$2-Fans!J71),IF(J71&lt;(2/3)*Fans!$L$2,Fans!$L$2-Fans!J71,(1/3)*Fans!$L$2))</f>
        <v>26.14035787506263</v>
      </c>
      <c r="K82" s="345">
        <f>IF(Age="existing",IF(Fans!$L$2-Fans!K71&lt;=0,0,Fans!$L$2-Fans!K71),IF(K71&lt;(2/3)*Fans!$L$2,Fans!$L$2-Fans!K71,(1/3)*Fans!$L$2))</f>
        <v>26.087485428304532</v>
      </c>
      <c r="L82" s="345">
        <f>IF(Age="existing",IF(Fans!$L$2-Fans!L71&lt;=0,0,Fans!$L$2-Fans!L71),IF(L71&lt;(2/3)*Fans!$L$2,Fans!$L$2-Fans!L71,(1/3)*Fans!$L$2))</f>
        <v>25.823123194514036</v>
      </c>
      <c r="M82" s="345">
        <f>IF(Age="existing",IF(Fans!$L$2-Fans!M71&lt;=0,0,Fans!$L$2-Fans!M71),IF(M71&lt;(2/3)*Fans!$L$2,Fans!$L$2-Fans!M71,(1/3)*Fans!$L$2))</f>
        <v>26.034612981546431</v>
      </c>
      <c r="N82" s="345">
        <f>IF(Age="existing",IF(Fans!$L$2-Fans!N71&lt;=0,0,Fans!$L$2-Fans!N71),IF(N71&lt;(2/3)*Fans!$L$2,Fans!$L$2-Fans!N71,(1/3)*Fans!$L$2))</f>
        <v>25.770250747755934</v>
      </c>
      <c r="O82" s="345">
        <f>IF(Age="existing",IF(Fans!$L$2-Fans!O71&lt;=0,0,Fans!$L$2-Fans!O71),IF(O71&lt;(2/3)*Fans!$L$2,Fans!$L$2-Fans!O71,(1/3)*Fans!$L$2))</f>
        <v>25.664505854239735</v>
      </c>
      <c r="P82" s="345">
        <f>IF(Age="existing",IF(Fans!$L$2-Fans!P71&lt;=0,0,Fans!$L$2-Fans!P71),IF(P71&lt;(2/3)*Fans!$L$2,Fans!$L$2-Fans!P71,(1/3)*Fans!$L$2))</f>
        <v>25.294398726933039</v>
      </c>
      <c r="Q82" s="345">
        <f>IF(Age="existing",IF(Fans!$L$2-Fans!Q71&lt;=0,0,Fans!$L$2-Fans!Q71),IF(Q71&lt;(2/3)*Fans!$L$2,Fans!$L$2-Fans!Q71,(1/3)*Fans!$L$2))</f>
        <v>25.294398726933039</v>
      </c>
      <c r="R82" s="100" t="s">
        <v>321</v>
      </c>
      <c r="S82" s="1">
        <v>80</v>
      </c>
    </row>
    <row r="83" spans="1:19" ht="15" customHeight="1">
      <c r="A83" s="345">
        <v>0.6</v>
      </c>
      <c r="B83" s="345">
        <f>Leakage!AF16</f>
        <v>3.0463729378937706E-2</v>
      </c>
      <c r="C83" s="345">
        <f>IF(Age="existing",IF(Fans!$L$2-Fans!C72&lt;=0,0,Fans!$L$2-Fans!C72),IF(C72&lt;(2/3)*Fans!$L$2,Fans!$L$2-Fans!C72,(1/3)*Fans!$L$2))</f>
        <v>28.128361873167172</v>
      </c>
      <c r="D83" s="345">
        <f>IF(Age="existing",IF(Fans!$L$2-Fans!D72&lt;=0,0,Fans!$L$2-Fans!D72),IF(D72&lt;(2/3)*Fans!$L$2,Fans!$L$2-Fans!D72,(1/3)*Fans!$L$2))</f>
        <v>28.107212894463931</v>
      </c>
      <c r="E83" s="345">
        <f>IF(Age="existing",IF(Fans!$L$2-Fans!E72&lt;=0,0,Fans!$L$2-Fans!E72),IF(E72&lt;(2/3)*Fans!$L$2,Fans!$L$2-Fans!E72,(1/3)*Fans!$L$2))</f>
        <v>28.08606391576069</v>
      </c>
      <c r="F83" s="345">
        <f>IF(Age="existing",IF(Fans!$L$2-Fans!F72&lt;=0,0,Fans!$L$2-Fans!F72),IF(F72&lt;(2/3)*Fans!$L$2,Fans!$L$2-Fans!F72,(1/3)*Fans!$L$2))</f>
        <v>28.022616979650973</v>
      </c>
      <c r="G83" s="345">
        <f>IF(Age="existing",IF(Fans!$L$2-Fans!G72&lt;=0,0,Fans!$L$2-Fans!G72),IF(G72&lt;(2/3)*Fans!$L$2,Fans!$L$2-Fans!G72,(1/3)*Fans!$L$2))</f>
        <v>27.980319022244494</v>
      </c>
      <c r="H83" s="345">
        <f>IF(Age="existing",IF(Fans!$L$2-Fans!H72&lt;=0,0,Fans!$L$2-Fans!H72),IF(H72&lt;(2/3)*Fans!$L$2,Fans!$L$2-Fans!H72,(1/3)*Fans!$L$2))</f>
        <v>27.726531277805616</v>
      </c>
      <c r="I83" s="345">
        <f>IF(Age="existing",IF(Fans!$L$2-Fans!I72&lt;=0,0,Fans!$L$2-Fans!I72),IF(I72&lt;(2/3)*Fans!$L$2,Fans!$L$2-Fans!I72,(1/3)*Fans!$L$2))</f>
        <v>27.938021064838011</v>
      </c>
      <c r="J83" s="345">
        <f>IF(Age="existing",IF(Fans!$L$2-Fans!J72&lt;=0,0,Fans!$L$2-Fans!J72),IF(J72&lt;(2/3)*Fans!$L$2,Fans!$L$2-Fans!J72,(1/3)*Fans!$L$2))</f>
        <v>27.853425150025053</v>
      </c>
      <c r="K83" s="345">
        <f>IF(Age="existing",IF(Fans!$L$2-Fans!K72&lt;=0,0,Fans!$L$2-Fans!K72),IF(K72&lt;(2/3)*Fans!$L$2,Fans!$L$2-Fans!K72,(1/3)*Fans!$L$2))</f>
        <v>27.832276171321812</v>
      </c>
      <c r="L83" s="345">
        <f>IF(Age="existing",IF(Fans!$L$2-Fans!L72&lt;=0,0,Fans!$L$2-Fans!L72),IF(L72&lt;(2/3)*Fans!$L$2,Fans!$L$2-Fans!L72,(1/3)*Fans!$L$2))</f>
        <v>27.726531277805616</v>
      </c>
      <c r="M83" s="345">
        <f>IF(Age="existing",IF(Fans!$L$2-Fans!M72&lt;=0,0,Fans!$L$2-Fans!M72),IF(M72&lt;(2/3)*Fans!$L$2,Fans!$L$2-Fans!M72,(1/3)*Fans!$L$2))</f>
        <v>27.811127192618574</v>
      </c>
      <c r="N83" s="345">
        <f>IF(Age="existing",IF(Fans!$L$2-Fans!N72&lt;=0,0,Fans!$L$2-Fans!N72),IF(N72&lt;(2/3)*Fans!$L$2,Fans!$L$2-Fans!N72,(1/3)*Fans!$L$2))</f>
        <v>27.705382299102375</v>
      </c>
      <c r="O83" s="345">
        <f>IF(Age="existing",IF(Fans!$L$2-Fans!O72&lt;=0,0,Fans!$L$2-Fans!O72),IF(O72&lt;(2/3)*Fans!$L$2,Fans!$L$2-Fans!O72,(1/3)*Fans!$L$2))</f>
        <v>27.663084341695896</v>
      </c>
      <c r="P83" s="345">
        <f>IF(Age="existing",IF(Fans!$L$2-Fans!P72&lt;=0,0,Fans!$L$2-Fans!P72),IF(P72&lt;(2/3)*Fans!$L$2,Fans!$L$2-Fans!P72,(1/3)*Fans!$L$2))</f>
        <v>27.515041490773218</v>
      </c>
      <c r="Q83" s="345">
        <f>IF(Age="existing",IF(Fans!$L$2-Fans!Q72&lt;=0,0,Fans!$L$2-Fans!Q72),IF(Q72&lt;(2/3)*Fans!$L$2,Fans!$L$2-Fans!Q72,(1/3)*Fans!$L$2))</f>
        <v>27.515041490773218</v>
      </c>
      <c r="R83" s="126" t="s">
        <v>689</v>
      </c>
      <c r="S83" s="1">
        <v>84.5</v>
      </c>
    </row>
    <row r="84" spans="1:19" ht="15" customHeight="1">
      <c r="A84" s="345" t="s">
        <v>885</v>
      </c>
      <c r="B84" s="345" t="s">
        <v>748</v>
      </c>
      <c r="C84" s="346">
        <f>$L$2</f>
        <v>28.995470000000001</v>
      </c>
      <c r="D84" s="346">
        <f t="shared" ref="D84:Q84" si="15">$L$2</f>
        <v>28.995470000000001</v>
      </c>
      <c r="E84" s="346">
        <f t="shared" si="15"/>
        <v>28.995470000000001</v>
      </c>
      <c r="F84" s="346">
        <f t="shared" si="15"/>
        <v>28.995470000000001</v>
      </c>
      <c r="G84" s="346">
        <f t="shared" si="15"/>
        <v>28.995470000000001</v>
      </c>
      <c r="H84" s="346">
        <f t="shared" si="15"/>
        <v>28.995470000000001</v>
      </c>
      <c r="I84" s="346">
        <f t="shared" si="15"/>
        <v>28.995470000000001</v>
      </c>
      <c r="J84" s="346">
        <f t="shared" si="15"/>
        <v>28.995470000000001</v>
      </c>
      <c r="K84" s="346">
        <f t="shared" si="15"/>
        <v>28.995470000000001</v>
      </c>
      <c r="L84" s="346">
        <f t="shared" si="15"/>
        <v>28.995470000000001</v>
      </c>
      <c r="M84" s="346">
        <f t="shared" si="15"/>
        <v>28.995470000000001</v>
      </c>
      <c r="N84" s="346">
        <f t="shared" si="15"/>
        <v>28.995470000000001</v>
      </c>
      <c r="O84" s="346">
        <f t="shared" si="15"/>
        <v>28.995470000000001</v>
      </c>
      <c r="P84" s="346">
        <f t="shared" si="15"/>
        <v>28.995470000000001</v>
      </c>
      <c r="Q84" s="346">
        <f t="shared" si="15"/>
        <v>28.995470000000001</v>
      </c>
      <c r="R84" s="344"/>
    </row>
    <row r="85" spans="1:19" ht="15" customHeight="1">
      <c r="A85" s="345"/>
      <c r="B85" s="347"/>
      <c r="C85" s="347"/>
      <c r="D85" s="347"/>
      <c r="E85" s="347"/>
      <c r="F85" s="347"/>
      <c r="G85" s="347"/>
      <c r="H85" s="347"/>
      <c r="I85" s="347"/>
      <c r="J85" s="347"/>
      <c r="K85" s="347"/>
      <c r="L85" s="347"/>
      <c r="M85" s="347"/>
      <c r="N85" s="347"/>
      <c r="O85" s="347"/>
      <c r="P85" s="347"/>
      <c r="Q85" s="347"/>
    </row>
    <row r="86" spans="1:19" ht="15" customHeight="1">
      <c r="A86" s="71" t="s">
        <v>886</v>
      </c>
      <c r="B86" s="219"/>
      <c r="C86" s="219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</row>
    <row r="87" spans="1:19" ht="15" customHeight="1">
      <c r="A87" s="71" t="s">
        <v>875</v>
      </c>
      <c r="B87" s="71"/>
      <c r="C87" s="71" t="s">
        <v>639</v>
      </c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</row>
    <row r="88" spans="1:19" ht="15" customHeight="1">
      <c r="A88" s="71" t="s">
        <v>873</v>
      </c>
      <c r="B88" s="71" t="s">
        <v>872</v>
      </c>
      <c r="C88" s="71" t="s">
        <v>707</v>
      </c>
      <c r="D88" s="71" t="s">
        <v>656</v>
      </c>
      <c r="E88" s="71" t="s">
        <v>657</v>
      </c>
      <c r="F88" s="71" t="s">
        <v>658</v>
      </c>
      <c r="G88" s="71" t="s">
        <v>659</v>
      </c>
      <c r="H88" s="71" t="s">
        <v>660</v>
      </c>
      <c r="I88" s="71" t="s">
        <v>661</v>
      </c>
      <c r="J88" s="71" t="s">
        <v>662</v>
      </c>
      <c r="K88" s="71" t="s">
        <v>663</v>
      </c>
      <c r="L88" s="71" t="s">
        <v>664</v>
      </c>
      <c r="M88" s="71" t="s">
        <v>665</v>
      </c>
      <c r="N88" s="71" t="s">
        <v>666</v>
      </c>
      <c r="O88" s="71" t="s">
        <v>667</v>
      </c>
      <c r="P88" s="71">
        <v>7</v>
      </c>
      <c r="Q88" s="71">
        <v>8</v>
      </c>
    </row>
    <row r="89" spans="1:19" ht="15" customHeight="1">
      <c r="A89" s="71">
        <v>10</v>
      </c>
      <c r="B89" s="219">
        <f>Leakage!AF11</f>
        <v>0.50772882298229505</v>
      </c>
      <c r="C89" s="219">
        <f>1.1*C78</f>
        <v>15.998034674731445</v>
      </c>
      <c r="D89" s="219">
        <f t="shared" ref="D89:Q89" si="16">1.1*D78</f>
        <v>15.61030339850538</v>
      </c>
      <c r="E89" s="219">
        <f t="shared" si="16"/>
        <v>15.222572122279317</v>
      </c>
      <c r="F89" s="219">
        <f t="shared" si="16"/>
        <v>14.059378293601132</v>
      </c>
      <c r="G89" s="219">
        <f t="shared" si="16"/>
        <v>13.283915741149006</v>
      </c>
      <c r="H89" s="219">
        <f t="shared" si="16"/>
        <v>10.631672333333334</v>
      </c>
      <c r="I89" s="219">
        <f t="shared" si="16"/>
        <v>12.508453188696881</v>
      </c>
      <c r="J89" s="219">
        <f t="shared" si="16"/>
        <v>10.957528083792628</v>
      </c>
      <c r="K89" s="219">
        <f t="shared" si="16"/>
        <v>10.631672333333334</v>
      </c>
      <c r="L89" s="219">
        <f t="shared" si="16"/>
        <v>10.631672333333334</v>
      </c>
      <c r="M89" s="219">
        <f t="shared" si="16"/>
        <v>10.631672333333334</v>
      </c>
      <c r="N89" s="219">
        <f t="shared" si="16"/>
        <v>10.631672333333334</v>
      </c>
      <c r="O89" s="219">
        <f t="shared" si="16"/>
        <v>10.631672333333334</v>
      </c>
      <c r="P89" s="219">
        <f t="shared" si="16"/>
        <v>10.631672333333334</v>
      </c>
      <c r="Q89" s="219">
        <f t="shared" si="16"/>
        <v>10.631672333333334</v>
      </c>
    </row>
    <row r="90" spans="1:19" ht="15" customHeight="1">
      <c r="A90" s="71">
        <v>7</v>
      </c>
      <c r="B90" s="219">
        <f>Leakage!AF12</f>
        <v>0.35541017608760656</v>
      </c>
      <c r="C90" s="219">
        <f t="shared" ref="C90:Q90" si="17">1.1*C79</f>
        <v>20.767129372312009</v>
      </c>
      <c r="D90" s="219">
        <f t="shared" si="17"/>
        <v>20.495717478953768</v>
      </c>
      <c r="E90" s="219">
        <f t="shared" si="17"/>
        <v>20.22430558559552</v>
      </c>
      <c r="F90" s="219">
        <f t="shared" si="17"/>
        <v>19.410069905520789</v>
      </c>
      <c r="G90" s="219">
        <f t="shared" si="17"/>
        <v>18.867246118804307</v>
      </c>
      <c r="H90" s="219">
        <f t="shared" si="17"/>
        <v>15.61030339850538</v>
      </c>
      <c r="I90" s="219">
        <f t="shared" si="17"/>
        <v>18.324422332087817</v>
      </c>
      <c r="J90" s="219">
        <f t="shared" si="17"/>
        <v>17.238774758654841</v>
      </c>
      <c r="K90" s="219">
        <f t="shared" si="17"/>
        <v>16.967362865296597</v>
      </c>
      <c r="L90" s="219">
        <f t="shared" si="17"/>
        <v>15.61030339850538</v>
      </c>
      <c r="M90" s="219">
        <f t="shared" si="17"/>
        <v>16.695950971938352</v>
      </c>
      <c r="N90" s="219">
        <f t="shared" si="17"/>
        <v>15.338891505147137</v>
      </c>
      <c r="O90" s="219">
        <f t="shared" si="17"/>
        <v>14.796067718430647</v>
      </c>
      <c r="P90" s="219">
        <f t="shared" si="17"/>
        <v>12.896184464922944</v>
      </c>
      <c r="Q90" s="219">
        <f t="shared" si="17"/>
        <v>12.896184464922944</v>
      </c>
    </row>
    <row r="91" spans="1:19" ht="15" customHeight="1">
      <c r="A91" s="71">
        <v>5</v>
      </c>
      <c r="B91" s="219">
        <f>Leakage!AF13</f>
        <v>0.25386441149114752</v>
      </c>
      <c r="C91" s="219">
        <f t="shared" ref="C91:Q91" si="18">1.1*C80</f>
        <v>23.946525837365723</v>
      </c>
      <c r="D91" s="219">
        <f t="shared" si="18"/>
        <v>23.752660199252691</v>
      </c>
      <c r="E91" s="219">
        <f t="shared" si="18"/>
        <v>23.55879456113966</v>
      </c>
      <c r="F91" s="219">
        <f t="shared" si="18"/>
        <v>22.977197646800569</v>
      </c>
      <c r="G91" s="219">
        <f t="shared" si="18"/>
        <v>22.589466370574506</v>
      </c>
      <c r="H91" s="219">
        <f t="shared" si="18"/>
        <v>20.263078713218128</v>
      </c>
      <c r="I91" s="219">
        <f t="shared" si="18"/>
        <v>22.201735094348447</v>
      </c>
      <c r="J91" s="219">
        <f t="shared" si="18"/>
        <v>21.426272541896314</v>
      </c>
      <c r="K91" s="219">
        <f t="shared" si="18"/>
        <v>21.232406903783282</v>
      </c>
      <c r="L91" s="219">
        <f t="shared" si="18"/>
        <v>20.263078713218128</v>
      </c>
      <c r="M91" s="219">
        <f t="shared" si="18"/>
        <v>21.038541265670251</v>
      </c>
      <c r="N91" s="219">
        <f t="shared" si="18"/>
        <v>20.069213075105097</v>
      </c>
      <c r="O91" s="219">
        <f t="shared" si="18"/>
        <v>19.681481798879037</v>
      </c>
      <c r="P91" s="219">
        <f t="shared" si="18"/>
        <v>18.324422332087821</v>
      </c>
      <c r="Q91" s="219">
        <f t="shared" si="18"/>
        <v>18.324422332087821</v>
      </c>
    </row>
    <row r="92" spans="1:19" ht="15" customHeight="1">
      <c r="A92" s="71">
        <v>3</v>
      </c>
      <c r="B92" s="219">
        <f>Leakage!AF14</f>
        <v>0.15231864689468855</v>
      </c>
      <c r="C92" s="219">
        <f t="shared" ref="C92:Q92" si="19">1.1*C81</f>
        <v>27.125922302419433</v>
      </c>
      <c r="D92" s="219">
        <f t="shared" si="19"/>
        <v>27.009602919551615</v>
      </c>
      <c r="E92" s="219">
        <f t="shared" si="19"/>
        <v>26.8932835366838</v>
      </c>
      <c r="F92" s="219">
        <f t="shared" si="19"/>
        <v>26.544325388080338</v>
      </c>
      <c r="G92" s="219">
        <f t="shared" si="19"/>
        <v>26.311686622344702</v>
      </c>
      <c r="H92" s="219">
        <f t="shared" si="19"/>
        <v>24.915854027930877</v>
      </c>
      <c r="I92" s="219">
        <f t="shared" si="19"/>
        <v>26.079047856609066</v>
      </c>
      <c r="J92" s="219">
        <f t="shared" si="19"/>
        <v>25.613770325137793</v>
      </c>
      <c r="K92" s="219">
        <f t="shared" si="19"/>
        <v>25.497450942269968</v>
      </c>
      <c r="L92" s="219">
        <f t="shared" si="19"/>
        <v>24.915854027930877</v>
      </c>
      <c r="M92" s="219">
        <f t="shared" si="19"/>
        <v>25.381131559402153</v>
      </c>
      <c r="N92" s="219">
        <f t="shared" si="19"/>
        <v>24.799534645063062</v>
      </c>
      <c r="O92" s="219">
        <f t="shared" si="19"/>
        <v>24.566895879327422</v>
      </c>
      <c r="P92" s="219">
        <f t="shared" si="19"/>
        <v>23.752660199252691</v>
      </c>
      <c r="Q92" s="219">
        <f t="shared" si="19"/>
        <v>23.752660199252691</v>
      </c>
    </row>
    <row r="93" spans="1:19" ht="15" customHeight="1">
      <c r="A93" s="71">
        <v>1.5</v>
      </c>
      <c r="B93" s="219">
        <f>Leakage!AF15</f>
        <v>7.6159323447344274E-2</v>
      </c>
      <c r="C93" s="219">
        <f t="shared" ref="C93:Q93" si="20">1.1*C82</f>
        <v>29.510469651209718</v>
      </c>
      <c r="D93" s="219">
        <f t="shared" si="20"/>
        <v>29.45230995977581</v>
      </c>
      <c r="E93" s="219">
        <f t="shared" si="20"/>
        <v>29.3941502683419</v>
      </c>
      <c r="F93" s="219">
        <f t="shared" si="20"/>
        <v>29.219671194040174</v>
      </c>
      <c r="G93" s="219">
        <f t="shared" si="20"/>
        <v>29.103351811172352</v>
      </c>
      <c r="H93" s="219">
        <f t="shared" si="20"/>
        <v>28.405435513965443</v>
      </c>
      <c r="I93" s="219">
        <f t="shared" si="20"/>
        <v>28.987032428304534</v>
      </c>
      <c r="J93" s="219">
        <f t="shared" si="20"/>
        <v>28.754393662568894</v>
      </c>
      <c r="K93" s="219">
        <f t="shared" si="20"/>
        <v>28.696233971134987</v>
      </c>
      <c r="L93" s="219">
        <f t="shared" si="20"/>
        <v>28.405435513965443</v>
      </c>
      <c r="M93" s="219">
        <f t="shared" si="20"/>
        <v>28.638074279701076</v>
      </c>
      <c r="N93" s="219">
        <f t="shared" si="20"/>
        <v>28.347275822531529</v>
      </c>
      <c r="O93" s="219">
        <f t="shared" si="20"/>
        <v>28.230956439663711</v>
      </c>
      <c r="P93" s="219">
        <f t="shared" si="20"/>
        <v>27.823838599626345</v>
      </c>
      <c r="Q93" s="219">
        <f t="shared" si="20"/>
        <v>27.823838599626345</v>
      </c>
    </row>
    <row r="94" spans="1:19" ht="15" customHeight="1">
      <c r="A94" s="71">
        <v>0.6</v>
      </c>
      <c r="B94" s="219">
        <f>Leakage!AF16</f>
        <v>3.0463729378937706E-2</v>
      </c>
      <c r="C94" s="219">
        <f t="shared" ref="C94:Q94" si="21">1.1*C83</f>
        <v>30.941198060483892</v>
      </c>
      <c r="D94" s="219">
        <f t="shared" si="21"/>
        <v>30.917934183910326</v>
      </c>
      <c r="E94" s="219">
        <f t="shared" si="21"/>
        <v>30.89467030733676</v>
      </c>
      <c r="F94" s="219">
        <f t="shared" si="21"/>
        <v>30.824878677616073</v>
      </c>
      <c r="G94" s="219">
        <f t="shared" si="21"/>
        <v>30.778350924468945</v>
      </c>
      <c r="H94" s="219">
        <f t="shared" si="21"/>
        <v>30.499184405586181</v>
      </c>
      <c r="I94" s="219">
        <f t="shared" si="21"/>
        <v>30.731823171321814</v>
      </c>
      <c r="J94" s="219">
        <f t="shared" si="21"/>
        <v>30.638767665027562</v>
      </c>
      <c r="K94" s="219">
        <f t="shared" si="21"/>
        <v>30.615503788453996</v>
      </c>
      <c r="L94" s="219">
        <f t="shared" si="21"/>
        <v>30.499184405586181</v>
      </c>
      <c r="M94" s="219">
        <f t="shared" si="21"/>
        <v>30.592239911880434</v>
      </c>
      <c r="N94" s="219">
        <f t="shared" si="21"/>
        <v>30.475920529012615</v>
      </c>
      <c r="O94" s="219">
        <f t="shared" si="21"/>
        <v>30.429392775865487</v>
      </c>
      <c r="P94" s="219">
        <f t="shared" si="21"/>
        <v>30.266545639850541</v>
      </c>
      <c r="Q94" s="219">
        <f t="shared" si="21"/>
        <v>30.266545639850541</v>
      </c>
    </row>
    <row r="95" spans="1:19" ht="15" customHeight="1">
      <c r="A95" s="71"/>
      <c r="B95" s="219"/>
      <c r="C95" s="219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</row>
    <row r="96" spans="1:19" ht="15" customHeight="1">
      <c r="A96" s="345" t="s">
        <v>880</v>
      </c>
      <c r="B96" s="347"/>
      <c r="C96" s="347"/>
      <c r="D96" s="347"/>
      <c r="E96" s="347"/>
      <c r="F96" s="347"/>
      <c r="G96" s="347"/>
      <c r="H96" s="347"/>
      <c r="I96" s="347"/>
      <c r="J96" s="347"/>
      <c r="K96" s="347"/>
      <c r="L96" s="347"/>
      <c r="M96" s="347"/>
      <c r="N96" s="347"/>
      <c r="O96" s="347"/>
      <c r="P96" s="347"/>
      <c r="Q96" s="347"/>
    </row>
    <row r="97" spans="1:17" ht="15" customHeight="1">
      <c r="A97" s="345" t="s">
        <v>881</v>
      </c>
      <c r="B97" s="347"/>
      <c r="C97" s="345" t="s">
        <v>639</v>
      </c>
      <c r="D97" s="345"/>
      <c r="E97" s="345"/>
      <c r="F97" s="345"/>
      <c r="G97" s="345"/>
      <c r="H97" s="345"/>
      <c r="I97" s="345"/>
      <c r="J97" s="345"/>
      <c r="K97" s="345"/>
      <c r="L97" s="345"/>
      <c r="M97" s="345"/>
      <c r="N97" s="345"/>
      <c r="O97" s="345"/>
      <c r="P97" s="345"/>
      <c r="Q97" s="345"/>
    </row>
    <row r="98" spans="1:17" ht="15" customHeight="1">
      <c r="A98" s="345" t="s">
        <v>873</v>
      </c>
      <c r="B98" s="347"/>
      <c r="C98" s="345" t="s">
        <v>707</v>
      </c>
      <c r="D98" s="345" t="s">
        <v>656</v>
      </c>
      <c r="E98" s="345" t="s">
        <v>657</v>
      </c>
      <c r="F98" s="345" t="s">
        <v>658</v>
      </c>
      <c r="G98" s="345" t="s">
        <v>659</v>
      </c>
      <c r="H98" s="345" t="s">
        <v>660</v>
      </c>
      <c r="I98" s="345" t="s">
        <v>661</v>
      </c>
      <c r="J98" s="345" t="s">
        <v>662</v>
      </c>
      <c r="K98" s="345" t="s">
        <v>663</v>
      </c>
      <c r="L98" s="345" t="s">
        <v>664</v>
      </c>
      <c r="M98" s="345" t="s">
        <v>665</v>
      </c>
      <c r="N98" s="345" t="s">
        <v>666</v>
      </c>
      <c r="O98" s="345" t="s">
        <v>667</v>
      </c>
      <c r="P98" s="345">
        <v>7</v>
      </c>
      <c r="Q98" s="345">
        <v>8</v>
      </c>
    </row>
    <row r="99" spans="1:17" ht="15" customHeight="1">
      <c r="A99" s="345">
        <v>10</v>
      </c>
      <c r="B99" s="347">
        <f>Leakage!AF11</f>
        <v>0.50772882298229505</v>
      </c>
      <c r="C99" s="347">
        <f>C78*0.4361</f>
        <v>6.3424935651367109</v>
      </c>
      <c r="D99" s="347">
        <f t="shared" ref="D99:Q99" si="22">D78*0.4361</f>
        <v>6.1887757382619961</v>
      </c>
      <c r="E99" s="347">
        <f t="shared" si="22"/>
        <v>6.0350579113872813</v>
      </c>
      <c r="F99" s="347">
        <f t="shared" si="22"/>
        <v>5.5739044307631396</v>
      </c>
      <c r="G99" s="347">
        <f t="shared" si="22"/>
        <v>5.26646877701371</v>
      </c>
      <c r="H99" s="347">
        <f t="shared" si="22"/>
        <v>4.2149748223333328</v>
      </c>
      <c r="I99" s="347">
        <f t="shared" si="22"/>
        <v>4.9590331232642813</v>
      </c>
      <c r="J99" s="347">
        <f t="shared" si="22"/>
        <v>4.344161815765422</v>
      </c>
      <c r="K99" s="347">
        <f t="shared" si="22"/>
        <v>4.2149748223333328</v>
      </c>
      <c r="L99" s="347">
        <f t="shared" si="22"/>
        <v>4.2149748223333328</v>
      </c>
      <c r="M99" s="347">
        <f t="shared" si="22"/>
        <v>4.2149748223333328</v>
      </c>
      <c r="N99" s="347">
        <f t="shared" si="22"/>
        <v>4.2149748223333328</v>
      </c>
      <c r="O99" s="347">
        <f t="shared" si="22"/>
        <v>4.2149748223333328</v>
      </c>
      <c r="P99" s="347">
        <f t="shared" si="22"/>
        <v>4.2149748223333328</v>
      </c>
      <c r="Q99" s="347">
        <f t="shared" si="22"/>
        <v>4.2149748223333328</v>
      </c>
    </row>
    <row r="100" spans="1:17" ht="15" customHeight="1">
      <c r="A100" s="345">
        <v>7</v>
      </c>
      <c r="B100" s="347">
        <f>Leakage!AF12</f>
        <v>0.35541017608760656</v>
      </c>
      <c r="C100" s="347">
        <f t="shared" ref="C100:Q100" si="23">C79*0.4361</f>
        <v>8.2332228356956971</v>
      </c>
      <c r="D100" s="347">
        <f t="shared" si="23"/>
        <v>8.1256203568833971</v>
      </c>
      <c r="E100" s="347">
        <f t="shared" si="23"/>
        <v>8.0180178780710971</v>
      </c>
      <c r="F100" s="347">
        <f t="shared" si="23"/>
        <v>7.6952104416341962</v>
      </c>
      <c r="G100" s="347">
        <f t="shared" si="23"/>
        <v>7.4800054840095971</v>
      </c>
      <c r="H100" s="347">
        <f t="shared" si="23"/>
        <v>6.1887757382619961</v>
      </c>
      <c r="I100" s="347">
        <f t="shared" si="23"/>
        <v>7.2648005263849971</v>
      </c>
      <c r="J100" s="347">
        <f t="shared" si="23"/>
        <v>6.8343906111357953</v>
      </c>
      <c r="K100" s="347">
        <f t="shared" si="23"/>
        <v>6.7267881323234953</v>
      </c>
      <c r="L100" s="347">
        <f t="shared" si="23"/>
        <v>6.1887757382619961</v>
      </c>
      <c r="M100" s="347">
        <f t="shared" si="23"/>
        <v>6.6191856535111953</v>
      </c>
      <c r="N100" s="347">
        <f t="shared" si="23"/>
        <v>6.0811732594496961</v>
      </c>
      <c r="O100" s="347">
        <f t="shared" si="23"/>
        <v>5.8659683018250952</v>
      </c>
      <c r="P100" s="347">
        <f t="shared" si="23"/>
        <v>5.1127509501389952</v>
      </c>
      <c r="Q100" s="347">
        <f t="shared" si="23"/>
        <v>5.1127509501389952</v>
      </c>
    </row>
    <row r="101" spans="1:17" ht="15" customHeight="1">
      <c r="A101" s="345">
        <v>5</v>
      </c>
      <c r="B101" s="347">
        <f>Leakage!AF13</f>
        <v>0.25386441149114752</v>
      </c>
      <c r="C101" s="347">
        <f t="shared" ref="C101:Q101" si="24">C80*0.4361</f>
        <v>9.4937090160683546</v>
      </c>
      <c r="D101" s="347">
        <f t="shared" si="24"/>
        <v>9.4168501026309972</v>
      </c>
      <c r="E101" s="347">
        <f t="shared" si="24"/>
        <v>9.3399911891936416</v>
      </c>
      <c r="F101" s="347">
        <f t="shared" si="24"/>
        <v>9.1094144488815694</v>
      </c>
      <c r="G101" s="347">
        <f t="shared" si="24"/>
        <v>8.9556966220068563</v>
      </c>
      <c r="H101" s="347">
        <f t="shared" si="24"/>
        <v>8.0333896607585675</v>
      </c>
      <c r="I101" s="347">
        <f t="shared" si="24"/>
        <v>8.8019787951321415</v>
      </c>
      <c r="J101" s="347">
        <f t="shared" si="24"/>
        <v>8.4945431413827102</v>
      </c>
      <c r="K101" s="347">
        <f t="shared" si="24"/>
        <v>8.4176842279453528</v>
      </c>
      <c r="L101" s="347">
        <f t="shared" si="24"/>
        <v>8.0333896607585675</v>
      </c>
      <c r="M101" s="347">
        <f t="shared" si="24"/>
        <v>8.3408253145079971</v>
      </c>
      <c r="N101" s="347">
        <f t="shared" si="24"/>
        <v>7.956530747321211</v>
      </c>
      <c r="O101" s="347">
        <f t="shared" si="24"/>
        <v>7.8028129204464971</v>
      </c>
      <c r="P101" s="347">
        <f t="shared" si="24"/>
        <v>7.264800526384998</v>
      </c>
      <c r="Q101" s="347">
        <f t="shared" si="24"/>
        <v>7.264800526384998</v>
      </c>
    </row>
    <row r="102" spans="1:17" ht="15" customHeight="1">
      <c r="A102" s="345">
        <v>3</v>
      </c>
      <c r="B102" s="347">
        <f>Leakage!AF14</f>
        <v>0.15231864689468855</v>
      </c>
      <c r="C102" s="347">
        <f t="shared" ref="C102:Q102" si="25">C81*0.4361</f>
        <v>10.754195196441012</v>
      </c>
      <c r="D102" s="347">
        <f t="shared" si="25"/>
        <v>10.708079848378597</v>
      </c>
      <c r="E102" s="347">
        <f t="shared" si="25"/>
        <v>10.661964500316184</v>
      </c>
      <c r="F102" s="347">
        <f t="shared" si="25"/>
        <v>10.52361845612894</v>
      </c>
      <c r="G102" s="347">
        <f t="shared" si="25"/>
        <v>10.431387760004112</v>
      </c>
      <c r="H102" s="347">
        <f t="shared" si="25"/>
        <v>9.8780035832551398</v>
      </c>
      <c r="I102" s="347">
        <f t="shared" si="25"/>
        <v>10.339157063879284</v>
      </c>
      <c r="J102" s="347">
        <f t="shared" si="25"/>
        <v>10.154695671629627</v>
      </c>
      <c r="K102" s="347">
        <f t="shared" si="25"/>
        <v>10.10858032356721</v>
      </c>
      <c r="L102" s="347">
        <f t="shared" si="25"/>
        <v>9.8780035832551398</v>
      </c>
      <c r="M102" s="347">
        <f t="shared" si="25"/>
        <v>10.062464975504797</v>
      </c>
      <c r="N102" s="347">
        <f t="shared" si="25"/>
        <v>9.8318882351927268</v>
      </c>
      <c r="O102" s="347">
        <f t="shared" si="25"/>
        <v>9.7396575390678972</v>
      </c>
      <c r="P102" s="347">
        <f t="shared" si="25"/>
        <v>9.4168501026309972</v>
      </c>
      <c r="Q102" s="347">
        <f t="shared" si="25"/>
        <v>9.4168501026309972</v>
      </c>
    </row>
    <row r="103" spans="1:17" ht="15" customHeight="1">
      <c r="A103" s="345">
        <v>1.5</v>
      </c>
      <c r="B103" s="347">
        <f>Leakage!AF15</f>
        <v>7.6159323447344274E-2</v>
      </c>
      <c r="C103" s="347">
        <f t="shared" ref="C103:Q103" si="26">C82*0.4361</f>
        <v>11.699559831720507</v>
      </c>
      <c r="D103" s="347">
        <f t="shared" si="26"/>
        <v>11.676502157689299</v>
      </c>
      <c r="E103" s="347">
        <f t="shared" si="26"/>
        <v>11.653444483658092</v>
      </c>
      <c r="F103" s="347">
        <f t="shared" si="26"/>
        <v>11.584271461564471</v>
      </c>
      <c r="G103" s="347">
        <f t="shared" si="26"/>
        <v>11.538156113502056</v>
      </c>
      <c r="H103" s="347">
        <f t="shared" si="26"/>
        <v>11.261464025127571</v>
      </c>
      <c r="I103" s="347">
        <f t="shared" si="26"/>
        <v>11.492040765439642</v>
      </c>
      <c r="J103" s="347">
        <f t="shared" si="26"/>
        <v>11.399810069314812</v>
      </c>
      <c r="K103" s="347">
        <f t="shared" si="26"/>
        <v>11.376752395283606</v>
      </c>
      <c r="L103" s="347">
        <f t="shared" si="26"/>
        <v>11.261464025127571</v>
      </c>
      <c r="M103" s="347">
        <f t="shared" si="26"/>
        <v>11.353694721252397</v>
      </c>
      <c r="N103" s="347">
        <f t="shared" si="26"/>
        <v>11.238406351096362</v>
      </c>
      <c r="O103" s="347">
        <f t="shared" si="26"/>
        <v>11.192291003033947</v>
      </c>
      <c r="P103" s="347">
        <f t="shared" si="26"/>
        <v>11.030887284815497</v>
      </c>
      <c r="Q103" s="347">
        <f t="shared" si="26"/>
        <v>11.030887284815497</v>
      </c>
    </row>
    <row r="104" spans="1:17" ht="15" customHeight="1">
      <c r="A104" s="345">
        <v>0.6</v>
      </c>
      <c r="B104" s="347">
        <f>Leakage!AF16</f>
        <v>3.0463729378937706E-2</v>
      </c>
      <c r="C104" s="347">
        <f t="shared" ref="C104:Q104" si="27">C83*0.4361</f>
        <v>12.266778612888203</v>
      </c>
      <c r="D104" s="347">
        <f t="shared" si="27"/>
        <v>12.25755554327572</v>
      </c>
      <c r="E104" s="347">
        <f t="shared" si="27"/>
        <v>12.248332473663236</v>
      </c>
      <c r="F104" s="347">
        <f t="shared" si="27"/>
        <v>12.22066326482579</v>
      </c>
      <c r="G104" s="347">
        <f t="shared" si="27"/>
        <v>12.202217125600823</v>
      </c>
      <c r="H104" s="347">
        <f t="shared" si="27"/>
        <v>12.091540290251029</v>
      </c>
      <c r="I104" s="347">
        <f t="shared" si="27"/>
        <v>12.183770986375857</v>
      </c>
      <c r="J104" s="347">
        <f t="shared" si="27"/>
        <v>12.146878707925925</v>
      </c>
      <c r="K104" s="347">
        <f t="shared" si="27"/>
        <v>12.137655638313442</v>
      </c>
      <c r="L104" s="347">
        <f t="shared" si="27"/>
        <v>12.091540290251029</v>
      </c>
      <c r="M104" s="347">
        <f t="shared" si="27"/>
        <v>12.12843256870096</v>
      </c>
      <c r="N104" s="347">
        <f t="shared" si="27"/>
        <v>12.082317220638545</v>
      </c>
      <c r="O104" s="347">
        <f t="shared" si="27"/>
        <v>12.063871081413581</v>
      </c>
      <c r="P104" s="347">
        <f t="shared" si="27"/>
        <v>11.999309594126199</v>
      </c>
      <c r="Q104" s="347">
        <f t="shared" si="27"/>
        <v>11.999309594126199</v>
      </c>
    </row>
    <row r="105" spans="1:17" ht="15" customHeight="1">
      <c r="A105" s="345" t="s">
        <v>885</v>
      </c>
      <c r="B105" s="347" t="s">
        <v>748</v>
      </c>
      <c r="C105" s="347">
        <f t="shared" ref="C105:Q105" si="28">C84*0.4361</f>
        <v>12.644924467000001</v>
      </c>
      <c r="D105" s="347">
        <f t="shared" si="28"/>
        <v>12.644924467000001</v>
      </c>
      <c r="E105" s="347">
        <f t="shared" si="28"/>
        <v>12.644924467000001</v>
      </c>
      <c r="F105" s="347">
        <f t="shared" si="28"/>
        <v>12.644924467000001</v>
      </c>
      <c r="G105" s="347">
        <f t="shared" si="28"/>
        <v>12.644924467000001</v>
      </c>
      <c r="H105" s="347">
        <f t="shared" si="28"/>
        <v>12.644924467000001</v>
      </c>
      <c r="I105" s="347">
        <f t="shared" si="28"/>
        <v>12.644924467000001</v>
      </c>
      <c r="J105" s="347">
        <f t="shared" si="28"/>
        <v>12.644924467000001</v>
      </c>
      <c r="K105" s="347">
        <f t="shared" si="28"/>
        <v>12.644924467000001</v>
      </c>
      <c r="L105" s="347">
        <f t="shared" si="28"/>
        <v>12.644924467000001</v>
      </c>
      <c r="M105" s="347">
        <f t="shared" si="28"/>
        <v>12.644924467000001</v>
      </c>
      <c r="N105" s="347">
        <f t="shared" si="28"/>
        <v>12.644924467000001</v>
      </c>
      <c r="O105" s="347">
        <f t="shared" si="28"/>
        <v>12.644924467000001</v>
      </c>
      <c r="P105" s="347">
        <f t="shared" si="28"/>
        <v>12.644924467000001</v>
      </c>
      <c r="Q105" s="347">
        <f t="shared" si="28"/>
        <v>12.644924467000001</v>
      </c>
    </row>
    <row r="106" spans="1:17" ht="15" customHeight="1">
      <c r="A106" s="345"/>
      <c r="B106" s="347"/>
      <c r="C106" s="347"/>
      <c r="D106" s="347"/>
      <c r="E106" s="347"/>
      <c r="F106" s="347"/>
      <c r="G106" s="347"/>
      <c r="H106" s="347"/>
      <c r="I106" s="347"/>
      <c r="J106" s="347"/>
      <c r="K106" s="347"/>
      <c r="L106" s="347"/>
      <c r="M106" s="347"/>
      <c r="N106" s="347"/>
      <c r="O106" s="347"/>
      <c r="P106" s="347"/>
      <c r="Q106" s="347"/>
    </row>
    <row r="107" spans="1:17" ht="15" customHeight="1">
      <c r="A107" s="345"/>
      <c r="B107" s="347"/>
      <c r="C107" s="347"/>
      <c r="D107" s="347"/>
      <c r="E107" s="347"/>
      <c r="F107" s="347"/>
      <c r="G107" s="347">
        <f>43.3*0.4361</f>
        <v>18.883129999999998</v>
      </c>
      <c r="H107" s="347"/>
      <c r="I107" s="347"/>
      <c r="J107" s="347"/>
      <c r="K107" s="347"/>
      <c r="L107" s="347"/>
      <c r="M107" s="347"/>
      <c r="N107" s="347"/>
      <c r="O107" s="347"/>
      <c r="P107" s="347"/>
      <c r="Q107" s="347"/>
    </row>
    <row r="108" spans="1:17" ht="15" customHeight="1">
      <c r="A108" s="71" t="s">
        <v>887</v>
      </c>
      <c r="B108" s="219"/>
      <c r="C108" s="219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</row>
    <row r="109" spans="1:17" ht="15" customHeight="1">
      <c r="A109" s="71" t="s">
        <v>881</v>
      </c>
      <c r="B109" s="219"/>
      <c r="C109" s="71" t="s">
        <v>639</v>
      </c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</row>
    <row r="110" spans="1:17" ht="15" customHeight="1">
      <c r="A110" s="71" t="s">
        <v>873</v>
      </c>
      <c r="B110" s="219"/>
      <c r="C110" s="71" t="s">
        <v>707</v>
      </c>
      <c r="D110" s="71" t="s">
        <v>656</v>
      </c>
      <c r="E110" s="71" t="s">
        <v>657</v>
      </c>
      <c r="F110" s="71" t="s">
        <v>658</v>
      </c>
      <c r="G110" s="71" t="s">
        <v>659</v>
      </c>
      <c r="H110" s="71" t="s">
        <v>660</v>
      </c>
      <c r="I110" s="71" t="s">
        <v>661</v>
      </c>
      <c r="J110" s="71" t="s">
        <v>662</v>
      </c>
      <c r="K110" s="71" t="s">
        <v>663</v>
      </c>
      <c r="L110" s="71" t="s">
        <v>664</v>
      </c>
      <c r="M110" s="71" t="s">
        <v>665</v>
      </c>
      <c r="N110" s="71" t="s">
        <v>666</v>
      </c>
      <c r="O110" s="71" t="s">
        <v>667</v>
      </c>
      <c r="P110" s="71">
        <v>7</v>
      </c>
      <c r="Q110" s="71">
        <v>8</v>
      </c>
    </row>
    <row r="111" spans="1:17" ht="15" customHeight="1">
      <c r="A111" s="71">
        <v>10</v>
      </c>
      <c r="B111" s="219">
        <f>Leakage!AF11</f>
        <v>0.50772882298229505</v>
      </c>
      <c r="C111" s="219">
        <f>C99*1.1</f>
        <v>6.9767429216503825</v>
      </c>
      <c r="D111" s="219">
        <f t="shared" ref="D111:Q111" si="29">D99*1.1</f>
        <v>6.8076533120881964</v>
      </c>
      <c r="E111" s="219">
        <f t="shared" si="29"/>
        <v>6.6385637025260102</v>
      </c>
      <c r="F111" s="219">
        <f t="shared" si="29"/>
        <v>6.1312948738394537</v>
      </c>
      <c r="G111" s="219">
        <f t="shared" si="29"/>
        <v>5.7931156547150815</v>
      </c>
      <c r="H111" s="219">
        <f t="shared" si="29"/>
        <v>4.6364723045666665</v>
      </c>
      <c r="I111" s="219">
        <f t="shared" si="29"/>
        <v>5.4549364355907102</v>
      </c>
      <c r="J111" s="219">
        <f t="shared" si="29"/>
        <v>4.7785779973419649</v>
      </c>
      <c r="K111" s="219">
        <f t="shared" si="29"/>
        <v>4.6364723045666665</v>
      </c>
      <c r="L111" s="219">
        <f t="shared" si="29"/>
        <v>4.6364723045666665</v>
      </c>
      <c r="M111" s="219">
        <f t="shared" si="29"/>
        <v>4.6364723045666665</v>
      </c>
      <c r="N111" s="219">
        <f t="shared" si="29"/>
        <v>4.6364723045666665</v>
      </c>
      <c r="O111" s="219">
        <f t="shared" si="29"/>
        <v>4.6364723045666665</v>
      </c>
      <c r="P111" s="219">
        <f t="shared" si="29"/>
        <v>4.6364723045666665</v>
      </c>
      <c r="Q111" s="219">
        <f t="shared" si="29"/>
        <v>4.6364723045666665</v>
      </c>
    </row>
    <row r="112" spans="1:17" ht="15" customHeight="1">
      <c r="A112" s="71">
        <v>7</v>
      </c>
      <c r="B112" s="219">
        <f>Leakage!AF12</f>
        <v>0.35541017608760656</v>
      </c>
      <c r="C112" s="219">
        <f t="shared" ref="C112:Q112" si="30">C100*1.1</f>
        <v>9.0565451192652677</v>
      </c>
      <c r="D112" s="219">
        <f t="shared" si="30"/>
        <v>8.9381823925717381</v>
      </c>
      <c r="E112" s="219">
        <f t="shared" si="30"/>
        <v>8.8198196658782084</v>
      </c>
      <c r="F112" s="219">
        <f t="shared" si="30"/>
        <v>8.4647314857976159</v>
      </c>
      <c r="G112" s="219">
        <f t="shared" si="30"/>
        <v>8.2280060324105566</v>
      </c>
      <c r="H112" s="219">
        <f t="shared" si="30"/>
        <v>6.8076533120881964</v>
      </c>
      <c r="I112" s="219">
        <f t="shared" si="30"/>
        <v>7.9912805790234973</v>
      </c>
      <c r="J112" s="219">
        <f t="shared" si="30"/>
        <v>7.5178296722493752</v>
      </c>
      <c r="K112" s="219">
        <f t="shared" si="30"/>
        <v>7.3994669455558455</v>
      </c>
      <c r="L112" s="219">
        <f t="shared" si="30"/>
        <v>6.8076533120881964</v>
      </c>
      <c r="M112" s="219">
        <f t="shared" si="30"/>
        <v>7.281104218862315</v>
      </c>
      <c r="N112" s="219">
        <f t="shared" si="30"/>
        <v>6.6892905853946667</v>
      </c>
      <c r="O112" s="219">
        <f t="shared" si="30"/>
        <v>6.4525651320076056</v>
      </c>
      <c r="P112" s="219">
        <f t="shared" si="30"/>
        <v>5.6240260451528954</v>
      </c>
      <c r="Q112" s="219">
        <f t="shared" si="30"/>
        <v>5.6240260451528954</v>
      </c>
    </row>
    <row r="113" spans="1:17" ht="15" customHeight="1">
      <c r="A113" s="71">
        <v>5</v>
      </c>
      <c r="B113" s="219">
        <f>Leakage!AF13</f>
        <v>0.25386441149114752</v>
      </c>
      <c r="C113" s="219">
        <f t="shared" ref="C113:Q113" si="31">C101*1.1</f>
        <v>10.44307991767519</v>
      </c>
      <c r="D113" s="219">
        <f t="shared" si="31"/>
        <v>10.358535112894097</v>
      </c>
      <c r="E113" s="219">
        <f t="shared" si="31"/>
        <v>10.273990308113007</v>
      </c>
      <c r="F113" s="219">
        <f t="shared" si="31"/>
        <v>10.020355893769727</v>
      </c>
      <c r="G113" s="219">
        <f t="shared" si="31"/>
        <v>9.8512662842075436</v>
      </c>
      <c r="H113" s="219">
        <f t="shared" si="31"/>
        <v>8.8367286268344252</v>
      </c>
      <c r="I113" s="219">
        <f t="shared" si="31"/>
        <v>9.6821766746453566</v>
      </c>
      <c r="J113" s="219">
        <f t="shared" si="31"/>
        <v>9.3439974555209826</v>
      </c>
      <c r="K113" s="219">
        <f t="shared" si="31"/>
        <v>9.2594526507398882</v>
      </c>
      <c r="L113" s="219">
        <f t="shared" si="31"/>
        <v>8.8367286268344252</v>
      </c>
      <c r="M113" s="219">
        <f t="shared" si="31"/>
        <v>9.1749078459587974</v>
      </c>
      <c r="N113" s="219">
        <f t="shared" si="31"/>
        <v>8.7521838220533326</v>
      </c>
      <c r="O113" s="219">
        <f t="shared" si="31"/>
        <v>8.5830942124911473</v>
      </c>
      <c r="P113" s="219">
        <f t="shared" si="31"/>
        <v>7.9912805790234982</v>
      </c>
      <c r="Q113" s="219">
        <f t="shared" si="31"/>
        <v>7.9912805790234982</v>
      </c>
    </row>
    <row r="114" spans="1:17" ht="15" customHeight="1">
      <c r="A114" s="71">
        <v>3</v>
      </c>
      <c r="B114" s="219">
        <f>Leakage!AF14</f>
        <v>0.15231864689468855</v>
      </c>
      <c r="C114" s="219">
        <f t="shared" ref="C114:Q114" si="32">C102*1.1</f>
        <v>11.829614716085114</v>
      </c>
      <c r="D114" s="219">
        <f t="shared" si="32"/>
        <v>11.778887833216459</v>
      </c>
      <c r="E114" s="219">
        <f t="shared" si="32"/>
        <v>11.728160950347803</v>
      </c>
      <c r="F114" s="219">
        <f t="shared" si="32"/>
        <v>11.575980301741835</v>
      </c>
      <c r="G114" s="219">
        <f t="shared" si="32"/>
        <v>11.474526536004523</v>
      </c>
      <c r="H114" s="219">
        <f t="shared" si="32"/>
        <v>10.865803941580655</v>
      </c>
      <c r="I114" s="219">
        <f t="shared" si="32"/>
        <v>11.373072770267214</v>
      </c>
      <c r="J114" s="219">
        <f t="shared" si="32"/>
        <v>11.17016523879259</v>
      </c>
      <c r="K114" s="219">
        <f t="shared" si="32"/>
        <v>11.119438355923933</v>
      </c>
      <c r="L114" s="219">
        <f t="shared" si="32"/>
        <v>10.865803941580655</v>
      </c>
      <c r="M114" s="219">
        <f t="shared" si="32"/>
        <v>11.068711473055277</v>
      </c>
      <c r="N114" s="219">
        <f t="shared" si="32"/>
        <v>10.815077058712001</v>
      </c>
      <c r="O114" s="219">
        <f t="shared" si="32"/>
        <v>10.713623292974688</v>
      </c>
      <c r="P114" s="219">
        <f t="shared" si="32"/>
        <v>10.358535112894097</v>
      </c>
      <c r="Q114" s="219">
        <f t="shared" si="32"/>
        <v>10.358535112894097</v>
      </c>
    </row>
    <row r="115" spans="1:17" ht="15" customHeight="1">
      <c r="A115" s="71">
        <v>1.5</v>
      </c>
      <c r="B115" s="219">
        <f>Leakage!AF15</f>
        <v>7.6159323447344274E-2</v>
      </c>
      <c r="C115" s="219">
        <f t="shared" ref="C115:Q115" si="33">C103*1.1</f>
        <v>12.869515814892559</v>
      </c>
      <c r="D115" s="219">
        <f t="shared" si="33"/>
        <v>12.844152373458231</v>
      </c>
      <c r="E115" s="219">
        <f t="shared" si="33"/>
        <v>12.818788932023901</v>
      </c>
      <c r="F115" s="219">
        <f t="shared" si="33"/>
        <v>12.74269860772092</v>
      </c>
      <c r="G115" s="219">
        <f t="shared" si="33"/>
        <v>12.691971724852262</v>
      </c>
      <c r="H115" s="219">
        <f t="shared" si="33"/>
        <v>12.387610427640329</v>
      </c>
      <c r="I115" s="219">
        <f t="shared" si="33"/>
        <v>12.641244841983607</v>
      </c>
      <c r="J115" s="219">
        <f t="shared" si="33"/>
        <v>12.539791076246294</v>
      </c>
      <c r="K115" s="219">
        <f t="shared" si="33"/>
        <v>12.514427634811968</v>
      </c>
      <c r="L115" s="219">
        <f t="shared" si="33"/>
        <v>12.387610427640329</v>
      </c>
      <c r="M115" s="219">
        <f t="shared" si="33"/>
        <v>12.489064193377638</v>
      </c>
      <c r="N115" s="219">
        <f t="shared" si="33"/>
        <v>12.362246986205999</v>
      </c>
      <c r="O115" s="219">
        <f t="shared" si="33"/>
        <v>12.311520103337344</v>
      </c>
      <c r="P115" s="219">
        <f t="shared" si="33"/>
        <v>12.133976013297048</v>
      </c>
      <c r="Q115" s="219">
        <f t="shared" si="33"/>
        <v>12.133976013297048</v>
      </c>
    </row>
    <row r="116" spans="1:17" ht="15" customHeight="1">
      <c r="A116" s="71">
        <v>0.6</v>
      </c>
      <c r="B116" s="219">
        <f>Leakage!AF16</f>
        <v>3.0463729378937706E-2</v>
      </c>
      <c r="C116" s="219">
        <f t="shared" ref="C116:Q116" si="34">C104*1.1</f>
        <v>13.493456474177025</v>
      </c>
      <c r="D116" s="219">
        <f t="shared" si="34"/>
        <v>13.483311097603293</v>
      </c>
      <c r="E116" s="219">
        <f t="shared" si="34"/>
        <v>13.473165721029561</v>
      </c>
      <c r="F116" s="219">
        <f t="shared" si="34"/>
        <v>13.442729591308369</v>
      </c>
      <c r="G116" s="219">
        <f t="shared" si="34"/>
        <v>13.422438838160907</v>
      </c>
      <c r="H116" s="219">
        <f t="shared" si="34"/>
        <v>13.300694319276133</v>
      </c>
      <c r="I116" s="219">
        <f t="shared" si="34"/>
        <v>13.402148085013444</v>
      </c>
      <c r="J116" s="219">
        <f t="shared" si="34"/>
        <v>13.361566578718518</v>
      </c>
      <c r="K116" s="219">
        <f t="shared" si="34"/>
        <v>13.351421202144786</v>
      </c>
      <c r="L116" s="219">
        <f t="shared" si="34"/>
        <v>13.300694319276133</v>
      </c>
      <c r="M116" s="219">
        <f t="shared" si="34"/>
        <v>13.341275825571058</v>
      </c>
      <c r="N116" s="219">
        <f t="shared" si="34"/>
        <v>13.290548942702401</v>
      </c>
      <c r="O116" s="219">
        <f t="shared" si="34"/>
        <v>13.270258189554939</v>
      </c>
      <c r="P116" s="219">
        <f t="shared" si="34"/>
        <v>13.19924055353882</v>
      </c>
      <c r="Q116" s="219">
        <f t="shared" si="34"/>
        <v>13.19924055353882</v>
      </c>
    </row>
    <row r="117" spans="1:17" ht="15" customHeight="1">
      <c r="A117" s="71"/>
      <c r="B117" s="219"/>
      <c r="C117" s="219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</row>
  </sheetData>
  <hyperlinks>
    <hyperlink ref="G24" r:id="rId1"/>
    <hyperlink ref="G25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1:S51"/>
  <sheetViews>
    <sheetView workbookViewId="0">
      <selection activeCell="B5" sqref="B5"/>
    </sheetView>
  </sheetViews>
  <sheetFormatPr baseColWidth="10" defaultColWidth="8.6640625" defaultRowHeight="15" customHeight="1" x14ac:dyDescent="0"/>
  <cols>
    <col min="1" max="1" width="21.1640625" style="5" customWidth="1"/>
    <col min="2" max="3" width="19" style="5" customWidth="1"/>
    <col min="4" max="4" width="18.6640625" style="5" customWidth="1"/>
    <col min="5" max="8" width="8.6640625" style="5"/>
    <col min="9" max="9" width="8.6640625" style="5" customWidth="1"/>
    <col min="10" max="10" width="8.6640625" style="5"/>
    <col min="11" max="11" width="8.6640625" style="5" customWidth="1"/>
    <col min="12" max="14" width="8.6640625" style="5"/>
    <col min="15" max="15" width="17.33203125" style="5" customWidth="1"/>
    <col min="16" max="16" width="10.1640625" style="5" bestFit="1" customWidth="1"/>
    <col min="17" max="17" width="12.1640625" style="5" bestFit="1" customWidth="1"/>
    <col min="18" max="18" width="12.83203125" style="5" bestFit="1" customWidth="1"/>
    <col min="19" max="19" width="11.6640625" style="5" customWidth="1"/>
    <col min="20" max="16384" width="8.6640625" style="5"/>
  </cols>
  <sheetData>
    <row r="1" spans="1:19" ht="45" customHeight="1">
      <c r="A1" s="4" t="s">
        <v>336</v>
      </c>
      <c r="B1" s="4"/>
      <c r="C1" s="4"/>
      <c r="D1" s="4"/>
      <c r="E1" s="4"/>
      <c r="G1" s="5" t="s">
        <v>590</v>
      </c>
      <c r="O1" s="560" t="s">
        <v>573</v>
      </c>
      <c r="P1" s="157" t="s">
        <v>596</v>
      </c>
      <c r="Q1" s="157" t="s">
        <v>598</v>
      </c>
      <c r="R1" s="152" t="s">
        <v>599</v>
      </c>
    </row>
    <row r="2" spans="1:19" ht="15" customHeight="1">
      <c r="A2" s="14" t="s">
        <v>547</v>
      </c>
      <c r="G2" s="57" t="s">
        <v>589</v>
      </c>
      <c r="O2" s="561"/>
      <c r="P2" s="158" t="s">
        <v>597</v>
      </c>
      <c r="Q2" s="158" t="s">
        <v>597</v>
      </c>
      <c r="R2" s="156" t="s">
        <v>600</v>
      </c>
    </row>
    <row r="3" spans="1:19" ht="15" customHeight="1">
      <c r="G3" s="5" t="s">
        <v>591</v>
      </c>
      <c r="O3" s="154">
        <v>2</v>
      </c>
      <c r="P3" s="159">
        <v>7.8</v>
      </c>
      <c r="Q3" s="159">
        <v>3.2</v>
      </c>
      <c r="R3" s="153" t="s">
        <v>601</v>
      </c>
    </row>
    <row r="4" spans="1:19" ht="15" customHeight="1">
      <c r="A4" s="108" t="s">
        <v>482</v>
      </c>
      <c r="B4" s="109" t="s">
        <v>280</v>
      </c>
      <c r="C4" s="109" t="s">
        <v>130</v>
      </c>
      <c r="D4" s="109" t="s">
        <v>337</v>
      </c>
      <c r="E4" s="109" t="s">
        <v>130</v>
      </c>
      <c r="G4" s="5" t="s">
        <v>452</v>
      </c>
      <c r="O4" s="154">
        <v>3</v>
      </c>
      <c r="P4" s="159">
        <v>12.1</v>
      </c>
      <c r="Q4" s="159">
        <v>3.6</v>
      </c>
      <c r="R4" s="153" t="s">
        <v>602</v>
      </c>
    </row>
    <row r="5" spans="1:19" ht="15" customHeight="1">
      <c r="A5" s="83" t="s">
        <v>338</v>
      </c>
      <c r="B5" s="352">
        <f>SUM(A40:A43,A45,A47:A51)+SUM(B40:B41)*A_houseFT+SUM(C40:C43,C45,C47:C51)*Nbedrooms</f>
        <v>48338.492465016148</v>
      </c>
      <c r="C5" s="5" t="s">
        <v>339</v>
      </c>
      <c r="D5" s="531">
        <f>B5/24/3412</f>
        <v>0.59030007406477314</v>
      </c>
      <c r="E5" s="5" t="s">
        <v>554</v>
      </c>
      <c r="O5" s="154">
        <v>4</v>
      </c>
      <c r="P5" s="159">
        <v>13.8</v>
      </c>
      <c r="Q5" s="159">
        <v>4</v>
      </c>
      <c r="R5" s="153" t="s">
        <v>603</v>
      </c>
    </row>
    <row r="6" spans="1:19" ht="15" customHeight="1">
      <c r="D6" s="328">
        <f>1000*D5</f>
        <v>590.30007406477318</v>
      </c>
      <c r="E6" s="5" t="s">
        <v>32</v>
      </c>
      <c r="G6" s="305"/>
      <c r="O6" s="155">
        <v>5</v>
      </c>
      <c r="P6" s="158">
        <v>14.7</v>
      </c>
      <c r="Q6" s="158">
        <v>4.4000000000000004</v>
      </c>
      <c r="R6" s="156" t="s">
        <v>604</v>
      </c>
    </row>
    <row r="7" spans="1:19" ht="15" customHeight="1">
      <c r="O7" s="151" t="s">
        <v>612</v>
      </c>
      <c r="P7" s="20"/>
      <c r="Q7" s="20"/>
      <c r="R7" s="20"/>
    </row>
    <row r="8" spans="1:19" s="139" customFormat="1" ht="15" customHeight="1">
      <c r="O8" s="151"/>
      <c r="P8" s="20"/>
      <c r="Q8" s="20"/>
      <c r="R8" s="20"/>
    </row>
    <row r="9" spans="1:19" ht="45" customHeight="1">
      <c r="O9" s="560" t="s">
        <v>605</v>
      </c>
      <c r="P9" s="562" t="s">
        <v>573</v>
      </c>
      <c r="Q9" s="157" t="s">
        <v>482</v>
      </c>
      <c r="R9" s="152" t="s">
        <v>607</v>
      </c>
      <c r="S9" s="152" t="s">
        <v>607</v>
      </c>
    </row>
    <row r="10" spans="1:19" ht="15" customHeight="1">
      <c r="A10" s="110" t="s">
        <v>483</v>
      </c>
      <c r="B10" s="111" t="s">
        <v>280</v>
      </c>
      <c r="C10" s="111" t="s">
        <v>130</v>
      </c>
      <c r="D10" s="111" t="s">
        <v>131</v>
      </c>
      <c r="E10" s="111" t="s">
        <v>130</v>
      </c>
      <c r="G10" s="5" t="s">
        <v>580</v>
      </c>
      <c r="O10" s="561"/>
      <c r="P10" s="563"/>
      <c r="Q10" s="158" t="s">
        <v>606</v>
      </c>
      <c r="R10" s="156" t="s">
        <v>597</v>
      </c>
      <c r="S10" s="156" t="s">
        <v>606</v>
      </c>
    </row>
    <row r="11" spans="1:19" ht="15" customHeight="1">
      <c r="A11" s="105" t="s">
        <v>338</v>
      </c>
      <c r="B11" s="70"/>
      <c r="C11" s="70"/>
      <c r="D11" s="70">
        <f>VLOOKUP(OccDensity,A29:F37,6,FALSE)</f>
        <v>6.5</v>
      </c>
      <c r="E11" s="70" t="s">
        <v>340</v>
      </c>
      <c r="G11" s="5" t="s">
        <v>574</v>
      </c>
      <c r="O11" s="154" t="s">
        <v>608</v>
      </c>
      <c r="P11" s="159">
        <v>4</v>
      </c>
      <c r="Q11" s="159">
        <v>464</v>
      </c>
      <c r="R11" s="153">
        <v>9.8000000000000007</v>
      </c>
      <c r="S11" s="153">
        <v>277</v>
      </c>
    </row>
    <row r="12" spans="1:19" ht="15" customHeight="1">
      <c r="A12" s="106"/>
      <c r="B12" s="70"/>
      <c r="C12" s="70"/>
      <c r="D12" s="490">
        <f>D11/24/60/60</f>
        <v>7.5231481481481474E-5</v>
      </c>
      <c r="E12" s="70" t="s">
        <v>341</v>
      </c>
      <c r="G12" s="5" t="s">
        <v>575</v>
      </c>
      <c r="O12" s="154" t="s">
        <v>609</v>
      </c>
      <c r="P12" s="159">
        <v>4</v>
      </c>
      <c r="Q12" s="159">
        <v>628.9</v>
      </c>
      <c r="R12" s="153">
        <v>9.8000000000000007</v>
      </c>
      <c r="S12" s="153">
        <v>277</v>
      </c>
    </row>
    <row r="13" spans="1:19" ht="15" customHeight="1">
      <c r="G13" s="5" t="s">
        <v>576</v>
      </c>
      <c r="O13" s="160" t="s">
        <v>610</v>
      </c>
      <c r="P13" s="158">
        <v>5</v>
      </c>
      <c r="Q13" s="158">
        <v>738.8</v>
      </c>
      <c r="R13" s="156">
        <v>10.3</v>
      </c>
      <c r="S13" s="156">
        <v>291</v>
      </c>
    </row>
    <row r="14" spans="1:19" ht="15" customHeight="1">
      <c r="G14" s="5" t="s">
        <v>577</v>
      </c>
      <c r="O14" s="150" t="s">
        <v>611</v>
      </c>
    </row>
    <row r="15" spans="1:19" ht="15" customHeight="1">
      <c r="A15" s="4" t="s">
        <v>548</v>
      </c>
      <c r="G15" s="5" t="s">
        <v>578</v>
      </c>
    </row>
    <row r="16" spans="1:19" ht="15" customHeight="1">
      <c r="A16" s="14" t="s">
        <v>549</v>
      </c>
      <c r="G16" s="5" t="s">
        <v>579</v>
      </c>
      <c r="Q16" s="305" t="s">
        <v>813</v>
      </c>
      <c r="R16" s="305" t="s">
        <v>814</v>
      </c>
      <c r="S16" s="305" t="s">
        <v>815</v>
      </c>
    </row>
    <row r="17" spans="1:18" ht="15" customHeight="1">
      <c r="P17" s="305" t="s">
        <v>339</v>
      </c>
      <c r="Q17" s="336">
        <v>43316</v>
      </c>
      <c r="R17" s="336">
        <v>4687</v>
      </c>
    </row>
    <row r="18" spans="1:18" ht="15" customHeight="1">
      <c r="A18" s="108" t="s">
        <v>550</v>
      </c>
      <c r="B18" s="81" t="s">
        <v>32</v>
      </c>
      <c r="C18" s="81" t="s">
        <v>554</v>
      </c>
      <c r="P18" s="305" t="s">
        <v>32</v>
      </c>
      <c r="Q18" s="17">
        <f>(Q17/24)/3.412</f>
        <v>528.96639312231343</v>
      </c>
      <c r="R18" s="17">
        <f>(R17/24)/3.412</f>
        <v>57.236713559984366</v>
      </c>
    </row>
    <row r="19" spans="1:18" ht="15" customHeight="1">
      <c r="A19" s="94" t="s">
        <v>551</v>
      </c>
      <c r="B19" s="15">
        <f>136+2.2*A_houseSI+22*B22</f>
        <v>443.93356000000006</v>
      </c>
      <c r="C19" s="17">
        <f>B19/1000</f>
        <v>0.44393356000000006</v>
      </c>
      <c r="Q19" s="305" t="s">
        <v>816</v>
      </c>
    </row>
    <row r="20" spans="1:18" ht="15" customHeight="1">
      <c r="A20" s="94" t="s">
        <v>552</v>
      </c>
      <c r="B20" s="15">
        <f>20+0.22*A_houseSI+12*'Internal gains'!B22</f>
        <v>89.993356000000006</v>
      </c>
      <c r="C20" s="17">
        <f>B20/1000</f>
        <v>8.999335600000001E-2</v>
      </c>
    </row>
    <row r="21" spans="1:18" ht="15" customHeight="1">
      <c r="K21" s="5">
        <f>2.51*50*24/100</f>
        <v>30.119999999999994</v>
      </c>
      <c r="L21" s="5">
        <f>50/0.61</f>
        <v>81.967213114754102</v>
      </c>
    </row>
    <row r="22" spans="1:18" ht="15" customHeight="1">
      <c r="A22" s="290" t="s">
        <v>1205</v>
      </c>
      <c r="B22" s="406">
        <f>VLOOKUP(CONCATENATE(OccDensity,HomeSize),C28:G37,5,FALSE)</f>
        <v>4</v>
      </c>
      <c r="F22" s="305"/>
      <c r="G22" s="305"/>
    </row>
    <row r="23" spans="1:18" ht="15" customHeight="1">
      <c r="A23" s="290" t="s">
        <v>1204</v>
      </c>
      <c r="B23" s="406">
        <f>Noccupants-1</f>
        <v>3</v>
      </c>
      <c r="F23" s="305"/>
      <c r="G23" s="305"/>
      <c r="H23" s="305"/>
    </row>
    <row r="24" spans="1:18" ht="15" customHeight="1">
      <c r="A24" s="290" t="s">
        <v>1003</v>
      </c>
      <c r="B24" s="337" t="str">
        <f>CONCATENATE("sched", VLOOKUP(CONCATENATE(OccDensity,HomeSize),C28:F37,3,FALSE), ".txt")</f>
        <v>sched1.txt</v>
      </c>
    </row>
    <row r="28" spans="1:18" ht="15" customHeight="1">
      <c r="A28" s="305" t="s">
        <v>897</v>
      </c>
      <c r="B28" s="305" t="s">
        <v>903</v>
      </c>
      <c r="C28" s="305" t="s">
        <v>904</v>
      </c>
      <c r="D28" s="305" t="s">
        <v>901</v>
      </c>
      <c r="E28" s="305" t="s">
        <v>902</v>
      </c>
      <c r="F28" s="305" t="s">
        <v>483</v>
      </c>
      <c r="G28" s="305" t="s">
        <v>905</v>
      </c>
      <c r="H28" s="305" t="s">
        <v>923</v>
      </c>
      <c r="O28" s="305"/>
    </row>
    <row r="29" spans="1:18" ht="15" customHeight="1">
      <c r="A29" s="305" t="s">
        <v>899</v>
      </c>
      <c r="B29" s="305" t="s">
        <v>893</v>
      </c>
      <c r="C29" s="5" t="str">
        <f>CONCATENATE(A29,B29)</f>
        <v>LowSmall</v>
      </c>
      <c r="D29" s="305">
        <v>1</v>
      </c>
      <c r="E29" s="5">
        <v>1</v>
      </c>
      <c r="F29" s="5">
        <v>3</v>
      </c>
      <c r="G29" s="305">
        <v>2</v>
      </c>
      <c r="H29" s="305">
        <f>29200</f>
        <v>29200</v>
      </c>
      <c r="J29" s="305"/>
      <c r="K29" s="305"/>
    </row>
    <row r="30" spans="1:18" ht="15" customHeight="1">
      <c r="A30" s="305" t="s">
        <v>898</v>
      </c>
      <c r="B30" s="305" t="s">
        <v>893</v>
      </c>
      <c r="C30" s="305" t="str">
        <f t="shared" ref="C30:C37" si="0">CONCATENATE(A30,B30)</f>
        <v>MedSmall</v>
      </c>
      <c r="D30" s="305">
        <v>2</v>
      </c>
      <c r="E30" s="5">
        <v>1</v>
      </c>
      <c r="F30" s="5">
        <v>6.5</v>
      </c>
      <c r="G30" s="305">
        <v>4</v>
      </c>
      <c r="H30" s="305">
        <f>2*29200</f>
        <v>58400</v>
      </c>
      <c r="J30" s="305"/>
      <c r="K30" s="305"/>
    </row>
    <row r="31" spans="1:18" ht="15" customHeight="1">
      <c r="A31" s="305" t="s">
        <v>900</v>
      </c>
      <c r="B31" s="305" t="s">
        <v>893</v>
      </c>
      <c r="C31" s="305" t="str">
        <f t="shared" si="0"/>
        <v>HighSmall</v>
      </c>
      <c r="D31" s="305">
        <v>3</v>
      </c>
      <c r="E31" s="5">
        <v>3</v>
      </c>
      <c r="F31" s="5">
        <v>11.8</v>
      </c>
      <c r="G31" s="305">
        <v>6</v>
      </c>
      <c r="H31" s="305">
        <f>3*29200</f>
        <v>87600</v>
      </c>
      <c r="J31" s="305"/>
      <c r="K31" s="305"/>
    </row>
    <row r="32" spans="1:18" ht="15" customHeight="1">
      <c r="A32" s="305" t="s">
        <v>899</v>
      </c>
      <c r="B32" s="305" t="s">
        <v>898</v>
      </c>
      <c r="C32" s="305" t="str">
        <f t="shared" si="0"/>
        <v>LowMed</v>
      </c>
      <c r="D32" s="305">
        <v>1</v>
      </c>
      <c r="E32" s="5">
        <v>1</v>
      </c>
      <c r="F32" s="305">
        <v>3</v>
      </c>
      <c r="G32" s="305">
        <v>2</v>
      </c>
      <c r="H32" s="305">
        <f>29200</f>
        <v>29200</v>
      </c>
      <c r="J32" s="305"/>
      <c r="K32" s="305"/>
    </row>
    <row r="33" spans="1:11" ht="15" customHeight="1">
      <c r="A33" s="305" t="s">
        <v>898</v>
      </c>
      <c r="B33" s="305" t="s">
        <v>898</v>
      </c>
      <c r="C33" s="305" t="str">
        <f t="shared" si="0"/>
        <v>MedMed</v>
      </c>
      <c r="D33" s="305">
        <v>2</v>
      </c>
      <c r="E33" s="5">
        <v>1</v>
      </c>
      <c r="F33" s="305">
        <v>6.5</v>
      </c>
      <c r="G33" s="305">
        <v>4</v>
      </c>
      <c r="H33" s="305">
        <f>2*29200</f>
        <v>58400</v>
      </c>
      <c r="J33" s="305"/>
      <c r="K33" s="305"/>
    </row>
    <row r="34" spans="1:11" ht="15" customHeight="1">
      <c r="A34" s="305" t="s">
        <v>900</v>
      </c>
      <c r="B34" s="305" t="s">
        <v>898</v>
      </c>
      <c r="C34" s="305" t="str">
        <f t="shared" si="0"/>
        <v>HighMed</v>
      </c>
      <c r="D34" s="305">
        <v>3</v>
      </c>
      <c r="E34" s="5">
        <v>3</v>
      </c>
      <c r="F34" s="305">
        <v>11.8</v>
      </c>
      <c r="G34" s="305">
        <v>6</v>
      </c>
      <c r="H34" s="305">
        <f>3*29200</f>
        <v>87600</v>
      </c>
      <c r="J34" s="305"/>
      <c r="K34" s="305"/>
    </row>
    <row r="35" spans="1:11" ht="15" customHeight="1">
      <c r="A35" s="305" t="s">
        <v>899</v>
      </c>
      <c r="B35" s="305" t="s">
        <v>894</v>
      </c>
      <c r="C35" s="305" t="str">
        <f t="shared" si="0"/>
        <v>LowLarge</v>
      </c>
      <c r="D35" s="305">
        <v>1</v>
      </c>
      <c r="E35" s="5">
        <v>1</v>
      </c>
      <c r="F35" s="305">
        <v>3</v>
      </c>
      <c r="G35" s="305">
        <v>2</v>
      </c>
      <c r="H35" s="305">
        <f>29200</f>
        <v>29200</v>
      </c>
      <c r="J35" s="305"/>
      <c r="K35" s="305"/>
    </row>
    <row r="36" spans="1:11" ht="15" customHeight="1">
      <c r="A36" s="305" t="s">
        <v>898</v>
      </c>
      <c r="B36" s="305" t="s">
        <v>894</v>
      </c>
      <c r="C36" s="305" t="str">
        <f t="shared" si="0"/>
        <v>MedLarge</v>
      </c>
      <c r="D36" s="305">
        <v>2</v>
      </c>
      <c r="E36" s="5">
        <v>1</v>
      </c>
      <c r="F36" s="305">
        <v>6.5</v>
      </c>
      <c r="G36" s="305">
        <v>4</v>
      </c>
      <c r="H36" s="305">
        <f>2*29200</f>
        <v>58400</v>
      </c>
      <c r="J36" s="305"/>
      <c r="K36" s="305"/>
    </row>
    <row r="37" spans="1:11" ht="15" customHeight="1">
      <c r="A37" s="305" t="s">
        <v>900</v>
      </c>
      <c r="B37" s="305" t="s">
        <v>894</v>
      </c>
      <c r="C37" s="305" t="str">
        <f t="shared" si="0"/>
        <v>HighLarge</v>
      </c>
      <c r="D37" s="305">
        <v>3</v>
      </c>
      <c r="E37" s="5">
        <v>3</v>
      </c>
      <c r="F37" s="305">
        <v>11.8</v>
      </c>
      <c r="G37" s="305">
        <v>6</v>
      </c>
      <c r="H37" s="305">
        <f>3*29200</f>
        <v>87600</v>
      </c>
      <c r="J37" s="305"/>
      <c r="K37" s="305"/>
    </row>
    <row r="39" spans="1:11" ht="15" customHeight="1">
      <c r="A39" s="305" t="s">
        <v>925</v>
      </c>
      <c r="B39" s="305" t="s">
        <v>926</v>
      </c>
      <c r="C39" s="305" t="s">
        <v>221</v>
      </c>
    </row>
    <row r="40" spans="1:11" ht="15" customHeight="1">
      <c r="A40" s="5">
        <v>0</v>
      </c>
      <c r="B40" s="5">
        <v>7.27</v>
      </c>
      <c r="C40" s="5">
        <v>0</v>
      </c>
      <c r="D40" s="5" t="s">
        <v>988</v>
      </c>
      <c r="E40" s="305" t="s">
        <v>927</v>
      </c>
    </row>
    <row r="41" spans="1:11" ht="15" customHeight="1">
      <c r="A41" s="5">
        <v>4253</v>
      </c>
      <c r="B41" s="5">
        <v>7.48</v>
      </c>
      <c r="C41" s="5">
        <v>0</v>
      </c>
      <c r="D41" s="5" t="s">
        <v>989</v>
      </c>
      <c r="E41" s="5" t="s">
        <v>1052</v>
      </c>
    </row>
    <row r="42" spans="1:11" ht="15" customHeight="1">
      <c r="A42" s="305">
        <v>5955</v>
      </c>
      <c r="B42" s="305">
        <v>0</v>
      </c>
      <c r="C42" s="305">
        <v>168</v>
      </c>
      <c r="D42" s="5" t="s">
        <v>990</v>
      </c>
    </row>
    <row r="43" spans="1:11" ht="15" customHeight="1">
      <c r="A43" s="5">
        <v>3861</v>
      </c>
      <c r="B43" s="305">
        <v>0</v>
      </c>
      <c r="C43" s="5">
        <v>645</v>
      </c>
      <c r="D43" s="5" t="s">
        <v>991</v>
      </c>
    </row>
    <row r="44" spans="1:11" ht="15" customHeight="1">
      <c r="A44" s="305">
        <v>2228</v>
      </c>
      <c r="B44" s="305">
        <v>0</v>
      </c>
      <c r="C44" s="305">
        <v>262</v>
      </c>
      <c r="D44" s="5" t="s">
        <v>992</v>
      </c>
    </row>
    <row r="45" spans="1:11" ht="15" customHeight="1">
      <c r="A45" s="305">
        <v>3934</v>
      </c>
      <c r="B45" s="305">
        <v>0</v>
      </c>
      <c r="C45" s="305">
        <v>470</v>
      </c>
      <c r="D45" s="5" t="s">
        <v>993</v>
      </c>
    </row>
    <row r="46" spans="1:11" ht="15" customHeight="1">
      <c r="A46" s="5">
        <v>661</v>
      </c>
      <c r="B46" s="305">
        <v>0</v>
      </c>
      <c r="C46" s="305">
        <v>188</v>
      </c>
      <c r="D46" s="5" t="s">
        <v>994</v>
      </c>
    </row>
    <row r="47" spans="1:11" ht="15" customHeight="1">
      <c r="A47" s="305">
        <v>685</v>
      </c>
      <c r="B47" s="305">
        <v>0</v>
      </c>
      <c r="C47" s="305">
        <v>194</v>
      </c>
      <c r="D47" s="5" t="s">
        <v>995</v>
      </c>
    </row>
    <row r="48" spans="1:11" ht="15" customHeight="1">
      <c r="A48" s="305">
        <v>219</v>
      </c>
      <c r="B48" s="305">
        <v>0</v>
      </c>
      <c r="C48" s="305">
        <v>87</v>
      </c>
      <c r="D48" s="5" t="s">
        <v>996</v>
      </c>
    </row>
    <row r="49" spans="1:4" ht="15" customHeight="1">
      <c r="A49" s="5">
        <v>95</v>
      </c>
      <c r="B49" s="305">
        <v>0</v>
      </c>
      <c r="C49" s="305">
        <v>26</v>
      </c>
      <c r="D49" s="5" t="s">
        <v>997</v>
      </c>
    </row>
    <row r="50" spans="1:4" ht="15" customHeight="1">
      <c r="A50" s="305">
        <v>-1227</v>
      </c>
      <c r="B50" s="305">
        <v>0</v>
      </c>
      <c r="C50" s="305">
        <v>-409</v>
      </c>
      <c r="D50" s="5" t="s">
        <v>998</v>
      </c>
    </row>
    <row r="51" spans="1:4" ht="15" customHeight="1">
      <c r="A51" s="305">
        <v>0</v>
      </c>
      <c r="B51" s="305">
        <v>0</v>
      </c>
      <c r="C51" s="305">
        <v>3716</v>
      </c>
      <c r="D51" s="5" t="s">
        <v>553</v>
      </c>
    </row>
  </sheetData>
  <mergeCells count="3">
    <mergeCell ref="O1:O2"/>
    <mergeCell ref="O9:O10"/>
    <mergeCell ref="P9:P10"/>
  </mergeCell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pageSetUpPr fitToPage="1"/>
  </sheetPr>
  <dimension ref="A1:K42"/>
  <sheetViews>
    <sheetView workbookViewId="0">
      <selection activeCell="H31" sqref="H31"/>
    </sheetView>
  </sheetViews>
  <sheetFormatPr baseColWidth="10" defaultColWidth="8.83203125" defaultRowHeight="15" customHeight="1" x14ac:dyDescent="0"/>
  <cols>
    <col min="1" max="1" width="29" style="1" customWidth="1"/>
    <col min="2" max="2" width="7.6640625" style="1" customWidth="1"/>
    <col min="3" max="3" width="10.5" style="1" customWidth="1"/>
    <col min="4" max="4" width="11.1640625" style="1" customWidth="1"/>
    <col min="5" max="5" width="8.83203125" style="1" customWidth="1"/>
    <col min="6" max="6" width="14.5" style="1" bestFit="1" customWidth="1"/>
    <col min="7" max="16384" width="8.83203125" style="1"/>
  </cols>
  <sheetData>
    <row r="1" spans="1:7" ht="15" customHeight="1">
      <c r="A1" s="4" t="s">
        <v>342</v>
      </c>
      <c r="G1" s="4"/>
    </row>
    <row r="2" spans="1:7" ht="15" customHeight="1">
      <c r="A2" s="143" t="s">
        <v>564</v>
      </c>
    </row>
    <row r="3" spans="1:7" ht="15" customHeight="1">
      <c r="A3" s="14" t="s">
        <v>343</v>
      </c>
    </row>
    <row r="4" spans="1:7" ht="15" customHeight="1">
      <c r="A4" s="14" t="s">
        <v>344</v>
      </c>
    </row>
    <row r="5" spans="1:7" ht="15" customHeight="1">
      <c r="A5" s="14" t="s">
        <v>345</v>
      </c>
    </row>
    <row r="6" spans="1:7" ht="15" customHeight="1">
      <c r="A6" s="14" t="s">
        <v>1323</v>
      </c>
    </row>
    <row r="7" spans="1:7" ht="15" customHeight="1">
      <c r="A7" s="14"/>
    </row>
    <row r="9" spans="1:7" ht="15" customHeight="1">
      <c r="A9" s="123"/>
      <c r="B9" s="109" t="s">
        <v>280</v>
      </c>
      <c r="C9" s="109" t="s">
        <v>130</v>
      </c>
      <c r="D9" s="109" t="s">
        <v>281</v>
      </c>
      <c r="E9" s="109" t="s">
        <v>130</v>
      </c>
      <c r="F9" s="109" t="s">
        <v>1</v>
      </c>
    </row>
    <row r="10" spans="1:7" ht="15" customHeight="1">
      <c r="A10" s="100" t="s">
        <v>346</v>
      </c>
      <c r="B10" s="18"/>
      <c r="C10" s="1" t="s">
        <v>137</v>
      </c>
      <c r="D10" s="25">
        <f>IF( A_2nd_floor &gt;0,A_2nd_floor/300, A_ceilingSI/300)</f>
        <v>0.33323266666666668</v>
      </c>
      <c r="E10" s="1" t="s">
        <v>138</v>
      </c>
      <c r="F10" s="14" t="s">
        <v>347</v>
      </c>
      <c r="G10" s="1" t="s">
        <v>818</v>
      </c>
    </row>
    <row r="11" spans="1:7" ht="15" customHeight="1">
      <c r="A11" s="126" t="s">
        <v>348</v>
      </c>
      <c r="D11" s="25">
        <f>IF(A_2nd_floor&gt;0,0.003*A_2nd_floor,0.003*A_ceilingSI)</f>
        <v>0.29990940000000005</v>
      </c>
      <c r="E11" s="1" t="s">
        <v>138</v>
      </c>
      <c r="F11" s="14" t="s">
        <v>1322</v>
      </c>
    </row>
    <row r="12" spans="1:7" ht="15" customHeight="1">
      <c r="A12" s="100" t="s">
        <v>349</v>
      </c>
      <c r="D12" s="496">
        <f>D10-(D11*2/3)</f>
        <v>0.13329306666666665</v>
      </c>
      <c r="E12" s="1" t="s">
        <v>138</v>
      </c>
      <c r="F12" s="14" t="s">
        <v>350</v>
      </c>
    </row>
    <row r="13" spans="1:7" ht="15" customHeight="1">
      <c r="A13" s="100" t="s">
        <v>351</v>
      </c>
      <c r="D13" s="1">
        <v>0.6</v>
      </c>
      <c r="F13"/>
    </row>
    <row r="14" spans="1:7" ht="15" customHeight="1">
      <c r="A14" s="100" t="s">
        <v>1293</v>
      </c>
      <c r="D14" s="477">
        <v>0.65</v>
      </c>
      <c r="F14" s="290"/>
    </row>
    <row r="15" spans="1:7" ht="15" customHeight="1">
      <c r="A15" s="492" t="s">
        <v>352</v>
      </c>
      <c r="B15" s="493"/>
      <c r="C15" s="493"/>
      <c r="D15" s="494">
        <f>D11*D13/(SQRT(1.2/2)*4^(D14-0.5))</f>
        <v>0.18869339761941342</v>
      </c>
      <c r="E15" s="493" t="s">
        <v>1269</v>
      </c>
    </row>
    <row r="18" spans="1:11" ht="15" customHeight="1">
      <c r="A18" s="108" t="s">
        <v>353</v>
      </c>
      <c r="B18" s="124"/>
      <c r="C18" s="124"/>
      <c r="D18" s="124"/>
      <c r="E18" s="124"/>
      <c r="F18" s="1" t="s">
        <v>1</v>
      </c>
    </row>
    <row r="19" spans="1:11" ht="15" customHeight="1">
      <c r="A19" s="100" t="s">
        <v>77</v>
      </c>
      <c r="C19" s="2"/>
      <c r="D19" s="495">
        <v>0.35</v>
      </c>
      <c r="E19" s="1" t="s">
        <v>11</v>
      </c>
      <c r="F19" s="5" t="s">
        <v>354</v>
      </c>
      <c r="K19" s="1" t="s">
        <v>453</v>
      </c>
    </row>
    <row r="20" spans="1:11" ht="15" customHeight="1">
      <c r="A20" s="100" t="s">
        <v>355</v>
      </c>
      <c r="C20" s="2"/>
      <c r="D20" s="495">
        <v>0.35</v>
      </c>
      <c r="E20" s="1" t="s">
        <v>11</v>
      </c>
      <c r="F20" s="5" t="s">
        <v>356</v>
      </c>
      <c r="K20" s="1" t="s">
        <v>454</v>
      </c>
    </row>
    <row r="21" spans="1:11" ht="15" customHeight="1">
      <c r="A21" s="100" t="s">
        <v>357</v>
      </c>
      <c r="C21" s="2"/>
      <c r="D21" s="495">
        <v>0.1</v>
      </c>
      <c r="E21" s="1" t="s">
        <v>11</v>
      </c>
      <c r="F21" s="5" t="s">
        <v>358</v>
      </c>
    </row>
    <row r="22" spans="1:11" ht="15" customHeight="1">
      <c r="A22" s="100" t="s">
        <v>359</v>
      </c>
      <c r="C22" s="2"/>
      <c r="D22" s="495">
        <v>0.1</v>
      </c>
      <c r="E22" s="1" t="s">
        <v>11</v>
      </c>
      <c r="F22" s="5" t="s">
        <v>360</v>
      </c>
    </row>
    <row r="23" spans="1:11" ht="15" customHeight="1">
      <c r="A23" s="100" t="s">
        <v>361</v>
      </c>
      <c r="C23" s="2"/>
      <c r="D23" s="495">
        <v>0.1</v>
      </c>
      <c r="E23" s="1" t="s">
        <v>11</v>
      </c>
      <c r="F23" s="5" t="s">
        <v>362</v>
      </c>
    </row>
    <row r="24" spans="1:11" ht="15" customHeight="1">
      <c r="A24" s="100" t="s">
        <v>363</v>
      </c>
      <c r="D24" s="1">
        <f>SUM(D19:D23)</f>
        <v>0.99999999999999989</v>
      </c>
    </row>
    <row r="26" spans="1:11" ht="15" customHeight="1">
      <c r="A26" s="108" t="s">
        <v>572</v>
      </c>
      <c r="B26" s="109"/>
      <c r="C26" s="109"/>
    </row>
    <row r="27" spans="1:11" ht="15" customHeight="1">
      <c r="A27" s="100" t="s">
        <v>457</v>
      </c>
      <c r="B27" s="14"/>
      <c r="C27" s="18">
        <f>W_houseSI/2</f>
        <v>3.5350000000000001</v>
      </c>
    </row>
    <row r="28" spans="1:11" ht="15" customHeight="1">
      <c r="A28" s="100" t="s">
        <v>458</v>
      </c>
      <c r="C28" s="18">
        <f>L_houseSI</f>
        <v>14.14</v>
      </c>
    </row>
    <row r="29" spans="1:11" ht="15" customHeight="1">
      <c r="A29" s="100" t="s">
        <v>459</v>
      </c>
      <c r="C29" s="25" t="e">
        <f>C27*Geometry!#REF!</f>
        <v>#REF!</v>
      </c>
    </row>
    <row r="30" spans="1:11" ht="15" customHeight="1">
      <c r="A30" s="100" t="s">
        <v>460</v>
      </c>
      <c r="C30" s="25" t="e">
        <f>SQRT(C27^2+Geometry!#REF!^2)*Attic!C28</f>
        <v>#REF!</v>
      </c>
    </row>
    <row r="31" spans="1:11" ht="15" customHeight="1">
      <c r="A31" s="100" t="s">
        <v>461</v>
      </c>
      <c r="B31" s="20"/>
      <c r="C31" s="147" t="e">
        <f>C29/(C29*2+C30*2)</f>
        <v>#REF!</v>
      </c>
    </row>
    <row r="32" spans="1:11" ht="15" customHeight="1">
      <c r="A32" s="100" t="s">
        <v>462</v>
      </c>
      <c r="C32" s="25" t="e">
        <f>C30/(2*(C29+C30))</f>
        <v>#REF!</v>
      </c>
    </row>
    <row r="35" spans="1:4" ht="15" customHeight="1">
      <c r="A35" s="1" t="s">
        <v>1314</v>
      </c>
      <c r="B35" s="1">
        <f>HVAC!C27 * (SQRT(1.20411 / (2 * 2)) / 1)</f>
        <v>0.13796246319687119</v>
      </c>
      <c r="D35" s="1">
        <f xml:space="preserve"> SQRT(1.20411 / 2) * 4^(D14 - 0.5)</f>
        <v>0.95527207509191736</v>
      </c>
    </row>
    <row r="36" spans="1:4" ht="15" customHeight="1">
      <c r="A36" s="1" t="s">
        <v>1315</v>
      </c>
      <c r="B36" s="1">
        <f>1*B35*SQRT(2/1.20411)*4^(0.5-0.65)</f>
        <v>0.14442216703926605</v>
      </c>
    </row>
    <row r="37" spans="1:4" ht="15" customHeight="1">
      <c r="A37" s="1" t="s">
        <v>1320</v>
      </c>
      <c r="B37" s="1">
        <f>B36*Leakage!H14</f>
        <v>3.6105541759816513E-2</v>
      </c>
    </row>
    <row r="38" spans="1:4" ht="15" customHeight="1">
      <c r="A38" s="1" t="s">
        <v>1316</v>
      </c>
      <c r="B38" s="1">
        <f>Leakage!H32</f>
        <v>1.5620281250000001E-2</v>
      </c>
    </row>
    <row r="39" spans="1:4" ht="15" customHeight="1">
      <c r="A39" s="1" t="s">
        <v>1321</v>
      </c>
      <c r="B39" s="1">
        <f>B38*Leakage!H14</f>
        <v>3.9050703125000003E-3</v>
      </c>
    </row>
    <row r="40" spans="1:4" ht="15" customHeight="1">
      <c r="A40" s="1" t="s">
        <v>1317</v>
      </c>
      <c r="B40" s="1">
        <f>D15 * SQRT(1.20411 / 2) * 4^(D14 - 0.5)</f>
        <v>0.18025353350004131</v>
      </c>
    </row>
    <row r="41" spans="1:4" ht="15" customHeight="1">
      <c r="A41" s="1" t="s">
        <v>1318</v>
      </c>
      <c r="B41" s="1">
        <f>B39 * SQRT(1.20411 / 2) * 4^(D14 - 0.5)</f>
        <v>3.7304046208017174E-3</v>
      </c>
    </row>
    <row r="42" spans="1:4" ht="15" customHeight="1">
      <c r="A42" s="1" t="s">
        <v>1319</v>
      </c>
      <c r="B42" s="1">
        <f>B37 * SQRT(1.20411 / 2) * 4^(D14 - 0.5)</f>
        <v>3.4490615799217798E-2</v>
      </c>
    </row>
  </sheetData>
  <phoneticPr fontId="63" type="noConversion"/>
  <pageMargins left="0.7" right="0.7" top="0.75" bottom="0.75" header="0.51" footer="0.51"/>
  <pageSetup scale="80" orientation="landscape" horizontalDpi="4294967292" verticalDpi="4294967292"/>
  <headerFooter alignWithMargins="0"/>
  <extLst>
    <ext xmlns:mx="http://schemas.microsoft.com/office/mac/excel/2008/main" uri="{64002731-A6B0-56B0-2670-7721B7C09600}">
      <mx:PLV Mode="0" OnePage="0" WScale="10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AQ21"/>
  <sheetViews>
    <sheetView workbookViewId="0">
      <selection activeCell="D18" sqref="D18"/>
    </sheetView>
  </sheetViews>
  <sheetFormatPr baseColWidth="10" defaultColWidth="8.6640625" defaultRowHeight="15" customHeight="1" x14ac:dyDescent="0"/>
  <cols>
    <col min="1" max="1" width="12" style="5" customWidth="1"/>
    <col min="2" max="2" width="7.5" style="5" bestFit="1" customWidth="1"/>
    <col min="3" max="3" width="3.5" style="5" bestFit="1" customWidth="1"/>
    <col min="4" max="4" width="7.1640625" style="5" bestFit="1" customWidth="1"/>
    <col min="5" max="5" width="3.6640625" style="5" bestFit="1" customWidth="1"/>
    <col min="6" max="6" width="15" style="5" customWidth="1"/>
    <col min="7" max="7" width="15.33203125" style="5" bestFit="1" customWidth="1"/>
    <col min="8" max="8" width="10.33203125" style="5" bestFit="1" customWidth="1"/>
    <col min="9" max="9" width="8.5" style="5" bestFit="1" customWidth="1"/>
    <col min="10" max="24" width="4.5" style="5" bestFit="1" customWidth="1"/>
    <col min="25" max="25" width="8.6640625" style="5"/>
    <col min="26" max="26" width="13.33203125" style="5" customWidth="1"/>
    <col min="27" max="27" width="10.33203125" style="5" bestFit="1" customWidth="1"/>
    <col min="28" max="43" width="4.5" style="5" bestFit="1" customWidth="1"/>
    <col min="44" max="16384" width="8.6640625" style="5"/>
  </cols>
  <sheetData>
    <row r="1" spans="1:43" ht="15" customHeight="1">
      <c r="A1" s="4" t="s">
        <v>102</v>
      </c>
      <c r="G1" s="4" t="s">
        <v>364</v>
      </c>
    </row>
    <row r="2" spans="1:43" ht="15" customHeight="1">
      <c r="A2" s="14" t="s">
        <v>637</v>
      </c>
      <c r="G2" s="14" t="s">
        <v>365</v>
      </c>
    </row>
    <row r="4" spans="1:43" ht="15" customHeight="1">
      <c r="A4" s="108" t="s">
        <v>1311</v>
      </c>
      <c r="B4" s="109" t="s">
        <v>280</v>
      </c>
      <c r="C4" s="109" t="s">
        <v>130</v>
      </c>
      <c r="D4" s="109" t="s">
        <v>281</v>
      </c>
      <c r="E4" s="109" t="s">
        <v>130</v>
      </c>
      <c r="G4" s="5" t="s">
        <v>368</v>
      </c>
      <c r="P4" s="17"/>
    </row>
    <row r="5" spans="1:43" ht="15" customHeight="1">
      <c r="A5" s="112" t="s">
        <v>367</v>
      </c>
      <c r="B5" s="5">
        <v>1</v>
      </c>
      <c r="C5" s="5" t="s">
        <v>11</v>
      </c>
      <c r="G5" s="305" t="s">
        <v>382</v>
      </c>
      <c r="H5" s="104"/>
      <c r="I5" s="104"/>
      <c r="J5" s="108" t="s">
        <v>366</v>
      </c>
      <c r="K5" s="104"/>
      <c r="P5" s="17"/>
    </row>
    <row r="6" spans="1:43" ht="15" customHeight="1">
      <c r="A6" s="94" t="s">
        <v>369</v>
      </c>
      <c r="B6" s="5">
        <v>0.65</v>
      </c>
      <c r="C6" s="5" t="s">
        <v>11</v>
      </c>
      <c r="G6" s="94">
        <v>4</v>
      </c>
      <c r="J6" s="17">
        <v>2.5000000000000001E-2</v>
      </c>
      <c r="K6" s="5" t="s">
        <v>134</v>
      </c>
      <c r="P6" s="17"/>
    </row>
    <row r="7" spans="1:43" ht="15" customHeight="1">
      <c r="A7" s="94" t="s">
        <v>370</v>
      </c>
      <c r="B7" s="5">
        <v>0.05</v>
      </c>
      <c r="C7" s="5" t="s">
        <v>11</v>
      </c>
      <c r="G7" s="94">
        <v>6</v>
      </c>
      <c r="J7" s="17">
        <f>J6*1.5</f>
        <v>3.7500000000000006E-2</v>
      </c>
      <c r="K7" s="5" t="s">
        <v>134</v>
      </c>
      <c r="P7" s="17"/>
    </row>
    <row r="8" spans="1:43" ht="15" customHeight="1">
      <c r="A8" s="94" t="s">
        <v>371</v>
      </c>
      <c r="B8" s="5">
        <v>0.1</v>
      </c>
      <c r="C8" s="5" t="s">
        <v>11</v>
      </c>
      <c r="G8" s="94">
        <v>8</v>
      </c>
      <c r="J8" s="17">
        <f>J6*2</f>
        <v>0.05</v>
      </c>
      <c r="K8" s="5" t="s">
        <v>134</v>
      </c>
      <c r="P8" s="17"/>
    </row>
    <row r="9" spans="1:43" ht="15" customHeight="1">
      <c r="A9" s="94" t="s">
        <v>372</v>
      </c>
      <c r="B9" s="5">
        <f>0.27*A_houseFT*IF(Stories=1,B5,B6)</f>
        <v>290.54731969860069</v>
      </c>
      <c r="C9" s="5" t="s">
        <v>557</v>
      </c>
      <c r="D9" s="17">
        <f>B9*0.3048^2</f>
        <v>26.992729263851889</v>
      </c>
      <c r="E9" s="5" t="s">
        <v>556</v>
      </c>
      <c r="G9" s="94">
        <v>1</v>
      </c>
      <c r="J9" s="17">
        <f>J6/4</f>
        <v>6.2500000000000003E-3</v>
      </c>
      <c r="K9" s="5" t="s">
        <v>134</v>
      </c>
      <c r="P9" s="17"/>
    </row>
    <row r="10" spans="1:43" ht="15" customHeight="1">
      <c r="A10" s="94" t="s">
        <v>373</v>
      </c>
      <c r="B10" s="5">
        <f>A_houseFT*IF(Stories=1,B7,B8)</f>
        <v>53.805059203444571</v>
      </c>
      <c r="C10" s="139" t="s">
        <v>557</v>
      </c>
      <c r="D10" s="17">
        <f>B10*0.3048^2</f>
        <v>4.9986535673799795</v>
      </c>
      <c r="E10" s="139" t="s">
        <v>556</v>
      </c>
      <c r="P10" s="17"/>
    </row>
    <row r="11" spans="1:43" ht="15" customHeight="1">
      <c r="A11" s="23" t="s">
        <v>374</v>
      </c>
      <c r="G11" s="4" t="s">
        <v>245</v>
      </c>
      <c r="P11" s="17"/>
      <c r="Z11" s="4" t="s">
        <v>246</v>
      </c>
      <c r="AI11" s="17"/>
    </row>
    <row r="12" spans="1:43" ht="15" customHeight="1">
      <c r="A12" s="497" t="s">
        <v>375</v>
      </c>
      <c r="B12" s="498">
        <f>D12/(0.3048/12)</f>
        <v>9.8425196850393686</v>
      </c>
      <c r="C12" s="499" t="s">
        <v>217</v>
      </c>
      <c r="D12" s="503">
        <v>0.25</v>
      </c>
      <c r="E12" s="499" t="s">
        <v>134</v>
      </c>
      <c r="F12"/>
      <c r="G12" s="109" t="s">
        <v>376</v>
      </c>
      <c r="H12" s="82" t="s">
        <v>11</v>
      </c>
      <c r="I12" s="109">
        <v>1</v>
      </c>
      <c r="J12" s="109">
        <v>2</v>
      </c>
      <c r="K12" s="109">
        <v>3</v>
      </c>
      <c r="L12" s="109">
        <v>4</v>
      </c>
      <c r="M12" s="109">
        <v>5</v>
      </c>
      <c r="N12" s="109">
        <v>6</v>
      </c>
      <c r="O12" s="109">
        <v>7</v>
      </c>
      <c r="P12" s="109">
        <v>8</v>
      </c>
      <c r="Q12" s="109">
        <v>9</v>
      </c>
      <c r="R12" s="109">
        <v>10</v>
      </c>
      <c r="S12" s="109">
        <v>11</v>
      </c>
      <c r="T12" s="109">
        <v>12</v>
      </c>
      <c r="U12" s="109">
        <v>13</v>
      </c>
      <c r="V12" s="109">
        <v>14</v>
      </c>
      <c r="W12" s="109">
        <v>15</v>
      </c>
      <c r="X12" s="109">
        <v>16</v>
      </c>
      <c r="Z12" s="109" t="s">
        <v>376</v>
      </c>
      <c r="AA12" s="82" t="s">
        <v>11</v>
      </c>
      <c r="AB12" s="109">
        <v>1</v>
      </c>
      <c r="AC12" s="109">
        <v>2</v>
      </c>
      <c r="AD12" s="109">
        <v>3</v>
      </c>
      <c r="AE12" s="109">
        <v>4</v>
      </c>
      <c r="AF12" s="109">
        <v>5</v>
      </c>
      <c r="AG12" s="109">
        <v>6</v>
      </c>
      <c r="AH12" s="109">
        <v>7</v>
      </c>
      <c r="AI12" s="109">
        <v>8</v>
      </c>
      <c r="AJ12" s="109">
        <v>9</v>
      </c>
      <c r="AK12" s="109">
        <v>10</v>
      </c>
      <c r="AL12" s="109">
        <v>11</v>
      </c>
      <c r="AM12" s="109">
        <v>12</v>
      </c>
      <c r="AN12" s="109">
        <v>13</v>
      </c>
      <c r="AO12" s="109">
        <v>14</v>
      </c>
      <c r="AP12" s="109">
        <v>15</v>
      </c>
      <c r="AQ12" s="109">
        <v>16</v>
      </c>
    </row>
    <row r="13" spans="1:43" ht="15" customHeight="1">
      <c r="A13" s="497" t="s">
        <v>377</v>
      </c>
      <c r="B13" s="498">
        <f>D13/(0.3048/12)</f>
        <v>17.716535433070867</v>
      </c>
      <c r="C13" s="499" t="s">
        <v>217</v>
      </c>
      <c r="D13" s="503">
        <v>0.45</v>
      </c>
      <c r="E13" s="499" t="s">
        <v>134</v>
      </c>
      <c r="F13"/>
      <c r="G13" s="5" t="s">
        <v>15</v>
      </c>
      <c r="H13" s="83" t="s">
        <v>588</v>
      </c>
      <c r="I13" s="5">
        <v>8</v>
      </c>
      <c r="J13" s="5">
        <v>8</v>
      </c>
      <c r="K13" s="5">
        <v>8</v>
      </c>
      <c r="L13" s="5">
        <v>8</v>
      </c>
      <c r="M13" s="5">
        <v>8</v>
      </c>
      <c r="N13" s="5">
        <v>8</v>
      </c>
      <c r="O13" s="5">
        <v>8</v>
      </c>
      <c r="P13" s="5">
        <v>8</v>
      </c>
      <c r="Q13" s="5">
        <v>8</v>
      </c>
      <c r="R13" s="5">
        <v>8</v>
      </c>
      <c r="S13" s="5">
        <v>8</v>
      </c>
      <c r="T13" s="5">
        <v>8</v>
      </c>
      <c r="U13" s="5">
        <v>8</v>
      </c>
      <c r="V13" s="5">
        <v>8</v>
      </c>
      <c r="W13" s="5">
        <v>8</v>
      </c>
      <c r="X13" s="5">
        <v>8</v>
      </c>
      <c r="Y13" s="305">
        <v>8</v>
      </c>
      <c r="Z13" s="5" t="s">
        <v>15</v>
      </c>
      <c r="AA13" s="83" t="s">
        <v>588</v>
      </c>
      <c r="AB13" s="5">
        <v>8</v>
      </c>
      <c r="AC13" s="5">
        <f>AB13</f>
        <v>8</v>
      </c>
      <c r="AD13" s="5">
        <f t="shared" ref="AD13:AQ13" si="0">AC13</f>
        <v>8</v>
      </c>
      <c r="AE13" s="5">
        <f t="shared" si="0"/>
        <v>8</v>
      </c>
      <c r="AF13" s="5">
        <f t="shared" si="0"/>
        <v>8</v>
      </c>
      <c r="AG13" s="5">
        <f t="shared" si="0"/>
        <v>8</v>
      </c>
      <c r="AH13" s="5">
        <f t="shared" si="0"/>
        <v>8</v>
      </c>
      <c r="AI13" s="5">
        <f t="shared" si="0"/>
        <v>8</v>
      </c>
      <c r="AJ13" s="5">
        <f t="shared" si="0"/>
        <v>8</v>
      </c>
      <c r="AK13" s="5">
        <f t="shared" si="0"/>
        <v>8</v>
      </c>
      <c r="AL13" s="5">
        <f t="shared" si="0"/>
        <v>8</v>
      </c>
      <c r="AM13" s="5">
        <f t="shared" si="0"/>
        <v>8</v>
      </c>
      <c r="AN13" s="5">
        <f t="shared" si="0"/>
        <v>8</v>
      </c>
      <c r="AO13" s="5">
        <f t="shared" si="0"/>
        <v>8</v>
      </c>
      <c r="AP13" s="5">
        <f t="shared" si="0"/>
        <v>8</v>
      </c>
      <c r="AQ13" s="5">
        <f t="shared" si="0"/>
        <v>8</v>
      </c>
    </row>
    <row r="14" spans="1:43" ht="15" customHeight="1">
      <c r="A14" s="500" t="s">
        <v>378</v>
      </c>
      <c r="B14" s="501">
        <f>D14/(0.3048/12)</f>
        <v>30.921187535332606</v>
      </c>
      <c r="C14" s="502" t="s">
        <v>217</v>
      </c>
      <c r="D14" s="501">
        <f>PI()*D12</f>
        <v>0.78539816339744828</v>
      </c>
      <c r="E14" s="502" t="s">
        <v>134</v>
      </c>
      <c r="F14"/>
      <c r="G14" s="58" t="s">
        <v>366</v>
      </c>
      <c r="H14" s="86" t="s">
        <v>134</v>
      </c>
      <c r="I14" s="494">
        <f>VLOOKUP(I13,$G$6:$J$9,4,FALSE)</f>
        <v>0.05</v>
      </c>
      <c r="J14" s="494">
        <f t="shared" ref="J14:X14" si="1">VLOOKUP(J13,$G$6:$J$9,4,FALSE)</f>
        <v>0.05</v>
      </c>
      <c r="K14" s="494">
        <f t="shared" si="1"/>
        <v>0.05</v>
      </c>
      <c r="L14" s="494">
        <f t="shared" si="1"/>
        <v>0.05</v>
      </c>
      <c r="M14" s="494">
        <f t="shared" si="1"/>
        <v>0.05</v>
      </c>
      <c r="N14" s="494">
        <f t="shared" si="1"/>
        <v>0.05</v>
      </c>
      <c r="O14" s="494">
        <f t="shared" si="1"/>
        <v>0.05</v>
      </c>
      <c r="P14" s="494">
        <f t="shared" si="1"/>
        <v>0.05</v>
      </c>
      <c r="Q14" s="494">
        <f t="shared" si="1"/>
        <v>0.05</v>
      </c>
      <c r="R14" s="494">
        <f t="shared" si="1"/>
        <v>0.05</v>
      </c>
      <c r="S14" s="494">
        <f t="shared" si="1"/>
        <v>0.05</v>
      </c>
      <c r="T14" s="494">
        <f t="shared" si="1"/>
        <v>0.05</v>
      </c>
      <c r="U14" s="494">
        <f t="shared" si="1"/>
        <v>0.05</v>
      </c>
      <c r="V14" s="494">
        <f t="shared" si="1"/>
        <v>0.05</v>
      </c>
      <c r="W14" s="494">
        <f t="shared" si="1"/>
        <v>0.05</v>
      </c>
      <c r="X14" s="494">
        <f t="shared" si="1"/>
        <v>0.05</v>
      </c>
      <c r="Y14" s="295">
        <f>VLOOKUP(Y13,$G$6:$J$9,4,FALSE)</f>
        <v>0.05</v>
      </c>
      <c r="Z14" s="58" t="s">
        <v>366</v>
      </c>
      <c r="AA14" s="86" t="s">
        <v>134</v>
      </c>
      <c r="AB14" s="295">
        <f>VLOOKUP(AB13,$G$6:$J$9,4,FALSE)</f>
        <v>0.05</v>
      </c>
      <c r="AC14" s="295">
        <f t="shared" ref="AC14:AQ14" si="2">VLOOKUP(AC13,$G$6:$J$9,4,FALSE)</f>
        <v>0.05</v>
      </c>
      <c r="AD14" s="295">
        <f t="shared" si="2"/>
        <v>0.05</v>
      </c>
      <c r="AE14" s="295">
        <f t="shared" si="2"/>
        <v>0.05</v>
      </c>
      <c r="AF14" s="295">
        <f t="shared" si="2"/>
        <v>0.05</v>
      </c>
      <c r="AG14" s="295">
        <f t="shared" si="2"/>
        <v>0.05</v>
      </c>
      <c r="AH14" s="295">
        <f t="shared" si="2"/>
        <v>0.05</v>
      </c>
      <c r="AI14" s="295">
        <f t="shared" si="2"/>
        <v>0.05</v>
      </c>
      <c r="AJ14" s="295">
        <f t="shared" si="2"/>
        <v>0.05</v>
      </c>
      <c r="AK14" s="295">
        <f t="shared" si="2"/>
        <v>0.05</v>
      </c>
      <c r="AL14" s="295">
        <f t="shared" si="2"/>
        <v>0.05</v>
      </c>
      <c r="AM14" s="295">
        <f t="shared" si="2"/>
        <v>0.05</v>
      </c>
      <c r="AN14" s="295">
        <f t="shared" si="2"/>
        <v>0.05</v>
      </c>
      <c r="AO14" s="295">
        <f t="shared" si="2"/>
        <v>0.05</v>
      </c>
      <c r="AP14" s="295">
        <f t="shared" si="2"/>
        <v>0.05</v>
      </c>
      <c r="AQ14" s="295">
        <f t="shared" si="2"/>
        <v>0.05</v>
      </c>
    </row>
    <row r="15" spans="1:43" ht="15" customHeight="1">
      <c r="A15" s="500" t="s">
        <v>379</v>
      </c>
      <c r="B15" s="501">
        <f>D15/(0.3048/12)</f>
        <v>55.658137563598693</v>
      </c>
      <c r="C15" s="502" t="s">
        <v>217</v>
      </c>
      <c r="D15" s="501">
        <f>PI()*D13</f>
        <v>1.4137166941154069</v>
      </c>
      <c r="E15" s="502" t="s">
        <v>134</v>
      </c>
      <c r="G15" s="5" t="s">
        <v>380</v>
      </c>
      <c r="H15" s="83" t="s">
        <v>11</v>
      </c>
      <c r="I15" s="5">
        <v>0.7</v>
      </c>
      <c r="J15" s="5">
        <v>0.7</v>
      </c>
      <c r="K15" s="5">
        <v>0.7</v>
      </c>
      <c r="L15" s="5">
        <v>0.7</v>
      </c>
      <c r="M15" s="5">
        <v>0.7</v>
      </c>
      <c r="N15" s="5">
        <v>0.7</v>
      </c>
      <c r="O15" s="5">
        <v>0.7</v>
      </c>
      <c r="P15" s="5">
        <v>0.7</v>
      </c>
      <c r="Q15" s="5">
        <v>0.7</v>
      </c>
      <c r="R15" s="5">
        <v>0.7</v>
      </c>
      <c r="S15" s="5">
        <v>0.7</v>
      </c>
      <c r="T15" s="5">
        <v>0.7</v>
      </c>
      <c r="U15" s="5">
        <v>0.7</v>
      </c>
      <c r="V15" s="5">
        <v>0.7</v>
      </c>
      <c r="W15" s="5">
        <v>0.7</v>
      </c>
      <c r="X15" s="5">
        <v>0.7</v>
      </c>
      <c r="Y15" s="305">
        <v>0.7</v>
      </c>
      <c r="Z15" s="5" t="s">
        <v>380</v>
      </c>
      <c r="AA15" s="83" t="s">
        <v>11</v>
      </c>
      <c r="AB15" s="5">
        <v>0.7</v>
      </c>
      <c r="AC15" s="5">
        <v>0.7</v>
      </c>
      <c r="AD15" s="5">
        <v>0.7</v>
      </c>
      <c r="AE15" s="5">
        <v>0.7</v>
      </c>
      <c r="AF15" s="5">
        <v>0.7</v>
      </c>
      <c r="AG15" s="5">
        <v>0.7</v>
      </c>
      <c r="AH15" s="5">
        <v>0.7</v>
      </c>
      <c r="AI15" s="5">
        <v>0.7</v>
      </c>
      <c r="AJ15" s="5">
        <v>0.7</v>
      </c>
      <c r="AK15" s="5">
        <v>0.7</v>
      </c>
      <c r="AL15" s="5">
        <v>0.7</v>
      </c>
      <c r="AM15" s="5">
        <v>0.7</v>
      </c>
      <c r="AN15" s="5">
        <v>0.7</v>
      </c>
      <c r="AO15" s="5">
        <v>0.7</v>
      </c>
      <c r="AP15" s="5">
        <v>0.7</v>
      </c>
      <c r="AQ15" s="5">
        <v>0.7</v>
      </c>
    </row>
    <row r="16" spans="1:43" ht="15" customHeight="1">
      <c r="A16" s="497" t="s">
        <v>381</v>
      </c>
      <c r="B16" s="498">
        <f>D16/0.3048</f>
        <v>112.75659553499437</v>
      </c>
      <c r="C16" s="499" t="s">
        <v>133</v>
      </c>
      <c r="D16" s="504">
        <f>D9/D14</f>
        <v>34.368210319066286</v>
      </c>
      <c r="E16" s="499" t="s">
        <v>134</v>
      </c>
      <c r="G16" s="58" t="s">
        <v>382</v>
      </c>
      <c r="H16" s="86" t="s">
        <v>587</v>
      </c>
      <c r="I16" s="494">
        <f t="shared" ref="I16:X16" si="3">(I13+I15)/5.678</f>
        <v>1.5322296583303978</v>
      </c>
      <c r="J16" s="494">
        <f t="shared" si="3"/>
        <v>1.5322296583303978</v>
      </c>
      <c r="K16" s="494">
        <f t="shared" si="3"/>
        <v>1.5322296583303978</v>
      </c>
      <c r="L16" s="494">
        <f t="shared" si="3"/>
        <v>1.5322296583303978</v>
      </c>
      <c r="M16" s="494">
        <f t="shared" si="3"/>
        <v>1.5322296583303978</v>
      </c>
      <c r="N16" s="494">
        <f t="shared" si="3"/>
        <v>1.5322296583303978</v>
      </c>
      <c r="O16" s="494">
        <f t="shared" si="3"/>
        <v>1.5322296583303978</v>
      </c>
      <c r="P16" s="494">
        <f t="shared" si="3"/>
        <v>1.5322296583303978</v>
      </c>
      <c r="Q16" s="494">
        <f t="shared" si="3"/>
        <v>1.5322296583303978</v>
      </c>
      <c r="R16" s="494">
        <f t="shared" si="3"/>
        <v>1.5322296583303978</v>
      </c>
      <c r="S16" s="494">
        <f t="shared" si="3"/>
        <v>1.5322296583303978</v>
      </c>
      <c r="T16" s="494">
        <f t="shared" si="3"/>
        <v>1.5322296583303978</v>
      </c>
      <c r="U16" s="494">
        <f t="shared" si="3"/>
        <v>1.5322296583303978</v>
      </c>
      <c r="V16" s="494">
        <f t="shared" si="3"/>
        <v>1.5322296583303978</v>
      </c>
      <c r="W16" s="494">
        <f t="shared" si="3"/>
        <v>1.5322296583303978</v>
      </c>
      <c r="X16" s="494">
        <f t="shared" si="3"/>
        <v>1.5322296583303978</v>
      </c>
      <c r="Y16" s="295">
        <f>(Y13+Y15)/5.678</f>
        <v>1.5322296583303978</v>
      </c>
      <c r="Z16" s="58" t="s">
        <v>382</v>
      </c>
      <c r="AA16" s="86" t="s">
        <v>587</v>
      </c>
      <c r="AB16" s="39">
        <f t="shared" ref="AB16:AQ16" si="4">(AB13+AB15)/5.678</f>
        <v>1.5322296583303978</v>
      </c>
      <c r="AC16" s="39">
        <f t="shared" si="4"/>
        <v>1.5322296583303978</v>
      </c>
      <c r="AD16" s="39">
        <f t="shared" si="4"/>
        <v>1.5322296583303978</v>
      </c>
      <c r="AE16" s="39">
        <f t="shared" si="4"/>
        <v>1.5322296583303978</v>
      </c>
      <c r="AF16" s="39">
        <f t="shared" si="4"/>
        <v>1.5322296583303978</v>
      </c>
      <c r="AG16" s="39">
        <f t="shared" si="4"/>
        <v>1.5322296583303978</v>
      </c>
      <c r="AH16" s="39">
        <f t="shared" si="4"/>
        <v>1.5322296583303978</v>
      </c>
      <c r="AI16" s="39">
        <f t="shared" si="4"/>
        <v>1.5322296583303978</v>
      </c>
      <c r="AJ16" s="39">
        <f t="shared" si="4"/>
        <v>1.5322296583303978</v>
      </c>
      <c r="AK16" s="39">
        <f t="shared" si="4"/>
        <v>1.5322296583303978</v>
      </c>
      <c r="AL16" s="39">
        <f t="shared" si="4"/>
        <v>1.5322296583303978</v>
      </c>
      <c r="AM16" s="39">
        <f t="shared" si="4"/>
        <v>1.5322296583303978</v>
      </c>
      <c r="AN16" s="39">
        <f t="shared" si="4"/>
        <v>1.5322296583303978</v>
      </c>
      <c r="AO16" s="39">
        <f t="shared" si="4"/>
        <v>1.5322296583303978</v>
      </c>
      <c r="AP16" s="39">
        <f t="shared" si="4"/>
        <v>1.5322296583303978</v>
      </c>
      <c r="AQ16" s="39">
        <f t="shared" si="4"/>
        <v>1.5322296583303978</v>
      </c>
    </row>
    <row r="17" spans="1:6" ht="15" customHeight="1">
      <c r="A17" s="497" t="s">
        <v>383</v>
      </c>
      <c r="B17" s="498">
        <f>D17/0.3048</f>
        <v>11.600472791666087</v>
      </c>
      <c r="C17" s="499" t="s">
        <v>133</v>
      </c>
      <c r="D17" s="504">
        <f>D10/D15</f>
        <v>3.5358241068998235</v>
      </c>
      <c r="E17" s="499" t="s">
        <v>134</v>
      </c>
    </row>
    <row r="18" spans="1:6" ht="15" customHeight="1">
      <c r="A18" s="290" t="s">
        <v>1329</v>
      </c>
      <c r="D18" s="327">
        <v>0</v>
      </c>
      <c r="F18" s="313" t="s">
        <v>1331</v>
      </c>
    </row>
    <row r="19" spans="1:6" ht="15" customHeight="1">
      <c r="A19" s="290" t="s">
        <v>1330</v>
      </c>
      <c r="D19" s="327">
        <v>0</v>
      </c>
      <c r="F19" s="313" t="s">
        <v>1333</v>
      </c>
    </row>
    <row r="20" spans="1:6" ht="15" customHeight="1">
      <c r="A20" s="290" t="s">
        <v>113</v>
      </c>
      <c r="D20" s="327">
        <v>0.6</v>
      </c>
      <c r="F20" s="305" t="s">
        <v>114</v>
      </c>
    </row>
    <row r="21" spans="1:6" ht="15" customHeight="1">
      <c r="A21" s="290" t="s">
        <v>115</v>
      </c>
      <c r="D21" s="327">
        <v>0.6</v>
      </c>
      <c r="F21" s="305" t="s">
        <v>116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AD94"/>
  <sheetViews>
    <sheetView zoomScale="85" zoomScaleNormal="85" zoomScalePageLayoutView="85" workbookViewId="0">
      <selection activeCell="C26" sqref="C26"/>
    </sheetView>
  </sheetViews>
  <sheetFormatPr baseColWidth="10" defaultColWidth="8.6640625" defaultRowHeight="15" customHeight="1" x14ac:dyDescent="0"/>
  <cols>
    <col min="1" max="1" width="18.5" style="5" customWidth="1"/>
    <col min="2" max="2" width="12" style="5" bestFit="1" customWidth="1"/>
    <col min="3" max="3" width="15.6640625" style="5" customWidth="1"/>
    <col min="4" max="4" width="12.83203125" style="5" customWidth="1"/>
    <col min="5" max="5" width="8.6640625" style="5" bestFit="1" customWidth="1"/>
    <col min="6" max="6" width="11.6640625" style="5" customWidth="1"/>
    <col min="7" max="7" width="9.5" style="5" customWidth="1"/>
    <col min="8" max="8" width="11.5" style="5" customWidth="1"/>
    <col min="9" max="9" width="15.6640625" style="5" bestFit="1" customWidth="1"/>
    <col min="10" max="10" width="14.33203125" style="5" bestFit="1" customWidth="1"/>
    <col min="11" max="11" width="15.6640625" style="5" bestFit="1" customWidth="1"/>
    <col min="12" max="12" width="15" style="5" bestFit="1" customWidth="1"/>
    <col min="13" max="13" width="11.5" style="5" bestFit="1" customWidth="1"/>
    <col min="14" max="14" width="10" style="5" customWidth="1"/>
    <col min="15" max="15" width="9" style="5" bestFit="1" customWidth="1"/>
    <col min="16" max="16" width="7.1640625" style="5" bestFit="1" customWidth="1"/>
    <col min="17" max="17" width="12" style="5" bestFit="1" customWidth="1"/>
    <col min="18" max="18" width="10.33203125" style="5" bestFit="1" customWidth="1"/>
    <col min="19" max="19" width="19" style="5" customWidth="1"/>
    <col min="20" max="20" width="8.6640625" style="5"/>
    <col min="21" max="21" width="11.83203125" style="5" bestFit="1" customWidth="1"/>
    <col min="22" max="25" width="11.83203125" style="305" customWidth="1"/>
    <col min="26" max="26" width="8.5" style="5" customWidth="1"/>
    <col min="27" max="27" width="8" style="5" customWidth="1"/>
    <col min="28" max="28" width="13.5" style="5" customWidth="1"/>
    <col min="29" max="29" width="13.6640625" style="5" customWidth="1"/>
    <col min="30" max="30" width="20.83203125" style="5" customWidth="1"/>
    <col min="31" max="16384" width="8.6640625" style="5"/>
  </cols>
  <sheetData>
    <row r="1" spans="1:30" ht="15" customHeight="1">
      <c r="A1" s="73" t="s">
        <v>384</v>
      </c>
      <c r="Z1" s="115" t="s">
        <v>385</v>
      </c>
      <c r="AA1" s="116"/>
      <c r="AB1" s="117" t="s">
        <v>386</v>
      </c>
      <c r="AC1" s="117" t="s">
        <v>387</v>
      </c>
      <c r="AD1" s="116" t="s">
        <v>388</v>
      </c>
    </row>
    <row r="2" spans="1:30" ht="17.25" customHeight="1">
      <c r="A2" s="74" t="s">
        <v>389</v>
      </c>
      <c r="H2" s="290"/>
      <c r="J2" s="5" t="s">
        <v>733</v>
      </c>
      <c r="Z2" s="118"/>
      <c r="AA2" s="119"/>
      <c r="AB2" s="120" t="s">
        <v>484</v>
      </c>
      <c r="AC2" s="120" t="s">
        <v>485</v>
      </c>
      <c r="AD2" s="119" t="s">
        <v>392</v>
      </c>
    </row>
    <row r="3" spans="1:30" ht="15" customHeight="1">
      <c r="A3" s="4" t="s">
        <v>393</v>
      </c>
      <c r="H3" s="290"/>
      <c r="J3" s="5" t="s">
        <v>734</v>
      </c>
      <c r="N3" s="5" t="s">
        <v>736</v>
      </c>
      <c r="P3" s="59"/>
      <c r="Q3" s="59"/>
      <c r="R3" s="59"/>
      <c r="S3" s="59"/>
      <c r="Z3" s="115" t="s">
        <v>394</v>
      </c>
      <c r="AA3" s="116" t="s">
        <v>395</v>
      </c>
      <c r="AB3" s="114">
        <v>2.2000000000000002</v>
      </c>
      <c r="AC3" s="114">
        <v>45.8</v>
      </c>
      <c r="AD3" s="112">
        <v>4.9000000000000004</v>
      </c>
    </row>
    <row r="4" spans="1:30" ht="15" customHeight="1">
      <c r="A4" s="14" t="s">
        <v>396</v>
      </c>
      <c r="H4" s="290"/>
      <c r="I4" s="60"/>
      <c r="J4" s="60" t="s">
        <v>735</v>
      </c>
      <c r="K4" s="60"/>
      <c r="L4" s="60"/>
      <c r="M4" s="60"/>
      <c r="N4" s="60" t="s">
        <v>737</v>
      </c>
      <c r="O4" s="60"/>
      <c r="P4" s="60"/>
      <c r="Q4" s="60"/>
      <c r="R4" s="60"/>
      <c r="Z4" s="118"/>
      <c r="AA4" s="119" t="s">
        <v>397</v>
      </c>
      <c r="AB4" s="87">
        <v>5</v>
      </c>
      <c r="AC4" s="87">
        <v>113.2</v>
      </c>
      <c r="AD4" s="94">
        <v>7.5</v>
      </c>
    </row>
    <row r="5" spans="1:30" ht="15" customHeight="1">
      <c r="A5" s="14"/>
      <c r="I5" s="60"/>
      <c r="J5" s="60"/>
      <c r="K5" s="60"/>
      <c r="L5" s="60"/>
      <c r="M5" s="60"/>
      <c r="N5" s="60"/>
      <c r="O5" s="60"/>
      <c r="P5" s="60"/>
      <c r="Q5" s="61"/>
      <c r="R5" s="61"/>
      <c r="S5" s="16"/>
      <c r="Z5" s="118"/>
      <c r="AA5" s="119" t="s">
        <v>398</v>
      </c>
      <c r="AB5" s="87">
        <v>0.8</v>
      </c>
      <c r="AC5" s="87">
        <v>20.100000000000001</v>
      </c>
      <c r="AD5" s="94">
        <v>2.8</v>
      </c>
    </row>
    <row r="6" spans="1:30" ht="15" customHeight="1">
      <c r="D6" s="5" t="s">
        <v>1</v>
      </c>
      <c r="I6" s="60"/>
      <c r="J6" s="60" t="s">
        <v>738</v>
      </c>
      <c r="K6" s="60"/>
      <c r="L6" s="60"/>
      <c r="M6" s="62"/>
      <c r="N6" s="63"/>
      <c r="O6" s="60"/>
      <c r="P6" s="64"/>
      <c r="Q6" s="61"/>
      <c r="R6" s="61"/>
      <c r="S6" s="16"/>
      <c r="Z6" s="118"/>
      <c r="AA6" s="119" t="s">
        <v>399</v>
      </c>
      <c r="AB6" s="87">
        <v>0.7</v>
      </c>
      <c r="AC6" s="87">
        <v>16.899999999999999</v>
      </c>
      <c r="AD6" s="94">
        <v>1</v>
      </c>
    </row>
    <row r="7" spans="1:30" s="305" customFormat="1" ht="15" customHeight="1">
      <c r="I7" s="313"/>
      <c r="J7" s="313"/>
      <c r="K7" s="313"/>
      <c r="L7" s="313"/>
      <c r="M7" s="62"/>
      <c r="N7" s="63"/>
      <c r="O7" s="313"/>
      <c r="P7" s="287"/>
      <c r="Q7" s="61"/>
      <c r="R7" s="61"/>
      <c r="S7" s="293"/>
      <c r="Z7" s="118"/>
      <c r="AA7" s="119"/>
      <c r="AB7" s="87"/>
      <c r="AC7" s="87"/>
      <c r="AD7" s="228"/>
    </row>
    <row r="8" spans="1:30" s="305" customFormat="1" ht="15" customHeight="1">
      <c r="C8" s="266" t="s">
        <v>707</v>
      </c>
      <c r="D8" s="314" t="s">
        <v>656</v>
      </c>
      <c r="E8" s="314" t="s">
        <v>657</v>
      </c>
      <c r="F8" s="314" t="s">
        <v>658</v>
      </c>
      <c r="G8" s="314" t="s">
        <v>659</v>
      </c>
      <c r="H8" s="314" t="s">
        <v>660</v>
      </c>
      <c r="I8" s="314" t="s">
        <v>661</v>
      </c>
      <c r="J8" s="314" t="s">
        <v>662</v>
      </c>
      <c r="K8" s="314" t="s">
        <v>663</v>
      </c>
      <c r="L8" s="314" t="s">
        <v>664</v>
      </c>
      <c r="M8" s="314" t="s">
        <v>665</v>
      </c>
      <c r="N8" s="314" t="s">
        <v>666</v>
      </c>
      <c r="O8" s="314" t="s">
        <v>667</v>
      </c>
      <c r="P8" s="314">
        <v>7</v>
      </c>
      <c r="Q8" s="266">
        <v>8</v>
      </c>
      <c r="R8" s="305" t="s">
        <v>917</v>
      </c>
      <c r="S8" s="305" t="s">
        <v>918</v>
      </c>
      <c r="Z8" s="118"/>
      <c r="AA8" s="119"/>
      <c r="AB8" s="87"/>
      <c r="AC8" s="87"/>
      <c r="AD8" s="228"/>
    </row>
    <row r="9" spans="1:30" ht="15" customHeight="1">
      <c r="A9" s="70" t="s">
        <v>400</v>
      </c>
      <c r="B9" s="70">
        <v>13</v>
      </c>
      <c r="C9" s="5">
        <v>18</v>
      </c>
      <c r="D9" s="305">
        <v>18</v>
      </c>
      <c r="E9" s="305">
        <v>18</v>
      </c>
      <c r="F9" s="70">
        <v>15</v>
      </c>
      <c r="G9" s="70">
        <v>15</v>
      </c>
      <c r="H9" s="70">
        <v>15</v>
      </c>
      <c r="I9" s="70">
        <v>15</v>
      </c>
      <c r="J9" s="70">
        <v>15</v>
      </c>
      <c r="K9" s="60">
        <v>13</v>
      </c>
      <c r="L9" s="313">
        <v>13</v>
      </c>
      <c r="M9" s="313">
        <v>13</v>
      </c>
      <c r="N9" s="313">
        <v>13</v>
      </c>
      <c r="O9" s="313">
        <v>13</v>
      </c>
      <c r="P9" s="313">
        <v>13</v>
      </c>
      <c r="Q9" s="313">
        <v>13</v>
      </c>
      <c r="R9" s="5">
        <f>D9</f>
        <v>18</v>
      </c>
      <c r="S9" s="5">
        <f>F9</f>
        <v>15</v>
      </c>
      <c r="T9" s="70" t="s">
        <v>11</v>
      </c>
      <c r="U9" s="74" t="s">
        <v>401</v>
      </c>
      <c r="Z9" s="118"/>
      <c r="AA9" s="119" t="s">
        <v>402</v>
      </c>
      <c r="AB9" s="87">
        <v>31.9</v>
      </c>
      <c r="AC9" s="87">
        <v>37</v>
      </c>
      <c r="AD9" s="94">
        <v>19.8</v>
      </c>
    </row>
    <row r="10" spans="1:30" ht="15" customHeight="1">
      <c r="A10" s="58" t="s">
        <v>393</v>
      </c>
      <c r="B10" s="491">
        <v>11</v>
      </c>
      <c r="C10" s="327">
        <v>15.2</v>
      </c>
      <c r="D10" s="327">
        <v>15.2</v>
      </c>
      <c r="E10" s="327">
        <v>15.2</v>
      </c>
      <c r="F10" s="327">
        <v>13</v>
      </c>
      <c r="G10" s="327">
        <v>13</v>
      </c>
      <c r="H10" s="327">
        <v>13</v>
      </c>
      <c r="I10" s="327">
        <v>13</v>
      </c>
      <c r="J10" s="327">
        <v>13</v>
      </c>
      <c r="K10" s="327">
        <v>11.1</v>
      </c>
      <c r="L10" s="327">
        <v>11.1</v>
      </c>
      <c r="M10" s="327">
        <v>11.1</v>
      </c>
      <c r="N10" s="327">
        <v>11.1</v>
      </c>
      <c r="O10" s="327">
        <v>11.1</v>
      </c>
      <c r="P10" s="327">
        <v>11.1</v>
      </c>
      <c r="Q10" s="327">
        <v>11.1</v>
      </c>
      <c r="R10" s="327">
        <f>D10</f>
        <v>15.2</v>
      </c>
      <c r="S10" s="327">
        <f>F10</f>
        <v>13</v>
      </c>
      <c r="T10" s="58" t="s">
        <v>11</v>
      </c>
      <c r="U10" s="17" t="s">
        <v>403</v>
      </c>
      <c r="Z10" s="121"/>
      <c r="AA10" s="107"/>
      <c r="AB10" s="104"/>
      <c r="AC10" s="104"/>
      <c r="AD10" s="89"/>
    </row>
    <row r="11" spans="1:30" ht="15" customHeight="1">
      <c r="I11" s="60"/>
      <c r="J11" s="60"/>
      <c r="K11" s="60"/>
      <c r="L11" s="60"/>
      <c r="M11" s="62"/>
      <c r="N11" s="63"/>
      <c r="O11" s="60"/>
      <c r="P11" s="64"/>
      <c r="Q11" s="61"/>
      <c r="R11" s="61"/>
      <c r="S11" s="16"/>
      <c r="Z11" s="115" t="s">
        <v>486</v>
      </c>
      <c r="AA11" s="116" t="s">
        <v>395</v>
      </c>
      <c r="AB11" s="114">
        <v>2</v>
      </c>
      <c r="AC11" s="114">
        <v>32.6</v>
      </c>
      <c r="AD11" s="112">
        <v>6.5</v>
      </c>
    </row>
    <row r="12" spans="1:30" ht="15" customHeight="1">
      <c r="A12" s="14"/>
      <c r="I12" s="60"/>
      <c r="J12" s="60"/>
      <c r="K12" s="60"/>
      <c r="L12" s="60"/>
      <c r="M12" s="62"/>
      <c r="N12" s="63"/>
      <c r="O12" s="60"/>
      <c r="P12" s="64"/>
      <c r="Q12" s="61"/>
      <c r="R12" s="61"/>
      <c r="S12" s="16"/>
      <c r="Z12" s="118"/>
      <c r="AA12" s="119" t="s">
        <v>408</v>
      </c>
      <c r="AB12" s="87">
        <v>2.1</v>
      </c>
      <c r="AC12" s="87">
        <v>45.7</v>
      </c>
      <c r="AD12" s="94">
        <v>7.5</v>
      </c>
    </row>
    <row r="13" spans="1:30" ht="15" customHeight="1">
      <c r="A13" s="4" t="s">
        <v>404</v>
      </c>
      <c r="C13" s="266" t="s">
        <v>707</v>
      </c>
      <c r="D13" s="314" t="s">
        <v>656</v>
      </c>
      <c r="E13" s="314" t="s">
        <v>657</v>
      </c>
      <c r="F13" s="314" t="s">
        <v>658</v>
      </c>
      <c r="G13" s="314" t="s">
        <v>659</v>
      </c>
      <c r="H13" s="314" t="s">
        <v>660</v>
      </c>
      <c r="I13" s="314" t="s">
        <v>661</v>
      </c>
      <c r="J13" s="314" t="s">
        <v>662</v>
      </c>
      <c r="K13" s="314" t="s">
        <v>663</v>
      </c>
      <c r="L13" s="314" t="s">
        <v>664</v>
      </c>
      <c r="M13" s="314" t="s">
        <v>665</v>
      </c>
      <c r="N13" s="314" t="s">
        <v>666</v>
      </c>
      <c r="O13" s="314" t="s">
        <v>667</v>
      </c>
      <c r="P13" s="314">
        <v>7</v>
      </c>
      <c r="Q13" s="266">
        <v>8</v>
      </c>
      <c r="R13" s="305" t="s">
        <v>917</v>
      </c>
      <c r="S13" s="305" t="s">
        <v>918</v>
      </c>
      <c r="Z13" s="118"/>
      <c r="AA13" s="119" t="s">
        <v>410</v>
      </c>
      <c r="AB13" s="87">
        <v>1.8</v>
      </c>
      <c r="AC13" s="87">
        <v>24.2</v>
      </c>
      <c r="AD13" s="94">
        <v>4.4000000000000004</v>
      </c>
    </row>
    <row r="14" spans="1:30" ht="15" customHeight="1">
      <c r="A14" s="70" t="s">
        <v>405</v>
      </c>
      <c r="B14" s="349">
        <v>0.8</v>
      </c>
      <c r="C14" s="509">
        <v>0.8</v>
      </c>
      <c r="D14" s="509">
        <v>0.8</v>
      </c>
      <c r="E14" s="509">
        <v>0.8</v>
      </c>
      <c r="F14" s="509">
        <v>0.9</v>
      </c>
      <c r="G14" s="509">
        <v>0.9</v>
      </c>
      <c r="H14" s="509">
        <v>0.9</v>
      </c>
      <c r="I14" s="509">
        <v>0.9</v>
      </c>
      <c r="J14" s="509">
        <v>0.9</v>
      </c>
      <c r="K14" s="509">
        <v>0.94</v>
      </c>
      <c r="L14" s="509">
        <v>0.94</v>
      </c>
      <c r="M14" s="509">
        <v>0.94</v>
      </c>
      <c r="N14" s="509">
        <v>0.94</v>
      </c>
      <c r="O14" s="509">
        <v>0.94</v>
      </c>
      <c r="P14" s="509">
        <v>0.94</v>
      </c>
      <c r="Q14" s="509">
        <v>0.94</v>
      </c>
      <c r="R14" s="510">
        <f>D14</f>
        <v>0.8</v>
      </c>
      <c r="S14" s="510">
        <f>F14</f>
        <v>0.9</v>
      </c>
      <c r="Z14" s="118"/>
      <c r="AA14" s="119" t="s">
        <v>406</v>
      </c>
      <c r="AB14" s="87">
        <v>7.2</v>
      </c>
      <c r="AC14" s="87">
        <v>35.1</v>
      </c>
      <c r="AD14" s="94">
        <v>27.9</v>
      </c>
    </row>
    <row r="15" spans="1:30" ht="15" customHeight="1">
      <c r="S15" s="14" t="s">
        <v>1</v>
      </c>
      <c r="Z15" s="121"/>
      <c r="AA15" s="107"/>
      <c r="AB15" s="104"/>
      <c r="AC15" s="104"/>
      <c r="AD15" s="89"/>
    </row>
    <row r="16" spans="1:30" ht="15" customHeight="1">
      <c r="A16" s="109" t="s">
        <v>376</v>
      </c>
      <c r="B16" s="108"/>
      <c r="C16" s="266" t="s">
        <v>707</v>
      </c>
      <c r="D16" s="306" t="s">
        <v>656</v>
      </c>
      <c r="E16" s="306" t="s">
        <v>657</v>
      </c>
      <c r="F16" s="306" t="s">
        <v>658</v>
      </c>
      <c r="G16" s="306" t="s">
        <v>659</v>
      </c>
      <c r="H16" s="306" t="s">
        <v>660</v>
      </c>
      <c r="I16" s="306" t="s">
        <v>661</v>
      </c>
      <c r="J16" s="306" t="s">
        <v>662</v>
      </c>
      <c r="K16" s="306" t="s">
        <v>663</v>
      </c>
      <c r="L16" s="306" t="s">
        <v>664</v>
      </c>
      <c r="M16" s="306" t="s">
        <v>665</v>
      </c>
      <c r="N16" s="306" t="s">
        <v>666</v>
      </c>
      <c r="O16" s="306" t="s">
        <v>667</v>
      </c>
      <c r="P16" s="306">
        <v>7</v>
      </c>
      <c r="Q16" s="266">
        <v>8</v>
      </c>
      <c r="R16" s="305" t="s">
        <v>917</v>
      </c>
      <c r="S16" s="305" t="s">
        <v>918</v>
      </c>
      <c r="Z16" s="115" t="s">
        <v>487</v>
      </c>
      <c r="AA16" s="116" t="s">
        <v>395</v>
      </c>
      <c r="AB16" s="114">
        <v>2.1</v>
      </c>
      <c r="AC16" s="114">
        <v>33</v>
      </c>
      <c r="AD16" s="112">
        <v>6.3</v>
      </c>
    </row>
    <row r="17" spans="1:30" ht="15" customHeight="1">
      <c r="A17" s="5" t="s">
        <v>407</v>
      </c>
      <c r="B17" s="100" t="s">
        <v>390</v>
      </c>
      <c r="C17" s="137">
        <f>VLOOKUP(CONCATENATE(HVAC!C16,HomeSize),HVAC!$D$57:$K$75,8,FALSE)</f>
        <v>1.2909343200740055</v>
      </c>
      <c r="D17" s="312">
        <f>VLOOKUP(CONCATENATE(HVAC!D16,HomeSize),HVAC!$D$57:$K$75,8,FALSE)</f>
        <v>1.2636447733580021</v>
      </c>
      <c r="E17" s="312" t="e">
        <f>VLOOKUP(CONCATENATE(HVAC!E16,HomeSize),HVAC!$D$57:$K$75,8,FALSE)</f>
        <v>#N/A</v>
      </c>
      <c r="F17" s="312">
        <f>VLOOKUP(CONCATENATE(HVAC!F16,HomeSize),HVAC!$D$57:$K$75,8,FALSE)</f>
        <v>1.2341967314215234</v>
      </c>
      <c r="G17" s="312" t="e">
        <f>VLOOKUP(CONCATENATE(HVAC!G16,HomeSize),HVAC!$D$57:$K$75,8,FALSE)</f>
        <v>#N/A</v>
      </c>
      <c r="H17" s="312" t="e">
        <f>VLOOKUP(CONCATENATE(HVAC!H16,HomeSize),HVAC!$D$57:$K$75,8,FALSE)</f>
        <v>#N/A</v>
      </c>
      <c r="I17" s="312">
        <f>VLOOKUP(CONCATENATE(HVAC!I16,HomeSize),HVAC!$D$57:$K$75,8,FALSE)</f>
        <v>1.1216466234967624</v>
      </c>
      <c r="J17" s="312" t="e">
        <f>VLOOKUP(CONCATENATE(HVAC!J16,HomeSize),HVAC!$D$57:$K$75,8,FALSE)</f>
        <v>#N/A</v>
      </c>
      <c r="K17" s="312" t="e">
        <f>VLOOKUP(CONCATENATE(HVAC!K16,HomeSize),HVAC!$D$57:$K$75,8,FALSE)</f>
        <v>#N/A</v>
      </c>
      <c r="L17" s="312" t="e">
        <f>VLOOKUP(CONCATENATE(HVAC!L16,HomeSize),HVAC!$D$57:$K$75,8,FALSE)</f>
        <v>#N/A</v>
      </c>
      <c r="M17" s="312" t="e">
        <f>VLOOKUP(CONCATENATE(HVAC!M16,HomeSize),HVAC!$D$57:$K$75,8,FALSE)</f>
        <v>#N/A</v>
      </c>
      <c r="N17" s="312" t="e">
        <f>VLOOKUP(CONCATENATE(HVAC!N16,HomeSize),HVAC!$D$57:$K$75,8,FALSE)</f>
        <v>#N/A</v>
      </c>
      <c r="O17" s="312" t="e">
        <f>VLOOKUP(CONCATENATE(HVAC!O16,HomeSize),HVAC!$D$57:$K$75,8,FALSE)</f>
        <v>#N/A</v>
      </c>
      <c r="P17" s="312" t="e">
        <f>VLOOKUP(CONCATENATE(HVAC!P16,HomeSize),HVAC!$D$57:$K$75,8,FALSE)</f>
        <v>#N/A</v>
      </c>
      <c r="Q17" s="312" t="e">
        <f>VLOOKUP(CONCATENATE(HVAC!Q16,HomeSize),HVAC!$D$57:$K$75,8,FALSE)</f>
        <v>#N/A</v>
      </c>
      <c r="R17" s="312">
        <f>VLOOKUP(CONCATENATE(HVAC!R16,HomeSize),HVAC!$D$57:$K$75,8,FALSE)</f>
        <v>1.1992753623188406</v>
      </c>
      <c r="S17" s="312">
        <f>VLOOKUP(CONCATENATE(HVAC!S16,HomeSize),HVAC!$D$57:$K$75,8,FALSE)</f>
        <v>1.2185476410730807</v>
      </c>
      <c r="Z17" s="118"/>
      <c r="AA17" s="119" t="s">
        <v>408</v>
      </c>
      <c r="AB17" s="87">
        <v>2.1</v>
      </c>
      <c r="AC17" s="87">
        <v>35.1</v>
      </c>
      <c r="AD17" s="94">
        <v>6.7</v>
      </c>
    </row>
    <row r="18" spans="1:30" ht="15" customHeight="1">
      <c r="A18" s="5" t="s">
        <v>409</v>
      </c>
      <c r="B18" s="100" t="s">
        <v>391</v>
      </c>
      <c r="C18" s="137">
        <f>VLOOKUP(CONCATENATE(HVAC!C16,HomeSize),HVAC!$D$57:$K$75,7,FALSE)</f>
        <v>4.534690101757632</v>
      </c>
      <c r="D18" s="312">
        <f>VLOOKUP(CONCATENATE(HVAC!D16,HomeSize),HVAC!$D$57:$K$75,7,FALSE)</f>
        <v>10.469010175763183</v>
      </c>
      <c r="E18" s="312" t="e">
        <f>VLOOKUP(CONCATENATE(HVAC!E16,HomeSize),HVAC!$D$57:$K$75,7,FALSE)</f>
        <v>#N/A</v>
      </c>
      <c r="F18" s="312">
        <f>VLOOKUP(CONCATENATE(HVAC!F16,HomeSize),HVAC!$D$57:$K$75,7,FALSE)</f>
        <v>12.999074930619798</v>
      </c>
      <c r="G18" s="312" t="e">
        <f>VLOOKUP(CONCATENATE(HVAC!G16,HomeSize),HVAC!$D$57:$K$75,7,FALSE)</f>
        <v>#N/A</v>
      </c>
      <c r="H18" s="312" t="e">
        <f>VLOOKUP(CONCATENATE(HVAC!H16,HomeSize),HVAC!$D$57:$K$75,7,FALSE)</f>
        <v>#N/A</v>
      </c>
      <c r="I18" s="312">
        <f>VLOOKUP(CONCATENATE(HVAC!I16,HomeSize),HVAC!$D$57:$K$75,7,FALSE)</f>
        <v>15.165587419056431</v>
      </c>
      <c r="J18" s="312" t="e">
        <f>VLOOKUP(CONCATENATE(HVAC!J16,HomeSize),HVAC!$D$57:$K$75,7,FALSE)</f>
        <v>#N/A</v>
      </c>
      <c r="K18" s="312" t="e">
        <f>VLOOKUP(CONCATENATE(HVAC!K16,HomeSize),HVAC!$D$57:$K$75,7,FALSE)</f>
        <v>#N/A</v>
      </c>
      <c r="L18" s="312" t="e">
        <f>VLOOKUP(CONCATENATE(HVAC!L16,HomeSize),HVAC!$D$57:$K$75,7,FALSE)</f>
        <v>#N/A</v>
      </c>
      <c r="M18" s="312" t="e">
        <f>VLOOKUP(CONCATENATE(HVAC!M16,HomeSize),HVAC!$D$57:$K$75,7,FALSE)</f>
        <v>#N/A</v>
      </c>
      <c r="N18" s="312" t="e">
        <f>VLOOKUP(CONCATENATE(HVAC!N16,HomeSize),HVAC!$D$57:$K$75,7,FALSE)</f>
        <v>#N/A</v>
      </c>
      <c r="O18" s="312" t="e">
        <f>VLOOKUP(CONCATENATE(HVAC!O16,HomeSize),HVAC!$D$57:$K$75,7,FALSE)</f>
        <v>#N/A</v>
      </c>
      <c r="P18" s="312" t="e">
        <f>VLOOKUP(CONCATENATE(HVAC!P16,HomeSize),HVAC!$D$57:$K$75,7,FALSE)</f>
        <v>#N/A</v>
      </c>
      <c r="Q18" s="312" t="e">
        <f>VLOOKUP(CONCATENATE(HVAC!Q16,HomeSize),HVAC!$D$57:$K$75,7,FALSE)</f>
        <v>#N/A</v>
      </c>
      <c r="R18" s="312">
        <f>VLOOKUP(CONCATENATE(HVAC!R16,HomeSize),HVAC!$D$57:$K$75,7,FALSE)</f>
        <v>7.6151711378353379</v>
      </c>
      <c r="S18" s="312">
        <f>VLOOKUP(CONCATENATE(HVAC!S16,HomeSize),HVAC!$D$57:$K$75,7,FALSE)</f>
        <v>10.553191489361703</v>
      </c>
      <c r="Z18" s="118"/>
      <c r="AA18" s="119" t="s">
        <v>410</v>
      </c>
      <c r="AB18" s="87">
        <v>1.9</v>
      </c>
      <c r="AC18" s="87">
        <v>31.9</v>
      </c>
      <c r="AD18" s="94">
        <v>5.6</v>
      </c>
    </row>
    <row r="19" spans="1:30" ht="15" customHeight="1">
      <c r="A19" s="5" t="s">
        <v>1055</v>
      </c>
      <c r="B19" s="94" t="s">
        <v>411</v>
      </c>
      <c r="C19" s="137">
        <f>C17*A_houseFT/1000</f>
        <v>1.3891759503868066</v>
      </c>
      <c r="D19" s="137">
        <f t="shared" ref="D19:Q19" si="0">D17*A_houseFT/1000</f>
        <v>1.3598096368530119</v>
      </c>
      <c r="E19" s="137" t="e">
        <f t="shared" si="0"/>
        <v>#N/A</v>
      </c>
      <c r="F19" s="137">
        <f t="shared" si="0"/>
        <v>1.3281205640566569</v>
      </c>
      <c r="G19" s="137" t="e">
        <f t="shared" si="0"/>
        <v>#N/A</v>
      </c>
      <c r="H19" s="137" t="e">
        <f t="shared" si="0"/>
        <v>#N/A</v>
      </c>
      <c r="I19" s="137">
        <f t="shared" si="0"/>
        <v>1.20700525965174</v>
      </c>
      <c r="J19" s="137" t="e">
        <f t="shared" si="0"/>
        <v>#N/A</v>
      </c>
      <c r="K19" s="137" t="e">
        <f t="shared" si="0"/>
        <v>#N/A</v>
      </c>
      <c r="L19" s="137" t="e">
        <f t="shared" si="0"/>
        <v>#N/A</v>
      </c>
      <c r="M19" s="137" t="e">
        <f t="shared" si="0"/>
        <v>#N/A</v>
      </c>
      <c r="N19" s="137" t="e">
        <f t="shared" si="0"/>
        <v>#N/A</v>
      </c>
      <c r="O19" s="137" t="e">
        <f t="shared" si="0"/>
        <v>#N/A</v>
      </c>
      <c r="P19" s="137" t="e">
        <f t="shared" si="0"/>
        <v>#N/A</v>
      </c>
      <c r="Q19" s="137" t="e">
        <f t="shared" si="0"/>
        <v>#N/A</v>
      </c>
      <c r="R19" s="312">
        <f>R17*A_houseFT/1000</f>
        <v>1.2905416374159531</v>
      </c>
      <c r="S19" s="312">
        <f>S17*A_houseFT/1000</f>
        <v>1.3112805594030965</v>
      </c>
      <c r="Z19" s="118"/>
      <c r="AA19" s="119" t="s">
        <v>406</v>
      </c>
      <c r="AB19" s="87">
        <v>5.2</v>
      </c>
      <c r="AC19" s="87">
        <v>5.4</v>
      </c>
      <c r="AD19" s="94">
        <v>10.199999999999999</v>
      </c>
    </row>
    <row r="20" spans="1:30" s="305" customFormat="1" ht="15" customHeight="1">
      <c r="A20" s="305" t="s">
        <v>1056</v>
      </c>
      <c r="B20" s="228" t="s">
        <v>1057</v>
      </c>
      <c r="C20" s="319">
        <f t="shared" ref="C20:S20" si="1">C18*(A_houseFT/1000)</f>
        <v>4.8797853878868693</v>
      </c>
      <c r="D20" s="319">
        <f t="shared" si="1"/>
        <v>11.265714246168034</v>
      </c>
      <c r="E20" s="319" t="e">
        <f t="shared" si="1"/>
        <v>#N/A</v>
      </c>
      <c r="F20" s="319">
        <f t="shared" si="1"/>
        <v>13.988319924640209</v>
      </c>
      <c r="G20" s="319" t="e">
        <f t="shared" si="1"/>
        <v>#N/A</v>
      </c>
      <c r="H20" s="319" t="e">
        <f t="shared" si="1"/>
        <v>#N/A</v>
      </c>
      <c r="I20" s="319">
        <f t="shared" si="1"/>
        <v>16.31970657874691</v>
      </c>
      <c r="J20" s="319" t="e">
        <f t="shared" si="1"/>
        <v>#N/A</v>
      </c>
      <c r="K20" s="319" t="e">
        <f t="shared" si="1"/>
        <v>#N/A</v>
      </c>
      <c r="L20" s="319" t="e">
        <f t="shared" si="1"/>
        <v>#N/A</v>
      </c>
      <c r="M20" s="319" t="e">
        <f t="shared" si="1"/>
        <v>#N/A</v>
      </c>
      <c r="N20" s="319" t="e">
        <f t="shared" si="1"/>
        <v>#N/A</v>
      </c>
      <c r="O20" s="319" t="e">
        <f t="shared" si="1"/>
        <v>#N/A</v>
      </c>
      <c r="P20" s="319" t="e">
        <f t="shared" si="1"/>
        <v>#N/A</v>
      </c>
      <c r="Q20" s="319" t="e">
        <f t="shared" si="1"/>
        <v>#N/A</v>
      </c>
      <c r="R20" s="319">
        <f t="shared" si="1"/>
        <v>8.1946946783118548</v>
      </c>
      <c r="S20" s="319">
        <f t="shared" si="1"/>
        <v>11.356301857407876</v>
      </c>
      <c r="Z20" s="118"/>
      <c r="AA20" s="119"/>
      <c r="AB20" s="87"/>
      <c r="AC20" s="87"/>
      <c r="AD20" s="228"/>
    </row>
    <row r="21" spans="1:30" s="305" customFormat="1" ht="15" customHeight="1">
      <c r="A21" s="305" t="s">
        <v>1335</v>
      </c>
      <c r="B21" s="228" t="s">
        <v>289</v>
      </c>
      <c r="C21" s="530">
        <f>VLOOKUP(CONCATENATE(C16,HomeSize),HVAC!$D$57:$K$75,5,FALSE)*C19</f>
        <v>493.43529757739373</v>
      </c>
      <c r="D21" s="530">
        <f>VLOOKUP(CONCATENATE(D16,HomeSize),HVAC!$D$57:$K$75,5,FALSE)*D19</f>
        <v>483.00438301018983</v>
      </c>
      <c r="E21" s="530" t="e">
        <f>VLOOKUP(CONCATENATE(E16,HomeSize),HVAC!$D$57:$K$75,5,FALSE)*E19</f>
        <v>#N/A</v>
      </c>
      <c r="F21" s="530">
        <f>VLOOKUP(CONCATENATE(F16,HomeSize),HVAC!$D$57:$K$75,5,FALSE)*F19</f>
        <v>512.78734978227521</v>
      </c>
      <c r="G21" s="530" t="e">
        <f>VLOOKUP(CONCATENATE(G16,HomeSize),HVAC!$D$57:$K$75,5,FALSE)*G19</f>
        <v>#N/A</v>
      </c>
      <c r="H21" s="530" t="e">
        <f>VLOOKUP(CONCATENATE(H16,HomeSize),HVAC!$D$57:$K$75,5,FALSE)*H19</f>
        <v>#N/A</v>
      </c>
      <c r="I21" s="530">
        <f>VLOOKUP(CONCATENATE(I16,HomeSize),HVAC!$D$57:$K$75,5,FALSE)*I19</f>
        <v>466.02473075153682</v>
      </c>
      <c r="J21" s="530" t="e">
        <f>VLOOKUP(CONCATENATE(J16,HomeSize),HVAC!$D$57:$K$75,5,FALSE)*J19</f>
        <v>#N/A</v>
      </c>
      <c r="K21" s="530" t="e">
        <f>VLOOKUP(CONCATENATE(K16,HomeSize),HVAC!$D$57:$K$75,5,FALSE)*K19</f>
        <v>#N/A</v>
      </c>
      <c r="L21" s="530" t="e">
        <f>VLOOKUP(CONCATENATE(L16,HomeSize),HVAC!$D$57:$K$75,5,FALSE)*L19</f>
        <v>#N/A</v>
      </c>
      <c r="M21" s="530" t="e">
        <f>VLOOKUP(CONCATENATE(M16,HomeSize),HVAC!$D$57:$K$75,5,FALSE)*M19</f>
        <v>#N/A</v>
      </c>
      <c r="N21" s="530" t="e">
        <f>VLOOKUP(CONCATENATE(N16,HomeSize),HVAC!$D$57:$K$75,5,FALSE)*N19</f>
        <v>#N/A</v>
      </c>
      <c r="O21" s="530" t="e">
        <f>VLOOKUP(CONCATENATE(O16,HomeSize),HVAC!$D$57:$K$75,5,FALSE)*O19</f>
        <v>#N/A</v>
      </c>
      <c r="P21" s="530" t="e">
        <f>VLOOKUP(CONCATENATE(P16,HomeSize),HVAC!$D$57:$K$75,5,FALSE)*P19</f>
        <v>#N/A</v>
      </c>
      <c r="Q21" s="530" t="e">
        <f>VLOOKUP(CONCATENATE(Q16,HomeSize),HVAC!$D$57:$K$75,5,FALSE)*Q19</f>
        <v>#N/A</v>
      </c>
      <c r="R21" s="530">
        <f>VLOOKUP(CONCATENATE(R16,HomeSize),HVAC!$D$57:$K$75,5,FALSE)*R19</f>
        <v>458.40038961014653</v>
      </c>
      <c r="S21" s="530">
        <f>VLOOKUP(CONCATENATE(S16,HomeSize),HVAC!$D$57:$K$75,5,FALSE)*S19</f>
        <v>506.2854239855356</v>
      </c>
      <c r="Z21" s="118"/>
      <c r="AA21" s="119"/>
      <c r="AB21" s="87"/>
      <c r="AC21" s="87"/>
      <c r="AD21" s="228"/>
    </row>
    <row r="22" spans="1:30" s="305" customFormat="1" ht="15" customHeight="1">
      <c r="A22" s="305" t="s">
        <v>1336</v>
      </c>
      <c r="B22" s="228" t="s">
        <v>289</v>
      </c>
      <c r="C22" s="530">
        <f>16.8*C20</f>
        <v>81.980394516499402</v>
      </c>
      <c r="D22" s="530">
        <f t="shared" ref="D22:S22" si="2">16.8*D20</f>
        <v>189.263999335623</v>
      </c>
      <c r="E22" s="530" t="e">
        <f t="shared" si="2"/>
        <v>#N/A</v>
      </c>
      <c r="F22" s="530">
        <f t="shared" si="2"/>
        <v>235.00377473395551</v>
      </c>
      <c r="G22" s="530" t="e">
        <f t="shared" si="2"/>
        <v>#N/A</v>
      </c>
      <c r="H22" s="530" t="e">
        <f t="shared" si="2"/>
        <v>#N/A</v>
      </c>
      <c r="I22" s="530">
        <f t="shared" si="2"/>
        <v>274.17107052294813</v>
      </c>
      <c r="J22" s="530" t="e">
        <f t="shared" si="2"/>
        <v>#N/A</v>
      </c>
      <c r="K22" s="530" t="e">
        <f t="shared" si="2"/>
        <v>#N/A</v>
      </c>
      <c r="L22" s="530" t="e">
        <f t="shared" si="2"/>
        <v>#N/A</v>
      </c>
      <c r="M22" s="530" t="e">
        <f t="shared" si="2"/>
        <v>#N/A</v>
      </c>
      <c r="N22" s="530" t="e">
        <f t="shared" si="2"/>
        <v>#N/A</v>
      </c>
      <c r="O22" s="530" t="e">
        <f t="shared" si="2"/>
        <v>#N/A</v>
      </c>
      <c r="P22" s="530" t="e">
        <f t="shared" si="2"/>
        <v>#N/A</v>
      </c>
      <c r="Q22" s="530" t="e">
        <f t="shared" si="2"/>
        <v>#N/A</v>
      </c>
      <c r="R22" s="530">
        <f t="shared" si="2"/>
        <v>137.67087059563917</v>
      </c>
      <c r="S22" s="530">
        <f t="shared" si="2"/>
        <v>190.78587120445232</v>
      </c>
      <c r="Z22" s="118"/>
      <c r="AA22" s="119"/>
      <c r="AB22" s="87"/>
      <c r="AC22" s="87"/>
      <c r="AD22" s="228"/>
    </row>
    <row r="23" spans="1:30" s="305" customFormat="1" ht="15" customHeight="1">
      <c r="A23" s="305" t="s">
        <v>1337</v>
      </c>
      <c r="B23" s="228" t="s">
        <v>640</v>
      </c>
      <c r="C23" s="530">
        <f>IF(C22&gt;C21*0.8,C20,(C21*0.8/C22)*C20)</f>
        <v>23.496918932256847</v>
      </c>
      <c r="D23" s="530">
        <f t="shared" ref="D23:S23" si="3">IF(D22&gt;D21*0.8,D20,(D21*0.8/D22)*D20)</f>
        <v>23.000208714770945</v>
      </c>
      <c r="E23" s="530" t="e">
        <f t="shared" si="3"/>
        <v>#N/A</v>
      </c>
      <c r="F23" s="530">
        <f t="shared" si="3"/>
        <v>24.418445227727393</v>
      </c>
      <c r="G23" s="530" t="e">
        <f t="shared" si="3"/>
        <v>#N/A</v>
      </c>
      <c r="H23" s="530" t="e">
        <f t="shared" si="3"/>
        <v>#N/A</v>
      </c>
      <c r="I23" s="530">
        <f t="shared" si="3"/>
        <v>22.191653845311276</v>
      </c>
      <c r="J23" s="530" t="e">
        <f t="shared" si="3"/>
        <v>#N/A</v>
      </c>
      <c r="K23" s="530" t="e">
        <f t="shared" si="3"/>
        <v>#N/A</v>
      </c>
      <c r="L23" s="530" t="e">
        <f t="shared" si="3"/>
        <v>#N/A</v>
      </c>
      <c r="M23" s="530" t="e">
        <f t="shared" si="3"/>
        <v>#N/A</v>
      </c>
      <c r="N23" s="530" t="e">
        <f t="shared" si="3"/>
        <v>#N/A</v>
      </c>
      <c r="O23" s="530" t="e">
        <f t="shared" si="3"/>
        <v>#N/A</v>
      </c>
      <c r="P23" s="530" t="e">
        <f t="shared" si="3"/>
        <v>#N/A</v>
      </c>
      <c r="Q23" s="530" t="e">
        <f t="shared" si="3"/>
        <v>#N/A</v>
      </c>
      <c r="R23" s="530">
        <f t="shared" si="3"/>
        <v>21.828589981435549</v>
      </c>
      <c r="S23" s="530">
        <f t="shared" si="3"/>
        <v>24.108829713596936</v>
      </c>
      <c r="Z23" s="118"/>
      <c r="AA23" s="119"/>
      <c r="AB23" s="87"/>
      <c r="AC23" s="87"/>
      <c r="AD23" s="228"/>
    </row>
    <row r="24" spans="1:30" ht="15" customHeight="1">
      <c r="A24" s="58" t="s">
        <v>1338</v>
      </c>
      <c r="B24" s="113" t="s">
        <v>411</v>
      </c>
      <c r="C24" s="505">
        <f>ROUNDUP(C19*2,0)/2</f>
        <v>1.5</v>
      </c>
      <c r="D24" s="505">
        <f t="shared" ref="D24:S24" si="4">ROUNDUP(D19*2,0)/2</f>
        <v>1.5</v>
      </c>
      <c r="E24" s="505" t="e">
        <f t="shared" si="4"/>
        <v>#N/A</v>
      </c>
      <c r="F24" s="505">
        <f t="shared" si="4"/>
        <v>1.5</v>
      </c>
      <c r="G24" s="505" t="e">
        <f>ROUNDUP(G19*2,0)/2</f>
        <v>#N/A</v>
      </c>
      <c r="H24" s="505" t="e">
        <f t="shared" si="4"/>
        <v>#N/A</v>
      </c>
      <c r="I24" s="505">
        <f t="shared" si="4"/>
        <v>1.5</v>
      </c>
      <c r="J24" s="505" t="e">
        <f t="shared" si="4"/>
        <v>#N/A</v>
      </c>
      <c r="K24" s="505" t="e">
        <f t="shared" si="4"/>
        <v>#N/A</v>
      </c>
      <c r="L24" s="505" t="e">
        <f t="shared" si="4"/>
        <v>#N/A</v>
      </c>
      <c r="M24" s="505" t="e">
        <f t="shared" si="4"/>
        <v>#N/A</v>
      </c>
      <c r="N24" s="505" t="e">
        <f t="shared" si="4"/>
        <v>#N/A</v>
      </c>
      <c r="O24" s="505" t="e">
        <f t="shared" si="4"/>
        <v>#N/A</v>
      </c>
      <c r="P24" s="505" t="e">
        <f t="shared" si="4"/>
        <v>#N/A</v>
      </c>
      <c r="Q24" s="505" t="e">
        <f t="shared" si="4"/>
        <v>#N/A</v>
      </c>
      <c r="R24" s="505">
        <f t="shared" si="4"/>
        <v>1.5</v>
      </c>
      <c r="S24" s="505">
        <f t="shared" si="4"/>
        <v>1.5</v>
      </c>
      <c r="Z24" s="121"/>
      <c r="AA24" s="107"/>
      <c r="AB24" s="104"/>
      <c r="AC24" s="104"/>
      <c r="AD24" s="89"/>
    </row>
    <row r="25" spans="1:30" ht="15" customHeight="1">
      <c r="A25" s="58" t="s">
        <v>1338</v>
      </c>
      <c r="B25" s="113" t="s">
        <v>412</v>
      </c>
      <c r="C25" s="505">
        <f>C24*12</f>
        <v>18</v>
      </c>
      <c r="D25" s="505">
        <f t="shared" ref="D25:S25" si="5">D24*12</f>
        <v>18</v>
      </c>
      <c r="E25" s="505" t="e">
        <f t="shared" si="5"/>
        <v>#N/A</v>
      </c>
      <c r="F25" s="505">
        <f t="shared" si="5"/>
        <v>18</v>
      </c>
      <c r="G25" s="505" t="e">
        <f t="shared" si="5"/>
        <v>#N/A</v>
      </c>
      <c r="H25" s="505" t="e">
        <f t="shared" si="5"/>
        <v>#N/A</v>
      </c>
      <c r="I25" s="505">
        <f t="shared" si="5"/>
        <v>18</v>
      </c>
      <c r="J25" s="505" t="e">
        <f t="shared" si="5"/>
        <v>#N/A</v>
      </c>
      <c r="K25" s="505" t="e">
        <f t="shared" si="5"/>
        <v>#N/A</v>
      </c>
      <c r="L25" s="505" t="e">
        <f t="shared" si="5"/>
        <v>#N/A</v>
      </c>
      <c r="M25" s="505" t="e">
        <f t="shared" si="5"/>
        <v>#N/A</v>
      </c>
      <c r="N25" s="505" t="e">
        <f t="shared" si="5"/>
        <v>#N/A</v>
      </c>
      <c r="O25" s="505" t="e">
        <f t="shared" si="5"/>
        <v>#N/A</v>
      </c>
      <c r="P25" s="505" t="e">
        <f t="shared" si="5"/>
        <v>#N/A</v>
      </c>
      <c r="Q25" s="505" t="e">
        <f t="shared" si="5"/>
        <v>#N/A</v>
      </c>
      <c r="R25" s="505">
        <f t="shared" si="5"/>
        <v>18</v>
      </c>
      <c r="S25" s="505">
        <f t="shared" si="5"/>
        <v>18</v>
      </c>
      <c r="Z25" s="118" t="s">
        <v>488</v>
      </c>
      <c r="AA25" s="119" t="s">
        <v>395</v>
      </c>
      <c r="AB25" s="87">
        <v>1.8</v>
      </c>
      <c r="AC25" s="87">
        <v>39.299999999999997</v>
      </c>
      <c r="AD25" s="94">
        <v>4.5999999999999996</v>
      </c>
    </row>
    <row r="26" spans="1:30" ht="15" customHeight="1">
      <c r="A26" s="58" t="s">
        <v>1339</v>
      </c>
      <c r="B26" s="113" t="s">
        <v>412</v>
      </c>
      <c r="C26" s="506">
        <f>ROUNDUP(C23/10,0)*10</f>
        <v>30</v>
      </c>
      <c r="D26" s="506">
        <f>ROUNDUP(D23/10,0)*10</f>
        <v>30</v>
      </c>
      <c r="E26" s="506" t="e">
        <f>ROUNDUP(E23/10,0)*10</f>
        <v>#N/A</v>
      </c>
      <c r="F26" s="506">
        <f>ROUNDUP(F23/10,0)*10</f>
        <v>30</v>
      </c>
      <c r="G26" s="506" t="e">
        <f t="shared" ref="G26:S26" si="6">ROUNDUP(G23/10,0)*10</f>
        <v>#N/A</v>
      </c>
      <c r="H26" s="506" t="e">
        <f t="shared" si="6"/>
        <v>#N/A</v>
      </c>
      <c r="I26" s="506">
        <f t="shared" si="6"/>
        <v>30</v>
      </c>
      <c r="J26" s="506" t="e">
        <f t="shared" si="6"/>
        <v>#N/A</v>
      </c>
      <c r="K26" s="506" t="e">
        <f t="shared" si="6"/>
        <v>#N/A</v>
      </c>
      <c r="L26" s="506" t="e">
        <f t="shared" si="6"/>
        <v>#N/A</v>
      </c>
      <c r="M26" s="506" t="e">
        <f t="shared" si="6"/>
        <v>#N/A</v>
      </c>
      <c r="N26" s="506" t="e">
        <f t="shared" si="6"/>
        <v>#N/A</v>
      </c>
      <c r="O26" s="506" t="e">
        <f t="shared" si="6"/>
        <v>#N/A</v>
      </c>
      <c r="P26" s="506" t="e">
        <f t="shared" si="6"/>
        <v>#N/A</v>
      </c>
      <c r="Q26" s="506" t="e">
        <f t="shared" si="6"/>
        <v>#N/A</v>
      </c>
      <c r="R26" s="506">
        <f t="shared" si="6"/>
        <v>30</v>
      </c>
      <c r="S26" s="506">
        <f t="shared" si="6"/>
        <v>30</v>
      </c>
      <c r="Z26" s="118"/>
      <c r="AA26" s="119" t="s">
        <v>397</v>
      </c>
      <c r="AB26" s="87">
        <v>2.6</v>
      </c>
      <c r="AC26" s="87">
        <v>56.3</v>
      </c>
      <c r="AD26" s="94">
        <v>6</v>
      </c>
    </row>
    <row r="27" spans="1:30" ht="15" customHeight="1">
      <c r="A27" s="58" t="s">
        <v>413</v>
      </c>
      <c r="B27" s="113" t="s">
        <v>414</v>
      </c>
      <c r="C27" s="494">
        <f>VLOOKUP(CONCATENATE(C16,HomeSize),HVAC!$D$57:$K$75,5,FALSE)*C24*0.3048^3/60</f>
        <v>0.25145359773696002</v>
      </c>
      <c r="D27" s="494">
        <f>VLOOKUP(CONCATENATE(D16,HomeSize),HVAC!$D$57:$K$75,5,FALSE)*D24*0.3048^3/60</f>
        <v>0.25145359773696002</v>
      </c>
      <c r="E27" s="494" t="e">
        <f>VLOOKUP(CONCATENATE(E16,HomeSize),HVAC!$D$57:$K$75,5,FALSE)*E24*0.3048^3/60</f>
        <v>#N/A</v>
      </c>
      <c r="F27" s="494">
        <f>VLOOKUP(CONCATENATE(F16,HomeSize),HVAC!$D$57:$K$75,5,FALSE)*F24*0.3048^3/60</f>
        <v>0.27332836172928004</v>
      </c>
      <c r="G27" s="494" t="e">
        <f>VLOOKUP(CONCATENATE(G16,HomeSize),HVAC!$D$57:$K$75,5,FALSE)*G24*0.3048^3/60</f>
        <v>#N/A</v>
      </c>
      <c r="H27" s="494" t="e">
        <f>VLOOKUP(CONCATENATE(H16,HomeSize),HVAC!$D$57:$K$75,5,FALSE)*H24*0.3048^3/60</f>
        <v>#N/A</v>
      </c>
      <c r="I27" s="494">
        <f>VLOOKUP(CONCATENATE(I16,HomeSize),HVAC!$D$57:$K$75,5,FALSE)*I24*0.3048^3/60</f>
        <v>0.27332836172928004</v>
      </c>
      <c r="J27" s="494" t="e">
        <f>VLOOKUP(CONCATENATE(J16,HomeSize),HVAC!$D$57:$K$75,5,FALSE)*J24*0.3048^3/60</f>
        <v>#N/A</v>
      </c>
      <c r="K27" s="494" t="e">
        <f>VLOOKUP(CONCATENATE(K16,HomeSize),HVAC!$D$57:$K$75,5,FALSE)*K24*0.3048^3/60</f>
        <v>#N/A</v>
      </c>
      <c r="L27" s="494" t="e">
        <f>VLOOKUP(CONCATENATE(L16,HomeSize),HVAC!$D$57:$K$75,5,FALSE)*L24*0.3048^3/60</f>
        <v>#N/A</v>
      </c>
      <c r="M27" s="494" t="e">
        <f>VLOOKUP(CONCATENATE(M16,HomeSize),HVAC!$D$57:$K$75,5,FALSE)*M24*0.3048^3/60</f>
        <v>#N/A</v>
      </c>
      <c r="N27" s="494" t="e">
        <f>VLOOKUP(CONCATENATE(N16,HomeSize),HVAC!$D$57:$K$75,5,FALSE)*N24*0.3048^3/60</f>
        <v>#N/A</v>
      </c>
      <c r="O27" s="494" t="e">
        <f>VLOOKUP(CONCATENATE(O16,HomeSize),HVAC!$D$57:$K$75,5,FALSE)*O24*0.3048^3/60</f>
        <v>#N/A</v>
      </c>
      <c r="P27" s="494" t="e">
        <f>VLOOKUP(CONCATENATE(P16,HomeSize),HVAC!$D$57:$K$75,5,FALSE)*P24*0.3048^3/60</f>
        <v>#N/A</v>
      </c>
      <c r="Q27" s="494" t="e">
        <f>VLOOKUP(CONCATENATE(Q16,HomeSize),HVAC!$D$57:$K$75,5,FALSE)*Q24*0.3048^3/60</f>
        <v>#N/A</v>
      </c>
      <c r="R27" s="494">
        <f>VLOOKUP(CONCATENATE(R16,HomeSize),HVAC!$D$57:$K$75,5,FALSE)*R24*0.3048^3/60</f>
        <v>0.25145359773696002</v>
      </c>
      <c r="S27" s="494">
        <f>VLOOKUP(CONCATENATE(S16,HomeSize),HVAC!$D$57:$K$75,5,FALSE)*S24*0.3048^3/60</f>
        <v>0.27332836172928004</v>
      </c>
      <c r="U27" s="1" t="s">
        <v>415</v>
      </c>
      <c r="Z27" s="118"/>
      <c r="AA27" s="119" t="s">
        <v>398</v>
      </c>
      <c r="AB27" s="87">
        <v>0.8</v>
      </c>
      <c r="AC27" s="87">
        <v>20.100000000000001</v>
      </c>
      <c r="AD27" s="94">
        <v>3.2</v>
      </c>
    </row>
    <row r="28" spans="1:30" ht="15" customHeight="1">
      <c r="A28" s="58" t="s">
        <v>416</v>
      </c>
      <c r="B28" s="113" t="s">
        <v>414</v>
      </c>
      <c r="C28" s="494">
        <f>16.8*C26*(1/2119)</f>
        <v>0.23784804152902314</v>
      </c>
      <c r="D28" s="494">
        <f t="shared" ref="D28:S28" si="7">16.8*D26*(1/2119)</f>
        <v>0.23784804152902314</v>
      </c>
      <c r="E28" s="494" t="e">
        <f t="shared" si="7"/>
        <v>#N/A</v>
      </c>
      <c r="F28" s="494">
        <f t="shared" si="7"/>
        <v>0.23784804152902314</v>
      </c>
      <c r="G28" s="494" t="e">
        <f t="shared" si="7"/>
        <v>#N/A</v>
      </c>
      <c r="H28" s="494" t="e">
        <f t="shared" si="7"/>
        <v>#N/A</v>
      </c>
      <c r="I28" s="494">
        <f t="shared" si="7"/>
        <v>0.23784804152902314</v>
      </c>
      <c r="J28" s="494" t="e">
        <f t="shared" si="7"/>
        <v>#N/A</v>
      </c>
      <c r="K28" s="494" t="e">
        <f t="shared" si="7"/>
        <v>#N/A</v>
      </c>
      <c r="L28" s="494" t="e">
        <f t="shared" si="7"/>
        <v>#N/A</v>
      </c>
      <c r="M28" s="494" t="e">
        <f t="shared" si="7"/>
        <v>#N/A</v>
      </c>
      <c r="N28" s="494" t="e">
        <f t="shared" si="7"/>
        <v>#N/A</v>
      </c>
      <c r="O28" s="494" t="e">
        <f t="shared" si="7"/>
        <v>#N/A</v>
      </c>
      <c r="P28" s="494" t="e">
        <f t="shared" si="7"/>
        <v>#N/A</v>
      </c>
      <c r="Q28" s="494" t="e">
        <f t="shared" si="7"/>
        <v>#N/A</v>
      </c>
      <c r="R28" s="494">
        <f t="shared" si="7"/>
        <v>0.23784804152902314</v>
      </c>
      <c r="S28" s="494">
        <f t="shared" si="7"/>
        <v>0.23784804152902314</v>
      </c>
      <c r="U28" s="65" t="s">
        <v>417</v>
      </c>
      <c r="Z28" s="118"/>
      <c r="AA28" s="119" t="s">
        <v>406</v>
      </c>
      <c r="AB28" s="87">
        <v>33.6</v>
      </c>
      <c r="AC28" s="87">
        <v>31.1</v>
      </c>
      <c r="AD28" s="94">
        <v>13.7</v>
      </c>
    </row>
    <row r="29" spans="1:30" ht="15" customHeight="1">
      <c r="A29" s="58" t="s">
        <v>418</v>
      </c>
      <c r="B29" s="113" t="s">
        <v>32</v>
      </c>
      <c r="C29" s="507">
        <f>C27*2119*0.167</f>
        <v>88.982638991971257</v>
      </c>
      <c r="D29" s="507">
        <f t="shared" ref="D29:S29" si="8">D27*2119*0.167</f>
        <v>88.982638991971257</v>
      </c>
      <c r="E29" s="507" t="e">
        <f t="shared" si="8"/>
        <v>#N/A</v>
      </c>
      <c r="F29" s="507">
        <f t="shared" si="8"/>
        <v>96.723527350225524</v>
      </c>
      <c r="G29" s="507" t="e">
        <f t="shared" si="8"/>
        <v>#N/A</v>
      </c>
      <c r="H29" s="507" t="e">
        <f t="shared" si="8"/>
        <v>#N/A</v>
      </c>
      <c r="I29" s="507">
        <f t="shared" si="8"/>
        <v>96.723527350225524</v>
      </c>
      <c r="J29" s="507" t="e">
        <f t="shared" si="8"/>
        <v>#N/A</v>
      </c>
      <c r="K29" s="507" t="e">
        <f t="shared" si="8"/>
        <v>#N/A</v>
      </c>
      <c r="L29" s="507" t="e">
        <f t="shared" si="8"/>
        <v>#N/A</v>
      </c>
      <c r="M29" s="507" t="e">
        <f t="shared" si="8"/>
        <v>#N/A</v>
      </c>
      <c r="N29" s="507" t="e">
        <f t="shared" si="8"/>
        <v>#N/A</v>
      </c>
      <c r="O29" s="507" t="e">
        <f t="shared" si="8"/>
        <v>#N/A</v>
      </c>
      <c r="P29" s="507" t="e">
        <f t="shared" si="8"/>
        <v>#N/A</v>
      </c>
      <c r="Q29" s="507" t="e">
        <f t="shared" si="8"/>
        <v>#N/A</v>
      </c>
      <c r="R29" s="507">
        <f t="shared" si="8"/>
        <v>88.982638991971257</v>
      </c>
      <c r="S29" s="507">
        <f t="shared" si="8"/>
        <v>96.723527350225524</v>
      </c>
      <c r="U29" s="1" t="s">
        <v>730</v>
      </c>
      <c r="Z29" s="118"/>
      <c r="AA29" s="119"/>
      <c r="AB29" s="87"/>
      <c r="AC29" s="87"/>
      <c r="AD29" s="94"/>
    </row>
    <row r="30" spans="1:30" ht="15" customHeight="1">
      <c r="A30" s="58" t="s">
        <v>419</v>
      </c>
      <c r="B30" s="113" t="s">
        <v>32</v>
      </c>
      <c r="C30" s="507">
        <f>C28*2119*0.167</f>
        <v>84.168000000000021</v>
      </c>
      <c r="D30" s="507">
        <f t="shared" ref="D30:S30" si="9">D28*2119*0.167</f>
        <v>84.168000000000021</v>
      </c>
      <c r="E30" s="507" t="e">
        <f t="shared" si="9"/>
        <v>#N/A</v>
      </c>
      <c r="F30" s="507">
        <f t="shared" si="9"/>
        <v>84.168000000000021</v>
      </c>
      <c r="G30" s="507" t="e">
        <f t="shared" si="9"/>
        <v>#N/A</v>
      </c>
      <c r="H30" s="507" t="e">
        <f t="shared" si="9"/>
        <v>#N/A</v>
      </c>
      <c r="I30" s="507">
        <f t="shared" si="9"/>
        <v>84.168000000000021</v>
      </c>
      <c r="J30" s="507" t="e">
        <f t="shared" si="9"/>
        <v>#N/A</v>
      </c>
      <c r="K30" s="507" t="e">
        <f t="shared" si="9"/>
        <v>#N/A</v>
      </c>
      <c r="L30" s="507" t="e">
        <f t="shared" si="9"/>
        <v>#N/A</v>
      </c>
      <c r="M30" s="507" t="e">
        <f t="shared" si="9"/>
        <v>#N/A</v>
      </c>
      <c r="N30" s="507" t="e">
        <f t="shared" si="9"/>
        <v>#N/A</v>
      </c>
      <c r="O30" s="507" t="e">
        <f t="shared" si="9"/>
        <v>#N/A</v>
      </c>
      <c r="P30" s="507" t="e">
        <f t="shared" si="9"/>
        <v>#N/A</v>
      </c>
      <c r="Q30" s="507" t="e">
        <f t="shared" si="9"/>
        <v>#N/A</v>
      </c>
      <c r="R30" s="507">
        <f t="shared" si="9"/>
        <v>84.168000000000021</v>
      </c>
      <c r="S30" s="507">
        <f t="shared" si="9"/>
        <v>84.168000000000021</v>
      </c>
      <c r="U30" s="1" t="s">
        <v>731</v>
      </c>
      <c r="Z30" s="115" t="s">
        <v>489</v>
      </c>
      <c r="AA30" s="116" t="s">
        <v>395</v>
      </c>
      <c r="AB30" s="114">
        <v>1.6</v>
      </c>
      <c r="AC30" s="114">
        <v>40.5</v>
      </c>
      <c r="AD30" s="112">
        <v>3.9</v>
      </c>
    </row>
    <row r="31" spans="1:30" ht="15" customHeight="1">
      <c r="A31" s="58" t="s">
        <v>420</v>
      </c>
      <c r="B31" s="113" t="s">
        <v>421</v>
      </c>
      <c r="C31" s="508">
        <f>C27*Ducts!$D$18/(25^Ducts!$D$20)</f>
        <v>0</v>
      </c>
      <c r="D31" s="508">
        <f>D27*Ducts!$D$18/(25^Ducts!$D$20)</f>
        <v>0</v>
      </c>
      <c r="E31" s="508" t="e">
        <f>E27*Ducts!$D$18/(25^Ducts!$D$20)</f>
        <v>#N/A</v>
      </c>
      <c r="F31" s="508">
        <f>F27*Ducts!$D$18/(25^Ducts!$D$20)</f>
        <v>0</v>
      </c>
      <c r="G31" s="508" t="e">
        <f>G27*Ducts!$D$18/(25^Ducts!$D$20)</f>
        <v>#N/A</v>
      </c>
      <c r="H31" s="508" t="e">
        <f>H27*Ducts!$D$18/(25^Ducts!$D$20)</f>
        <v>#N/A</v>
      </c>
      <c r="I31" s="508">
        <f>I27*Ducts!$D$18/(25^Ducts!$D$20)</f>
        <v>0</v>
      </c>
      <c r="J31" s="508" t="e">
        <f>J27*Ducts!$D$18/(25^Ducts!$D$20)</f>
        <v>#N/A</v>
      </c>
      <c r="K31" s="508" t="e">
        <f>K27*Ducts!$D$18/(25^Ducts!$D$20)</f>
        <v>#N/A</v>
      </c>
      <c r="L31" s="508" t="e">
        <f>L27*Ducts!$D$18/(25^Ducts!$D$20)</f>
        <v>#N/A</v>
      </c>
      <c r="M31" s="508" t="e">
        <f>M27*Ducts!$D$18/(25^Ducts!$D$20)</f>
        <v>#N/A</v>
      </c>
      <c r="N31" s="508" t="e">
        <f>N27*Ducts!$D$18/(25^Ducts!$D$20)</f>
        <v>#N/A</v>
      </c>
      <c r="O31" s="508" t="e">
        <f>O27*Ducts!$D$18/(25^Ducts!$D$20)</f>
        <v>#N/A</v>
      </c>
      <c r="P31" s="508" t="e">
        <f>P27*Ducts!$D$18/(25^Ducts!$D$20)</f>
        <v>#N/A</v>
      </c>
      <c r="Q31" s="508" t="e">
        <f>Q27*Ducts!$D$18/(25^Ducts!$D$20)</f>
        <v>#N/A</v>
      </c>
      <c r="R31" s="508">
        <f>R27*Ducts!$D$18/(25^Ducts!$D$20)</f>
        <v>0</v>
      </c>
      <c r="S31" s="508">
        <f>S27*Ducts!$D$18/(25^Ducts!$D$20)</f>
        <v>0</v>
      </c>
      <c r="U31" s="1" t="s">
        <v>422</v>
      </c>
      <c r="Z31" s="118"/>
      <c r="AA31" s="119" t="s">
        <v>408</v>
      </c>
      <c r="AB31" s="87">
        <v>2</v>
      </c>
      <c r="AC31" s="87">
        <v>55.5</v>
      </c>
      <c r="AD31" s="94">
        <v>5</v>
      </c>
    </row>
    <row r="32" spans="1:30" ht="15" customHeight="1">
      <c r="A32" s="58" t="s">
        <v>423</v>
      </c>
      <c r="B32" s="113" t="s">
        <v>421</v>
      </c>
      <c r="C32" s="508">
        <f>C27*Ducts!$D$19/(25^Ducts!$D$21)</f>
        <v>0</v>
      </c>
      <c r="D32" s="508">
        <f>D27*Ducts!$D$19/(25^Ducts!$D$21)</f>
        <v>0</v>
      </c>
      <c r="E32" s="508" t="e">
        <f>E27*Ducts!$D$19/(25^Ducts!$D$21)</f>
        <v>#N/A</v>
      </c>
      <c r="F32" s="508">
        <f>F27*Ducts!$D$19/(25^Ducts!$D$21)</f>
        <v>0</v>
      </c>
      <c r="G32" s="508" t="e">
        <f>G27*Ducts!$D$19/(25^Ducts!$D$21)</f>
        <v>#N/A</v>
      </c>
      <c r="H32" s="508" t="e">
        <f>H27*Ducts!$D$19/(25^Ducts!$D$21)</f>
        <v>#N/A</v>
      </c>
      <c r="I32" s="508">
        <f>I27*Ducts!$D$19/(25^Ducts!$D$21)</f>
        <v>0</v>
      </c>
      <c r="J32" s="508" t="e">
        <f>J27*Ducts!$D$19/(25^Ducts!$D$21)</f>
        <v>#N/A</v>
      </c>
      <c r="K32" s="508" t="e">
        <f>K27*Ducts!$D$19/(25^Ducts!$D$21)</f>
        <v>#N/A</v>
      </c>
      <c r="L32" s="508" t="e">
        <f>L27*Ducts!$D$19/(25^Ducts!$D$21)</f>
        <v>#N/A</v>
      </c>
      <c r="M32" s="508" t="e">
        <f>M27*Ducts!$D$19/(25^Ducts!$D$21)</f>
        <v>#N/A</v>
      </c>
      <c r="N32" s="508" t="e">
        <f>N27*Ducts!$D$19/(25^Ducts!$D$21)</f>
        <v>#N/A</v>
      </c>
      <c r="O32" s="508" t="e">
        <f>O27*Ducts!$D$19/(25^Ducts!$D$21)</f>
        <v>#N/A</v>
      </c>
      <c r="P32" s="508" t="e">
        <f>P27*Ducts!$D$19/(25^Ducts!$D$21)</f>
        <v>#N/A</v>
      </c>
      <c r="Q32" s="508" t="e">
        <f>Q27*Ducts!$D$19/(25^Ducts!$D$21)</f>
        <v>#N/A</v>
      </c>
      <c r="R32" s="508">
        <f>R27*Ducts!$D$19/(25^Ducts!$D$21)</f>
        <v>0</v>
      </c>
      <c r="S32" s="508">
        <f>S27*Ducts!$D$19/(25^Ducts!$D$21)</f>
        <v>0</v>
      </c>
      <c r="U32" s="5" t="s">
        <v>1054</v>
      </c>
      <c r="Z32" s="118"/>
      <c r="AA32" s="119" t="s">
        <v>410</v>
      </c>
      <c r="AB32" s="87">
        <v>1.1000000000000001</v>
      </c>
      <c r="AC32" s="87">
        <v>30.9</v>
      </c>
      <c r="AD32" s="94">
        <v>2.8</v>
      </c>
    </row>
    <row r="33" spans="1:30" ht="15" customHeight="1">
      <c r="C33" s="305"/>
      <c r="D33" s="305"/>
      <c r="E33" s="305"/>
      <c r="F33" s="305"/>
      <c r="G33" s="305"/>
      <c r="H33" s="305"/>
      <c r="I33" s="305"/>
      <c r="J33" s="305"/>
      <c r="K33" s="305"/>
      <c r="L33" s="305"/>
      <c r="M33" s="305"/>
      <c r="N33" s="305"/>
      <c r="O33" s="305"/>
      <c r="P33" s="305"/>
      <c r="Q33" s="305"/>
      <c r="R33" s="305"/>
      <c r="S33" s="305"/>
      <c r="U33" s="5">
        <f>1/2119</f>
        <v>4.7192071731949034E-4</v>
      </c>
      <c r="Z33" s="118"/>
      <c r="AA33" s="119" t="s">
        <v>406</v>
      </c>
      <c r="AB33" s="87">
        <v>22</v>
      </c>
      <c r="AC33" s="87">
        <v>21.2</v>
      </c>
      <c r="AD33" s="94">
        <v>20.9</v>
      </c>
    </row>
    <row r="34" spans="1:30" ht="15" customHeight="1">
      <c r="A34" s="14" t="s">
        <v>424</v>
      </c>
      <c r="S34" s="14"/>
      <c r="Z34" s="121"/>
      <c r="AA34" s="107"/>
      <c r="AB34" s="104"/>
      <c r="AC34" s="104"/>
      <c r="AD34" s="89"/>
    </row>
    <row r="35" spans="1:30" ht="15" customHeight="1">
      <c r="A35" s="66" t="s">
        <v>425</v>
      </c>
      <c r="Z35" s="115" t="s">
        <v>490</v>
      </c>
      <c r="AA35" s="116" t="s">
        <v>395</v>
      </c>
      <c r="AB35" s="114">
        <v>2.2999999999999998</v>
      </c>
      <c r="AC35" s="114">
        <v>46.6</v>
      </c>
      <c r="AD35" s="112">
        <v>5</v>
      </c>
    </row>
    <row r="36" spans="1:30" ht="15" customHeight="1">
      <c r="Z36" s="118"/>
      <c r="AA36" s="119" t="s">
        <v>408</v>
      </c>
      <c r="AB36" s="87">
        <v>2.6</v>
      </c>
      <c r="AC36" s="87">
        <v>58.7</v>
      </c>
      <c r="AD36" s="94">
        <v>6</v>
      </c>
    </row>
    <row r="37" spans="1:30" ht="15" customHeight="1">
      <c r="A37" s="143" t="s">
        <v>643</v>
      </c>
      <c r="Z37" s="118"/>
      <c r="AA37" s="119" t="s">
        <v>410</v>
      </c>
      <c r="AB37" s="87">
        <v>1.5</v>
      </c>
      <c r="AC37" s="87">
        <v>26.2</v>
      </c>
      <c r="AD37" s="94">
        <v>4</v>
      </c>
    </row>
    <row r="38" spans="1:30" ht="15" customHeight="1">
      <c r="B38" s="94"/>
      <c r="C38" s="187" t="s">
        <v>407</v>
      </c>
      <c r="D38" s="188"/>
      <c r="E38" s="202" t="s">
        <v>651</v>
      </c>
      <c r="F38" s="187" t="s">
        <v>409</v>
      </c>
      <c r="G38" s="188"/>
      <c r="H38" s="202" t="s">
        <v>651</v>
      </c>
      <c r="I38" s="187" t="s">
        <v>407</v>
      </c>
      <c r="J38" s="187"/>
      <c r="K38" s="188"/>
      <c r="L38" s="187" t="s">
        <v>409</v>
      </c>
      <c r="M38" s="193"/>
      <c r="T38" s="305"/>
      <c r="U38" s="305"/>
      <c r="Z38" s="121"/>
      <c r="AA38" s="107" t="s">
        <v>406</v>
      </c>
      <c r="AB38" s="104">
        <v>13.2</v>
      </c>
      <c r="AC38" s="104">
        <v>19.2</v>
      </c>
      <c r="AD38" s="89">
        <v>15.4</v>
      </c>
    </row>
    <row r="39" spans="1:30" ht="15" customHeight="1">
      <c r="A39" s="189" t="s">
        <v>638</v>
      </c>
      <c r="B39" s="308" t="s">
        <v>639</v>
      </c>
      <c r="C39" s="191" t="s">
        <v>554</v>
      </c>
      <c r="D39" s="192" t="s">
        <v>640</v>
      </c>
      <c r="E39" s="203" t="s">
        <v>192</v>
      </c>
      <c r="F39" s="191" t="s">
        <v>554</v>
      </c>
      <c r="G39" s="192" t="s">
        <v>640</v>
      </c>
      <c r="H39" s="203" t="s">
        <v>192</v>
      </c>
      <c r="I39" s="191" t="s">
        <v>641</v>
      </c>
      <c r="J39" s="191" t="s">
        <v>642</v>
      </c>
      <c r="K39" s="190" t="s">
        <v>644</v>
      </c>
      <c r="L39" s="191" t="s">
        <v>641</v>
      </c>
      <c r="M39" s="195" t="s">
        <v>642</v>
      </c>
      <c r="O39" s="281" t="s">
        <v>724</v>
      </c>
      <c r="P39" s="313" t="s">
        <v>725</v>
      </c>
      <c r="Q39" s="305" t="s">
        <v>729</v>
      </c>
      <c r="R39" s="5" t="s">
        <v>727</v>
      </c>
      <c r="S39" s="5" t="s">
        <v>726</v>
      </c>
      <c r="T39" s="5" t="s">
        <v>728</v>
      </c>
      <c r="U39" s="5" t="s">
        <v>725</v>
      </c>
      <c r="V39" s="305" t="s">
        <v>729</v>
      </c>
      <c r="Z39" s="115" t="s">
        <v>491</v>
      </c>
      <c r="AA39" s="116" t="s">
        <v>395</v>
      </c>
      <c r="AB39" s="114">
        <v>2.9</v>
      </c>
      <c r="AC39" s="114">
        <v>61.7</v>
      </c>
      <c r="AD39" s="112">
        <v>4.9000000000000004</v>
      </c>
    </row>
    <row r="40" spans="1:30" ht="15" customHeight="1">
      <c r="A40" s="183" t="s">
        <v>722</v>
      </c>
      <c r="B40" s="265" t="s">
        <v>707</v>
      </c>
      <c r="C40" s="282">
        <f>D40*0.29307107</f>
        <v>20.514974899999999</v>
      </c>
      <c r="D40" s="197">
        <v>70</v>
      </c>
      <c r="E40" s="93">
        <v>2400</v>
      </c>
      <c r="F40" s="196">
        <v>14.7</v>
      </c>
      <c r="G40" s="197">
        <v>50</v>
      </c>
      <c r="H40" s="93">
        <v>757</v>
      </c>
      <c r="I40" s="317">
        <f>C40/(A_houseSI/100)</f>
        <v>20.521172294032795</v>
      </c>
      <c r="J40" s="317">
        <f>D40/(A_houseFT/1000)</f>
        <v>65.049644992787819</v>
      </c>
      <c r="K40" s="315">
        <f>J40/12</f>
        <v>5.4208037493989849</v>
      </c>
      <c r="L40" s="196">
        <v>7.5</v>
      </c>
      <c r="M40" s="196">
        <v>23.8</v>
      </c>
      <c r="O40" s="320">
        <f>C$27/0.00047194745</f>
        <v>532.79999232321313</v>
      </c>
      <c r="P40" s="283">
        <f>O40/C29</f>
        <v>5.9876847704110769</v>
      </c>
      <c r="Q40" s="293">
        <f>O40/6</f>
        <v>88.799998720535527</v>
      </c>
      <c r="R40" s="319">
        <f>C28</f>
        <v>0.23784804152902314</v>
      </c>
      <c r="S40" s="293">
        <f>R40/0.00047194745</f>
        <v>503.97145175595955</v>
      </c>
      <c r="T40" s="293">
        <f>C30</f>
        <v>84.168000000000021</v>
      </c>
      <c r="U40" s="312">
        <f>S40/T40</f>
        <v>5.9876847704110761</v>
      </c>
      <c r="V40" s="293">
        <f t="shared" ref="V40:V48" si="10">S40/6</f>
        <v>83.995241959326592</v>
      </c>
      <c r="W40" s="293"/>
      <c r="X40" s="293"/>
      <c r="Y40" s="293"/>
      <c r="Z40" s="118"/>
      <c r="AA40" s="119" t="s">
        <v>408</v>
      </c>
      <c r="AB40" s="87">
        <v>5</v>
      </c>
      <c r="AC40" s="87">
        <v>113.2</v>
      </c>
      <c r="AD40" s="94">
        <v>5.8</v>
      </c>
    </row>
    <row r="41" spans="1:30" ht="15" customHeight="1">
      <c r="A41" s="302" t="s">
        <v>708</v>
      </c>
      <c r="B41" s="311" t="s">
        <v>656</v>
      </c>
      <c r="C41" s="309">
        <v>11.869378335</v>
      </c>
      <c r="D41" s="310">
        <v>40.5</v>
      </c>
      <c r="E41" s="307">
        <v>1350</v>
      </c>
      <c r="F41" s="309">
        <v>14.653553499999999</v>
      </c>
      <c r="G41" s="310">
        <v>50</v>
      </c>
      <c r="H41" s="307">
        <v>730</v>
      </c>
      <c r="I41" s="309">
        <v>6.0838535761892958</v>
      </c>
      <c r="J41" s="309">
        <v>19.285714285714285</v>
      </c>
      <c r="K41" s="315">
        <v>1.607142857142857</v>
      </c>
      <c r="L41" s="309">
        <v>7.5109303409744381</v>
      </c>
      <c r="M41" s="309">
        <v>23.80952380952381</v>
      </c>
      <c r="O41" s="320">
        <f>D$27/0.00047194745</f>
        <v>532.79999232321313</v>
      </c>
      <c r="P41" s="283">
        <f>O41/D29</f>
        <v>5.9876847704110769</v>
      </c>
      <c r="Q41" s="293">
        <f t="shared" ref="Q41:Q54" si="11">O41/6</f>
        <v>88.799998720535527</v>
      </c>
      <c r="R41" s="319">
        <f>D28</f>
        <v>0.23784804152902314</v>
      </c>
      <c r="S41" s="293">
        <f t="shared" ref="S41:S54" si="12">R41/0.00047194745</f>
        <v>503.97145175595955</v>
      </c>
      <c r="T41" s="293">
        <f>D30</f>
        <v>84.168000000000021</v>
      </c>
      <c r="U41" s="312">
        <f t="shared" ref="U41:U54" si="13">S41/T41</f>
        <v>5.9876847704110761</v>
      </c>
      <c r="V41" s="293">
        <f t="shared" si="10"/>
        <v>83.995241959326592</v>
      </c>
      <c r="W41" s="293"/>
      <c r="X41" s="293"/>
      <c r="Y41" s="293"/>
      <c r="Z41" s="118"/>
      <c r="AA41" s="119" t="s">
        <v>410</v>
      </c>
      <c r="AB41" s="87">
        <v>2.2000000000000002</v>
      </c>
      <c r="AC41" s="87">
        <v>38</v>
      </c>
      <c r="AD41" s="94">
        <v>3</v>
      </c>
    </row>
    <row r="42" spans="1:30" ht="15" customHeight="1">
      <c r="A42" s="302" t="s">
        <v>709</v>
      </c>
      <c r="B42" s="303" t="s">
        <v>657</v>
      </c>
      <c r="C42" s="309">
        <v>18.903084015000001</v>
      </c>
      <c r="D42" s="310">
        <v>64.5</v>
      </c>
      <c r="E42" s="307">
        <v>2150</v>
      </c>
      <c r="F42" s="309">
        <v>14.653553499999999</v>
      </c>
      <c r="G42" s="310">
        <v>50</v>
      </c>
      <c r="H42" s="307">
        <v>757</v>
      </c>
      <c r="I42" s="309">
        <v>9.6891001398570271</v>
      </c>
      <c r="J42" s="309">
        <v>30.714285714285712</v>
      </c>
      <c r="K42" s="315">
        <v>2.5595238095238093</v>
      </c>
      <c r="L42" s="309">
        <v>7.5109303409744381</v>
      </c>
      <c r="M42" s="309">
        <v>23.80952380952381</v>
      </c>
      <c r="N42" s="183"/>
      <c r="O42" s="320" t="e">
        <f>E$27/0.00047194745</f>
        <v>#N/A</v>
      </c>
      <c r="P42" s="283" t="e">
        <f>O42/E29</f>
        <v>#N/A</v>
      </c>
      <c r="Q42" s="293" t="e">
        <f t="shared" si="11"/>
        <v>#N/A</v>
      </c>
      <c r="R42" s="319" t="e">
        <f>E28</f>
        <v>#N/A</v>
      </c>
      <c r="S42" s="293" t="e">
        <f t="shared" si="12"/>
        <v>#N/A</v>
      </c>
      <c r="T42" s="293" t="e">
        <f>E30</f>
        <v>#N/A</v>
      </c>
      <c r="U42" s="312" t="e">
        <f t="shared" si="13"/>
        <v>#N/A</v>
      </c>
      <c r="V42" s="293" t="e">
        <f t="shared" si="10"/>
        <v>#N/A</v>
      </c>
      <c r="W42" s="293"/>
      <c r="X42" s="293"/>
      <c r="Y42" s="293"/>
      <c r="Z42" s="118"/>
      <c r="AA42" s="119" t="s">
        <v>406</v>
      </c>
      <c r="AB42" s="87">
        <v>25.7</v>
      </c>
      <c r="AC42" s="87">
        <v>37.4</v>
      </c>
      <c r="AD42" s="94">
        <v>15.9</v>
      </c>
    </row>
    <row r="43" spans="1:30" ht="15" customHeight="1">
      <c r="A43" s="302" t="s">
        <v>710</v>
      </c>
      <c r="B43" s="303" t="s">
        <v>658</v>
      </c>
      <c r="C43" s="309">
        <v>11.429771729999999</v>
      </c>
      <c r="D43" s="310">
        <v>39</v>
      </c>
      <c r="E43" s="307">
        <v>1300</v>
      </c>
      <c r="F43" s="309">
        <v>21.980330249999998</v>
      </c>
      <c r="G43" s="310">
        <v>75</v>
      </c>
      <c r="H43" s="307">
        <v>1102</v>
      </c>
      <c r="I43" s="309">
        <v>5.8585256659600615</v>
      </c>
      <c r="J43" s="309">
        <v>18.571428571428569</v>
      </c>
      <c r="K43" s="315">
        <v>1.5476190476190474</v>
      </c>
      <c r="L43" s="309">
        <v>11.266395511461656</v>
      </c>
      <c r="M43" s="309">
        <v>35.714285714285715</v>
      </c>
      <c r="N43" s="183"/>
      <c r="O43" s="320">
        <f>F$27/0.00047194745</f>
        <v>579.14999165538461</v>
      </c>
      <c r="P43" s="283">
        <f>O43/F29</f>
        <v>5.9876847704110769</v>
      </c>
      <c r="Q43" s="293">
        <f t="shared" si="11"/>
        <v>96.524998609230764</v>
      </c>
      <c r="R43" s="319">
        <f>F28</f>
        <v>0.23784804152902314</v>
      </c>
      <c r="S43" s="293">
        <f t="shared" si="12"/>
        <v>503.97145175595955</v>
      </c>
      <c r="T43" s="293">
        <f>F30</f>
        <v>84.168000000000021</v>
      </c>
      <c r="U43" s="312">
        <f t="shared" si="13"/>
        <v>5.9876847704110761</v>
      </c>
      <c r="V43" s="293">
        <f t="shared" si="10"/>
        <v>83.995241959326592</v>
      </c>
      <c r="W43" s="293"/>
      <c r="X43" s="293"/>
      <c r="Y43" s="293"/>
      <c r="Z43" s="121"/>
      <c r="AA43" s="107"/>
      <c r="AB43" s="104"/>
      <c r="AC43" s="104"/>
      <c r="AD43" s="89"/>
    </row>
    <row r="44" spans="1:30" ht="15" customHeight="1">
      <c r="A44" s="302" t="s">
        <v>711</v>
      </c>
      <c r="B44" s="303" t="s">
        <v>659</v>
      </c>
      <c r="C44" s="309">
        <v>13.18819815</v>
      </c>
      <c r="D44" s="310">
        <v>45</v>
      </c>
      <c r="E44" s="307">
        <v>1500</v>
      </c>
      <c r="F44" s="309">
        <v>14.653553499999999</v>
      </c>
      <c r="G44" s="310">
        <v>50</v>
      </c>
      <c r="H44" s="307">
        <v>839</v>
      </c>
      <c r="I44" s="309">
        <v>6.759837306876995</v>
      </c>
      <c r="J44" s="309">
        <v>21.428571428571427</v>
      </c>
      <c r="K44" s="315">
        <v>1.7857142857142856</v>
      </c>
      <c r="L44" s="309">
        <v>7.5109303409744381</v>
      </c>
      <c r="M44" s="309">
        <v>23.80952380952381</v>
      </c>
      <c r="N44" s="183"/>
      <c r="O44" s="320" t="e">
        <f>G$27/0.00047194745</f>
        <v>#N/A</v>
      </c>
      <c r="P44" s="283" t="e">
        <f>O44/G29</f>
        <v>#N/A</v>
      </c>
      <c r="Q44" s="293" t="e">
        <f t="shared" si="11"/>
        <v>#N/A</v>
      </c>
      <c r="R44" s="319" t="e">
        <f>G28</f>
        <v>#N/A</v>
      </c>
      <c r="S44" s="293" t="e">
        <f t="shared" si="12"/>
        <v>#N/A</v>
      </c>
      <c r="T44" s="293" t="e">
        <f>G30</f>
        <v>#N/A</v>
      </c>
      <c r="U44" s="312" t="e">
        <f t="shared" si="13"/>
        <v>#N/A</v>
      </c>
      <c r="V44" s="293" t="e">
        <f t="shared" si="10"/>
        <v>#N/A</v>
      </c>
      <c r="W44" s="293"/>
      <c r="X44" s="293"/>
      <c r="Y44" s="293"/>
    </row>
    <row r="45" spans="1:30" ht="15" customHeight="1">
      <c r="A45" s="302" t="s">
        <v>712</v>
      </c>
      <c r="B45" s="303" t="s">
        <v>660</v>
      </c>
      <c r="C45" s="309">
        <v>4.7770584410000003</v>
      </c>
      <c r="D45" s="310">
        <v>16.3</v>
      </c>
      <c r="E45" s="307">
        <v>543</v>
      </c>
      <c r="F45" s="309">
        <v>10.550558519999999</v>
      </c>
      <c r="G45" s="310">
        <v>36</v>
      </c>
      <c r="H45" s="307">
        <v>509</v>
      </c>
      <c r="I45" s="309">
        <v>2.4485632911576669</v>
      </c>
      <c r="J45" s="309">
        <v>7.7619047619047619</v>
      </c>
      <c r="K45" s="315">
        <v>0.64682539682539686</v>
      </c>
      <c r="L45" s="309">
        <v>5.4078698455015957</v>
      </c>
      <c r="M45" s="309">
        <v>17.142857142857142</v>
      </c>
      <c r="N45" s="183"/>
      <c r="O45" s="320" t="e">
        <f>H$27/0.00047194745</f>
        <v>#N/A</v>
      </c>
      <c r="P45" s="283" t="e">
        <f>O45/H29</f>
        <v>#N/A</v>
      </c>
      <c r="Q45" s="293" t="e">
        <f t="shared" si="11"/>
        <v>#N/A</v>
      </c>
      <c r="R45" s="319" t="e">
        <f>H28</f>
        <v>#N/A</v>
      </c>
      <c r="S45" s="293" t="e">
        <f t="shared" si="12"/>
        <v>#N/A</v>
      </c>
      <c r="T45" s="293" t="e">
        <f>H30</f>
        <v>#N/A</v>
      </c>
      <c r="U45" s="312" t="e">
        <f t="shared" si="13"/>
        <v>#N/A</v>
      </c>
      <c r="V45" s="293" t="e">
        <f t="shared" si="10"/>
        <v>#N/A</v>
      </c>
      <c r="W45" s="293"/>
      <c r="X45" s="293"/>
      <c r="Y45" s="293"/>
    </row>
    <row r="46" spans="1:30" ht="15" customHeight="1">
      <c r="A46" s="302" t="s">
        <v>713</v>
      </c>
      <c r="B46" s="303" t="s">
        <v>661</v>
      </c>
      <c r="C46" s="309">
        <v>9.4955026679999985</v>
      </c>
      <c r="D46" s="310">
        <v>32.4</v>
      </c>
      <c r="E46" s="307">
        <v>1080</v>
      </c>
      <c r="F46" s="309">
        <v>14.653553499999999</v>
      </c>
      <c r="G46" s="310">
        <v>50</v>
      </c>
      <c r="H46" s="307">
        <v>731</v>
      </c>
      <c r="I46" s="309">
        <v>4.8670828609514354</v>
      </c>
      <c r="J46" s="309">
        <v>15.428571428571427</v>
      </c>
      <c r="K46" s="315">
        <v>1.2857142857142856</v>
      </c>
      <c r="L46" s="309">
        <v>7.5109303409744381</v>
      </c>
      <c r="M46" s="309">
        <v>23.80952380952381</v>
      </c>
      <c r="N46" s="183"/>
      <c r="O46" s="320">
        <f>I$27/0.00047194745</f>
        <v>579.14999165538461</v>
      </c>
      <c r="P46" s="283">
        <f>O46/I29</f>
        <v>5.9876847704110769</v>
      </c>
      <c r="Q46" s="293">
        <f t="shared" si="11"/>
        <v>96.524998609230764</v>
      </c>
      <c r="R46" s="319">
        <f>I28</f>
        <v>0.23784804152902314</v>
      </c>
      <c r="S46" s="293">
        <f t="shared" si="12"/>
        <v>503.97145175595955</v>
      </c>
      <c r="T46" s="293">
        <f>I30</f>
        <v>84.168000000000021</v>
      </c>
      <c r="U46" s="312">
        <f t="shared" si="13"/>
        <v>5.9876847704110761</v>
      </c>
      <c r="V46" s="293">
        <f t="shared" si="10"/>
        <v>83.995241959326592</v>
      </c>
      <c r="W46" s="293"/>
      <c r="X46" s="293"/>
      <c r="Y46" s="293"/>
    </row>
    <row r="47" spans="1:30" ht="15" customHeight="1">
      <c r="A47" s="302" t="s">
        <v>714</v>
      </c>
      <c r="B47" s="303" t="s">
        <v>662</v>
      </c>
      <c r="C47" s="309">
        <v>9.4955026679999985</v>
      </c>
      <c r="D47" s="310">
        <v>32.4</v>
      </c>
      <c r="E47" s="307">
        <v>1080</v>
      </c>
      <c r="F47" s="309">
        <v>14.653553499999999</v>
      </c>
      <c r="G47" s="310">
        <v>50</v>
      </c>
      <c r="H47" s="307">
        <v>884</v>
      </c>
      <c r="I47" s="309">
        <v>4.8670828609514354</v>
      </c>
      <c r="J47" s="309">
        <v>15.428571428571427</v>
      </c>
      <c r="K47" s="315">
        <v>1.2857142857142856</v>
      </c>
      <c r="L47" s="309">
        <v>7.5109303409744381</v>
      </c>
      <c r="M47" s="309">
        <v>23.80952380952381</v>
      </c>
      <c r="N47" s="183"/>
      <c r="O47" s="320" t="e">
        <f>J$27/0.00047194745</f>
        <v>#N/A</v>
      </c>
      <c r="P47" s="283" t="e">
        <f>O47/J29</f>
        <v>#N/A</v>
      </c>
      <c r="Q47" s="293" t="e">
        <f t="shared" si="11"/>
        <v>#N/A</v>
      </c>
      <c r="R47" s="319" t="e">
        <f>J28</f>
        <v>#N/A</v>
      </c>
      <c r="S47" s="293" t="e">
        <f t="shared" si="12"/>
        <v>#N/A</v>
      </c>
      <c r="T47" s="293" t="e">
        <f>J30</f>
        <v>#N/A</v>
      </c>
      <c r="U47" s="312" t="e">
        <f t="shared" si="13"/>
        <v>#N/A</v>
      </c>
      <c r="V47" s="293" t="e">
        <f t="shared" si="10"/>
        <v>#N/A</v>
      </c>
      <c r="W47" s="293"/>
      <c r="X47" s="293"/>
      <c r="Y47" s="293"/>
    </row>
    <row r="48" spans="1:30" ht="15" customHeight="1">
      <c r="A48" s="302" t="s">
        <v>715</v>
      </c>
      <c r="B48" s="303" t="s">
        <v>663</v>
      </c>
      <c r="C48" s="309">
        <v>6.44756354</v>
      </c>
      <c r="D48" s="310">
        <v>22</v>
      </c>
      <c r="E48" s="307">
        <v>733</v>
      </c>
      <c r="F48" s="309">
        <v>14.653553499999999</v>
      </c>
      <c r="G48" s="310">
        <v>50</v>
      </c>
      <c r="H48" s="307">
        <v>733</v>
      </c>
      <c r="I48" s="309">
        <v>3.3048093500287528</v>
      </c>
      <c r="J48" s="309">
        <v>10.476190476190476</v>
      </c>
      <c r="K48" s="315">
        <v>0.87301587301587302</v>
      </c>
      <c r="L48" s="309">
        <v>7.5109303409744381</v>
      </c>
      <c r="M48" s="309">
        <v>23.80952380952381</v>
      </c>
      <c r="N48" s="183"/>
      <c r="O48" s="320" t="e">
        <f>K$27/0.00047194745</f>
        <v>#N/A</v>
      </c>
      <c r="P48" s="283" t="e">
        <f>O48/K29</f>
        <v>#N/A</v>
      </c>
      <c r="Q48" s="293" t="e">
        <f t="shared" si="11"/>
        <v>#N/A</v>
      </c>
      <c r="R48" s="319" t="e">
        <f>K28</f>
        <v>#N/A</v>
      </c>
      <c r="S48" s="293" t="e">
        <f t="shared" si="12"/>
        <v>#N/A</v>
      </c>
      <c r="T48" s="293" t="e">
        <f>K30</f>
        <v>#N/A</v>
      </c>
      <c r="U48" s="312" t="e">
        <f t="shared" si="13"/>
        <v>#N/A</v>
      </c>
      <c r="V48" s="293" t="e">
        <f t="shared" si="10"/>
        <v>#N/A</v>
      </c>
      <c r="W48" s="293">
        <v>122.22222046119754</v>
      </c>
      <c r="X48" s="293"/>
      <c r="Y48" s="293"/>
    </row>
    <row r="49" spans="1:25" ht="15" customHeight="1">
      <c r="A49" s="302" t="s">
        <v>716</v>
      </c>
      <c r="B49" s="303" t="s">
        <v>664</v>
      </c>
      <c r="C49" s="309">
        <v>7.7370762479999993</v>
      </c>
      <c r="D49" s="310">
        <v>26.4</v>
      </c>
      <c r="E49" s="307">
        <v>880</v>
      </c>
      <c r="F49" s="309">
        <v>21.980330249999998</v>
      </c>
      <c r="G49" s="310">
        <v>75</v>
      </c>
      <c r="H49" s="307">
        <v>1116</v>
      </c>
      <c r="I49" s="309">
        <v>3.9657712200345032</v>
      </c>
      <c r="J49" s="309">
        <v>12.571428571428569</v>
      </c>
      <c r="K49" s="315">
        <v>1.0476190476190474</v>
      </c>
      <c r="L49" s="309">
        <v>11.266395511461656</v>
      </c>
      <c r="M49" s="309">
        <v>35.714285714285715</v>
      </c>
      <c r="N49" s="183"/>
      <c r="O49" s="320" t="e">
        <f>L$27/0.00047194745</f>
        <v>#N/A</v>
      </c>
      <c r="P49" s="283" t="e">
        <f>O49/L29</f>
        <v>#N/A</v>
      </c>
      <c r="Q49" s="293" t="e">
        <f t="shared" si="11"/>
        <v>#N/A</v>
      </c>
      <c r="R49" s="319" t="e">
        <f>L28</f>
        <v>#N/A</v>
      </c>
      <c r="S49" s="293" t="e">
        <f t="shared" si="12"/>
        <v>#N/A</v>
      </c>
      <c r="T49" s="293" t="e">
        <f>L30</f>
        <v>#N/A</v>
      </c>
      <c r="U49" s="312" t="e">
        <f t="shared" si="13"/>
        <v>#N/A</v>
      </c>
      <c r="V49" s="293">
        <v>146.66666455343704</v>
      </c>
      <c r="X49" s="293"/>
      <c r="Y49" s="293"/>
    </row>
    <row r="50" spans="1:25" ht="17.25" customHeight="1">
      <c r="A50" s="302" t="s">
        <v>717</v>
      </c>
      <c r="B50" s="303" t="s">
        <v>665</v>
      </c>
      <c r="C50" s="309">
        <v>8.9093605279999988</v>
      </c>
      <c r="D50" s="310">
        <v>30.4</v>
      </c>
      <c r="E50" s="307">
        <v>1013</v>
      </c>
      <c r="F50" s="309">
        <v>21.980330249999998</v>
      </c>
      <c r="G50" s="310">
        <v>75</v>
      </c>
      <c r="H50" s="307">
        <v>1211</v>
      </c>
      <c r="I50" s="309">
        <v>4.5666456473124581</v>
      </c>
      <c r="J50" s="309">
        <v>14.476190476190474</v>
      </c>
      <c r="K50" s="315">
        <v>1.2063492063492063</v>
      </c>
      <c r="L50" s="309">
        <v>11.266395511461656</v>
      </c>
      <c r="M50" s="309">
        <v>35.714285714285715</v>
      </c>
      <c r="N50" s="183"/>
      <c r="O50" s="320" t="e">
        <f>M$27/0.00047194745</f>
        <v>#N/A</v>
      </c>
      <c r="P50" s="283" t="e">
        <f>O50/M29</f>
        <v>#N/A</v>
      </c>
      <c r="Q50" s="293" t="e">
        <f t="shared" si="11"/>
        <v>#N/A</v>
      </c>
      <c r="R50" s="319" t="e">
        <f>M28</f>
        <v>#N/A</v>
      </c>
      <c r="S50" s="293" t="e">
        <f t="shared" si="12"/>
        <v>#N/A</v>
      </c>
      <c r="T50" s="293" t="e">
        <f>M30</f>
        <v>#N/A</v>
      </c>
      <c r="U50" s="312" t="e">
        <f t="shared" si="13"/>
        <v>#N/A</v>
      </c>
      <c r="V50" s="293" t="e">
        <f>S50/6</f>
        <v>#N/A</v>
      </c>
      <c r="W50" s="293"/>
      <c r="X50" s="293"/>
      <c r="Y50" s="293"/>
    </row>
    <row r="51" spans="1:25" ht="15" customHeight="1">
      <c r="A51" s="302" t="s">
        <v>718</v>
      </c>
      <c r="B51" s="303" t="s">
        <v>666</v>
      </c>
      <c r="C51" s="309">
        <v>6.5647919679999998</v>
      </c>
      <c r="D51" s="310">
        <v>22.4</v>
      </c>
      <c r="E51" s="307">
        <v>747</v>
      </c>
      <c r="F51" s="309">
        <v>21.980330249999998</v>
      </c>
      <c r="G51" s="310">
        <v>75</v>
      </c>
      <c r="H51" s="307">
        <v>1104</v>
      </c>
      <c r="I51" s="309">
        <v>3.3648967927565483</v>
      </c>
      <c r="J51" s="309">
        <v>10.666666666666666</v>
      </c>
      <c r="K51" s="315">
        <v>0.88888888888888884</v>
      </c>
      <c r="L51" s="309">
        <v>11.266395511461656</v>
      </c>
      <c r="M51" s="309">
        <v>35.714285714285715</v>
      </c>
      <c r="N51" s="183"/>
      <c r="O51" s="320" t="e">
        <f>N$27/0.00047194745</f>
        <v>#N/A</v>
      </c>
      <c r="P51" s="283" t="e">
        <f>O51/N29</f>
        <v>#N/A</v>
      </c>
      <c r="Q51" s="293" t="e">
        <f t="shared" si="11"/>
        <v>#N/A</v>
      </c>
      <c r="R51" s="319" t="e">
        <f>N28</f>
        <v>#N/A</v>
      </c>
      <c r="S51" s="293" t="e">
        <f t="shared" si="12"/>
        <v>#N/A</v>
      </c>
      <c r="T51" s="293" t="e">
        <f>N30</f>
        <v>#N/A</v>
      </c>
      <c r="U51" s="312" t="e">
        <f t="shared" si="13"/>
        <v>#N/A</v>
      </c>
      <c r="V51" s="293">
        <v>124.44444265140113</v>
      </c>
      <c r="X51" s="293"/>
      <c r="Y51" s="293"/>
    </row>
    <row r="52" spans="1:25" ht="15" customHeight="1">
      <c r="A52" s="302" t="s">
        <v>719</v>
      </c>
      <c r="B52" s="303" t="s">
        <v>667</v>
      </c>
      <c r="C52" s="309">
        <v>8.1473757459999998</v>
      </c>
      <c r="D52" s="310">
        <v>27.8</v>
      </c>
      <c r="E52" s="307">
        <v>927</v>
      </c>
      <c r="F52" s="309">
        <v>29.307106999999998</v>
      </c>
      <c r="G52" s="310">
        <v>100</v>
      </c>
      <c r="H52" s="307">
        <v>1678</v>
      </c>
      <c r="I52" s="309">
        <v>4.1760772695817874</v>
      </c>
      <c r="J52" s="309">
        <v>13.238095238095237</v>
      </c>
      <c r="K52" s="315">
        <v>1.103174603174603</v>
      </c>
      <c r="L52" s="309">
        <v>15.021860681948876</v>
      </c>
      <c r="M52" s="309">
        <v>47.61904761904762</v>
      </c>
      <c r="N52" s="183"/>
      <c r="O52" s="320" t="e">
        <f>O$27/0.00047194745</f>
        <v>#N/A</v>
      </c>
      <c r="P52" s="283" t="e">
        <f>O52/O29</f>
        <v>#N/A</v>
      </c>
      <c r="Q52" s="293" t="e">
        <f t="shared" si="11"/>
        <v>#N/A</v>
      </c>
      <c r="R52" s="319" t="e">
        <f>O28</f>
        <v>#N/A</v>
      </c>
      <c r="S52" s="293" t="e">
        <f t="shared" si="12"/>
        <v>#N/A</v>
      </c>
      <c r="T52" s="293" t="e">
        <f>O30</f>
        <v>#N/A</v>
      </c>
      <c r="U52" s="312" t="e">
        <f t="shared" si="13"/>
        <v>#N/A</v>
      </c>
      <c r="V52" s="293">
        <v>154.44444221914964</v>
      </c>
      <c r="X52" s="293"/>
      <c r="Y52" s="293"/>
    </row>
    <row r="53" spans="1:25" ht="15" customHeight="1">
      <c r="A53" s="302" t="s">
        <v>720</v>
      </c>
      <c r="B53" s="304" t="s">
        <v>668</v>
      </c>
      <c r="C53" s="309">
        <v>5.9200356139999997</v>
      </c>
      <c r="D53" s="310">
        <v>20.2</v>
      </c>
      <c r="E53" s="307">
        <v>673</v>
      </c>
      <c r="F53" s="309">
        <v>29.307106999999998</v>
      </c>
      <c r="G53" s="310">
        <v>100</v>
      </c>
      <c r="H53" s="307">
        <v>1531</v>
      </c>
      <c r="I53" s="309">
        <v>3.0344158577536731</v>
      </c>
      <c r="J53" s="309">
        <v>9.6190476190476186</v>
      </c>
      <c r="K53" s="315">
        <v>0.80158730158730152</v>
      </c>
      <c r="L53" s="309">
        <v>15.021860681948876</v>
      </c>
      <c r="M53" s="309">
        <v>47.61904761904762</v>
      </c>
      <c r="N53" s="183"/>
      <c r="O53" s="320" t="e">
        <f>P$27/0.00047194745</f>
        <v>#N/A</v>
      </c>
      <c r="P53" s="283" t="e">
        <f>O53/P29</f>
        <v>#N/A</v>
      </c>
      <c r="Q53" s="293" t="e">
        <f t="shared" si="11"/>
        <v>#N/A</v>
      </c>
      <c r="R53" s="319" t="e">
        <f>P28</f>
        <v>#N/A</v>
      </c>
      <c r="S53" s="293" t="e">
        <f t="shared" si="12"/>
        <v>#N/A</v>
      </c>
      <c r="T53" s="293" t="e">
        <f>P30</f>
        <v>#N/A</v>
      </c>
      <c r="U53" s="312" t="e">
        <f t="shared" si="13"/>
        <v>#N/A</v>
      </c>
      <c r="V53" s="293">
        <v>112.22222060528139</v>
      </c>
      <c r="X53" s="293"/>
      <c r="Y53" s="293"/>
    </row>
    <row r="54" spans="1:25" ht="15" customHeight="1">
      <c r="A54" s="183" t="s">
        <v>721</v>
      </c>
      <c r="B54" s="301">
        <v>8</v>
      </c>
      <c r="C54" s="309">
        <v>5.9200356139999997</v>
      </c>
      <c r="D54" s="310">
        <v>20.2</v>
      </c>
      <c r="E54" s="307">
        <v>673</v>
      </c>
      <c r="F54" s="309">
        <f>G54*0.29307107</f>
        <v>36.633883749999995</v>
      </c>
      <c r="G54" s="310">
        <v>125</v>
      </c>
      <c r="H54" s="307">
        <v>1750</v>
      </c>
      <c r="I54" s="309">
        <v>3.0344158577536731</v>
      </c>
      <c r="J54" s="309">
        <v>9.6190476190476186</v>
      </c>
      <c r="K54" s="315">
        <v>0.80158730158730152</v>
      </c>
      <c r="L54" s="309">
        <f>F54/(A_houseSI/100)</f>
        <v>36.644950525058562</v>
      </c>
      <c r="M54" s="309">
        <f>G54/(A_houseFT/1000)</f>
        <v>116.16008034426395</v>
      </c>
      <c r="N54" s="183"/>
      <c r="O54" s="320" t="e">
        <f>Q$27/0.00047194745</f>
        <v>#N/A</v>
      </c>
      <c r="P54" s="283" t="e">
        <f>O54/Q29</f>
        <v>#N/A</v>
      </c>
      <c r="Q54" s="293" t="e">
        <f t="shared" si="11"/>
        <v>#N/A</v>
      </c>
      <c r="R54" s="319" t="e">
        <f>Q28</f>
        <v>#N/A</v>
      </c>
      <c r="S54" s="293" t="e">
        <f t="shared" si="12"/>
        <v>#N/A</v>
      </c>
      <c r="T54" s="293" t="e">
        <f>Q30</f>
        <v>#N/A</v>
      </c>
      <c r="U54" s="312" t="e">
        <f t="shared" si="13"/>
        <v>#N/A</v>
      </c>
      <c r="V54" s="293">
        <v>112.22222060528139</v>
      </c>
      <c r="X54" s="293"/>
      <c r="Y54" s="293"/>
    </row>
    <row r="55" spans="1:25" ht="15" customHeight="1">
      <c r="A55" s="183"/>
      <c r="B55" s="186"/>
      <c r="C55" s="196"/>
      <c r="D55" s="197"/>
      <c r="E55" s="93"/>
      <c r="F55" s="196"/>
      <c r="G55" s="197"/>
      <c r="H55" s="93"/>
      <c r="I55" s="196"/>
      <c r="J55" s="196"/>
      <c r="K55" s="194"/>
      <c r="L55" s="196"/>
      <c r="M55" s="196"/>
      <c r="N55" s="183"/>
      <c r="O55" s="283"/>
      <c r="P55" s="283"/>
    </row>
    <row r="57" spans="1:25" ht="15" customHeight="1">
      <c r="A57" s="350" t="s">
        <v>385</v>
      </c>
      <c r="B57" s="305" t="s">
        <v>639</v>
      </c>
      <c r="C57" s="350" t="s">
        <v>892</v>
      </c>
      <c r="D57" s="305" t="s">
        <v>904</v>
      </c>
      <c r="E57" s="350" t="s">
        <v>911</v>
      </c>
      <c r="F57" s="350" t="s">
        <v>912</v>
      </c>
      <c r="G57" s="350" t="s">
        <v>913</v>
      </c>
      <c r="H57" s="350" t="s">
        <v>914</v>
      </c>
      <c r="I57" s="350" t="s">
        <v>915</v>
      </c>
      <c r="J57" s="305" t="s">
        <v>916</v>
      </c>
      <c r="K57" s="305" t="s">
        <v>1053</v>
      </c>
    </row>
    <row r="58" spans="1:25" ht="15" customHeight="1">
      <c r="A58" s="290" t="s">
        <v>850</v>
      </c>
      <c r="B58" s="305" t="s">
        <v>707</v>
      </c>
      <c r="C58" s="290" t="s">
        <v>893</v>
      </c>
      <c r="D58" s="5" t="str">
        <f>CONCATENATE(B58,C58)</f>
        <v>1ASmall</v>
      </c>
      <c r="E58" s="290">
        <v>4902</v>
      </c>
      <c r="F58" s="290">
        <v>16746</v>
      </c>
      <c r="G58" s="290">
        <v>0.71</v>
      </c>
      <c r="H58" s="290">
        <v>355.2</v>
      </c>
      <c r="I58" s="290">
        <v>1081</v>
      </c>
      <c r="J58" s="5">
        <f>E58/(I58/1000)/1000</f>
        <v>4.534690101757632</v>
      </c>
      <c r="K58" s="5">
        <f>F58/(I58/1000)/12000</f>
        <v>1.2909343200740055</v>
      </c>
    </row>
    <row r="59" spans="1:25" ht="15" customHeight="1">
      <c r="A59" s="290" t="s">
        <v>850</v>
      </c>
      <c r="B59" s="305" t="s">
        <v>707</v>
      </c>
      <c r="C59" s="290" t="s">
        <v>898</v>
      </c>
      <c r="D59" s="305" t="str">
        <f t="shared" ref="D59:D75" si="14">CONCATENATE(B59,C59)</f>
        <v>1AMed</v>
      </c>
      <c r="E59" s="290">
        <v>7714</v>
      </c>
      <c r="F59" s="290">
        <v>22942</v>
      </c>
      <c r="G59" s="290">
        <v>0.71</v>
      </c>
      <c r="H59" s="290">
        <v>355.2</v>
      </c>
      <c r="I59" s="290">
        <v>2145</v>
      </c>
      <c r="J59" s="305">
        <f t="shared" ref="J59:J75" si="15">E59/(I59/1000)/1000</f>
        <v>3.5962703962703961</v>
      </c>
      <c r="K59" s="305">
        <f t="shared" ref="K59:K75" si="16">F59/(I59/1000)/12000</f>
        <v>0.89129759129759123</v>
      </c>
    </row>
    <row r="60" spans="1:25" ht="15" customHeight="1">
      <c r="A60" s="290" t="s">
        <v>850</v>
      </c>
      <c r="B60" s="305" t="s">
        <v>707</v>
      </c>
      <c r="C60" s="290" t="s">
        <v>894</v>
      </c>
      <c r="D60" s="305" t="str">
        <f t="shared" si="14"/>
        <v>1ALarge</v>
      </c>
      <c r="E60" s="290">
        <v>10441</v>
      </c>
      <c r="F60" s="290">
        <v>29030</v>
      </c>
      <c r="G60" s="290">
        <v>0.71</v>
      </c>
      <c r="H60" s="290">
        <v>355.2</v>
      </c>
      <c r="I60" s="290">
        <v>3240</v>
      </c>
      <c r="J60" s="305">
        <f t="shared" si="15"/>
        <v>3.2225308641975308</v>
      </c>
      <c r="K60" s="305">
        <f t="shared" si="16"/>
        <v>0.7466563786008229</v>
      </c>
    </row>
    <row r="61" spans="1:25" ht="15" customHeight="1">
      <c r="A61" s="290" t="s">
        <v>851</v>
      </c>
      <c r="B61" s="305" t="s">
        <v>656</v>
      </c>
      <c r="C61" s="290" t="s">
        <v>893</v>
      </c>
      <c r="D61" s="305" t="str">
        <f t="shared" si="14"/>
        <v>2ASmall</v>
      </c>
      <c r="E61" s="290">
        <v>11317</v>
      </c>
      <c r="F61" s="290">
        <v>16392</v>
      </c>
      <c r="G61" s="290">
        <v>0.71</v>
      </c>
      <c r="H61" s="290">
        <v>355.2</v>
      </c>
      <c r="I61" s="290">
        <v>1081</v>
      </c>
      <c r="J61" s="305">
        <f t="shared" si="15"/>
        <v>10.469010175763183</v>
      </c>
      <c r="K61" s="305">
        <f t="shared" si="16"/>
        <v>1.2636447733580021</v>
      </c>
    </row>
    <row r="62" spans="1:25" ht="15" customHeight="1">
      <c r="A62" s="290" t="s">
        <v>851</v>
      </c>
      <c r="B62" s="305" t="s">
        <v>656</v>
      </c>
      <c r="C62" s="290" t="s">
        <v>898</v>
      </c>
      <c r="D62" s="305" t="str">
        <f t="shared" si="14"/>
        <v>2AMed</v>
      </c>
      <c r="E62" s="290">
        <v>17963</v>
      </c>
      <c r="F62" s="290">
        <v>20710</v>
      </c>
      <c r="G62" s="290">
        <v>0.71</v>
      </c>
      <c r="H62" s="290">
        <v>355.2</v>
      </c>
      <c r="I62" s="290">
        <v>2145</v>
      </c>
      <c r="J62" s="305">
        <f t="shared" si="15"/>
        <v>8.3743589743589748</v>
      </c>
      <c r="K62" s="305">
        <f t="shared" si="16"/>
        <v>0.80458430458430452</v>
      </c>
    </row>
    <row r="63" spans="1:25" ht="15" customHeight="1">
      <c r="A63" s="290" t="s">
        <v>851</v>
      </c>
      <c r="B63" s="305" t="s">
        <v>656</v>
      </c>
      <c r="C63" s="290" t="s">
        <v>894</v>
      </c>
      <c r="D63" s="305" t="str">
        <f t="shared" si="14"/>
        <v>2ALarge</v>
      </c>
      <c r="E63" s="290">
        <v>24060</v>
      </c>
      <c r="F63" s="290">
        <v>25474</v>
      </c>
      <c r="G63" s="290">
        <v>0.71</v>
      </c>
      <c r="H63" s="290">
        <v>355.2</v>
      </c>
      <c r="I63" s="290">
        <v>3240</v>
      </c>
      <c r="J63" s="305">
        <f t="shared" si="15"/>
        <v>7.4259259259259256</v>
      </c>
      <c r="K63" s="305">
        <f t="shared" si="16"/>
        <v>0.65519547325102878</v>
      </c>
    </row>
    <row r="64" spans="1:25" ht="15" customHeight="1">
      <c r="A64" s="290" t="s">
        <v>910</v>
      </c>
      <c r="B64" s="305" t="s">
        <v>917</v>
      </c>
      <c r="C64" s="290" t="s">
        <v>893</v>
      </c>
      <c r="D64" s="305" t="str">
        <f t="shared" si="14"/>
        <v>2AoSmall</v>
      </c>
      <c r="E64" s="290">
        <v>8232</v>
      </c>
      <c r="F64" s="290">
        <v>15557</v>
      </c>
      <c r="G64" s="290">
        <v>0.71</v>
      </c>
      <c r="H64" s="290">
        <v>355.2</v>
      </c>
      <c r="I64" s="290">
        <v>1081</v>
      </c>
      <c r="J64" s="305">
        <f t="shared" si="15"/>
        <v>7.6151711378353379</v>
      </c>
      <c r="K64" s="305">
        <f t="shared" si="16"/>
        <v>1.1992753623188406</v>
      </c>
    </row>
    <row r="65" spans="1:19" ht="15" customHeight="1">
      <c r="A65" s="290" t="s">
        <v>910</v>
      </c>
      <c r="B65" s="305" t="s">
        <v>917</v>
      </c>
      <c r="C65" s="290" t="s">
        <v>898</v>
      </c>
      <c r="D65" s="305" t="str">
        <f t="shared" si="14"/>
        <v>2AoMed</v>
      </c>
      <c r="E65" s="290">
        <v>13131</v>
      </c>
      <c r="F65" s="290">
        <v>20179</v>
      </c>
      <c r="G65" s="290">
        <v>0.71</v>
      </c>
      <c r="H65" s="290">
        <v>355.2</v>
      </c>
      <c r="I65" s="290">
        <v>2145</v>
      </c>
      <c r="J65" s="305">
        <f t="shared" si="15"/>
        <v>6.1216783216783215</v>
      </c>
      <c r="K65" s="305">
        <f t="shared" si="16"/>
        <v>0.78395493395493399</v>
      </c>
    </row>
    <row r="66" spans="1:19" ht="15" customHeight="1">
      <c r="A66" s="290" t="s">
        <v>910</v>
      </c>
      <c r="B66" s="305" t="s">
        <v>917</v>
      </c>
      <c r="C66" s="290" t="s">
        <v>894</v>
      </c>
      <c r="D66" s="305" t="str">
        <f t="shared" si="14"/>
        <v>2AoLarge</v>
      </c>
      <c r="E66" s="290">
        <v>17638</v>
      </c>
      <c r="F66" s="290">
        <v>24540</v>
      </c>
      <c r="G66" s="290">
        <v>0.71</v>
      </c>
      <c r="H66" s="290">
        <v>355.2</v>
      </c>
      <c r="I66" s="290">
        <v>3240</v>
      </c>
      <c r="J66" s="305">
        <f t="shared" si="15"/>
        <v>5.4438271604938269</v>
      </c>
      <c r="K66" s="305">
        <f t="shared" si="16"/>
        <v>0.63117283950617287</v>
      </c>
    </row>
    <row r="67" spans="1:19" ht="15" customHeight="1">
      <c r="A67" s="290" t="s">
        <v>909</v>
      </c>
      <c r="B67" s="305" t="s">
        <v>918</v>
      </c>
      <c r="C67" s="290" t="s">
        <v>893</v>
      </c>
      <c r="D67" s="305" t="str">
        <f t="shared" si="14"/>
        <v>3AcSmall</v>
      </c>
      <c r="E67" s="290">
        <v>11408</v>
      </c>
      <c r="F67" s="290">
        <v>15807</v>
      </c>
      <c r="G67" s="290">
        <v>0.71</v>
      </c>
      <c r="H67" s="290">
        <v>386.1</v>
      </c>
      <c r="I67" s="290">
        <v>1081</v>
      </c>
      <c r="J67" s="305">
        <f t="shared" si="15"/>
        <v>10.553191489361703</v>
      </c>
      <c r="K67" s="305">
        <f t="shared" si="16"/>
        <v>1.2185476410730807</v>
      </c>
    </row>
    <row r="68" spans="1:19" ht="15" customHeight="1">
      <c r="A68" s="290" t="s">
        <v>909</v>
      </c>
      <c r="B68" s="305" t="s">
        <v>918</v>
      </c>
      <c r="C68" s="290" t="s">
        <v>898</v>
      </c>
      <c r="D68" s="305" t="str">
        <f t="shared" si="14"/>
        <v>3AcMed</v>
      </c>
      <c r="E68" s="290">
        <v>18078</v>
      </c>
      <c r="F68" s="290">
        <v>21834</v>
      </c>
      <c r="G68" s="290">
        <v>0.71</v>
      </c>
      <c r="H68" s="290">
        <v>386.1</v>
      </c>
      <c r="I68" s="290">
        <v>2145</v>
      </c>
      <c r="J68" s="305">
        <f t="shared" si="15"/>
        <v>8.4279720279720269</v>
      </c>
      <c r="K68" s="305">
        <f t="shared" si="16"/>
        <v>0.84825174825174832</v>
      </c>
    </row>
    <row r="69" spans="1:19" ht="15" customHeight="1">
      <c r="A69" s="290" t="s">
        <v>909</v>
      </c>
      <c r="B69" s="305" t="s">
        <v>918</v>
      </c>
      <c r="C69" s="290" t="s">
        <v>894</v>
      </c>
      <c r="D69" s="305" t="str">
        <f t="shared" si="14"/>
        <v>3AcLarge</v>
      </c>
      <c r="E69" s="290">
        <v>24193</v>
      </c>
      <c r="F69" s="290">
        <v>27380</v>
      </c>
      <c r="G69" s="290">
        <v>0.71</v>
      </c>
      <c r="H69" s="290">
        <v>386.1</v>
      </c>
      <c r="I69" s="290">
        <v>3240</v>
      </c>
      <c r="J69" s="305">
        <f t="shared" si="15"/>
        <v>7.4669753086419748</v>
      </c>
      <c r="K69" s="305">
        <f t="shared" si="16"/>
        <v>0.70421810699588472</v>
      </c>
    </row>
    <row r="70" spans="1:19" ht="15" customHeight="1">
      <c r="A70" s="290" t="s">
        <v>853</v>
      </c>
      <c r="B70" s="305" t="s">
        <v>658</v>
      </c>
      <c r="C70" s="290" t="s">
        <v>893</v>
      </c>
      <c r="D70" s="305" t="str">
        <f t="shared" si="14"/>
        <v>3ASmall</v>
      </c>
      <c r="E70" s="290">
        <v>14052</v>
      </c>
      <c r="F70" s="290">
        <v>16010</v>
      </c>
      <c r="G70" s="290">
        <v>0.71</v>
      </c>
      <c r="H70" s="290">
        <v>386.1</v>
      </c>
      <c r="I70" s="290">
        <v>1081</v>
      </c>
      <c r="J70" s="305">
        <f t="shared" si="15"/>
        <v>12.999074930619798</v>
      </c>
      <c r="K70" s="305">
        <f t="shared" si="16"/>
        <v>1.2341967314215234</v>
      </c>
    </row>
    <row r="71" spans="1:19" ht="15" customHeight="1">
      <c r="A71" s="290" t="s">
        <v>853</v>
      </c>
      <c r="B71" s="305" t="s">
        <v>658</v>
      </c>
      <c r="C71" s="290" t="s">
        <v>898</v>
      </c>
      <c r="D71" s="305" t="str">
        <f t="shared" si="14"/>
        <v>3AMed</v>
      </c>
      <c r="E71" s="290">
        <v>22180</v>
      </c>
      <c r="F71" s="290">
        <v>22090</v>
      </c>
      <c r="G71" s="290">
        <v>0.71</v>
      </c>
      <c r="H71" s="290">
        <v>386.1</v>
      </c>
      <c r="I71" s="290">
        <v>2145</v>
      </c>
      <c r="J71" s="305">
        <f t="shared" si="15"/>
        <v>10.340326340326341</v>
      </c>
      <c r="K71" s="305">
        <f t="shared" si="16"/>
        <v>0.8581973581973581</v>
      </c>
    </row>
    <row r="72" spans="1:19" ht="15" customHeight="1">
      <c r="A72" s="290" t="s">
        <v>853</v>
      </c>
      <c r="B72" s="305" t="s">
        <v>658</v>
      </c>
      <c r="C72" s="290" t="s">
        <v>894</v>
      </c>
      <c r="D72" s="305" t="str">
        <f t="shared" si="14"/>
        <v>3ALarge</v>
      </c>
      <c r="E72" s="290">
        <v>29612</v>
      </c>
      <c r="F72" s="290">
        <v>27650</v>
      </c>
      <c r="G72" s="290">
        <v>0.71</v>
      </c>
      <c r="H72" s="290">
        <v>386.1</v>
      </c>
      <c r="I72" s="290">
        <v>3240</v>
      </c>
      <c r="J72" s="305">
        <f t="shared" si="15"/>
        <v>9.1395061728395053</v>
      </c>
      <c r="K72" s="305">
        <f t="shared" si="16"/>
        <v>0.71116255144032914</v>
      </c>
    </row>
    <row r="73" spans="1:19" ht="15" customHeight="1">
      <c r="A73" s="290" t="s">
        <v>856</v>
      </c>
      <c r="B73" s="305" t="s">
        <v>661</v>
      </c>
      <c r="C73" s="290" t="s">
        <v>893</v>
      </c>
      <c r="D73" s="305" t="str">
        <f t="shared" si="14"/>
        <v>4ASmall</v>
      </c>
      <c r="E73" s="290">
        <v>16394</v>
      </c>
      <c r="F73" s="290">
        <v>14550</v>
      </c>
      <c r="G73" s="290">
        <v>0.71</v>
      </c>
      <c r="H73" s="290">
        <v>386.1</v>
      </c>
      <c r="I73" s="290">
        <v>1081</v>
      </c>
      <c r="J73" s="305">
        <f t="shared" si="15"/>
        <v>15.165587419056431</v>
      </c>
      <c r="K73" s="305">
        <f t="shared" si="16"/>
        <v>1.1216466234967624</v>
      </c>
    </row>
    <row r="74" spans="1:19" ht="15" customHeight="1">
      <c r="A74" s="290" t="s">
        <v>856</v>
      </c>
      <c r="B74" s="305" t="s">
        <v>661</v>
      </c>
      <c r="C74" s="290" t="s">
        <v>898</v>
      </c>
      <c r="D74" s="305" t="str">
        <f t="shared" si="14"/>
        <v>4AMed</v>
      </c>
      <c r="E74" s="290">
        <v>25980</v>
      </c>
      <c r="F74" s="290">
        <v>20012</v>
      </c>
      <c r="G74" s="290">
        <v>0.71</v>
      </c>
      <c r="H74" s="290">
        <v>386.1</v>
      </c>
      <c r="I74" s="290">
        <v>2145</v>
      </c>
      <c r="J74" s="305">
        <f t="shared" si="15"/>
        <v>12.111888111888113</v>
      </c>
      <c r="K74" s="305">
        <f t="shared" si="16"/>
        <v>0.77746697746697757</v>
      </c>
      <c r="M74" s="305" t="s">
        <v>924</v>
      </c>
    </row>
    <row r="75" spans="1:19" ht="15" customHeight="1">
      <c r="A75" s="290" t="s">
        <v>856</v>
      </c>
      <c r="B75" s="305" t="s">
        <v>661</v>
      </c>
      <c r="C75" s="290" t="s">
        <v>894</v>
      </c>
      <c r="D75" s="305" t="str">
        <f t="shared" si="14"/>
        <v>4ALarge</v>
      </c>
      <c r="E75" s="290">
        <v>34765</v>
      </c>
      <c r="F75" s="290">
        <v>24991</v>
      </c>
      <c r="G75" s="290">
        <v>0.71</v>
      </c>
      <c r="H75" s="290">
        <v>386.1</v>
      </c>
      <c r="I75" s="290">
        <v>3240</v>
      </c>
      <c r="J75" s="305">
        <f t="shared" si="15"/>
        <v>10.729938271604937</v>
      </c>
      <c r="K75" s="305">
        <f t="shared" si="16"/>
        <v>0.64277263374485594</v>
      </c>
    </row>
    <row r="80" spans="1:19" ht="15" customHeight="1">
      <c r="A80" s="332" t="s">
        <v>775</v>
      </c>
      <c r="B80" s="241" t="s">
        <v>771</v>
      </c>
      <c r="C80" s="241">
        <v>0.8</v>
      </c>
      <c r="D80" s="241">
        <v>0.8</v>
      </c>
      <c r="E80" s="241">
        <v>0.8</v>
      </c>
      <c r="F80" s="241">
        <v>0.9</v>
      </c>
      <c r="G80" s="241">
        <v>0.9</v>
      </c>
      <c r="H80" s="241">
        <v>0.9</v>
      </c>
      <c r="I80" s="241">
        <v>0.9</v>
      </c>
      <c r="J80" s="241">
        <v>0.9</v>
      </c>
      <c r="K80" s="241">
        <v>0.94</v>
      </c>
      <c r="L80" s="241">
        <v>0.94</v>
      </c>
      <c r="M80" s="241">
        <v>0.94</v>
      </c>
      <c r="N80" s="241">
        <v>0.94</v>
      </c>
      <c r="O80" s="241">
        <v>0.94</v>
      </c>
      <c r="P80" s="241">
        <v>0.94</v>
      </c>
      <c r="Q80" s="241">
        <v>0.94</v>
      </c>
      <c r="R80" s="305"/>
      <c r="S80" s="305" t="s">
        <v>777</v>
      </c>
    </row>
    <row r="81" spans="1:19" ht="15" customHeight="1">
      <c r="A81" s="241"/>
      <c r="B81" s="241" t="s">
        <v>772</v>
      </c>
      <c r="C81" s="241">
        <v>18</v>
      </c>
      <c r="D81" s="241">
        <v>18</v>
      </c>
      <c r="E81" s="241">
        <v>18</v>
      </c>
      <c r="F81" s="241">
        <v>15</v>
      </c>
      <c r="G81" s="241">
        <v>15</v>
      </c>
      <c r="H81" s="241">
        <v>15</v>
      </c>
      <c r="I81" s="241">
        <v>15</v>
      </c>
      <c r="J81" s="241">
        <v>15</v>
      </c>
      <c r="K81" s="241">
        <v>13</v>
      </c>
      <c r="L81" s="241">
        <v>13</v>
      </c>
      <c r="M81" s="241">
        <v>13</v>
      </c>
      <c r="N81" s="241">
        <v>13</v>
      </c>
      <c r="O81" s="241">
        <v>13</v>
      </c>
      <c r="P81" s="241">
        <v>13</v>
      </c>
      <c r="Q81" s="241">
        <v>13</v>
      </c>
      <c r="R81" s="305"/>
      <c r="S81" s="305"/>
    </row>
    <row r="82" spans="1:19" ht="15" customHeight="1">
      <c r="A82" s="241"/>
      <c r="B82" s="241" t="s">
        <v>773</v>
      </c>
      <c r="C82" s="241">
        <v>8.1999999999999993</v>
      </c>
      <c r="D82" s="241">
        <v>8.1999999999999993</v>
      </c>
      <c r="E82" s="241">
        <v>8.1999999999999993</v>
      </c>
      <c r="F82" s="241">
        <v>9</v>
      </c>
      <c r="G82" s="241">
        <v>9</v>
      </c>
      <c r="H82" s="241">
        <v>9</v>
      </c>
      <c r="I82" s="241">
        <v>9</v>
      </c>
      <c r="J82" s="241">
        <v>9</v>
      </c>
      <c r="K82" s="241">
        <v>10</v>
      </c>
      <c r="L82" s="241">
        <v>10</v>
      </c>
      <c r="M82" s="241">
        <v>10</v>
      </c>
      <c r="N82" s="241">
        <v>10</v>
      </c>
      <c r="O82" s="241">
        <v>10</v>
      </c>
      <c r="P82" s="241">
        <v>10</v>
      </c>
      <c r="Q82" s="241">
        <v>10</v>
      </c>
      <c r="R82" s="305"/>
      <c r="S82" s="305"/>
    </row>
    <row r="85" spans="1:19" ht="41" customHeight="1">
      <c r="C85" s="524" t="s">
        <v>802</v>
      </c>
      <c r="D85" s="525" t="s">
        <v>794</v>
      </c>
      <c r="E85" s="524" t="s">
        <v>405</v>
      </c>
      <c r="F85" s="524" t="s">
        <v>800</v>
      </c>
      <c r="G85" s="524" t="s">
        <v>801</v>
      </c>
      <c r="H85" s="241"/>
      <c r="I85" s="273" t="s">
        <v>810</v>
      </c>
      <c r="J85" s="241"/>
      <c r="K85" s="241"/>
      <c r="S85" s="305" t="s">
        <v>781</v>
      </c>
    </row>
    <row r="86" spans="1:19" ht="15" customHeight="1">
      <c r="C86" s="241"/>
      <c r="D86" s="275" t="s">
        <v>795</v>
      </c>
      <c r="E86" s="241">
        <v>90</v>
      </c>
      <c r="F86" s="334">
        <v>5.0000000000000001E-3</v>
      </c>
      <c r="G86" s="334">
        <v>1.4999999999999999E-2</v>
      </c>
      <c r="H86" s="241"/>
      <c r="I86" s="241"/>
      <c r="J86" s="241"/>
      <c r="K86" s="241"/>
    </row>
    <row r="87" spans="1:19" ht="15" customHeight="1">
      <c r="C87" s="241"/>
      <c r="D87" s="275" t="s">
        <v>796</v>
      </c>
      <c r="E87" s="241">
        <v>80</v>
      </c>
      <c r="F87" s="334">
        <v>5.0000000000000001E-3</v>
      </c>
      <c r="G87" s="334">
        <v>1.4999999999999999E-2</v>
      </c>
      <c r="H87" s="241"/>
      <c r="I87" s="241"/>
      <c r="J87" s="241"/>
      <c r="K87" s="241"/>
    </row>
    <row r="88" spans="1:19" ht="15" customHeight="1">
      <c r="C88" s="241"/>
      <c r="D88" s="275" t="s">
        <v>797</v>
      </c>
      <c r="E88" s="241">
        <v>78</v>
      </c>
      <c r="F88" s="334">
        <v>5.0000000000000001E-3</v>
      </c>
      <c r="G88" s="334">
        <v>1.4999999999999999E-2</v>
      </c>
      <c r="H88" s="241"/>
      <c r="I88" s="241"/>
      <c r="J88" s="241"/>
      <c r="K88" s="241"/>
    </row>
    <row r="89" spans="1:19" ht="15" customHeight="1">
      <c r="C89" s="241"/>
      <c r="D89" s="526" t="s">
        <v>798</v>
      </c>
      <c r="E89" s="241">
        <v>75</v>
      </c>
      <c r="F89" s="334">
        <v>5.0000000000000001E-3</v>
      </c>
      <c r="G89" s="334">
        <v>1.4999999999999999E-2</v>
      </c>
      <c r="H89" s="241"/>
      <c r="I89" s="241"/>
      <c r="J89" s="241"/>
      <c r="K89" s="241"/>
      <c r="R89" s="305"/>
    </row>
    <row r="90" spans="1:19" ht="15" customHeight="1">
      <c r="C90" s="241"/>
      <c r="D90" s="526" t="s">
        <v>799</v>
      </c>
      <c r="E90" s="241">
        <v>64</v>
      </c>
      <c r="F90" s="334">
        <v>5.0000000000000001E-3</v>
      </c>
      <c r="G90" s="334">
        <v>1.4999999999999999E-2</v>
      </c>
      <c r="H90" s="241"/>
      <c r="I90" s="241"/>
      <c r="J90" s="241"/>
      <c r="K90" s="241"/>
      <c r="R90" s="305"/>
    </row>
    <row r="91" spans="1:19" ht="15" customHeight="1">
      <c r="C91" s="241"/>
      <c r="D91" s="333"/>
      <c r="E91" s="241"/>
      <c r="F91" s="241"/>
      <c r="G91" s="241"/>
      <c r="H91" s="241"/>
      <c r="I91" s="241"/>
      <c r="J91" s="241"/>
      <c r="K91" s="241"/>
      <c r="R91" s="305"/>
    </row>
    <row r="92" spans="1:19" ht="42">
      <c r="C92" s="527" t="s">
        <v>809</v>
      </c>
      <c r="D92" s="528" t="s">
        <v>803</v>
      </c>
      <c r="E92" s="527" t="s">
        <v>804</v>
      </c>
      <c r="F92" s="527" t="s">
        <v>805</v>
      </c>
      <c r="G92" s="527" t="s">
        <v>806</v>
      </c>
      <c r="H92" s="527" t="s">
        <v>800</v>
      </c>
      <c r="I92" s="527" t="s">
        <v>801</v>
      </c>
      <c r="J92" s="241"/>
      <c r="K92" s="241"/>
    </row>
    <row r="93" spans="1:19" ht="15" customHeight="1">
      <c r="C93" s="241"/>
      <c r="D93" s="275" t="s">
        <v>807</v>
      </c>
      <c r="E93" s="241">
        <v>6.5</v>
      </c>
      <c r="F93" s="241">
        <v>6.4</v>
      </c>
      <c r="G93" s="241"/>
      <c r="H93" s="241">
        <v>0.01</v>
      </c>
      <c r="I93" s="241">
        <v>0.03</v>
      </c>
      <c r="J93" s="241"/>
      <c r="K93" s="241"/>
    </row>
    <row r="94" spans="1:19" ht="15" customHeight="1">
      <c r="C94" s="241"/>
      <c r="D94" s="275" t="s">
        <v>808</v>
      </c>
      <c r="E94" s="241">
        <v>6.5</v>
      </c>
      <c r="F94" s="241">
        <v>6.4</v>
      </c>
      <c r="G94" s="241">
        <v>6</v>
      </c>
      <c r="H94" s="241">
        <v>0.01</v>
      </c>
      <c r="I94" s="241">
        <v>0.03</v>
      </c>
      <c r="J94" s="241"/>
      <c r="K94" s="241"/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Z26"/>
  <sheetViews>
    <sheetView workbookViewId="0">
      <selection activeCell="B23" sqref="B23:E23"/>
    </sheetView>
  </sheetViews>
  <sheetFormatPr baseColWidth="10" defaultColWidth="8.83203125" defaultRowHeight="14" x14ac:dyDescent="0"/>
  <sheetData>
    <row r="1" spans="1:22">
      <c r="A1" s="138" t="s">
        <v>654</v>
      </c>
      <c r="B1" s="206">
        <v>0.37901531243731801</v>
      </c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</row>
    <row r="2" spans="1:22">
      <c r="A2" s="138"/>
      <c r="B2" s="206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</row>
    <row r="3" spans="1:22">
      <c r="A3" s="207" t="s">
        <v>655</v>
      </c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</row>
    <row r="4" spans="1:22">
      <c r="A4" s="190" t="s">
        <v>639</v>
      </c>
      <c r="B4" s="266" t="s">
        <v>707</v>
      </c>
      <c r="C4" s="314" t="s">
        <v>656</v>
      </c>
      <c r="D4" s="314" t="s">
        <v>657</v>
      </c>
      <c r="E4" s="314" t="s">
        <v>658</v>
      </c>
      <c r="F4" s="314" t="s">
        <v>659</v>
      </c>
      <c r="G4" s="314" t="s">
        <v>660</v>
      </c>
      <c r="H4" s="314" t="s">
        <v>661</v>
      </c>
      <c r="I4" s="314" t="s">
        <v>662</v>
      </c>
      <c r="J4" s="314" t="s">
        <v>663</v>
      </c>
      <c r="K4" s="314" t="s">
        <v>664</v>
      </c>
      <c r="L4" s="314" t="s">
        <v>665</v>
      </c>
      <c r="M4" s="314" t="s">
        <v>666</v>
      </c>
      <c r="N4" s="314" t="s">
        <v>667</v>
      </c>
      <c r="O4" s="314">
        <v>7</v>
      </c>
      <c r="P4" s="266">
        <v>8</v>
      </c>
      <c r="Q4" s="191">
        <v>16</v>
      </c>
    </row>
    <row r="5" spans="1:22">
      <c r="A5" s="208" t="s">
        <v>669</v>
      </c>
      <c r="B5" s="209">
        <f>B11*Inputs!$C$137^Weather!$B$1</f>
        <v>0.43</v>
      </c>
      <c r="C5" s="318">
        <f>C11*Inputs!$C$137^Weather!$B$1</f>
        <v>0.44</v>
      </c>
      <c r="D5" s="318">
        <f>D11*Inputs!$C$137^Weather!$B$1</f>
        <v>0.46</v>
      </c>
      <c r="E5" s="318">
        <f>E11*Inputs!$C$137^Weather!$B$1</f>
        <v>0.48</v>
      </c>
      <c r="F5" s="318">
        <f>F11*Inputs!$C$137^Weather!$B$1</f>
        <v>0.6</v>
      </c>
      <c r="G5" s="318">
        <f>G11*Inputs!$C$137^Weather!$B$1</f>
        <v>0.49</v>
      </c>
      <c r="H5" s="318">
        <f>H11*Inputs!$C$137^Weather!$B$1</f>
        <v>0.55000000000000004</v>
      </c>
      <c r="I5" s="318">
        <f>I11*Inputs!$C$137^Weather!$B$1</f>
        <v>0.55000000000000004</v>
      </c>
      <c r="J5" s="318">
        <f>J11*Inputs!$C$137^Weather!$B$1</f>
        <v>0.6</v>
      </c>
      <c r="K5" s="318">
        <f>K11*Inputs!$C$137^Weather!$B$1</f>
        <v>0.56000000000000005</v>
      </c>
      <c r="L5" s="318">
        <f>L11*Inputs!$C$137^Weather!$B$1</f>
        <v>0.53</v>
      </c>
      <c r="M5" s="318">
        <f>M11*Inputs!$C$137^Weather!$B$1</f>
        <v>0.62</v>
      </c>
      <c r="N5" s="318">
        <f>N11*Inputs!$C$137^Weather!$B$1</f>
        <v>0.71</v>
      </c>
      <c r="O5" s="318">
        <f>O11*Inputs!$C$137^Weather!$B$1</f>
        <v>0</v>
      </c>
      <c r="P5" s="318">
        <f>P11*Inputs!$C$137^Weather!$B$1</f>
        <v>0</v>
      </c>
      <c r="Q5" s="318">
        <f>Q11*Inputs!$C$137^Weather!$B$1</f>
        <v>0</v>
      </c>
    </row>
    <row r="6" spans="1:22">
      <c r="A6" s="210"/>
      <c r="B6" s="211"/>
      <c r="C6" s="211"/>
      <c r="D6" s="211"/>
      <c r="E6" s="211"/>
      <c r="F6" s="211"/>
      <c r="G6" s="211"/>
      <c r="H6" s="211"/>
      <c r="I6" s="211"/>
      <c r="J6" s="211"/>
      <c r="K6" s="211"/>
      <c r="L6" s="211"/>
      <c r="M6" s="211"/>
      <c r="N6" s="211"/>
      <c r="O6" s="138"/>
      <c r="P6" s="138"/>
      <c r="Q6" s="138"/>
    </row>
    <row r="7" spans="1:22">
      <c r="A7" s="210"/>
      <c r="B7" s="211"/>
      <c r="C7" s="211"/>
      <c r="D7" s="211"/>
      <c r="E7" s="211"/>
      <c r="F7" s="211"/>
      <c r="G7" s="211"/>
      <c r="H7" s="211"/>
      <c r="I7" s="211"/>
      <c r="J7" s="211"/>
      <c r="K7" s="211"/>
      <c r="L7" s="211"/>
      <c r="M7" s="211"/>
      <c r="N7" s="211"/>
      <c r="O7" s="138"/>
      <c r="P7" s="138"/>
      <c r="Q7" s="138"/>
    </row>
    <row r="8" spans="1:22">
      <c r="A8" s="138"/>
      <c r="B8" s="138"/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</row>
    <row r="9" spans="1:22">
      <c r="A9" s="207" t="s">
        <v>670</v>
      </c>
      <c r="B9" s="138"/>
      <c r="C9" s="138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</row>
    <row r="10" spans="1:22">
      <c r="A10" s="190" t="s">
        <v>639</v>
      </c>
      <c r="B10" s="191" t="s">
        <v>656</v>
      </c>
      <c r="C10" s="191" t="s">
        <v>657</v>
      </c>
      <c r="D10" s="191" t="s">
        <v>658</v>
      </c>
      <c r="E10" s="191" t="s">
        <v>659</v>
      </c>
      <c r="F10" s="191" t="s">
        <v>660</v>
      </c>
      <c r="G10" s="191" t="s">
        <v>661</v>
      </c>
      <c r="H10" s="191" t="s">
        <v>662</v>
      </c>
      <c r="I10" s="191" t="s">
        <v>663</v>
      </c>
      <c r="J10" s="191" t="s">
        <v>664</v>
      </c>
      <c r="K10" s="191" t="s">
        <v>665</v>
      </c>
      <c r="L10" s="191" t="s">
        <v>666</v>
      </c>
      <c r="M10" s="191" t="s">
        <v>667</v>
      </c>
      <c r="N10" s="191" t="s">
        <v>668</v>
      </c>
      <c r="O10" s="138"/>
      <c r="P10" s="138"/>
      <c r="Q10" s="138"/>
    </row>
    <row r="11" spans="1:22">
      <c r="A11" s="188" t="s">
        <v>172</v>
      </c>
      <c r="B11" s="161">
        <v>0.43</v>
      </c>
      <c r="C11" s="161">
        <v>0.44</v>
      </c>
      <c r="D11" s="161">
        <v>0.46</v>
      </c>
      <c r="E11" s="161">
        <v>0.48</v>
      </c>
      <c r="F11" s="161">
        <v>0.6</v>
      </c>
      <c r="G11" s="161">
        <v>0.49</v>
      </c>
      <c r="H11" s="161">
        <v>0.55000000000000004</v>
      </c>
      <c r="I11" s="161">
        <v>0.55000000000000004</v>
      </c>
      <c r="J11" s="161">
        <v>0.6</v>
      </c>
      <c r="K11" s="161">
        <v>0.56000000000000005</v>
      </c>
      <c r="L11" s="161">
        <v>0.53</v>
      </c>
      <c r="M11" s="161">
        <v>0.62</v>
      </c>
      <c r="N11" s="161">
        <v>0.71</v>
      </c>
      <c r="O11" s="138"/>
      <c r="P11" s="138"/>
      <c r="Q11" s="138"/>
    </row>
    <row r="12" spans="1:22">
      <c r="A12" s="188" t="s">
        <v>171</v>
      </c>
      <c r="B12" s="209">
        <v>0.55919519815510799</v>
      </c>
      <c r="C12" s="209">
        <v>0.5721997376470872</v>
      </c>
      <c r="D12" s="209">
        <v>0.59820881663104575</v>
      </c>
      <c r="E12" s="209">
        <v>0.62421789561500418</v>
      </c>
      <c r="F12" s="209">
        <v>0.78027236951875523</v>
      </c>
      <c r="G12" s="209">
        <v>0.63722243510698351</v>
      </c>
      <c r="H12" s="209">
        <v>0.71524967205885903</v>
      </c>
      <c r="I12" s="209">
        <v>0.71524967205885903</v>
      </c>
      <c r="J12" s="209">
        <v>0.78027236951875523</v>
      </c>
      <c r="K12" s="209">
        <v>0.72825421155083836</v>
      </c>
      <c r="L12" s="209">
        <v>0.68924059307490049</v>
      </c>
      <c r="M12" s="209">
        <v>0.80628144850271377</v>
      </c>
      <c r="N12" s="209">
        <v>0.92332230393052706</v>
      </c>
      <c r="O12" s="138"/>
      <c r="P12" s="206"/>
      <c r="Q12" s="206"/>
      <c r="R12" s="206"/>
      <c r="S12" s="206"/>
      <c r="T12" s="206"/>
      <c r="U12" s="206"/>
      <c r="V12" s="206"/>
    </row>
    <row r="13" spans="1:22">
      <c r="A13" s="188" t="s">
        <v>723</v>
      </c>
      <c r="B13" s="209">
        <v>0.65208576098168169</v>
      </c>
      <c r="C13" s="209">
        <v>0.6672505461207906</v>
      </c>
      <c r="D13" s="209">
        <v>0.6975801163990083</v>
      </c>
      <c r="E13" s="209">
        <v>0.727909686677226</v>
      </c>
      <c r="F13" s="209">
        <v>0.90988710834653252</v>
      </c>
      <c r="G13" s="209">
        <v>0.7430744718163349</v>
      </c>
      <c r="H13" s="209">
        <v>0.83406318265098822</v>
      </c>
      <c r="I13" s="209">
        <v>0.83406318265098822</v>
      </c>
      <c r="J13" s="209">
        <v>0.90988710834653252</v>
      </c>
      <c r="K13" s="209">
        <v>0.84922796779009713</v>
      </c>
      <c r="L13" s="209">
        <v>0.80373361237277052</v>
      </c>
      <c r="M13" s="209">
        <v>0.94021667862475033</v>
      </c>
      <c r="N13" s="209">
        <v>1.0766997448767301</v>
      </c>
      <c r="O13" s="138"/>
      <c r="P13" s="206"/>
      <c r="Q13" s="206"/>
      <c r="R13" s="206"/>
      <c r="S13" s="206"/>
      <c r="T13" s="206"/>
      <c r="U13" s="206"/>
      <c r="V13" s="206"/>
    </row>
    <row r="14" spans="1:22">
      <c r="A14" s="138"/>
      <c r="B14" s="138"/>
      <c r="C14" s="138"/>
      <c r="D14" s="138"/>
      <c r="E14" s="138"/>
      <c r="F14" s="138"/>
      <c r="G14" s="138"/>
      <c r="H14" s="138"/>
      <c r="I14" s="138"/>
      <c r="J14" s="138"/>
      <c r="K14" s="138"/>
      <c r="L14" s="138"/>
      <c r="M14" s="138"/>
      <c r="N14" s="138"/>
      <c r="O14" s="138"/>
      <c r="P14" s="138"/>
      <c r="Q14" s="138"/>
    </row>
    <row r="15" spans="1:22">
      <c r="A15" s="215" t="s">
        <v>671</v>
      </c>
      <c r="B15" s="185"/>
      <c r="C15" s="138"/>
      <c r="D15" s="138"/>
      <c r="E15" s="138"/>
      <c r="F15" s="138"/>
      <c r="G15" s="138"/>
      <c r="H15" s="138"/>
      <c r="I15" s="138"/>
      <c r="J15" s="138"/>
      <c r="K15" s="138"/>
      <c r="L15" s="138"/>
      <c r="M15" s="138"/>
      <c r="N15" s="138"/>
      <c r="O15" s="138"/>
      <c r="P15" s="138"/>
      <c r="Q15" s="138"/>
    </row>
    <row r="16" spans="1:22">
      <c r="A16" s="190" t="s">
        <v>639</v>
      </c>
      <c r="B16" s="191">
        <v>1</v>
      </c>
      <c r="C16" s="191">
        <v>2</v>
      </c>
      <c r="D16" s="191">
        <v>3</v>
      </c>
      <c r="E16" s="191">
        <v>4</v>
      </c>
      <c r="F16" s="191">
        <v>5</v>
      </c>
      <c r="G16" s="191">
        <v>6</v>
      </c>
      <c r="H16" s="191">
        <v>7</v>
      </c>
      <c r="I16" s="191">
        <v>8</v>
      </c>
      <c r="J16" s="191">
        <v>9</v>
      </c>
      <c r="K16" s="191">
        <v>10</v>
      </c>
      <c r="L16" s="191">
        <v>11</v>
      </c>
      <c r="M16" s="191">
        <v>12</v>
      </c>
      <c r="N16" s="191">
        <v>13</v>
      </c>
      <c r="O16" s="191">
        <v>14</v>
      </c>
      <c r="P16" s="191">
        <v>15</v>
      </c>
      <c r="Q16" s="191">
        <v>16</v>
      </c>
    </row>
    <row r="17" spans="1:26">
      <c r="A17" s="188" t="s">
        <v>172</v>
      </c>
      <c r="B17" s="212">
        <v>0.56360936165894659</v>
      </c>
      <c r="C17" s="212">
        <v>0.48885549567600978</v>
      </c>
      <c r="D17" s="212">
        <v>0.54208232257462774</v>
      </c>
      <c r="E17" s="212">
        <v>0.47845929296058437</v>
      </c>
      <c r="F17" s="212">
        <v>0.51837365623999176</v>
      </c>
      <c r="G17" s="212">
        <v>0.41788661831438195</v>
      </c>
      <c r="H17" s="212">
        <v>0.37942235442668815</v>
      </c>
      <c r="I17" s="212">
        <v>0.34136734806535374</v>
      </c>
      <c r="J17" s="212">
        <v>0.39317637879534129</v>
      </c>
      <c r="K17" s="212">
        <v>0.42189478941889719</v>
      </c>
      <c r="L17" s="212">
        <v>0.50187001587391433</v>
      </c>
      <c r="M17" s="212">
        <v>0.50766953254479896</v>
      </c>
      <c r="N17" s="212">
        <v>0.45543655021096829</v>
      </c>
      <c r="O17" s="212">
        <v>0.52458293514912235</v>
      </c>
      <c r="P17" s="212">
        <v>0.45040732320028565</v>
      </c>
      <c r="Q17" s="212">
        <v>0.43796184671932231</v>
      </c>
    </row>
    <row r="18" spans="1:26">
      <c r="A18" s="316" t="s">
        <v>171</v>
      </c>
      <c r="B18" s="212">
        <v>0.7248166367358726</v>
      </c>
      <c r="C18" s="212">
        <v>0.62708326118835933</v>
      </c>
      <c r="D18" s="212">
        <v>0.69538709992486236</v>
      </c>
      <c r="E18" s="212">
        <v>0.61315971250841084</v>
      </c>
      <c r="F18" s="212">
        <v>0.66503797395079167</v>
      </c>
      <c r="G18" s="212">
        <v>0.53477302293826767</v>
      </c>
      <c r="H18" s="212">
        <v>0.48590439299190807</v>
      </c>
      <c r="I18" s="212">
        <v>0.43641684175739326</v>
      </c>
      <c r="J18" s="212">
        <v>0.50195133557344052</v>
      </c>
      <c r="K18" s="212">
        <v>0.53767567995907639</v>
      </c>
      <c r="L18" s="212">
        <v>0.63882702592755691</v>
      </c>
      <c r="M18" s="212">
        <v>0.6488752632127025</v>
      </c>
      <c r="N18" s="212">
        <v>0.58043957001106339</v>
      </c>
      <c r="O18" s="212">
        <v>0.66580229679831271</v>
      </c>
      <c r="P18" s="212">
        <v>0.57161146797379636</v>
      </c>
      <c r="Q18" s="212">
        <v>0.56152742625436514</v>
      </c>
      <c r="S18" s="206"/>
      <c r="T18" s="206"/>
      <c r="U18" s="206"/>
      <c r="V18" s="206"/>
      <c r="W18" s="206"/>
      <c r="X18" s="206"/>
      <c r="Y18" s="206"/>
      <c r="Z18" s="206"/>
    </row>
    <row r="19" spans="1:26">
      <c r="A19" s="316" t="s">
        <v>723</v>
      </c>
      <c r="B19" s="212">
        <v>0.86834031138810353</v>
      </c>
      <c r="C19" s="212">
        <v>0.74939759949679141</v>
      </c>
      <c r="D19" s="212">
        <v>0.83049656710313591</v>
      </c>
      <c r="E19" s="212">
        <v>0.73175387031078654</v>
      </c>
      <c r="F19" s="212">
        <v>0.79456350692969679</v>
      </c>
      <c r="G19" s="212">
        <v>0.63704978044323324</v>
      </c>
      <c r="H19" s="212">
        <v>0.57887972226628115</v>
      </c>
      <c r="I19" s="212">
        <v>0.51976073261794775</v>
      </c>
      <c r="J19" s="212">
        <v>0.59712354608454088</v>
      </c>
      <c r="K19" s="212">
        <v>0.63902949563231792</v>
      </c>
      <c r="L19" s="212">
        <v>0.75846002934376988</v>
      </c>
      <c r="M19" s="212">
        <v>0.77292624267172982</v>
      </c>
      <c r="N19" s="212">
        <v>0.68982480549315572</v>
      </c>
      <c r="O19" s="212">
        <v>0.78911231419216588</v>
      </c>
      <c r="P19" s="212">
        <v>0.67708889855316245</v>
      </c>
      <c r="Q19" s="212">
        <v>0.67077337182535413</v>
      </c>
      <c r="S19" s="206"/>
      <c r="T19" s="206"/>
      <c r="U19" s="206"/>
      <c r="V19" s="206"/>
      <c r="W19" s="206"/>
      <c r="X19" s="206"/>
      <c r="Y19" s="206"/>
      <c r="Z19" s="206"/>
    </row>
    <row r="20" spans="1:26" s="290" customFormat="1">
      <c r="A20" s="193"/>
      <c r="B20" s="212"/>
      <c r="C20" s="212"/>
      <c r="D20" s="212"/>
      <c r="E20" s="212"/>
      <c r="F20" s="212"/>
      <c r="G20" s="212"/>
      <c r="H20" s="212"/>
      <c r="I20" s="212"/>
      <c r="J20" s="212"/>
      <c r="K20" s="212"/>
      <c r="L20" s="212"/>
      <c r="M20" s="212"/>
      <c r="N20" s="212"/>
      <c r="O20" s="212"/>
      <c r="P20" s="212"/>
      <c r="Q20" s="212"/>
    </row>
    <row r="21" spans="1:26">
      <c r="A21" s="210" t="s">
        <v>867</v>
      </c>
    </row>
    <row r="22" spans="1:26">
      <c r="A22" s="210" t="s">
        <v>639</v>
      </c>
      <c r="B22" s="290" t="s">
        <v>707</v>
      </c>
      <c r="C22" s="290" t="s">
        <v>656</v>
      </c>
      <c r="D22" s="290" t="s">
        <v>657</v>
      </c>
      <c r="E22" s="290" t="s">
        <v>658</v>
      </c>
      <c r="F22" s="290" t="s">
        <v>659</v>
      </c>
      <c r="G22" s="290" t="s">
        <v>660</v>
      </c>
      <c r="H22" s="290" t="s">
        <v>661</v>
      </c>
      <c r="I22" s="290" t="s">
        <v>662</v>
      </c>
      <c r="J22" s="290" t="s">
        <v>663</v>
      </c>
      <c r="K22" s="290" t="s">
        <v>664</v>
      </c>
      <c r="L22" s="290" t="s">
        <v>665</v>
      </c>
      <c r="M22" s="290" t="s">
        <v>666</v>
      </c>
      <c r="N22" s="290" t="s">
        <v>667</v>
      </c>
      <c r="O22" s="341">
        <v>7</v>
      </c>
      <c r="P22" s="341">
        <v>8</v>
      </c>
      <c r="Q22" s="341" t="s">
        <v>1287</v>
      </c>
      <c r="R22" s="341" t="s">
        <v>1288</v>
      </c>
    </row>
    <row r="23" spans="1:26">
      <c r="A23" s="210" t="s">
        <v>865</v>
      </c>
      <c r="B23" s="290" t="s">
        <v>850</v>
      </c>
      <c r="C23" s="290" t="s">
        <v>851</v>
      </c>
      <c r="D23" s="290" t="s">
        <v>852</v>
      </c>
      <c r="E23" s="290" t="s">
        <v>853</v>
      </c>
      <c r="F23" s="290" t="s">
        <v>854</v>
      </c>
      <c r="G23" s="290" t="s">
        <v>855</v>
      </c>
      <c r="H23" s="290" t="s">
        <v>856</v>
      </c>
      <c r="I23" s="290" t="s">
        <v>857</v>
      </c>
      <c r="J23" s="290" t="s">
        <v>858</v>
      </c>
      <c r="K23" s="290" t="s">
        <v>859</v>
      </c>
      <c r="L23" s="290" t="s">
        <v>860</v>
      </c>
      <c r="M23" s="290" t="s">
        <v>861</v>
      </c>
      <c r="N23" s="290" t="s">
        <v>862</v>
      </c>
      <c r="O23" s="290" t="s">
        <v>863</v>
      </c>
      <c r="P23" s="290" t="s">
        <v>864</v>
      </c>
      <c r="Q23" s="290" t="s">
        <v>910</v>
      </c>
      <c r="R23" s="290" t="s">
        <v>909</v>
      </c>
    </row>
    <row r="24" spans="1:26">
      <c r="A24" s="210" t="s">
        <v>866</v>
      </c>
      <c r="B24">
        <v>722020</v>
      </c>
      <c r="C24">
        <v>722430</v>
      </c>
      <c r="D24">
        <v>722780</v>
      </c>
      <c r="E24">
        <v>723340</v>
      </c>
      <c r="F24">
        <v>722700</v>
      </c>
      <c r="G24">
        <v>724940</v>
      </c>
      <c r="H24">
        <v>724060</v>
      </c>
      <c r="I24">
        <v>723650</v>
      </c>
      <c r="J24">
        <v>726940</v>
      </c>
      <c r="K24">
        <v>725300</v>
      </c>
      <c r="L24">
        <v>726810</v>
      </c>
      <c r="M24">
        <v>726170</v>
      </c>
      <c r="N24">
        <v>727720</v>
      </c>
      <c r="O24">
        <v>727450</v>
      </c>
      <c r="P24">
        <v>702610</v>
      </c>
      <c r="Q24">
        <v>722050</v>
      </c>
      <c r="R24">
        <v>722080</v>
      </c>
    </row>
    <row r="25" spans="1:26">
      <c r="A25" s="210" t="s">
        <v>669</v>
      </c>
      <c r="B25" s="326">
        <v>0.41</v>
      </c>
      <c r="C25" s="326">
        <v>0.42</v>
      </c>
      <c r="D25" s="326">
        <v>0.43</v>
      </c>
      <c r="E25" s="326">
        <v>0.46</v>
      </c>
      <c r="F25" s="326">
        <v>0.48</v>
      </c>
      <c r="G25" s="326">
        <v>0.6</v>
      </c>
      <c r="H25" s="326">
        <v>0.5</v>
      </c>
      <c r="I25" s="326">
        <v>0.54</v>
      </c>
      <c r="J25" s="326">
        <v>0.55000000000000004</v>
      </c>
      <c r="K25" s="326">
        <v>0.6</v>
      </c>
      <c r="L25" s="326">
        <v>0.56000000000000005</v>
      </c>
      <c r="M25" s="326">
        <v>0.61</v>
      </c>
      <c r="N25" s="326">
        <v>0.63</v>
      </c>
      <c r="O25" s="326">
        <v>0.7</v>
      </c>
      <c r="P25" s="326">
        <v>0.7</v>
      </c>
      <c r="Q25" s="326">
        <v>0.38</v>
      </c>
      <c r="R25" s="326">
        <v>0.43</v>
      </c>
    </row>
    <row r="26" spans="1:26">
      <c r="B26" t="str">
        <f>CONCATENATE(B24,"TYA.CSV")</f>
        <v>722020TYA.CSV</v>
      </c>
      <c r="C26" s="290" t="str">
        <f t="shared" ref="C26:R26" si="0">CONCATENATE(C24,"TYA.CSV")</f>
        <v>722430TYA.CSV</v>
      </c>
      <c r="D26" s="290" t="str">
        <f t="shared" si="0"/>
        <v>722780TYA.CSV</v>
      </c>
      <c r="E26" s="290" t="str">
        <f t="shared" si="0"/>
        <v>723340TYA.CSV</v>
      </c>
      <c r="F26" s="290" t="str">
        <f t="shared" si="0"/>
        <v>722700TYA.CSV</v>
      </c>
      <c r="G26" s="290" t="str">
        <f t="shared" si="0"/>
        <v>724940TYA.CSV</v>
      </c>
      <c r="H26" s="290" t="str">
        <f t="shared" si="0"/>
        <v>724060TYA.CSV</v>
      </c>
      <c r="I26" s="290" t="str">
        <f t="shared" si="0"/>
        <v>723650TYA.CSV</v>
      </c>
      <c r="J26" s="290" t="str">
        <f t="shared" si="0"/>
        <v>726940TYA.CSV</v>
      </c>
      <c r="K26" s="290" t="str">
        <f t="shared" si="0"/>
        <v>725300TYA.CSV</v>
      </c>
      <c r="L26" s="290" t="str">
        <f t="shared" si="0"/>
        <v>726810TYA.CSV</v>
      </c>
      <c r="M26" s="290" t="str">
        <f t="shared" si="0"/>
        <v>726170TYA.CSV</v>
      </c>
      <c r="N26" s="290" t="str">
        <f t="shared" si="0"/>
        <v>727720TYA.CSV</v>
      </c>
      <c r="O26" s="290" t="str">
        <f t="shared" si="0"/>
        <v>727450TYA.CSV</v>
      </c>
      <c r="P26" s="290" t="str">
        <f t="shared" si="0"/>
        <v>702610TYA.CSV</v>
      </c>
      <c r="Q26" s="290" t="str">
        <f t="shared" si="0"/>
        <v>722050TYA.CSV</v>
      </c>
      <c r="R26" s="290" t="str">
        <f t="shared" si="0"/>
        <v>722080TYA.CSV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U101"/>
  <sheetViews>
    <sheetView workbookViewId="0">
      <pane ySplit="3" topLeftCell="A4" activePane="bottomLeft" state="frozen"/>
      <selection pane="bottomLeft" activeCell="Q3" sqref="Q3"/>
    </sheetView>
  </sheetViews>
  <sheetFormatPr baseColWidth="10" defaultColWidth="11.5" defaultRowHeight="14" x14ac:dyDescent="0"/>
  <cols>
    <col min="2" max="3" width="12.33203125" bestFit="1" customWidth="1"/>
    <col min="5" max="5" width="12.33203125" bestFit="1" customWidth="1"/>
    <col min="8" max="8" width="12.33203125" bestFit="1" customWidth="1"/>
    <col min="17" max="18" width="12.33203125" bestFit="1" customWidth="1"/>
  </cols>
  <sheetData>
    <row r="1" spans="1:18" s="290" customFormat="1">
      <c r="A1" s="210" t="s">
        <v>1103</v>
      </c>
      <c r="B1" s="290">
        <v>1</v>
      </c>
      <c r="C1" s="290">
        <v>2</v>
      </c>
      <c r="D1" s="290">
        <v>3</v>
      </c>
      <c r="E1" s="290">
        <v>4</v>
      </c>
      <c r="F1" s="290">
        <v>5</v>
      </c>
      <c r="G1" s="290">
        <v>6</v>
      </c>
      <c r="H1" s="290">
        <v>7</v>
      </c>
      <c r="I1" s="290">
        <v>8</v>
      </c>
      <c r="J1" s="290">
        <v>9</v>
      </c>
      <c r="K1" s="290">
        <v>10</v>
      </c>
      <c r="L1" s="290">
        <v>11</v>
      </c>
      <c r="M1" s="290">
        <v>12</v>
      </c>
      <c r="N1" s="290">
        <v>13</v>
      </c>
      <c r="O1" s="290">
        <v>14</v>
      </c>
      <c r="P1" s="290">
        <v>15</v>
      </c>
      <c r="Q1" s="290" t="s">
        <v>910</v>
      </c>
      <c r="R1" s="290" t="s">
        <v>909</v>
      </c>
    </row>
    <row r="2" spans="1:18">
      <c r="A2" s="210" t="s">
        <v>639</v>
      </c>
      <c r="B2" s="290" t="s">
        <v>707</v>
      </c>
      <c r="C2" s="290" t="s">
        <v>656</v>
      </c>
      <c r="D2" s="290" t="s">
        <v>657</v>
      </c>
      <c r="E2" s="290" t="s">
        <v>658</v>
      </c>
      <c r="F2" s="290" t="s">
        <v>659</v>
      </c>
      <c r="G2" s="290" t="s">
        <v>660</v>
      </c>
      <c r="H2" s="290" t="s">
        <v>661</v>
      </c>
      <c r="I2" s="290" t="s">
        <v>662</v>
      </c>
      <c r="J2" s="290" t="s">
        <v>663</v>
      </c>
      <c r="K2" s="290" t="s">
        <v>664</v>
      </c>
      <c r="L2" s="290" t="s">
        <v>665</v>
      </c>
      <c r="M2" s="290" t="s">
        <v>666</v>
      </c>
      <c r="N2" s="290" t="s">
        <v>667</v>
      </c>
      <c r="O2" s="341">
        <v>7</v>
      </c>
      <c r="P2" s="341">
        <v>8</v>
      </c>
      <c r="Q2" s="341" t="s">
        <v>1287</v>
      </c>
      <c r="R2" s="341" t="s">
        <v>1288</v>
      </c>
    </row>
    <row r="3" spans="1:18">
      <c r="A3" s="210" t="s">
        <v>865</v>
      </c>
      <c r="B3" s="290" t="s">
        <v>850</v>
      </c>
      <c r="C3" s="290" t="s">
        <v>851</v>
      </c>
      <c r="D3" s="290" t="s">
        <v>852</v>
      </c>
      <c r="E3" s="290" t="s">
        <v>853</v>
      </c>
      <c r="F3" s="290" t="s">
        <v>854</v>
      </c>
      <c r="G3" s="290" t="s">
        <v>855</v>
      </c>
      <c r="H3" s="290" t="s">
        <v>856</v>
      </c>
      <c r="I3" s="290" t="s">
        <v>857</v>
      </c>
      <c r="J3" s="290" t="s">
        <v>858</v>
      </c>
      <c r="K3" s="290" t="s">
        <v>859</v>
      </c>
      <c r="L3" s="290" t="s">
        <v>860</v>
      </c>
      <c r="M3" s="290" t="s">
        <v>861</v>
      </c>
      <c r="N3" s="290" t="s">
        <v>862</v>
      </c>
      <c r="O3" s="290" t="s">
        <v>863</v>
      </c>
      <c r="P3" s="290" t="s">
        <v>864</v>
      </c>
      <c r="Q3" s="290" t="s">
        <v>908</v>
      </c>
      <c r="R3" s="290" t="s">
        <v>909</v>
      </c>
    </row>
    <row r="4" spans="1:18" s="290" customFormat="1"/>
    <row r="5" spans="1:18" s="290" customFormat="1">
      <c r="A5" s="305" t="s">
        <v>930</v>
      </c>
      <c r="B5" s="403">
        <f t="shared" ref="B5:R5" si="0">IF(HumControl=13, VLOOKUP(B1,$A$96:$B$101,2,FALSE),B23)</f>
        <v>1.8143650428724283E-2</v>
      </c>
      <c r="C5" s="403">
        <f t="shared" si="0"/>
        <v>1.8093565104086943E-2</v>
      </c>
      <c r="D5" s="403" t="str">
        <f t="shared" si="0"/>
        <v>NA</v>
      </c>
      <c r="E5" s="403">
        <f t="shared" si="0"/>
        <v>1.6457918085888881E-2</v>
      </c>
      <c r="F5" s="403" t="str">
        <f t="shared" si="0"/>
        <v>NA</v>
      </c>
      <c r="G5" s="403" t="str">
        <f t="shared" si="0"/>
        <v>NA</v>
      </c>
      <c r="H5" s="403">
        <f t="shared" si="0"/>
        <v>1.4623221193902717E-2</v>
      </c>
      <c r="I5" s="403" t="str">
        <f t="shared" si="0"/>
        <v>NA</v>
      </c>
      <c r="J5" s="403" t="str">
        <f t="shared" si="0"/>
        <v>NA</v>
      </c>
      <c r="K5" s="403" t="str">
        <f t="shared" si="0"/>
        <v>NA</v>
      </c>
      <c r="L5" s="403" t="str">
        <f t="shared" si="0"/>
        <v>NA</v>
      </c>
      <c r="M5" s="403" t="str">
        <f t="shared" si="0"/>
        <v>NA</v>
      </c>
      <c r="N5" s="403" t="str">
        <f t="shared" si="0"/>
        <v>NA</v>
      </c>
      <c r="O5" s="403" t="str">
        <f t="shared" si="0"/>
        <v>NA</v>
      </c>
      <c r="P5" s="403" t="str">
        <f t="shared" si="0"/>
        <v>NA</v>
      </c>
      <c r="Q5" s="403">
        <f t="shared" si="0"/>
        <v>1.7707763234996277E-2</v>
      </c>
      <c r="R5" s="403">
        <f t="shared" si="0"/>
        <v>1.7457897967807213E-2</v>
      </c>
    </row>
    <row r="6" spans="1:18" s="290" customFormat="1">
      <c r="A6" s="305" t="s">
        <v>934</v>
      </c>
      <c r="B6" s="403">
        <f t="shared" ref="B6:R6" si="1">IF(OR(HumControl=4, HumControl=5),VLOOKUP(B1,$A$88:$C$93,3,FALSE),0)</f>
        <v>0</v>
      </c>
      <c r="C6" s="403">
        <f t="shared" si="1"/>
        <v>0</v>
      </c>
      <c r="D6" s="403">
        <f t="shared" si="1"/>
        <v>0</v>
      </c>
      <c r="E6" s="403">
        <f t="shared" si="1"/>
        <v>0</v>
      </c>
      <c r="F6" s="403">
        <f t="shared" si="1"/>
        <v>0</v>
      </c>
      <c r="G6" s="403">
        <f t="shared" si="1"/>
        <v>0</v>
      </c>
      <c r="H6" s="403">
        <f t="shared" si="1"/>
        <v>0</v>
      </c>
      <c r="I6" s="403">
        <f t="shared" si="1"/>
        <v>0</v>
      </c>
      <c r="J6" s="403">
        <f t="shared" si="1"/>
        <v>0</v>
      </c>
      <c r="K6" s="403">
        <f t="shared" si="1"/>
        <v>0</v>
      </c>
      <c r="L6" s="403">
        <f t="shared" si="1"/>
        <v>0</v>
      </c>
      <c r="M6" s="403">
        <f t="shared" si="1"/>
        <v>0</v>
      </c>
      <c r="N6" s="403">
        <f t="shared" si="1"/>
        <v>0</v>
      </c>
      <c r="O6" s="403">
        <f t="shared" si="1"/>
        <v>0</v>
      </c>
      <c r="P6" s="403">
        <f t="shared" si="1"/>
        <v>0</v>
      </c>
      <c r="Q6" s="403">
        <f t="shared" si="1"/>
        <v>0</v>
      </c>
      <c r="R6" s="403">
        <f t="shared" si="1"/>
        <v>0</v>
      </c>
    </row>
    <row r="7" spans="1:18" s="290" customFormat="1">
      <c r="A7" s="305" t="s">
        <v>935</v>
      </c>
      <c r="B7" s="327">
        <f t="shared" ref="B7:R7" si="2">IF(OR(HumControl=4,HumControl=5),VLOOKUP(B1,$A$88:$C$93,2,FALSE),0)</f>
        <v>0</v>
      </c>
      <c r="C7" s="327">
        <f t="shared" si="2"/>
        <v>0</v>
      </c>
      <c r="D7" s="327">
        <f t="shared" si="2"/>
        <v>0</v>
      </c>
      <c r="E7" s="327">
        <f t="shared" si="2"/>
        <v>0</v>
      </c>
      <c r="F7" s="327">
        <f t="shared" si="2"/>
        <v>0</v>
      </c>
      <c r="G7" s="327">
        <f t="shared" si="2"/>
        <v>0</v>
      </c>
      <c r="H7" s="327">
        <f t="shared" si="2"/>
        <v>0</v>
      </c>
      <c r="I7" s="327">
        <f t="shared" si="2"/>
        <v>0</v>
      </c>
      <c r="J7" s="327">
        <f t="shared" si="2"/>
        <v>0</v>
      </c>
      <c r="K7" s="327">
        <f t="shared" si="2"/>
        <v>0</v>
      </c>
      <c r="L7" s="327">
        <f t="shared" si="2"/>
        <v>0</v>
      </c>
      <c r="M7" s="327">
        <f t="shared" si="2"/>
        <v>0</v>
      </c>
      <c r="N7" s="327">
        <f t="shared" si="2"/>
        <v>0</v>
      </c>
      <c r="O7" s="327">
        <f t="shared" si="2"/>
        <v>0</v>
      </c>
      <c r="P7" s="327">
        <f t="shared" si="2"/>
        <v>0</v>
      </c>
      <c r="Q7" s="327">
        <f t="shared" si="2"/>
        <v>0</v>
      </c>
      <c r="R7" s="327">
        <f t="shared" si="2"/>
        <v>0</v>
      </c>
    </row>
    <row r="8" spans="1:18" s="290" customFormat="1">
      <c r="A8" s="305" t="s">
        <v>1063</v>
      </c>
      <c r="B8" s="403">
        <f t="shared" ref="B8:R8" si="3">IF(OR(HumControl=6,HumControl=8,HumControl=11,HumControl=12),VLOOKUP(B1,$A$72:$E$78,2,FALSE),0)</f>
        <v>0</v>
      </c>
      <c r="C8" s="403">
        <f t="shared" si="3"/>
        <v>0</v>
      </c>
      <c r="D8" s="403">
        <f t="shared" si="3"/>
        <v>0</v>
      </c>
      <c r="E8" s="403">
        <f t="shared" si="3"/>
        <v>0</v>
      </c>
      <c r="F8" s="403">
        <f t="shared" si="3"/>
        <v>0</v>
      </c>
      <c r="G8" s="403">
        <f t="shared" si="3"/>
        <v>0</v>
      </c>
      <c r="H8" s="403">
        <f t="shared" si="3"/>
        <v>0</v>
      </c>
      <c r="I8" s="403">
        <f t="shared" si="3"/>
        <v>0</v>
      </c>
      <c r="J8" s="403">
        <f t="shared" si="3"/>
        <v>0</v>
      </c>
      <c r="K8" s="403">
        <f t="shared" si="3"/>
        <v>0</v>
      </c>
      <c r="L8" s="403">
        <f t="shared" si="3"/>
        <v>0</v>
      </c>
      <c r="M8" s="403">
        <f t="shared" si="3"/>
        <v>0</v>
      </c>
      <c r="N8" s="403">
        <f t="shared" si="3"/>
        <v>0</v>
      </c>
      <c r="O8" s="403">
        <f t="shared" si="3"/>
        <v>0</v>
      </c>
      <c r="P8" s="403">
        <f t="shared" si="3"/>
        <v>0</v>
      </c>
      <c r="Q8" s="403">
        <f t="shared" si="3"/>
        <v>0</v>
      </c>
      <c r="R8" s="403">
        <f t="shared" si="3"/>
        <v>0</v>
      </c>
    </row>
    <row r="9" spans="1:18" s="290" customFormat="1">
      <c r="A9" s="305" t="s">
        <v>1064</v>
      </c>
      <c r="B9" s="403">
        <f t="shared" ref="B9:R9" si="4">IF(OR(HumControl=6,HumControl=8,HumControl=11,HumControl=12),VLOOKUP(B1,$A$73:$E$78,3,FALSE),0)</f>
        <v>0</v>
      </c>
      <c r="C9" s="403">
        <f t="shared" si="4"/>
        <v>0</v>
      </c>
      <c r="D9" s="403">
        <f t="shared" si="4"/>
        <v>0</v>
      </c>
      <c r="E9" s="403">
        <f t="shared" si="4"/>
        <v>0</v>
      </c>
      <c r="F9" s="403">
        <f t="shared" si="4"/>
        <v>0</v>
      </c>
      <c r="G9" s="403">
        <f t="shared" si="4"/>
        <v>0</v>
      </c>
      <c r="H9" s="403">
        <f t="shared" si="4"/>
        <v>0</v>
      </c>
      <c r="I9" s="403">
        <f t="shared" si="4"/>
        <v>0</v>
      </c>
      <c r="J9" s="403">
        <f t="shared" si="4"/>
        <v>0</v>
      </c>
      <c r="K9" s="403">
        <f t="shared" si="4"/>
        <v>0</v>
      </c>
      <c r="L9" s="403">
        <f t="shared" si="4"/>
        <v>0</v>
      </c>
      <c r="M9" s="403">
        <f t="shared" si="4"/>
        <v>0</v>
      </c>
      <c r="N9" s="403">
        <f t="shared" si="4"/>
        <v>0</v>
      </c>
      <c r="O9" s="403">
        <f t="shared" si="4"/>
        <v>0</v>
      </c>
      <c r="P9" s="403">
        <f t="shared" si="4"/>
        <v>0</v>
      </c>
      <c r="Q9" s="403">
        <f t="shared" si="4"/>
        <v>0</v>
      </c>
      <c r="R9" s="403">
        <f t="shared" si="4"/>
        <v>0</v>
      </c>
    </row>
    <row r="10" spans="1:18" s="290" customFormat="1">
      <c r="A10" s="305" t="s">
        <v>1065</v>
      </c>
      <c r="B10" s="403">
        <f t="shared" ref="B10:R10" si="5">IF(OR(HumControl=6,HumControl=8,HumControl=11,HumControl=12),VLOOKUP(B1,$A$73:$E$78,4,FALSE),IF(HumControl=7,VLOOKUP(B1,$A$80:$C$85,2,FALSE),IF(HumControl=9,VLOOKUP(B1,$A$80:$E$85,4,FALSE),0)))</f>
        <v>0</v>
      </c>
      <c r="C10" s="403">
        <f t="shared" si="5"/>
        <v>0</v>
      </c>
      <c r="D10" s="403">
        <f t="shared" si="5"/>
        <v>0</v>
      </c>
      <c r="E10" s="403">
        <f t="shared" si="5"/>
        <v>0</v>
      </c>
      <c r="F10" s="403">
        <f t="shared" si="5"/>
        <v>0</v>
      </c>
      <c r="G10" s="403">
        <f t="shared" si="5"/>
        <v>0</v>
      </c>
      <c r="H10" s="403">
        <f t="shared" si="5"/>
        <v>0</v>
      </c>
      <c r="I10" s="403">
        <f t="shared" si="5"/>
        <v>0</v>
      </c>
      <c r="J10" s="403">
        <f t="shared" si="5"/>
        <v>0</v>
      </c>
      <c r="K10" s="403">
        <f t="shared" si="5"/>
        <v>0</v>
      </c>
      <c r="L10" s="403">
        <f t="shared" si="5"/>
        <v>0</v>
      </c>
      <c r="M10" s="403">
        <f t="shared" si="5"/>
        <v>0</v>
      </c>
      <c r="N10" s="403">
        <f t="shared" si="5"/>
        <v>0</v>
      </c>
      <c r="O10" s="403">
        <f t="shared" si="5"/>
        <v>0</v>
      </c>
      <c r="P10" s="403">
        <f t="shared" si="5"/>
        <v>0</v>
      </c>
      <c r="Q10" s="403">
        <f t="shared" si="5"/>
        <v>0</v>
      </c>
      <c r="R10" s="403">
        <f t="shared" si="5"/>
        <v>0</v>
      </c>
    </row>
    <row r="11" spans="1:18" s="290" customFormat="1">
      <c r="A11" s="305" t="s">
        <v>1066</v>
      </c>
      <c r="B11" s="403">
        <f>IF(OR(HumControl=6,HumControl=8,HumControl=11,HumControl=12),VLOOKUP(InputFiles!C1,Humidity!$A$72:$E$78,5,FALSE),IF(HumControl=7,VLOOKUP(InputFiles!C1,Humidity!$A$80:$C$85,3,FALSE),IF(HumControl=9,VLOOKUP(InputFiles!C1,Humidity!$A$79:$E$85,5,FALSE),0)))</f>
        <v>0</v>
      </c>
      <c r="C11" s="403">
        <f>IF(OR(HumControl=6,HumControl=8,HumControl=11,HumControl=12),VLOOKUP(InputFiles!D1,Humidity!$A$72:$E$78,5,FALSE),IF(HumControl=7,VLOOKUP(InputFiles!D1,Humidity!$A$80:$C$85,3,FALSE),IF(HumControl=9,VLOOKUP(InputFiles!D1,Humidity!$A$79:$E$85,5,FALSE),0)))</f>
        <v>0</v>
      </c>
      <c r="D11" s="403">
        <f>IF(OR(HumControl=6,HumControl=8,HumControl=11,HumControl=12),VLOOKUP(InputFiles!E1,Humidity!$A$72:$E$78,5,FALSE),IF(HumControl=7,VLOOKUP(InputFiles!E1,Humidity!$A$80:$C$85,3,FALSE),IF(HumControl=9,VLOOKUP(InputFiles!E1,Humidity!$A$79:$E$85,5,FALSE),0)))</f>
        <v>0</v>
      </c>
      <c r="E11" s="403">
        <f>IF(OR(HumControl=6,HumControl=8,HumControl=11,HumControl=12),VLOOKUP(InputFiles!F1,Humidity!$A$72:$E$78,5,FALSE),IF(HumControl=7,VLOOKUP(InputFiles!F1,Humidity!$A$80:$C$85,3,FALSE),IF(HumControl=9,VLOOKUP(InputFiles!F1,Humidity!$A$79:$E$85,5,FALSE),0)))</f>
        <v>0</v>
      </c>
      <c r="F11" s="403">
        <f>IF(OR(HumControl=6,HumControl=8,HumControl=11,HumControl=12),VLOOKUP(InputFiles!G1,Humidity!$A$72:$E$78,5,FALSE),IF(HumControl=7,VLOOKUP(InputFiles!G1,Humidity!$A$80:$C$85,3,FALSE),IF(HumControl=9,VLOOKUP(InputFiles!G1,Humidity!$A$79:$E$85,5,FALSE),0)))</f>
        <v>0</v>
      </c>
      <c r="G11" s="403">
        <f>IF(OR(HumControl=6,HumControl=8,HumControl=11,HumControl=12),VLOOKUP(InputFiles!H1,Humidity!$A$72:$E$78,5,FALSE),IF(HumControl=7,VLOOKUP(InputFiles!H1,Humidity!$A$80:$C$85,3,FALSE),IF(HumControl=9,VLOOKUP(InputFiles!H1,Humidity!$A$79:$E$85,5,FALSE),0)))</f>
        <v>0</v>
      </c>
      <c r="H11" s="403">
        <f>IF(OR(HumControl=6,HumControl=8,HumControl=11,HumControl=12),VLOOKUP(InputFiles!I1,Humidity!$A$72:$E$78,5,FALSE),IF(HumControl=7,VLOOKUP(InputFiles!I1,Humidity!$A$80:$C$85,3,FALSE),IF(HumControl=9,VLOOKUP(InputFiles!I1,Humidity!$A$79:$E$85,5,FALSE),0)))</f>
        <v>0</v>
      </c>
      <c r="I11" s="403">
        <f>IF(OR(HumControl=6,HumControl=8,HumControl=11,HumControl=12),VLOOKUP(InputFiles!J1,Humidity!$A$72:$E$78,5,FALSE),IF(HumControl=7,VLOOKUP(InputFiles!J1,Humidity!$A$80:$C$85,3,FALSE),IF(HumControl=9,VLOOKUP(InputFiles!J1,Humidity!$A$79:$E$85,5,FALSE),0)))</f>
        <v>0</v>
      </c>
      <c r="J11" s="403">
        <f>IF(OR(HumControl=6,HumControl=8,HumControl=11,HumControl=12),VLOOKUP(InputFiles!K1,Humidity!$A$72:$E$78,5,FALSE),IF(HumControl=7,VLOOKUP(InputFiles!K1,Humidity!$A$80:$C$85,3,FALSE),IF(HumControl=9,VLOOKUP(InputFiles!K1,Humidity!$A$79:$E$85,5,FALSE),0)))</f>
        <v>0</v>
      </c>
      <c r="K11" s="403">
        <f>IF(OR(HumControl=6,HumControl=8,HumControl=11,HumControl=12),VLOOKUP(InputFiles!L1,Humidity!$A$72:$E$78,5,FALSE),IF(HumControl=7,VLOOKUP(InputFiles!L1,Humidity!$A$80:$C$85,3,FALSE),IF(HumControl=9,VLOOKUP(InputFiles!L1,Humidity!$A$79:$E$85,5,FALSE),0)))</f>
        <v>0</v>
      </c>
      <c r="L11" s="403">
        <f>IF(OR(HumControl=6,HumControl=8,HumControl=11,HumControl=12),VLOOKUP(InputFiles!M1,Humidity!$A$72:$E$78,5,FALSE),IF(HumControl=7,VLOOKUP(InputFiles!M1,Humidity!$A$80:$C$85,3,FALSE),IF(HumControl=9,VLOOKUP(InputFiles!M1,Humidity!$A$79:$E$85,5,FALSE),0)))</f>
        <v>0</v>
      </c>
      <c r="M11" s="403">
        <f>IF(OR(HumControl=6,HumControl=8,HumControl=11,HumControl=12),VLOOKUP(InputFiles!N1,Humidity!$A$72:$E$78,5,FALSE),IF(HumControl=7,VLOOKUP(InputFiles!N1,Humidity!$A$80:$C$85,3,FALSE),IF(HumControl=9,VLOOKUP(InputFiles!N1,Humidity!$A$79:$E$85,5,FALSE),0)))</f>
        <v>0</v>
      </c>
      <c r="N11" s="403">
        <f>IF(OR(HumControl=6,HumControl=8,HumControl=11,HumControl=12),VLOOKUP(InputFiles!O1,Humidity!$A$72:$E$78,5,FALSE),IF(HumControl=7,VLOOKUP(InputFiles!O1,Humidity!$A$80:$C$85,3,FALSE),IF(HumControl=9,VLOOKUP(InputFiles!O1,Humidity!$A$79:$E$85,5,FALSE),0)))</f>
        <v>0</v>
      </c>
      <c r="O11" s="403">
        <f>IF(OR(HumControl=6,HumControl=8,HumControl=11,HumControl=12),VLOOKUP(InputFiles!P1,Humidity!$A$72:$E$78,5,FALSE),IF(HumControl=7,VLOOKUP(InputFiles!P1,Humidity!$A$80:$C$85,3,FALSE),IF(HumControl=9,VLOOKUP(InputFiles!P1,Humidity!$A$79:$E$85,5,FALSE),0)))</f>
        <v>0</v>
      </c>
      <c r="P11" s="403">
        <f>IF(OR(HumControl=6,HumControl=8,HumControl=11,HumControl=12),VLOOKUP(InputFiles!Q1,Humidity!$A$72:$E$78,5,FALSE),IF(HumControl=7,VLOOKUP(InputFiles!Q1,Humidity!$A$80:$C$85,3,FALSE),IF(HumControl=9,VLOOKUP(InputFiles!Q1,Humidity!$A$79:$E$85,5,FALSE),0)))</f>
        <v>0</v>
      </c>
      <c r="Q11" s="403">
        <f>IF(OR(HumControl=6,HumControl=8,HumControl=11,HumControl=12),VLOOKUP(InputFiles!R1,Humidity!$A$72:$E$78,5,FALSE),IF(HumControl=7,VLOOKUP(InputFiles!R1,Humidity!$A$80:$C$85,3,FALSE),IF(HumControl=9,VLOOKUP(InputFiles!R1,Humidity!$A$79:$E$85,5,FALSE),0)))</f>
        <v>0</v>
      </c>
      <c r="R11" s="403">
        <f>IF(OR(HumControl=6,HumControl=8,HumControl=11,HumControl=12),VLOOKUP(InputFiles!S1,Humidity!$A$72:$E$78,5,FALSE),IF(HumControl=7,VLOOKUP(InputFiles!S1,Humidity!$A$80:$C$85,3,FALSE),IF(HumControl=9,VLOOKUP(InputFiles!S1,Humidity!$A$79:$E$85,5,FALSE),0)))</f>
        <v>0</v>
      </c>
    </row>
    <row r="12" spans="1:18" s="290" customFormat="1"/>
    <row r="13" spans="1:18">
      <c r="B13" t="s">
        <v>936</v>
      </c>
      <c r="C13" t="s">
        <v>937</v>
      </c>
      <c r="D13" t="s">
        <v>938</v>
      </c>
      <c r="E13" t="s">
        <v>939</v>
      </c>
      <c r="F13" t="s">
        <v>940</v>
      </c>
      <c r="G13" t="s">
        <v>941</v>
      </c>
    </row>
    <row r="15" spans="1:18">
      <c r="A15">
        <v>0.8</v>
      </c>
      <c r="B15">
        <v>1.7495639655071581E-2</v>
      </c>
      <c r="C15">
        <v>1.6671315555735852E-2</v>
      </c>
      <c r="D15">
        <v>1.6946467404812898E-2</v>
      </c>
      <c r="E15">
        <v>1.6233978925599475E-2</v>
      </c>
      <c r="F15">
        <v>1.4860263711200182E-2</v>
      </c>
      <c r="G15" s="290">
        <v>1.2014072889631714E-2</v>
      </c>
      <c r="H15" s="290"/>
      <c r="I15" s="290"/>
    </row>
    <row r="16" spans="1:18">
      <c r="A16">
        <v>0.85</v>
      </c>
      <c r="B16">
        <v>1.7944109583812755E-2</v>
      </c>
      <c r="C16">
        <v>1.7169766854873526E-2</v>
      </c>
      <c r="D16">
        <v>1.7557341277298431E-2</v>
      </c>
      <c r="E16">
        <v>1.6874931815280502E-2</v>
      </c>
      <c r="F16">
        <v>1.5786662448980832E-2</v>
      </c>
      <c r="G16" s="290">
        <v>1.3272681585791464E-2</v>
      </c>
      <c r="H16" s="290"/>
      <c r="I16" s="290"/>
    </row>
    <row r="17" spans="1:18">
      <c r="A17">
        <v>0.9</v>
      </c>
      <c r="B17">
        <v>1.8143650428724283E-2</v>
      </c>
      <c r="C17">
        <v>1.7707763234996277E-2</v>
      </c>
      <c r="D17">
        <v>1.8093565104086943E-2</v>
      </c>
      <c r="E17">
        <v>1.7457897967807213E-2</v>
      </c>
      <c r="F17">
        <v>1.6457918085888881E-2</v>
      </c>
      <c r="G17" s="290">
        <v>1.4623221193902717E-2</v>
      </c>
      <c r="H17" s="290"/>
      <c r="I17" s="290"/>
    </row>
    <row r="18" spans="1:18">
      <c r="A18">
        <v>0.95</v>
      </c>
      <c r="B18">
        <v>1.872183560196311E-2</v>
      </c>
      <c r="C18">
        <v>1.8128289130595596E-2</v>
      </c>
      <c r="D18">
        <v>1.8770057758820957E-2</v>
      </c>
      <c r="E18">
        <v>1.8175779549362243E-2</v>
      </c>
      <c r="F18">
        <v>1.7381085180644178E-2</v>
      </c>
      <c r="G18" s="290">
        <v>1.6159245924347556E-2</v>
      </c>
      <c r="H18" s="290"/>
      <c r="I18" s="290"/>
    </row>
    <row r="19" spans="1:18">
      <c r="A19">
        <v>0.99</v>
      </c>
      <c r="B19">
        <v>1.9417382853038893E-2</v>
      </c>
      <c r="C19">
        <v>1.8932229662738425E-2</v>
      </c>
      <c r="D19">
        <v>1.985578269617003E-2</v>
      </c>
      <c r="E19">
        <v>1.9491971911703244E-2</v>
      </c>
      <c r="F19">
        <v>1.8322290922037722E-2</v>
      </c>
      <c r="G19" s="290">
        <v>1.8170735998349296E-2</v>
      </c>
      <c r="H19" s="290"/>
      <c r="I19" s="290"/>
    </row>
    <row r="20" spans="1:18" s="290" customFormat="1"/>
    <row r="21" spans="1:18">
      <c r="A21" s="290" t="s">
        <v>942</v>
      </c>
      <c r="G21" s="290"/>
      <c r="H21" s="290"/>
      <c r="I21" s="290"/>
    </row>
    <row r="22" spans="1:18">
      <c r="A22" s="210" t="s">
        <v>866</v>
      </c>
      <c r="B22" s="290">
        <v>722020</v>
      </c>
      <c r="C22" s="290">
        <v>722430</v>
      </c>
      <c r="D22" s="290">
        <v>722780</v>
      </c>
      <c r="E22" s="290">
        <v>723340</v>
      </c>
      <c r="F22" s="290">
        <v>722700</v>
      </c>
      <c r="G22" s="290">
        <v>724940</v>
      </c>
      <c r="H22" s="290">
        <v>724060</v>
      </c>
      <c r="I22" s="290">
        <v>723650</v>
      </c>
      <c r="J22" s="290">
        <v>726940</v>
      </c>
      <c r="K22" s="290">
        <v>725300</v>
      </c>
      <c r="L22" s="290">
        <v>726810</v>
      </c>
      <c r="M22" s="290">
        <v>726170</v>
      </c>
      <c r="N22" s="290">
        <v>727720</v>
      </c>
      <c r="O22" s="290">
        <v>727450</v>
      </c>
      <c r="P22" s="290">
        <v>702610</v>
      </c>
      <c r="Q22" s="290">
        <v>722057</v>
      </c>
      <c r="R22" s="290">
        <v>722080</v>
      </c>
    </row>
    <row r="23" spans="1:18">
      <c r="A23" s="210" t="s">
        <v>669</v>
      </c>
      <c r="B23" s="290">
        <v>1.8143650428724283E-2</v>
      </c>
      <c r="C23" s="290">
        <v>1.8093565104086943E-2</v>
      </c>
      <c r="D23" s="290" t="s">
        <v>748</v>
      </c>
      <c r="E23" s="290">
        <v>1.6457918085888881E-2</v>
      </c>
      <c r="F23" s="290" t="s">
        <v>748</v>
      </c>
      <c r="G23" s="290" t="s">
        <v>748</v>
      </c>
      <c r="H23" s="290">
        <v>1.4623221193902717E-2</v>
      </c>
      <c r="I23" s="290" t="s">
        <v>748</v>
      </c>
      <c r="J23" s="290" t="s">
        <v>748</v>
      </c>
      <c r="K23" s="290" t="s">
        <v>748</v>
      </c>
      <c r="L23" s="290" t="s">
        <v>748</v>
      </c>
      <c r="M23" s="290" t="s">
        <v>748</v>
      </c>
      <c r="N23" s="290" t="s">
        <v>748</v>
      </c>
      <c r="O23" s="290" t="s">
        <v>748</v>
      </c>
      <c r="P23" s="290" t="s">
        <v>748</v>
      </c>
      <c r="Q23" s="290">
        <v>1.7707763234996277E-2</v>
      </c>
      <c r="R23" s="290">
        <v>1.7457897967807213E-2</v>
      </c>
    </row>
    <row r="24" spans="1:18">
      <c r="A24" s="290"/>
      <c r="B24" s="290"/>
      <c r="C24" s="290"/>
      <c r="D24" s="290"/>
      <c r="G24" s="290"/>
    </row>
    <row r="25" spans="1:18">
      <c r="A25" s="353" t="s">
        <v>943</v>
      </c>
      <c r="B25" s="290"/>
      <c r="C25" s="290"/>
      <c r="D25" s="290"/>
      <c r="G25" s="290"/>
    </row>
    <row r="26" spans="1:18">
      <c r="A26" s="210" t="s">
        <v>934</v>
      </c>
      <c r="B26" s="290"/>
      <c r="C26" s="290"/>
      <c r="D26" s="290"/>
      <c r="G26" s="290"/>
    </row>
    <row r="27" spans="1:18">
      <c r="A27" s="210" t="s">
        <v>639</v>
      </c>
      <c r="B27" s="290" t="s">
        <v>707</v>
      </c>
      <c r="C27" s="290" t="s">
        <v>656</v>
      </c>
      <c r="D27" s="290" t="s">
        <v>657</v>
      </c>
      <c r="E27" s="290" t="s">
        <v>658</v>
      </c>
      <c r="F27" s="290" t="s">
        <v>659</v>
      </c>
      <c r="G27" s="290" t="s">
        <v>660</v>
      </c>
      <c r="H27" s="290" t="s">
        <v>661</v>
      </c>
      <c r="I27" s="290" t="s">
        <v>662</v>
      </c>
      <c r="J27" s="290" t="s">
        <v>663</v>
      </c>
      <c r="K27" s="290" t="s">
        <v>664</v>
      </c>
      <c r="L27" s="290" t="s">
        <v>665</v>
      </c>
      <c r="M27" s="290" t="s">
        <v>666</v>
      </c>
      <c r="N27" s="290" t="s">
        <v>667</v>
      </c>
      <c r="O27" s="341">
        <v>7</v>
      </c>
      <c r="P27" s="341">
        <v>8</v>
      </c>
      <c r="Q27" s="290"/>
      <c r="R27" s="290"/>
    </row>
    <row r="28" spans="1:18">
      <c r="A28" s="210" t="s">
        <v>865</v>
      </c>
      <c r="B28" s="290" t="s">
        <v>850</v>
      </c>
      <c r="C28" s="290" t="s">
        <v>851</v>
      </c>
      <c r="D28" s="290" t="s">
        <v>852</v>
      </c>
      <c r="E28" s="290" t="s">
        <v>853</v>
      </c>
      <c r="F28" s="290" t="s">
        <v>854</v>
      </c>
      <c r="G28" s="290" t="s">
        <v>855</v>
      </c>
      <c r="H28" s="290" t="s">
        <v>856</v>
      </c>
      <c r="I28" s="290" t="s">
        <v>857</v>
      </c>
      <c r="J28" s="290" t="s">
        <v>858</v>
      </c>
      <c r="K28" s="290" t="s">
        <v>859</v>
      </c>
      <c r="L28" s="290" t="s">
        <v>860</v>
      </c>
      <c r="M28" s="290" t="s">
        <v>861</v>
      </c>
      <c r="N28" s="290" t="s">
        <v>862</v>
      </c>
      <c r="O28" s="290" t="s">
        <v>863</v>
      </c>
      <c r="P28" s="290" t="s">
        <v>864</v>
      </c>
      <c r="Q28" s="290" t="s">
        <v>908</v>
      </c>
      <c r="R28" s="290" t="s">
        <v>909</v>
      </c>
    </row>
    <row r="29" spans="1:18">
      <c r="A29" s="210" t="s">
        <v>866</v>
      </c>
      <c r="B29" s="290">
        <v>722020</v>
      </c>
      <c r="C29" s="290">
        <v>722430</v>
      </c>
      <c r="D29" s="290">
        <v>722780</v>
      </c>
      <c r="E29" s="290">
        <v>723340</v>
      </c>
      <c r="F29" s="290">
        <v>722700</v>
      </c>
      <c r="G29" s="290">
        <v>724940</v>
      </c>
      <c r="H29" s="290">
        <v>724060</v>
      </c>
      <c r="I29" s="290">
        <v>723650</v>
      </c>
      <c r="J29" s="290">
        <v>726940</v>
      </c>
      <c r="K29" s="290">
        <v>725300</v>
      </c>
      <c r="L29" s="290">
        <v>726810</v>
      </c>
      <c r="M29" s="290">
        <v>726170</v>
      </c>
      <c r="N29" s="290">
        <v>727720</v>
      </c>
      <c r="O29" s="290">
        <v>727450</v>
      </c>
      <c r="P29" s="290">
        <v>702610</v>
      </c>
      <c r="Q29" s="290">
        <v>722057</v>
      </c>
      <c r="R29" s="290">
        <v>722080</v>
      </c>
    </row>
    <row r="30" spans="1:18">
      <c r="A30" s="210" t="s">
        <v>669</v>
      </c>
      <c r="B30" s="354">
        <v>-9.2318999999999995E-3</v>
      </c>
      <c r="C30" s="354">
        <f>B30-0.0007134257</f>
        <v>-9.9453257000000003E-3</v>
      </c>
      <c r="D30" s="354" t="s">
        <v>748</v>
      </c>
      <c r="E30" s="354">
        <f>B30+0.00001815469</f>
        <v>-9.2137453100000002E-3</v>
      </c>
      <c r="F30" s="354" t="s">
        <v>748</v>
      </c>
      <c r="G30" s="354" t="s">
        <v>748</v>
      </c>
      <c r="H30" s="354">
        <f>B30+ 0.0003334949</f>
        <v>-8.8984050999999995E-3</v>
      </c>
      <c r="I30" s="354" t="s">
        <v>748</v>
      </c>
      <c r="J30" s="354" t="s">
        <v>748</v>
      </c>
      <c r="K30" s="354" t="s">
        <v>748</v>
      </c>
      <c r="L30" s="354" t="s">
        <v>748</v>
      </c>
      <c r="M30" s="354" t="s">
        <v>748</v>
      </c>
      <c r="N30" s="354" t="s">
        <v>748</v>
      </c>
      <c r="O30" s="354" t="s">
        <v>748</v>
      </c>
      <c r="P30" s="354" t="s">
        <v>748</v>
      </c>
      <c r="Q30" s="354">
        <f>B30-0.0001231346</f>
        <v>-9.3550345999999993E-3</v>
      </c>
      <c r="R30" s="354">
        <f>B30-0.0009062274</f>
        <v>-1.0138127399999999E-2</v>
      </c>
    </row>
    <row r="31" spans="1:18">
      <c r="B31" s="290"/>
      <c r="C31" s="290"/>
      <c r="D31" s="290"/>
      <c r="E31" s="290"/>
      <c r="F31" s="290"/>
      <c r="G31" s="290"/>
      <c r="H31" s="290"/>
      <c r="I31" s="290"/>
      <c r="J31" s="290"/>
      <c r="K31" s="290"/>
      <c r="L31" s="290"/>
      <c r="M31" s="290"/>
      <c r="N31" s="290"/>
      <c r="O31" s="290"/>
      <c r="P31" s="290"/>
    </row>
    <row r="32" spans="1:18">
      <c r="A32" s="210" t="s">
        <v>935</v>
      </c>
      <c r="B32" s="266"/>
      <c r="C32" s="314"/>
      <c r="D32" s="314"/>
      <c r="E32" s="314"/>
      <c r="F32" s="314"/>
      <c r="G32" s="314"/>
      <c r="H32" s="314"/>
      <c r="I32" s="314"/>
      <c r="J32" s="314"/>
      <c r="K32" s="314"/>
      <c r="L32" s="314"/>
      <c r="M32" s="314"/>
      <c r="N32" s="314"/>
      <c r="O32" s="314"/>
      <c r="P32" s="266"/>
    </row>
    <row r="33" spans="1:21">
      <c r="A33" s="210" t="s">
        <v>639</v>
      </c>
      <c r="B33" s="290" t="s">
        <v>707</v>
      </c>
      <c r="C33" s="290" t="s">
        <v>656</v>
      </c>
      <c r="D33" s="290" t="s">
        <v>657</v>
      </c>
      <c r="E33" s="290" t="s">
        <v>658</v>
      </c>
      <c r="F33" s="290" t="s">
        <v>659</v>
      </c>
      <c r="G33" s="290" t="s">
        <v>660</v>
      </c>
      <c r="H33" s="290" t="s">
        <v>661</v>
      </c>
      <c r="I33" s="290" t="s">
        <v>662</v>
      </c>
      <c r="J33" s="290" t="s">
        <v>663</v>
      </c>
      <c r="K33" s="290" t="s">
        <v>664</v>
      </c>
      <c r="L33" s="290" t="s">
        <v>665</v>
      </c>
      <c r="M33" s="290" t="s">
        <v>666</v>
      </c>
      <c r="N33" s="290" t="s">
        <v>667</v>
      </c>
      <c r="O33" s="341">
        <v>7</v>
      </c>
      <c r="P33" s="341">
        <v>8</v>
      </c>
      <c r="Q33" s="290"/>
      <c r="R33" s="290"/>
    </row>
    <row r="34" spans="1:21">
      <c r="A34" s="210" t="s">
        <v>865</v>
      </c>
      <c r="B34" s="290" t="s">
        <v>850</v>
      </c>
      <c r="C34" s="290" t="s">
        <v>851</v>
      </c>
      <c r="D34" s="290" t="s">
        <v>852</v>
      </c>
      <c r="E34" s="290" t="s">
        <v>853</v>
      </c>
      <c r="F34" s="290" t="s">
        <v>854</v>
      </c>
      <c r="G34" s="290" t="s">
        <v>855</v>
      </c>
      <c r="H34" s="290" t="s">
        <v>856</v>
      </c>
      <c r="I34" s="290" t="s">
        <v>857</v>
      </c>
      <c r="J34" s="290" t="s">
        <v>858</v>
      </c>
      <c r="K34" s="290" t="s">
        <v>859</v>
      </c>
      <c r="L34" s="290" t="s">
        <v>860</v>
      </c>
      <c r="M34" s="290" t="s">
        <v>861</v>
      </c>
      <c r="N34" s="290" t="s">
        <v>862</v>
      </c>
      <c r="O34" s="290" t="s">
        <v>863</v>
      </c>
      <c r="P34" s="290" t="s">
        <v>864</v>
      </c>
      <c r="Q34" s="290" t="s">
        <v>908</v>
      </c>
      <c r="R34" s="290" t="s">
        <v>909</v>
      </c>
    </row>
    <row r="35" spans="1:21">
      <c r="A35" s="210" t="s">
        <v>866</v>
      </c>
      <c r="B35" s="290">
        <v>722020</v>
      </c>
      <c r="C35" s="290">
        <v>722430</v>
      </c>
      <c r="D35" s="290">
        <v>722780</v>
      </c>
      <c r="E35" s="290">
        <v>723340</v>
      </c>
      <c r="F35" s="290">
        <v>722700</v>
      </c>
      <c r="G35" s="290">
        <v>724940</v>
      </c>
      <c r="H35" s="290">
        <v>724060</v>
      </c>
      <c r="I35" s="290">
        <v>723650</v>
      </c>
      <c r="J35" s="290">
        <v>726940</v>
      </c>
      <c r="K35" s="290">
        <v>725300</v>
      </c>
      <c r="L35" s="290">
        <v>726810</v>
      </c>
      <c r="M35" s="290">
        <v>726170</v>
      </c>
      <c r="N35" s="290">
        <v>727720</v>
      </c>
      <c r="O35" s="290">
        <v>727450</v>
      </c>
      <c r="P35" s="290">
        <v>702610</v>
      </c>
      <c r="Q35" s="290">
        <v>722057</v>
      </c>
      <c r="R35" s="290">
        <v>722080</v>
      </c>
    </row>
    <row r="36" spans="1:21">
      <c r="A36" s="210" t="s">
        <v>669</v>
      </c>
      <c r="B36" s="290">
        <v>8.4997935999999996E-3</v>
      </c>
      <c r="C36" s="290">
        <f>B36+0.0007116777</f>
        <v>9.2114712999999994E-3</v>
      </c>
      <c r="D36" s="290" t="s">
        <v>748</v>
      </c>
      <c r="E36" s="290">
        <f>B36-0.0014466751</f>
        <v>7.0531184999999995E-3</v>
      </c>
      <c r="F36" s="290" t="s">
        <v>748</v>
      </c>
      <c r="G36" s="290" t="s">
        <v>748</v>
      </c>
      <c r="H36" s="290">
        <f>B36-0.0018362786</f>
        <v>6.6635150000000001E-3</v>
      </c>
      <c r="I36" s="290" t="s">
        <v>748</v>
      </c>
      <c r="J36" s="290" t="s">
        <v>748</v>
      </c>
      <c r="K36" s="290" t="s">
        <v>748</v>
      </c>
      <c r="L36" s="290" t="s">
        <v>748</v>
      </c>
      <c r="M36" s="290" t="s">
        <v>748</v>
      </c>
      <c r="N36" s="290" t="s">
        <v>748</v>
      </c>
      <c r="O36" s="290" t="s">
        <v>748</v>
      </c>
      <c r="P36" s="290" t="s">
        <v>748</v>
      </c>
      <c r="Q36" s="290">
        <f>B36-0.000011915</f>
        <v>8.4878786000000001E-3</v>
      </c>
      <c r="R36" s="290">
        <f>B36+0.0009016638</f>
        <v>9.4014574000000004E-3</v>
      </c>
    </row>
    <row r="39" spans="1:21">
      <c r="A39" s="210" t="s">
        <v>959</v>
      </c>
    </row>
    <row r="40" spans="1:21" s="290" customFormat="1">
      <c r="A40" s="210" t="s">
        <v>639</v>
      </c>
      <c r="B40" s="290" t="s">
        <v>707</v>
      </c>
      <c r="C40" s="290" t="s">
        <v>656</v>
      </c>
      <c r="D40" s="290" t="s">
        <v>657</v>
      </c>
      <c r="E40" s="290" t="s">
        <v>658</v>
      </c>
      <c r="F40" s="290" t="s">
        <v>659</v>
      </c>
      <c r="G40" s="290" t="s">
        <v>660</v>
      </c>
      <c r="H40" s="290" t="s">
        <v>661</v>
      </c>
      <c r="I40" s="290" t="s">
        <v>662</v>
      </c>
      <c r="J40" s="290" t="s">
        <v>663</v>
      </c>
      <c r="K40" s="290" t="s">
        <v>664</v>
      </c>
      <c r="L40" s="290" t="s">
        <v>665</v>
      </c>
      <c r="M40" s="290" t="s">
        <v>666</v>
      </c>
      <c r="N40" s="290" t="s">
        <v>667</v>
      </c>
      <c r="O40" s="341">
        <v>7</v>
      </c>
      <c r="P40" s="341">
        <v>8</v>
      </c>
    </row>
    <row r="41" spans="1:21">
      <c r="A41" s="210" t="s">
        <v>960</v>
      </c>
      <c r="B41" s="290" t="s">
        <v>850</v>
      </c>
      <c r="C41" s="290" t="s">
        <v>851</v>
      </c>
      <c r="D41" s="290" t="s">
        <v>852</v>
      </c>
      <c r="E41" s="290" t="s">
        <v>853</v>
      </c>
      <c r="F41" s="290" t="s">
        <v>854</v>
      </c>
      <c r="G41" s="290" t="s">
        <v>855</v>
      </c>
      <c r="H41" s="290" t="s">
        <v>856</v>
      </c>
      <c r="I41" s="290" t="s">
        <v>857</v>
      </c>
      <c r="J41" s="290" t="s">
        <v>858</v>
      </c>
      <c r="K41" s="290" t="s">
        <v>859</v>
      </c>
      <c r="L41" s="290" t="s">
        <v>860</v>
      </c>
      <c r="M41" s="290" t="s">
        <v>861</v>
      </c>
      <c r="N41" s="290" t="s">
        <v>862</v>
      </c>
      <c r="O41" s="290" t="s">
        <v>863</v>
      </c>
      <c r="P41" s="290" t="s">
        <v>864</v>
      </c>
      <c r="Q41" s="290" t="s">
        <v>908</v>
      </c>
      <c r="R41" s="290" t="s">
        <v>909</v>
      </c>
    </row>
    <row r="42" spans="1:21">
      <c r="A42" s="290" t="s">
        <v>947</v>
      </c>
      <c r="B42" s="326">
        <v>7.6169999999999996E-3</v>
      </c>
      <c r="C42" s="326">
        <v>3.7669999999999999E-3</v>
      </c>
      <c r="D42" s="326"/>
      <c r="E42" s="326">
        <v>2.1570000000000001E-3</v>
      </c>
      <c r="F42" s="326"/>
      <c r="G42" s="326"/>
      <c r="H42" s="326">
        <v>1.544E-3</v>
      </c>
      <c r="I42" s="326"/>
      <c r="J42" s="326"/>
      <c r="K42" s="326"/>
      <c r="L42" s="326"/>
      <c r="M42" s="326"/>
      <c r="N42" s="326"/>
      <c r="O42" s="326"/>
      <c r="P42" s="326"/>
      <c r="Q42" s="326">
        <v>6.8250000000000003E-3</v>
      </c>
      <c r="R42" s="326">
        <v>3.4429999999999999E-3</v>
      </c>
      <c r="T42" s="290"/>
      <c r="U42" s="290"/>
    </row>
    <row r="43" spans="1:21">
      <c r="A43" s="290" t="s">
        <v>948</v>
      </c>
      <c r="B43" s="326">
        <v>7.8799999999999999E-3</v>
      </c>
      <c r="C43" s="326">
        <v>3.6329999999999999E-3</v>
      </c>
      <c r="D43" s="326"/>
      <c r="E43" s="326">
        <v>1.9650000000000002E-3</v>
      </c>
      <c r="F43" s="326"/>
      <c r="G43" s="326"/>
      <c r="H43" s="326">
        <v>1.6559999999999999E-3</v>
      </c>
      <c r="I43" s="326"/>
      <c r="J43" s="326"/>
      <c r="K43" s="326"/>
      <c r="L43" s="326"/>
      <c r="M43" s="326"/>
      <c r="N43" s="326"/>
      <c r="O43" s="326"/>
      <c r="P43" s="326"/>
      <c r="Q43" s="326">
        <v>6.6210000000000001E-3</v>
      </c>
      <c r="R43" s="326">
        <v>2.928E-3</v>
      </c>
      <c r="T43" s="290"/>
      <c r="U43" s="290"/>
    </row>
    <row r="44" spans="1:21">
      <c r="A44" s="290" t="s">
        <v>949</v>
      </c>
      <c r="B44" s="326">
        <v>8.541E-3</v>
      </c>
      <c r="C44" s="326">
        <v>4.7939999999999997E-3</v>
      </c>
      <c r="D44" s="326"/>
      <c r="E44" s="326">
        <v>3.9420000000000002E-3</v>
      </c>
      <c r="F44" s="326"/>
      <c r="G44" s="326"/>
      <c r="H44" s="326">
        <v>2.088E-3</v>
      </c>
      <c r="I44" s="326"/>
      <c r="J44" s="326"/>
      <c r="K44" s="326"/>
      <c r="L44" s="326"/>
      <c r="M44" s="326"/>
      <c r="N44" s="326"/>
      <c r="O44" s="326"/>
      <c r="P44" s="326"/>
      <c r="Q44" s="326">
        <v>4.6239999999999996E-3</v>
      </c>
      <c r="R44" s="326">
        <v>4.9439999999999996E-3</v>
      </c>
      <c r="T44" s="290"/>
      <c r="U44" s="290"/>
    </row>
    <row r="45" spans="1:21">
      <c r="A45" s="290" t="s">
        <v>950</v>
      </c>
      <c r="B45" s="326">
        <v>1.1350000000000001E-2</v>
      </c>
      <c r="C45" s="326">
        <v>9.1559999999999992E-3</v>
      </c>
      <c r="D45" s="326"/>
      <c r="E45" s="326">
        <v>4.6220000000000002E-3</v>
      </c>
      <c r="F45" s="326"/>
      <c r="G45" s="326"/>
      <c r="H45" s="326">
        <v>4.0499999999999998E-3</v>
      </c>
      <c r="I45" s="326"/>
      <c r="J45" s="326"/>
      <c r="K45" s="326"/>
      <c r="L45" s="326"/>
      <c r="M45" s="326"/>
      <c r="N45" s="326"/>
      <c r="O45" s="326"/>
      <c r="P45" s="326"/>
      <c r="Q45" s="326">
        <v>8.0610000000000005E-3</v>
      </c>
      <c r="R45" s="326">
        <v>6.4580000000000002E-3</v>
      </c>
      <c r="T45" s="290"/>
      <c r="U45" s="290"/>
    </row>
    <row r="46" spans="1:21">
      <c r="A46" s="290" t="s">
        <v>951</v>
      </c>
      <c r="B46" s="326">
        <v>1.4200000000000001E-2</v>
      </c>
      <c r="C46" s="326">
        <v>1.2579999999999999E-2</v>
      </c>
      <c r="D46" s="326"/>
      <c r="E46" s="326">
        <v>8.8590000000000006E-3</v>
      </c>
      <c r="F46" s="326"/>
      <c r="G46" s="326"/>
      <c r="H46" s="326">
        <v>5.8789999999999997E-3</v>
      </c>
      <c r="I46" s="326"/>
      <c r="J46" s="326"/>
      <c r="K46" s="326"/>
      <c r="L46" s="326"/>
      <c r="M46" s="326"/>
      <c r="N46" s="326"/>
      <c r="O46" s="326"/>
      <c r="P46" s="326"/>
      <c r="Q46" s="326">
        <v>1.0699999999999999E-2</v>
      </c>
      <c r="R46" s="326">
        <v>1.091E-2</v>
      </c>
      <c r="T46" s="290"/>
      <c r="U46" s="290"/>
    </row>
    <row r="47" spans="1:21">
      <c r="A47" s="290" t="s">
        <v>952</v>
      </c>
      <c r="B47" s="326">
        <v>1.6289999999999999E-2</v>
      </c>
      <c r="C47" s="326">
        <v>1.6219999999999998E-2</v>
      </c>
      <c r="D47" s="326"/>
      <c r="E47" s="326">
        <v>1.2749999999999999E-2</v>
      </c>
      <c r="F47" s="326"/>
      <c r="G47" s="326"/>
      <c r="H47" s="326">
        <v>9.5149999999999992E-3</v>
      </c>
      <c r="I47" s="326"/>
      <c r="J47" s="326"/>
      <c r="K47" s="326"/>
      <c r="L47" s="326"/>
      <c r="M47" s="326"/>
      <c r="N47" s="326"/>
      <c r="O47" s="326"/>
      <c r="P47" s="326"/>
      <c r="Q47" s="326">
        <v>1.371E-2</v>
      </c>
      <c r="R47" s="326">
        <v>1.4019999999999999E-2</v>
      </c>
      <c r="T47" s="290"/>
      <c r="U47" s="290"/>
    </row>
    <row r="48" spans="1:21">
      <c r="A48" s="290" t="s">
        <v>953</v>
      </c>
      <c r="B48" s="326">
        <v>1.6670000000000001E-2</v>
      </c>
      <c r="C48" s="326">
        <v>1.6740000000000001E-2</v>
      </c>
      <c r="D48" s="326"/>
      <c r="E48" s="326">
        <v>1.426E-2</v>
      </c>
      <c r="F48" s="326"/>
      <c r="G48" s="326"/>
      <c r="H48" s="326">
        <v>1.163E-2</v>
      </c>
      <c r="I48" s="326"/>
      <c r="J48" s="326"/>
      <c r="K48" s="326"/>
      <c r="L48" s="326"/>
      <c r="M48" s="326"/>
      <c r="N48" s="326"/>
      <c r="O48" s="326"/>
      <c r="P48" s="326"/>
      <c r="Q48" s="326">
        <v>1.668E-2</v>
      </c>
      <c r="R48" s="326">
        <v>1.6289999999999999E-2</v>
      </c>
      <c r="T48" s="290"/>
      <c r="U48" s="290"/>
    </row>
    <row r="49" spans="1:21">
      <c r="A49" s="290" t="s">
        <v>954</v>
      </c>
      <c r="B49" s="326">
        <v>1.686E-2</v>
      </c>
      <c r="C49" s="326">
        <v>1.6830000000000001E-2</v>
      </c>
      <c r="D49" s="511"/>
      <c r="E49" s="512">
        <v>1.239E-2</v>
      </c>
      <c r="F49" s="511"/>
      <c r="G49" s="511"/>
      <c r="H49" s="512">
        <v>1.059E-2</v>
      </c>
      <c r="I49" s="512"/>
      <c r="J49" s="511"/>
      <c r="K49" s="511"/>
      <c r="L49" s="511"/>
      <c r="M49" s="511"/>
      <c r="N49" s="511"/>
      <c r="O49" s="511"/>
      <c r="P49" s="511"/>
      <c r="Q49" s="326">
        <v>1.6760000000000001E-2</v>
      </c>
      <c r="R49" s="326">
        <v>1.626E-2</v>
      </c>
      <c r="T49" s="290"/>
      <c r="U49" s="290"/>
    </row>
    <row r="50" spans="1:21">
      <c r="A50" s="290" t="s">
        <v>955</v>
      </c>
      <c r="B50" s="326">
        <v>1.6320000000000001E-2</v>
      </c>
      <c r="C50" s="326">
        <v>1.145E-2</v>
      </c>
      <c r="D50" s="326"/>
      <c r="E50" s="326">
        <v>1.0970000000000001E-2</v>
      </c>
      <c r="F50" s="326"/>
      <c r="G50" s="326"/>
      <c r="H50" s="326">
        <v>8.8909999999999996E-3</v>
      </c>
      <c r="I50" s="326"/>
      <c r="J50" s="326"/>
      <c r="K50" s="326"/>
      <c r="L50" s="326"/>
      <c r="M50" s="326"/>
      <c r="N50" s="326"/>
      <c r="O50" s="326"/>
      <c r="P50" s="326"/>
      <c r="Q50" s="326">
        <v>1.404E-2</v>
      </c>
      <c r="R50" s="326">
        <v>1.3559999999999999E-2</v>
      </c>
      <c r="T50" s="290"/>
      <c r="U50" s="290"/>
    </row>
    <row r="51" spans="1:21">
      <c r="A51" s="290" t="s">
        <v>956</v>
      </c>
      <c r="B51" s="326">
        <v>1.4590000000000001E-2</v>
      </c>
      <c r="C51" s="326">
        <v>7.8910000000000004E-3</v>
      </c>
      <c r="D51" s="326"/>
      <c r="E51" s="326">
        <v>5.4270000000000004E-3</v>
      </c>
      <c r="F51" s="326"/>
      <c r="G51" s="326"/>
      <c r="H51" s="326">
        <v>3.9449999999999997E-3</v>
      </c>
      <c r="I51" s="326"/>
      <c r="J51" s="326"/>
      <c r="K51" s="326"/>
      <c r="L51" s="326"/>
      <c r="M51" s="326"/>
      <c r="N51" s="326"/>
      <c r="O51" s="326"/>
      <c r="P51" s="326"/>
      <c r="Q51" s="326">
        <v>1.0500000000000001E-2</v>
      </c>
      <c r="R51" s="326">
        <v>7.4929999999999997E-3</v>
      </c>
      <c r="T51" s="290"/>
      <c r="U51" s="290"/>
    </row>
    <row r="52" spans="1:21">
      <c r="A52" s="290" t="s">
        <v>957</v>
      </c>
      <c r="B52" s="326">
        <v>1.225E-2</v>
      </c>
      <c r="C52" s="326">
        <v>6.0429999999999998E-3</v>
      </c>
      <c r="D52" s="326"/>
      <c r="E52" s="326">
        <v>4.2989999999999999E-3</v>
      </c>
      <c r="F52" s="326"/>
      <c r="G52" s="326"/>
      <c r="H52" s="326">
        <v>3.2200000000000002E-3</v>
      </c>
      <c r="I52" s="326"/>
      <c r="J52" s="326"/>
      <c r="K52" s="326"/>
      <c r="L52" s="326"/>
      <c r="M52" s="326"/>
      <c r="N52" s="326"/>
      <c r="O52" s="326"/>
      <c r="P52" s="326"/>
      <c r="Q52" s="326">
        <v>7.1399999999999996E-3</v>
      </c>
      <c r="R52" s="326">
        <v>5.2579999999999997E-3</v>
      </c>
      <c r="T52" s="290"/>
      <c r="U52" s="290"/>
    </row>
    <row r="53" spans="1:21">
      <c r="A53" s="290" t="s">
        <v>958</v>
      </c>
      <c r="B53" s="326">
        <v>8.7150000000000005E-3</v>
      </c>
      <c r="C53" s="326">
        <v>4.2940000000000001E-3</v>
      </c>
      <c r="D53" s="326"/>
      <c r="E53" s="326">
        <v>2.2769999999999999E-3</v>
      </c>
      <c r="F53" s="326"/>
      <c r="G53" s="326"/>
      <c r="H53" s="326">
        <v>1.505E-3</v>
      </c>
      <c r="I53" s="326"/>
      <c r="J53" s="326"/>
      <c r="K53" s="326"/>
      <c r="L53" s="326"/>
      <c r="M53" s="326"/>
      <c r="N53" s="326"/>
      <c r="O53" s="326"/>
      <c r="P53" s="326"/>
      <c r="Q53" s="326">
        <v>6.6519999999999999E-3</v>
      </c>
      <c r="R53" s="326">
        <v>2.604E-3</v>
      </c>
      <c r="T53" s="290"/>
      <c r="U53" s="290"/>
    </row>
    <row r="54" spans="1:21">
      <c r="A54" s="290"/>
    </row>
    <row r="55" spans="1:21">
      <c r="A55" s="290"/>
    </row>
    <row r="56" spans="1:21">
      <c r="A56" s="210" t="s">
        <v>961</v>
      </c>
      <c r="B56" s="290"/>
      <c r="C56" s="290"/>
      <c r="D56" s="290"/>
      <c r="E56" s="290"/>
      <c r="F56" s="290"/>
      <c r="G56" s="290"/>
      <c r="H56" s="290"/>
      <c r="I56" s="290"/>
      <c r="J56" s="290"/>
      <c r="K56" s="290"/>
      <c r="L56" s="290"/>
      <c r="M56" s="290"/>
      <c r="N56" s="290"/>
      <c r="O56" s="290"/>
      <c r="P56" s="290"/>
      <c r="Q56" s="290"/>
      <c r="R56" s="290"/>
    </row>
    <row r="57" spans="1:21">
      <c r="A57" s="210" t="s">
        <v>639</v>
      </c>
      <c r="B57" s="290" t="s">
        <v>707</v>
      </c>
      <c r="C57" s="290" t="s">
        <v>656</v>
      </c>
      <c r="D57" s="290" t="s">
        <v>657</v>
      </c>
      <c r="E57" s="290" t="s">
        <v>658</v>
      </c>
      <c r="F57" s="290" t="s">
        <v>659</v>
      </c>
      <c r="G57" s="290" t="s">
        <v>660</v>
      </c>
      <c r="H57" s="290" t="s">
        <v>661</v>
      </c>
      <c r="I57" s="290" t="s">
        <v>662</v>
      </c>
      <c r="J57" s="290" t="s">
        <v>663</v>
      </c>
      <c r="K57" s="290" t="s">
        <v>664</v>
      </c>
      <c r="L57" s="290" t="s">
        <v>665</v>
      </c>
      <c r="M57" s="290" t="s">
        <v>666</v>
      </c>
      <c r="N57" s="290" t="s">
        <v>667</v>
      </c>
      <c r="O57" s="341">
        <v>7</v>
      </c>
      <c r="P57" s="341">
        <v>8</v>
      </c>
      <c r="Q57" s="290"/>
      <c r="R57" s="290"/>
    </row>
    <row r="58" spans="1:21">
      <c r="A58" s="210" t="s">
        <v>960</v>
      </c>
      <c r="B58" s="290" t="s">
        <v>850</v>
      </c>
      <c r="C58" s="290" t="s">
        <v>851</v>
      </c>
      <c r="D58" s="290" t="s">
        <v>852</v>
      </c>
      <c r="E58" s="290" t="s">
        <v>853</v>
      </c>
      <c r="F58" s="290" t="s">
        <v>854</v>
      </c>
      <c r="G58" s="290" t="s">
        <v>855</v>
      </c>
      <c r="H58" s="290" t="s">
        <v>856</v>
      </c>
      <c r="I58" s="290" t="s">
        <v>857</v>
      </c>
      <c r="J58" s="290" t="s">
        <v>858</v>
      </c>
      <c r="K58" s="290" t="s">
        <v>859</v>
      </c>
      <c r="L58" s="290" t="s">
        <v>860</v>
      </c>
      <c r="M58" s="290" t="s">
        <v>861</v>
      </c>
      <c r="N58" s="290" t="s">
        <v>862</v>
      </c>
      <c r="O58" s="290" t="s">
        <v>863</v>
      </c>
      <c r="P58" s="290" t="s">
        <v>864</v>
      </c>
      <c r="Q58" s="290" t="s">
        <v>908</v>
      </c>
      <c r="R58" s="290" t="s">
        <v>909</v>
      </c>
    </row>
    <row r="59" spans="1:21">
      <c r="A59" s="290" t="s">
        <v>947</v>
      </c>
      <c r="B59" s="326">
        <v>1.3089999999999999E-2</v>
      </c>
      <c r="C59" s="326">
        <v>8.8339999999999998E-3</v>
      </c>
      <c r="D59" s="326"/>
      <c r="E59" s="326">
        <v>5.5209999999999999E-3</v>
      </c>
      <c r="F59" s="326"/>
      <c r="G59" s="326"/>
      <c r="H59" s="326">
        <v>3.2390000000000001E-3</v>
      </c>
      <c r="I59" s="326"/>
      <c r="J59" s="326"/>
      <c r="K59" s="326"/>
      <c r="L59" s="326"/>
      <c r="M59" s="326"/>
      <c r="N59" s="326"/>
      <c r="O59" s="326"/>
      <c r="P59" s="326"/>
      <c r="Q59" s="326">
        <v>1.0449999999999999E-2</v>
      </c>
      <c r="R59" s="326">
        <v>6.9750000000000003E-3</v>
      </c>
      <c r="T59" s="290"/>
    </row>
    <row r="60" spans="1:21">
      <c r="A60" s="290" t="s">
        <v>948</v>
      </c>
      <c r="B60" s="326">
        <v>1.312E-2</v>
      </c>
      <c r="C60" s="326">
        <v>1.022E-2</v>
      </c>
      <c r="D60" s="326"/>
      <c r="E60" s="326">
        <v>5.0109999999999998E-3</v>
      </c>
      <c r="F60" s="326"/>
      <c r="G60" s="326"/>
      <c r="H60" s="326">
        <v>3.6640000000000002E-3</v>
      </c>
      <c r="I60" s="326"/>
      <c r="J60" s="326"/>
      <c r="K60" s="326"/>
      <c r="L60" s="326"/>
      <c r="M60" s="326"/>
      <c r="N60" s="326"/>
      <c r="O60" s="326"/>
      <c r="P60" s="326"/>
      <c r="Q60" s="326">
        <v>1.132E-2</v>
      </c>
      <c r="R60" s="326">
        <v>7.0429999999999998E-3</v>
      </c>
      <c r="T60" s="290"/>
    </row>
    <row r="61" spans="1:21">
      <c r="A61" s="290" t="s">
        <v>949</v>
      </c>
      <c r="B61" s="326">
        <v>1.418E-2</v>
      </c>
      <c r="C61" s="326">
        <v>1.196E-2</v>
      </c>
      <c r="D61" s="326"/>
      <c r="E61" s="326">
        <v>8.2719999999999998E-3</v>
      </c>
      <c r="F61" s="326"/>
      <c r="G61" s="326"/>
      <c r="H61" s="326">
        <v>4.254E-3</v>
      </c>
      <c r="I61" s="326"/>
      <c r="J61" s="326"/>
      <c r="K61" s="326"/>
      <c r="L61" s="326"/>
      <c r="M61" s="326"/>
      <c r="N61" s="326"/>
      <c r="O61" s="326"/>
      <c r="P61" s="326"/>
      <c r="Q61" s="326">
        <v>1.102E-2</v>
      </c>
      <c r="R61" s="326">
        <v>0.01</v>
      </c>
      <c r="T61" s="290"/>
    </row>
    <row r="62" spans="1:21">
      <c r="A62" s="290" t="s">
        <v>950</v>
      </c>
      <c r="B62" s="326">
        <v>1.405E-2</v>
      </c>
      <c r="C62" s="326">
        <v>1.41E-2</v>
      </c>
      <c r="D62" s="326"/>
      <c r="E62" s="326">
        <v>9.9340000000000001E-3</v>
      </c>
      <c r="F62" s="326"/>
      <c r="G62" s="326"/>
      <c r="H62" s="326">
        <v>7.2680000000000002E-3</v>
      </c>
      <c r="I62" s="326"/>
      <c r="J62" s="326"/>
      <c r="K62" s="326"/>
      <c r="L62" s="326"/>
      <c r="M62" s="326"/>
      <c r="N62" s="326"/>
      <c r="O62" s="326"/>
      <c r="P62" s="326"/>
      <c r="Q62" s="326">
        <v>1.208E-2</v>
      </c>
      <c r="R62" s="326">
        <v>1.1299999999999999E-2</v>
      </c>
      <c r="T62" s="290"/>
    </row>
    <row r="63" spans="1:21">
      <c r="A63" s="290" t="s">
        <v>951</v>
      </c>
      <c r="B63" s="326">
        <v>1.6299999999999999E-2</v>
      </c>
      <c r="C63" s="326">
        <v>1.5789999999999998E-2</v>
      </c>
      <c r="D63" s="326"/>
      <c r="E63" s="326">
        <v>1.43E-2</v>
      </c>
      <c r="F63" s="326"/>
      <c r="G63" s="326"/>
      <c r="H63" s="326">
        <v>1.107E-2</v>
      </c>
      <c r="I63" s="326"/>
      <c r="J63" s="326"/>
      <c r="K63" s="326"/>
      <c r="L63" s="326"/>
      <c r="M63" s="326"/>
      <c r="N63" s="326"/>
      <c r="O63" s="326"/>
      <c r="P63" s="326"/>
      <c r="Q63" s="326">
        <v>1.47E-2</v>
      </c>
      <c r="R63" s="326">
        <v>1.461E-2</v>
      </c>
      <c r="T63" s="290"/>
    </row>
    <row r="64" spans="1:21">
      <c r="A64" s="290" t="s">
        <v>952</v>
      </c>
      <c r="B64" s="326">
        <v>1.805E-2</v>
      </c>
      <c r="C64" s="326">
        <v>1.8010000000000002E-2</v>
      </c>
      <c r="D64" s="326"/>
      <c r="E64" s="326">
        <v>1.6299999999999999E-2</v>
      </c>
      <c r="F64" s="326"/>
      <c r="G64" s="326"/>
      <c r="H64" s="326">
        <v>1.329E-2</v>
      </c>
      <c r="I64" s="326"/>
      <c r="J64" s="326"/>
      <c r="K64" s="326"/>
      <c r="L64" s="326"/>
      <c r="M64" s="326"/>
      <c r="N64" s="326"/>
      <c r="O64" s="326"/>
      <c r="P64" s="326"/>
      <c r="Q64" s="326">
        <v>1.6549999999999999E-2</v>
      </c>
      <c r="R64" s="326">
        <v>1.797E-2</v>
      </c>
      <c r="T64" s="290"/>
    </row>
    <row r="65" spans="1:20">
      <c r="A65" s="290" t="s">
        <v>953</v>
      </c>
      <c r="B65" s="326">
        <v>1.8460000000000001E-2</v>
      </c>
      <c r="C65" s="326">
        <v>1.8630000000000001E-2</v>
      </c>
      <c r="D65" s="326"/>
      <c r="E65" s="326">
        <v>1.6910000000000001E-2</v>
      </c>
      <c r="F65" s="326"/>
      <c r="G65" s="326"/>
      <c r="H65" s="326">
        <v>1.545E-2</v>
      </c>
      <c r="I65" s="326"/>
      <c r="J65" s="326"/>
      <c r="K65" s="326"/>
      <c r="L65" s="326"/>
      <c r="M65" s="326"/>
      <c r="N65" s="326"/>
      <c r="O65" s="326"/>
      <c r="P65" s="326"/>
      <c r="Q65" s="326">
        <v>1.8689999999999998E-2</v>
      </c>
      <c r="R65" s="326">
        <v>1.848E-2</v>
      </c>
      <c r="T65" s="290"/>
    </row>
    <row r="66" spans="1:20">
      <c r="A66" s="290" t="s">
        <v>954</v>
      </c>
      <c r="B66" s="326">
        <v>1.8519999999999998E-2</v>
      </c>
      <c r="C66" s="326">
        <v>1.874E-2</v>
      </c>
      <c r="D66" s="511"/>
      <c r="E66" s="512">
        <v>1.6420000000000001E-2</v>
      </c>
      <c r="F66" s="511"/>
      <c r="G66" s="511"/>
      <c r="H66" s="512">
        <v>1.5730000000000001E-2</v>
      </c>
      <c r="I66" s="511"/>
      <c r="J66" s="511"/>
      <c r="K66" s="511"/>
      <c r="L66" s="511"/>
      <c r="M66" s="511"/>
      <c r="N66" s="511"/>
      <c r="O66" s="511"/>
      <c r="P66" s="511"/>
      <c r="Q66" s="512">
        <v>1.7989999999999999E-2</v>
      </c>
      <c r="R66" s="326">
        <v>1.763E-2</v>
      </c>
      <c r="T66" s="290"/>
    </row>
    <row r="67" spans="1:20">
      <c r="A67" s="290" t="s">
        <v>955</v>
      </c>
      <c r="B67" s="326">
        <v>1.8010000000000002E-2</v>
      </c>
      <c r="C67" s="326">
        <v>1.7670000000000002E-2</v>
      </c>
      <c r="D67" s="512"/>
      <c r="E67" s="512">
        <v>1.6830000000000001E-2</v>
      </c>
      <c r="F67" s="512"/>
      <c r="G67" s="512"/>
      <c r="H67" s="512">
        <v>1.473E-2</v>
      </c>
      <c r="I67" s="512"/>
      <c r="J67" s="512"/>
      <c r="K67" s="512"/>
      <c r="L67" s="512"/>
      <c r="M67" s="512"/>
      <c r="N67" s="512"/>
      <c r="O67" s="512"/>
      <c r="P67" s="512"/>
      <c r="Q67" s="512">
        <v>1.6729999999999998E-2</v>
      </c>
      <c r="R67" s="326">
        <v>1.5789999999999998E-2</v>
      </c>
      <c r="T67" s="290"/>
    </row>
    <row r="68" spans="1:20">
      <c r="A68" s="290" t="s">
        <v>956</v>
      </c>
      <c r="B68" s="326">
        <v>1.7479999999999999E-2</v>
      </c>
      <c r="C68" s="326">
        <v>1.274E-2</v>
      </c>
      <c r="D68" s="512"/>
      <c r="E68" s="512">
        <v>9.6229999999999996E-3</v>
      </c>
      <c r="F68" s="512"/>
      <c r="G68" s="512"/>
      <c r="H68" s="512">
        <v>7.8040000000000002E-3</v>
      </c>
      <c r="I68" s="512"/>
      <c r="J68" s="512"/>
      <c r="K68" s="512"/>
      <c r="L68" s="512"/>
      <c r="M68" s="512"/>
      <c r="N68" s="512"/>
      <c r="O68" s="512"/>
      <c r="P68" s="512"/>
      <c r="Q68" s="512">
        <v>1.7749999999999998E-2</v>
      </c>
      <c r="R68" s="326">
        <v>1.3180000000000001E-2</v>
      </c>
      <c r="T68" s="290"/>
    </row>
    <row r="69" spans="1:20">
      <c r="A69" s="290" t="s">
        <v>957</v>
      </c>
      <c r="B69" s="326">
        <v>1.6619999999999999E-2</v>
      </c>
      <c r="C69" s="326">
        <v>1.3089999999999999E-2</v>
      </c>
      <c r="D69" s="326"/>
      <c r="E69" s="326">
        <v>7.7149999999999996E-3</v>
      </c>
      <c r="F69" s="326"/>
      <c r="G69" s="326"/>
      <c r="H69" s="326">
        <v>5.9290000000000002E-3</v>
      </c>
      <c r="I69" s="326"/>
      <c r="J69" s="326"/>
      <c r="K69" s="326"/>
      <c r="L69" s="326"/>
      <c r="M69" s="326"/>
      <c r="N69" s="326"/>
      <c r="O69" s="326"/>
      <c r="P69" s="326"/>
      <c r="Q69" s="326">
        <v>1.188E-2</v>
      </c>
      <c r="R69" s="326">
        <v>1.1429999999999999E-2</v>
      </c>
      <c r="T69" s="290"/>
    </row>
    <row r="70" spans="1:20">
      <c r="A70" s="290" t="s">
        <v>958</v>
      </c>
      <c r="B70" s="326">
        <v>1.452E-2</v>
      </c>
      <c r="C70" s="326">
        <v>9.1240000000000002E-3</v>
      </c>
      <c r="D70" s="326"/>
      <c r="E70" s="326">
        <v>5.0899999999999999E-3</v>
      </c>
      <c r="F70" s="326"/>
      <c r="G70" s="326"/>
      <c r="H70" s="326">
        <v>3.7090000000000001E-3</v>
      </c>
      <c r="I70" s="326"/>
      <c r="J70" s="326"/>
      <c r="K70" s="326"/>
      <c r="L70" s="326"/>
      <c r="M70" s="326"/>
      <c r="N70" s="326"/>
      <c r="O70" s="326"/>
      <c r="P70" s="326"/>
      <c r="Q70" s="326">
        <v>1.0070000000000001E-2</v>
      </c>
      <c r="R70" s="326">
        <v>8.9569999999999997E-3</v>
      </c>
      <c r="T70" s="290"/>
    </row>
    <row r="71" spans="1:20">
      <c r="A71" s="290"/>
      <c r="B71" s="290"/>
      <c r="C71" s="290"/>
      <c r="D71" s="290"/>
      <c r="E71" s="290"/>
      <c r="F71" s="290"/>
    </row>
    <row r="72" spans="1:20">
      <c r="A72" s="290"/>
      <c r="B72" s="290" t="s">
        <v>1063</v>
      </c>
      <c r="C72" s="290" t="s">
        <v>1064</v>
      </c>
      <c r="D72" s="290" t="s">
        <v>1081</v>
      </c>
      <c r="E72" s="290" t="s">
        <v>1066</v>
      </c>
      <c r="F72" s="290"/>
    </row>
    <row r="73" spans="1:20">
      <c r="A73" s="290">
        <v>1</v>
      </c>
      <c r="B73" s="290">
        <v>1</v>
      </c>
      <c r="C73" s="290">
        <v>13</v>
      </c>
      <c r="D73" s="290">
        <v>0.76</v>
      </c>
      <c r="E73" s="290">
        <v>1</v>
      </c>
      <c r="F73" s="290"/>
    </row>
    <row r="74" spans="1:20">
      <c r="A74" s="290">
        <v>2</v>
      </c>
      <c r="B74" s="290">
        <v>3</v>
      </c>
      <c r="C74" s="290">
        <v>11</v>
      </c>
      <c r="D74" s="290">
        <v>0.53200000000000003</v>
      </c>
      <c r="E74" s="290">
        <v>1.3</v>
      </c>
      <c r="F74" s="290"/>
    </row>
    <row r="75" spans="1:20">
      <c r="A75" s="290">
        <v>4</v>
      </c>
      <c r="B75" s="290">
        <v>4</v>
      </c>
      <c r="C75" s="290">
        <v>10</v>
      </c>
      <c r="D75" s="290">
        <f>IF(HumControl=8, 0.532,0.4657)</f>
        <v>0.4657</v>
      </c>
      <c r="E75" s="290">
        <v>1.7</v>
      </c>
      <c r="F75" s="290"/>
    </row>
    <row r="76" spans="1:20">
      <c r="A76" s="290">
        <v>7</v>
      </c>
      <c r="B76" s="290">
        <v>4</v>
      </c>
      <c r="C76" s="290">
        <v>10</v>
      </c>
      <c r="D76" s="290">
        <f>IF(HumControl=8, 0.532,0.4657)</f>
        <v>0.4657</v>
      </c>
      <c r="E76" s="290">
        <v>1.7</v>
      </c>
      <c r="F76" s="290"/>
    </row>
    <row r="77" spans="1:20">
      <c r="A77" s="290" t="s">
        <v>909</v>
      </c>
      <c r="B77" s="290">
        <v>3</v>
      </c>
      <c r="C77" s="290">
        <v>11</v>
      </c>
      <c r="D77" s="290">
        <v>0.53200000000000003</v>
      </c>
      <c r="E77" s="290">
        <v>1.3</v>
      </c>
      <c r="F77" s="290"/>
    </row>
    <row r="78" spans="1:20">
      <c r="A78" s="290" t="s">
        <v>910</v>
      </c>
      <c r="B78" s="290">
        <v>3</v>
      </c>
      <c r="C78" s="290">
        <v>12</v>
      </c>
      <c r="D78" s="290">
        <v>0.54</v>
      </c>
      <c r="E78" s="290">
        <v>1.2</v>
      </c>
      <c r="F78" s="290"/>
    </row>
    <row r="79" spans="1:20">
      <c r="A79" s="290"/>
      <c r="B79" s="290" t="s">
        <v>1085</v>
      </c>
      <c r="C79" s="290" t="s">
        <v>1086</v>
      </c>
      <c r="D79" s="290" t="s">
        <v>1083</v>
      </c>
      <c r="E79" s="290" t="s">
        <v>1084</v>
      </c>
      <c r="F79" s="290"/>
    </row>
    <row r="80" spans="1:20" ht="16">
      <c r="A80" s="290">
        <v>1</v>
      </c>
      <c r="B80" s="358">
        <v>0.38</v>
      </c>
      <c r="C80" s="358">
        <v>1.2</v>
      </c>
      <c r="D80">
        <v>0.38</v>
      </c>
      <c r="E80" s="358">
        <v>1.1000000000000001</v>
      </c>
      <c r="F80" s="358"/>
      <c r="G80" s="358"/>
      <c r="H80" s="358"/>
      <c r="I80" s="358"/>
      <c r="J80" s="358"/>
    </row>
    <row r="81" spans="1:16" ht="16">
      <c r="A81" s="290">
        <v>2</v>
      </c>
      <c r="B81" s="358">
        <v>0.47</v>
      </c>
      <c r="C81" s="358">
        <v>1.2</v>
      </c>
      <c r="D81">
        <v>0.36</v>
      </c>
      <c r="E81" s="290">
        <v>1.2</v>
      </c>
      <c r="F81" s="290"/>
    </row>
    <row r="82" spans="1:16" ht="16">
      <c r="A82" s="290">
        <v>4</v>
      </c>
      <c r="B82" s="358">
        <v>0.626</v>
      </c>
      <c r="C82" s="358">
        <v>1.3</v>
      </c>
      <c r="D82">
        <v>0.36</v>
      </c>
      <c r="E82" s="290">
        <v>1.2</v>
      </c>
      <c r="F82" s="290"/>
    </row>
    <row r="83" spans="1:16" ht="16">
      <c r="A83" s="290">
        <v>7</v>
      </c>
      <c r="B83" s="358">
        <v>0.38</v>
      </c>
      <c r="C83" s="358">
        <v>1.1000000000000001</v>
      </c>
      <c r="D83">
        <v>0.47</v>
      </c>
      <c r="E83" s="290">
        <v>1.2</v>
      </c>
    </row>
    <row r="84" spans="1:16" ht="16">
      <c r="A84" s="290" t="s">
        <v>909</v>
      </c>
      <c r="B84" s="358">
        <v>0.38</v>
      </c>
      <c r="C84" s="358">
        <v>1.2</v>
      </c>
      <c r="D84">
        <v>0.64</v>
      </c>
      <c r="E84" s="290">
        <v>1.2</v>
      </c>
    </row>
    <row r="85" spans="1:16" ht="16">
      <c r="A85" s="290" t="s">
        <v>910</v>
      </c>
      <c r="B85" s="358">
        <v>0.49199999999999999</v>
      </c>
      <c r="C85" s="358">
        <v>1.2</v>
      </c>
      <c r="D85">
        <v>0.66</v>
      </c>
      <c r="E85" s="314">
        <v>1.3</v>
      </c>
      <c r="F85" s="314"/>
      <c r="G85" s="314"/>
      <c r="H85" s="314"/>
      <c r="I85" s="314"/>
      <c r="J85" s="314"/>
      <c r="K85" s="314"/>
      <c r="L85" s="314"/>
      <c r="M85" s="314"/>
      <c r="N85" s="314"/>
      <c r="O85" s="314"/>
      <c r="P85" s="266"/>
    </row>
    <row r="86" spans="1:16">
      <c r="A86" s="290"/>
      <c r="B86" s="290"/>
      <c r="C86" s="290"/>
      <c r="D86" s="290"/>
      <c r="E86" s="290"/>
      <c r="F86" s="290"/>
      <c r="G86" s="290"/>
      <c r="H86" s="290"/>
      <c r="I86" s="290"/>
      <c r="J86" s="290"/>
      <c r="K86" s="290"/>
      <c r="L86" s="290"/>
      <c r="M86" s="290"/>
      <c r="N86" s="290"/>
      <c r="O86" s="290"/>
      <c r="P86" s="290"/>
    </row>
    <row r="87" spans="1:16">
      <c r="A87" s="290" t="s">
        <v>1087</v>
      </c>
      <c r="B87" s="290" t="s">
        <v>1088</v>
      </c>
      <c r="C87" s="290" t="s">
        <v>1089</v>
      </c>
    </row>
    <row r="88" spans="1:16">
      <c r="A88" s="290">
        <v>1</v>
      </c>
      <c r="B88" s="290">
        <v>5.8525008333333304E-3</v>
      </c>
      <c r="C88" s="290">
        <v>-1.10201928333333E-2</v>
      </c>
    </row>
    <row r="89" spans="1:16">
      <c r="A89" s="290">
        <v>2</v>
      </c>
      <c r="B89" s="290">
        <v>6.7025327777777803E-3</v>
      </c>
      <c r="C89" s="290">
        <v>-1.12628599814815E-2</v>
      </c>
    </row>
    <row r="90" spans="1:16">
      <c r="A90" s="290">
        <v>4</v>
      </c>
      <c r="B90" s="290">
        <v>6.6991296296296304E-3</v>
      </c>
      <c r="C90" s="290">
        <v>-1.0537344388888901E-2</v>
      </c>
    </row>
    <row r="91" spans="1:16">
      <c r="A91" s="290">
        <v>7</v>
      </c>
      <c r="B91" s="290">
        <v>5.3373196851851899E-3</v>
      </c>
      <c r="C91" s="290">
        <v>-1.0683551703703701E-2</v>
      </c>
    </row>
    <row r="92" spans="1:16">
      <c r="A92" s="290" t="s">
        <v>909</v>
      </c>
      <c r="B92" s="290">
        <v>7.192955E-3</v>
      </c>
      <c r="C92" s="290">
        <v>-1.22137443518518E-2</v>
      </c>
    </row>
    <row r="93" spans="1:16">
      <c r="A93" s="290" t="s">
        <v>910</v>
      </c>
      <c r="B93" s="290">
        <v>6.2541690740740702E-3</v>
      </c>
      <c r="C93" s="290">
        <v>-1.20633005E-2</v>
      </c>
    </row>
    <row r="95" spans="1:16">
      <c r="A95" s="290" t="s">
        <v>1087</v>
      </c>
    </row>
    <row r="96" spans="1:16">
      <c r="A96" s="290">
        <v>1</v>
      </c>
      <c r="B96">
        <v>1.6E-2</v>
      </c>
    </row>
    <row r="97" spans="1:2">
      <c r="A97" s="290">
        <v>2</v>
      </c>
      <c r="B97">
        <v>1.2E-2</v>
      </c>
    </row>
    <row r="98" spans="1:2">
      <c r="A98" s="290">
        <v>4</v>
      </c>
      <c r="B98">
        <v>8.9999999999999993E-3</v>
      </c>
    </row>
    <row r="99" spans="1:2">
      <c r="A99" s="290">
        <v>7</v>
      </c>
      <c r="B99">
        <v>6.0000000000000001E-3</v>
      </c>
    </row>
    <row r="100" spans="1:2">
      <c r="A100" s="290" t="s">
        <v>909</v>
      </c>
      <c r="B100">
        <v>1.0999999999999999E-2</v>
      </c>
    </row>
    <row r="101" spans="1:2">
      <c r="A101" s="290" t="s">
        <v>910</v>
      </c>
      <c r="B101">
        <v>1.2E-2</v>
      </c>
    </row>
  </sheetData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I43"/>
  <sheetViews>
    <sheetView workbookViewId="0">
      <selection activeCell="B8" sqref="B8"/>
    </sheetView>
  </sheetViews>
  <sheetFormatPr baseColWidth="10" defaultRowHeight="14" x14ac:dyDescent="0"/>
  <cols>
    <col min="1" max="1" width="25.5" customWidth="1"/>
    <col min="2" max="2" width="9.33203125" customWidth="1"/>
    <col min="3" max="3" width="16.6640625" customWidth="1"/>
  </cols>
  <sheetData>
    <row r="1" spans="1:3" ht="18">
      <c r="A1" s="374" t="s">
        <v>1227</v>
      </c>
    </row>
    <row r="2" spans="1:3">
      <c r="A2" t="s">
        <v>1234</v>
      </c>
      <c r="B2" t="s">
        <v>1235</v>
      </c>
    </row>
    <row r="7" spans="1:3">
      <c r="A7" t="s">
        <v>1226</v>
      </c>
      <c r="B7" s="457" t="str">
        <f>DehumidType</f>
        <v>No</v>
      </c>
    </row>
    <row r="8" spans="1:3">
      <c r="A8" s="290" t="s">
        <v>1229</v>
      </c>
      <c r="B8" s="513">
        <f>IF(B7="Yes", (IF(A_houseFT&lt;2500,-10,10) + (55-B10)*2 + (18-'Internal gains'!D11*2.2)*(-5/6) + 65), 0)</f>
        <v>0</v>
      </c>
      <c r="C8" s="290"/>
    </row>
    <row r="9" spans="1:3">
      <c r="A9" s="290" t="s">
        <v>1230</v>
      </c>
      <c r="B9" s="514">
        <v>1.85</v>
      </c>
      <c r="C9" s="290"/>
    </row>
    <row r="10" spans="1:3">
      <c r="A10" s="290" t="s">
        <v>1231</v>
      </c>
      <c r="B10" s="514">
        <v>55</v>
      </c>
      <c r="C10" s="290"/>
    </row>
    <row r="11" spans="1:3">
      <c r="A11" s="290" t="s">
        <v>1232</v>
      </c>
      <c r="B11" s="514">
        <v>2.5</v>
      </c>
      <c r="C11" s="290" t="s">
        <v>1233</v>
      </c>
    </row>
    <row r="14" spans="1:3">
      <c r="A14" t="s">
        <v>1236</v>
      </c>
    </row>
    <row r="15" spans="1:3">
      <c r="A15" t="s">
        <v>1237</v>
      </c>
      <c r="B15" t="s">
        <v>1238</v>
      </c>
    </row>
    <row r="16" spans="1:3">
      <c r="A16" t="s">
        <v>1239</v>
      </c>
      <c r="B16">
        <v>1.85</v>
      </c>
    </row>
    <row r="17" spans="1:9">
      <c r="A17" t="s">
        <v>1240</v>
      </c>
      <c r="B17">
        <v>2.8</v>
      </c>
    </row>
    <row r="19" spans="1:9" ht="15" thickBot="1">
      <c r="A19" t="s">
        <v>1242</v>
      </c>
      <c r="E19" s="142" t="s">
        <v>1241</v>
      </c>
    </row>
    <row r="20" spans="1:9" ht="28">
      <c r="A20" s="447" t="s">
        <v>1244</v>
      </c>
      <c r="B20" s="448" t="s">
        <v>1231</v>
      </c>
      <c r="C20" s="448" t="s">
        <v>1245</v>
      </c>
      <c r="D20" s="449" t="s">
        <v>1229</v>
      </c>
      <c r="E20" t="s">
        <v>892</v>
      </c>
      <c r="F20" t="s">
        <v>1243</v>
      </c>
      <c r="G20" t="s">
        <v>1248</v>
      </c>
      <c r="H20" t="s">
        <v>177</v>
      </c>
    </row>
    <row r="21" spans="1:9">
      <c r="A21" s="450" t="s">
        <v>1246</v>
      </c>
      <c r="B21" s="451">
        <v>0.5</v>
      </c>
      <c r="C21" s="278">
        <v>12</v>
      </c>
      <c r="D21" s="452">
        <v>60</v>
      </c>
      <c r="E21">
        <f>A$29</f>
        <v>-10</v>
      </c>
      <c r="F21">
        <f t="shared" ref="F21:F28" si="0">(0.55-B21)*200</f>
        <v>10.000000000000009</v>
      </c>
      <c r="G21">
        <f t="shared" ref="G21:G28" si="1">(18-C21)*(-5/6)</f>
        <v>-5</v>
      </c>
      <c r="H21" s="446">
        <f>SUM(E21:G21)</f>
        <v>-4.9999999999999911</v>
      </c>
      <c r="I21" s="446">
        <f>H21+65</f>
        <v>60.000000000000007</v>
      </c>
    </row>
    <row r="22" spans="1:9">
      <c r="A22" s="450" t="s">
        <v>1246</v>
      </c>
      <c r="B22" s="451">
        <v>0.5</v>
      </c>
      <c r="C22" s="278">
        <v>24</v>
      </c>
      <c r="D22" s="452">
        <v>70</v>
      </c>
      <c r="E22" s="290">
        <f>A$29</f>
        <v>-10</v>
      </c>
      <c r="F22" s="290">
        <f t="shared" si="0"/>
        <v>10.000000000000009</v>
      </c>
      <c r="G22" s="290">
        <f t="shared" si="1"/>
        <v>5</v>
      </c>
      <c r="H22" s="446">
        <f t="shared" ref="H22:H28" si="2">SUM(E22:G22)</f>
        <v>5.0000000000000089</v>
      </c>
      <c r="I22" s="446">
        <f t="shared" ref="I22:I28" si="3">H22+65</f>
        <v>70.000000000000014</v>
      </c>
    </row>
    <row r="23" spans="1:9">
      <c r="A23" s="450" t="s">
        <v>1246</v>
      </c>
      <c r="B23" s="451">
        <v>0.6</v>
      </c>
      <c r="C23" s="278">
        <v>12</v>
      </c>
      <c r="D23" s="452">
        <v>40</v>
      </c>
      <c r="E23" s="290">
        <f>A$29</f>
        <v>-10</v>
      </c>
      <c r="F23" s="290">
        <f t="shared" si="0"/>
        <v>-9.9999999999999858</v>
      </c>
      <c r="G23" s="290">
        <f t="shared" si="1"/>
        <v>-5</v>
      </c>
      <c r="H23" s="446">
        <f t="shared" si="2"/>
        <v>-24.999999999999986</v>
      </c>
      <c r="I23" s="446">
        <f t="shared" si="3"/>
        <v>40.000000000000014</v>
      </c>
    </row>
    <row r="24" spans="1:9">
      <c r="A24" s="450" t="s">
        <v>1246</v>
      </c>
      <c r="B24" s="451">
        <v>0.6</v>
      </c>
      <c r="C24" s="278">
        <v>24</v>
      </c>
      <c r="D24" s="452">
        <v>50</v>
      </c>
      <c r="E24" s="290">
        <f>A$29</f>
        <v>-10</v>
      </c>
      <c r="F24" s="290">
        <f t="shared" si="0"/>
        <v>-9.9999999999999858</v>
      </c>
      <c r="G24" s="290">
        <f t="shared" si="1"/>
        <v>5</v>
      </c>
      <c r="H24" s="446">
        <f t="shared" si="2"/>
        <v>-14.999999999999986</v>
      </c>
      <c r="I24" s="446">
        <f t="shared" si="3"/>
        <v>50.000000000000014</v>
      </c>
    </row>
    <row r="25" spans="1:9">
      <c r="A25" s="450" t="s">
        <v>1247</v>
      </c>
      <c r="B25" s="451">
        <v>0.5</v>
      </c>
      <c r="C25" s="278">
        <v>12</v>
      </c>
      <c r="D25" s="452">
        <v>80</v>
      </c>
      <c r="E25" s="290">
        <f>A$30</f>
        <v>10</v>
      </c>
      <c r="F25" s="290">
        <f t="shared" si="0"/>
        <v>10.000000000000009</v>
      </c>
      <c r="G25" s="290">
        <f t="shared" si="1"/>
        <v>-5</v>
      </c>
      <c r="H25" s="446">
        <f t="shared" si="2"/>
        <v>15.000000000000007</v>
      </c>
      <c r="I25" s="446">
        <f t="shared" si="3"/>
        <v>80</v>
      </c>
    </row>
    <row r="26" spans="1:9">
      <c r="A26" s="450" t="s">
        <v>1247</v>
      </c>
      <c r="B26" s="451">
        <v>0.5</v>
      </c>
      <c r="C26" s="278">
        <v>24</v>
      </c>
      <c r="D26" s="452">
        <v>90</v>
      </c>
      <c r="E26" s="290">
        <f>A$30</f>
        <v>10</v>
      </c>
      <c r="F26" s="290">
        <f t="shared" si="0"/>
        <v>10.000000000000009</v>
      </c>
      <c r="G26" s="290">
        <f t="shared" si="1"/>
        <v>5</v>
      </c>
      <c r="H26" s="446">
        <f t="shared" si="2"/>
        <v>25.000000000000007</v>
      </c>
      <c r="I26" s="446">
        <f t="shared" si="3"/>
        <v>90</v>
      </c>
    </row>
    <row r="27" spans="1:9">
      <c r="A27" s="450" t="s">
        <v>1247</v>
      </c>
      <c r="B27" s="451">
        <v>0.6</v>
      </c>
      <c r="C27" s="278">
        <v>12</v>
      </c>
      <c r="D27" s="452">
        <v>60</v>
      </c>
      <c r="E27" s="290">
        <f>A$30</f>
        <v>10</v>
      </c>
      <c r="F27" s="290">
        <f t="shared" si="0"/>
        <v>-9.9999999999999858</v>
      </c>
      <c r="G27" s="290">
        <f t="shared" si="1"/>
        <v>-5</v>
      </c>
      <c r="H27" s="446">
        <f t="shared" si="2"/>
        <v>-4.9999999999999858</v>
      </c>
      <c r="I27" s="446">
        <f t="shared" si="3"/>
        <v>60.000000000000014</v>
      </c>
    </row>
    <row r="28" spans="1:9" ht="15" thickBot="1">
      <c r="A28" s="453" t="s">
        <v>1247</v>
      </c>
      <c r="B28" s="454">
        <v>0.6</v>
      </c>
      <c r="C28" s="455">
        <v>24</v>
      </c>
      <c r="D28" s="456">
        <v>70</v>
      </c>
      <c r="E28" s="290">
        <f>A$30</f>
        <v>10</v>
      </c>
      <c r="F28" s="290">
        <f t="shared" si="0"/>
        <v>-9.9999999999999858</v>
      </c>
      <c r="G28" s="290">
        <f t="shared" si="1"/>
        <v>5</v>
      </c>
      <c r="H28" s="446">
        <f t="shared" si="2"/>
        <v>5.0000000000000142</v>
      </c>
      <c r="I28" s="446">
        <f t="shared" si="3"/>
        <v>70.000000000000014</v>
      </c>
    </row>
    <row r="29" spans="1:9" s="290" customFormat="1">
      <c r="A29" s="290">
        <v>-10</v>
      </c>
      <c r="B29" s="290">
        <v>10</v>
      </c>
      <c r="C29" s="290">
        <v>-5</v>
      </c>
    </row>
    <row r="30" spans="1:9">
      <c r="A30">
        <v>10</v>
      </c>
      <c r="B30" s="290">
        <v>-10</v>
      </c>
      <c r="C30" s="290">
        <v>5</v>
      </c>
    </row>
    <row r="33" spans="1:5">
      <c r="A33" s="350"/>
    </row>
    <row r="34" spans="1:5">
      <c r="B34" s="350" t="s">
        <v>892</v>
      </c>
      <c r="C34" s="350" t="s">
        <v>897</v>
      </c>
      <c r="D34" s="350" t="s">
        <v>1313</v>
      </c>
    </row>
    <row r="35" spans="1:5">
      <c r="B35" t="s">
        <v>893</v>
      </c>
      <c r="C35" t="s">
        <v>899</v>
      </c>
      <c r="D35" s="444">
        <v>46</v>
      </c>
      <c r="E35" s="444"/>
    </row>
    <row r="36" spans="1:5">
      <c r="C36" t="s">
        <v>898</v>
      </c>
      <c r="D36" s="444">
        <v>52</v>
      </c>
      <c r="E36" s="445"/>
    </row>
    <row r="37" spans="1:5">
      <c r="A37" s="443"/>
      <c r="C37" t="s">
        <v>900</v>
      </c>
      <c r="D37" s="443">
        <v>62</v>
      </c>
      <c r="E37" s="443"/>
    </row>
    <row r="38" spans="1:5">
      <c r="A38" s="443"/>
      <c r="B38" s="445" t="s">
        <v>898</v>
      </c>
      <c r="C38" s="290" t="s">
        <v>899</v>
      </c>
      <c r="D38" s="444">
        <v>46</v>
      </c>
      <c r="E38" s="443"/>
    </row>
    <row r="39" spans="1:5">
      <c r="C39" s="290" t="s">
        <v>898</v>
      </c>
      <c r="D39" s="444">
        <v>52</v>
      </c>
    </row>
    <row r="40" spans="1:5">
      <c r="C40" s="290" t="s">
        <v>900</v>
      </c>
      <c r="D40" s="443">
        <v>62</v>
      </c>
    </row>
    <row r="41" spans="1:5">
      <c r="B41" s="443" t="s">
        <v>894</v>
      </c>
      <c r="C41" s="290" t="s">
        <v>899</v>
      </c>
      <c r="D41" s="444">
        <v>66</v>
      </c>
    </row>
    <row r="42" spans="1:5">
      <c r="C42" s="290" t="s">
        <v>898</v>
      </c>
      <c r="D42" s="444">
        <v>72</v>
      </c>
    </row>
    <row r="43" spans="1:5">
      <c r="C43" s="290" t="s">
        <v>900</v>
      </c>
      <c r="D43" s="444">
        <v>82</v>
      </c>
    </row>
  </sheetData>
  <dataValidations count="1">
    <dataValidation type="list" allowBlank="1" showInputMessage="1" showErrorMessage="1" sqref="B7">
      <formula1>"Yes, No"</formula1>
    </dataValidation>
  </dataValidations>
  <hyperlinks>
    <hyperlink ref="E19" r:id="rId1"/>
  </hyperlink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H38"/>
  <sheetViews>
    <sheetView workbookViewId="0">
      <selection activeCell="F19" sqref="F19"/>
    </sheetView>
  </sheetViews>
  <sheetFormatPr baseColWidth="10" defaultRowHeight="14" x14ac:dyDescent="0"/>
  <cols>
    <col min="1" max="1" width="17.33203125" customWidth="1"/>
    <col min="2" max="2" width="21" customWidth="1"/>
  </cols>
  <sheetData>
    <row r="1" spans="1:8" s="290" customFormat="1">
      <c r="A1" s="534" t="s">
        <v>1351</v>
      </c>
      <c r="B1" s="534"/>
      <c r="C1" s="534"/>
      <c r="D1" s="534"/>
      <c r="E1" s="534"/>
      <c r="F1" s="534"/>
      <c r="G1" s="534"/>
      <c r="H1" s="534"/>
    </row>
    <row r="2" spans="1:8" ht="15">
      <c r="A2" s="535" t="s">
        <v>1343</v>
      </c>
      <c r="B2" s="564" t="s">
        <v>1352</v>
      </c>
      <c r="C2" s="564"/>
      <c r="D2" s="564"/>
      <c r="E2" s="536"/>
      <c r="F2" s="536"/>
      <c r="G2" s="536"/>
      <c r="H2" s="534"/>
    </row>
    <row r="3" spans="1:8">
      <c r="A3" s="537">
        <v>1</v>
      </c>
      <c r="B3" s="538">
        <v>0.48</v>
      </c>
      <c r="C3" s="534"/>
      <c r="D3" s="534"/>
      <c r="E3" s="534"/>
      <c r="F3" s="534"/>
      <c r="G3" s="534"/>
      <c r="H3" s="534"/>
    </row>
    <row r="4" spans="1:8">
      <c r="A4" s="537">
        <v>2</v>
      </c>
      <c r="B4" s="538">
        <v>0.59</v>
      </c>
      <c r="C4" s="534"/>
      <c r="D4" s="534"/>
      <c r="E4" s="534"/>
      <c r="F4" s="534"/>
      <c r="G4" s="534"/>
      <c r="H4" s="534"/>
    </row>
    <row r="5" spans="1:8">
      <c r="A5" s="537">
        <v>3</v>
      </c>
      <c r="B5" s="538">
        <v>0.67</v>
      </c>
      <c r="C5" s="534"/>
      <c r="D5" s="534"/>
      <c r="E5" s="534"/>
      <c r="F5" s="534"/>
      <c r="G5" s="534"/>
      <c r="H5" s="534"/>
    </row>
    <row r="6" spans="1:8">
      <c r="A6" s="534"/>
      <c r="B6" s="534"/>
      <c r="C6" s="534"/>
      <c r="D6" s="534"/>
      <c r="E6" s="534"/>
      <c r="F6" s="534"/>
      <c r="G6" s="534"/>
      <c r="H6" s="534"/>
    </row>
    <row r="7" spans="1:8">
      <c r="A7" s="534"/>
      <c r="B7" s="534"/>
      <c r="C7" s="534"/>
      <c r="D7" s="534"/>
      <c r="E7" s="534"/>
      <c r="F7" s="534"/>
      <c r="G7" s="534"/>
      <c r="H7" s="534"/>
    </row>
    <row r="8" spans="1:8" ht="14" customHeight="1">
      <c r="A8" s="539"/>
      <c r="B8" s="539"/>
      <c r="D8" s="545"/>
      <c r="E8" s="536"/>
      <c r="F8" s="536"/>
      <c r="G8" s="536"/>
      <c r="H8" s="534"/>
    </row>
    <row r="9" spans="1:8" ht="22">
      <c r="A9" s="540" t="s">
        <v>1344</v>
      </c>
      <c r="B9" t="s">
        <v>1353</v>
      </c>
      <c r="C9" s="541" t="s">
        <v>1345</v>
      </c>
      <c r="D9" s="546"/>
      <c r="E9" s="536"/>
      <c r="F9" s="536"/>
      <c r="G9" s="536"/>
      <c r="H9" s="534"/>
    </row>
    <row r="10" spans="1:8">
      <c r="A10" s="535" t="s">
        <v>1363</v>
      </c>
      <c r="B10" t="s">
        <v>1324</v>
      </c>
      <c r="C10" s="538">
        <v>0.5</v>
      </c>
      <c r="D10" s="547"/>
      <c r="E10" s="536"/>
      <c r="F10" s="536"/>
      <c r="G10" s="536"/>
      <c r="H10" s="534"/>
    </row>
    <row r="11" spans="1:8">
      <c r="A11" s="537">
        <v>1</v>
      </c>
      <c r="B11" t="s">
        <v>1228</v>
      </c>
      <c r="C11" s="538">
        <v>0.7</v>
      </c>
      <c r="D11" s="547"/>
      <c r="E11" s="536"/>
      <c r="F11" s="536"/>
      <c r="G11" s="536"/>
      <c r="H11" s="534"/>
    </row>
    <row r="12" spans="1:8">
      <c r="A12" s="537">
        <v>2</v>
      </c>
      <c r="B12" t="s">
        <v>1228</v>
      </c>
      <c r="C12" s="538">
        <v>0.64</v>
      </c>
      <c r="D12" s="547"/>
      <c r="E12" s="534"/>
      <c r="F12" s="534"/>
      <c r="G12" s="534"/>
      <c r="H12" s="534"/>
    </row>
    <row r="13" spans="1:8">
      <c r="A13" s="537">
        <v>3</v>
      </c>
      <c r="B13" t="s">
        <v>1228</v>
      </c>
      <c r="C13" s="538">
        <v>0.61</v>
      </c>
      <c r="D13" s="547"/>
      <c r="E13" s="534"/>
      <c r="F13" s="534"/>
      <c r="G13" s="534"/>
      <c r="H13" s="534"/>
    </row>
    <row r="14" spans="1:8" s="290" customFormat="1">
      <c r="A14" s="535"/>
      <c r="B14" s="538"/>
      <c r="C14" s="534"/>
      <c r="D14" s="534"/>
      <c r="E14" s="534"/>
      <c r="F14" s="534"/>
      <c r="G14" s="534"/>
      <c r="H14" s="534"/>
    </row>
    <row r="15" spans="1:8" ht="14" customHeight="1">
      <c r="A15" s="534"/>
      <c r="B15" s="534"/>
      <c r="C15" s="534"/>
      <c r="D15" s="534"/>
      <c r="E15" s="534"/>
      <c r="F15" s="534"/>
      <c r="G15" s="534"/>
      <c r="H15" s="534"/>
    </row>
    <row r="16" spans="1:8">
      <c r="A16" s="542" t="s">
        <v>1355</v>
      </c>
      <c r="B16" s="534"/>
      <c r="C16" s="534"/>
      <c r="D16" s="534"/>
      <c r="E16" s="534"/>
      <c r="F16" s="534"/>
      <c r="G16" s="534"/>
      <c r="H16" s="534"/>
    </row>
    <row r="17" spans="1:8" ht="22">
      <c r="A17" s="535" t="s">
        <v>1343</v>
      </c>
      <c r="B17" s="533" t="s">
        <v>1347</v>
      </c>
      <c r="C17" s="538" t="s">
        <v>1349</v>
      </c>
      <c r="D17" s="538" t="s">
        <v>1350</v>
      </c>
      <c r="E17" s="534"/>
      <c r="F17" s="534"/>
      <c r="G17" s="534"/>
      <c r="H17" s="534"/>
    </row>
    <row r="18" spans="1:8">
      <c r="A18" s="543">
        <v>1</v>
      </c>
      <c r="B18" s="533" t="s">
        <v>1346</v>
      </c>
      <c r="C18" s="538">
        <v>0.156</v>
      </c>
      <c r="D18" s="538">
        <v>0.128</v>
      </c>
      <c r="E18" s="534"/>
      <c r="F18" s="534"/>
      <c r="G18" s="534"/>
      <c r="H18" s="534"/>
    </row>
    <row r="19" spans="1:8">
      <c r="A19" s="543">
        <v>2</v>
      </c>
      <c r="B19" s="533" t="s">
        <v>1346</v>
      </c>
      <c r="C19" s="538">
        <v>0.17</v>
      </c>
      <c r="D19" s="538">
        <v>0.14199999999999999</v>
      </c>
      <c r="E19" s="534"/>
      <c r="F19" s="534"/>
      <c r="G19" s="534"/>
      <c r="H19" s="534"/>
    </row>
    <row r="20" spans="1:8">
      <c r="A20" s="543">
        <v>3</v>
      </c>
      <c r="B20" s="533" t="s">
        <v>1346</v>
      </c>
      <c r="C20" s="538">
        <v>0.17</v>
      </c>
      <c r="D20" s="538">
        <v>0.151</v>
      </c>
      <c r="E20" s="534"/>
      <c r="F20" s="534"/>
      <c r="G20" s="534"/>
      <c r="H20" s="534"/>
    </row>
    <row r="21" spans="1:8">
      <c r="A21" s="543">
        <v>1</v>
      </c>
      <c r="B21" s="533" t="s">
        <v>1348</v>
      </c>
      <c r="C21" s="538">
        <v>0.14199999999999999</v>
      </c>
      <c r="D21" s="538">
        <v>0.128</v>
      </c>
      <c r="E21" s="534"/>
      <c r="F21" s="534"/>
      <c r="G21" s="534"/>
      <c r="H21" s="534"/>
    </row>
    <row r="22" spans="1:8">
      <c r="A22" s="543">
        <v>2</v>
      </c>
      <c r="B22" s="533" t="s">
        <v>1348</v>
      </c>
      <c r="C22" s="538">
        <v>0.156</v>
      </c>
      <c r="D22" s="538">
        <v>0.14199999999999999</v>
      </c>
      <c r="E22" s="534"/>
      <c r="F22" s="534"/>
      <c r="G22" s="534"/>
      <c r="H22" s="534"/>
    </row>
    <row r="23" spans="1:8">
      <c r="A23" s="543">
        <v>3</v>
      </c>
      <c r="B23" s="533" t="s">
        <v>1348</v>
      </c>
      <c r="C23" s="538">
        <v>0.16700000000000001</v>
      </c>
      <c r="D23" s="538">
        <v>0.154</v>
      </c>
      <c r="E23" s="534"/>
      <c r="F23" s="534"/>
      <c r="G23" s="534"/>
      <c r="H23" s="534"/>
    </row>
    <row r="24" spans="1:8" s="290" customFormat="1">
      <c r="A24" s="543"/>
      <c r="B24" s="533"/>
      <c r="C24" s="538"/>
      <c r="D24" s="538"/>
      <c r="E24" s="534"/>
      <c r="F24" s="534"/>
      <c r="G24" s="534"/>
      <c r="H24" s="534"/>
    </row>
    <row r="25" spans="1:8" s="290" customFormat="1">
      <c r="A25" s="543"/>
      <c r="B25" s="533"/>
      <c r="C25" s="538"/>
      <c r="D25" s="538"/>
      <c r="E25" s="534"/>
      <c r="F25" s="534"/>
      <c r="G25" s="534"/>
      <c r="H25" s="534"/>
    </row>
    <row r="26" spans="1:8" ht="22">
      <c r="A26" s="540" t="s">
        <v>1356</v>
      </c>
      <c r="B26" s="534"/>
      <c r="C26" s="534"/>
      <c r="D26" s="534"/>
      <c r="E26" s="534"/>
      <c r="F26" s="534"/>
      <c r="G26" s="534"/>
      <c r="H26" s="534"/>
    </row>
    <row r="27" spans="1:8">
      <c r="A27" s="537" t="s">
        <v>1343</v>
      </c>
      <c r="B27" s="533" t="s">
        <v>1353</v>
      </c>
      <c r="C27" s="544" t="s">
        <v>1354</v>
      </c>
      <c r="D27" s="534"/>
      <c r="E27" s="534"/>
      <c r="F27" s="534"/>
      <c r="G27" s="534"/>
      <c r="H27" s="534"/>
    </row>
    <row r="28" spans="1:8">
      <c r="A28" s="537">
        <v>1</v>
      </c>
      <c r="B28" s="533" t="s">
        <v>1324</v>
      </c>
      <c r="C28" s="538">
        <v>5.3999999999999999E-2</v>
      </c>
      <c r="D28" s="534"/>
      <c r="E28" s="534"/>
      <c r="F28" s="534"/>
      <c r="G28" s="534"/>
      <c r="H28" s="534"/>
    </row>
    <row r="29" spans="1:8">
      <c r="A29" s="537">
        <v>2</v>
      </c>
      <c r="B29" s="533" t="s">
        <v>1324</v>
      </c>
      <c r="C29" s="538">
        <v>7.8E-2</v>
      </c>
      <c r="D29" s="534"/>
      <c r="E29" s="534"/>
      <c r="F29" s="534"/>
      <c r="G29" s="534"/>
      <c r="H29" s="534"/>
    </row>
    <row r="30" spans="1:8">
      <c r="A30" s="537">
        <v>3</v>
      </c>
      <c r="B30" s="533" t="s">
        <v>1324</v>
      </c>
      <c r="C30" s="538">
        <v>9.8000000000000004E-2</v>
      </c>
      <c r="D30" s="536"/>
      <c r="E30" s="536"/>
      <c r="F30" s="536"/>
      <c r="G30" s="536"/>
      <c r="H30" s="534"/>
    </row>
    <row r="31" spans="1:8">
      <c r="A31" s="537">
        <v>1</v>
      </c>
      <c r="B31" s="533" t="s">
        <v>1228</v>
      </c>
      <c r="C31" s="538">
        <v>6.9000000000000006E-2</v>
      </c>
      <c r="D31" s="536"/>
      <c r="E31" s="536"/>
      <c r="F31" s="536"/>
      <c r="G31" s="536"/>
      <c r="H31" s="534"/>
    </row>
    <row r="32" spans="1:8">
      <c r="A32" s="537">
        <v>2</v>
      </c>
      <c r="B32" s="533" t="s">
        <v>1228</v>
      </c>
      <c r="C32" s="538">
        <v>8.8999999999999996E-2</v>
      </c>
      <c r="D32" s="534"/>
      <c r="E32" s="534"/>
      <c r="F32" s="534"/>
      <c r="G32" s="536"/>
      <c r="H32" s="534"/>
    </row>
    <row r="33" spans="1:8">
      <c r="A33" s="537">
        <v>3</v>
      </c>
      <c r="B33" s="533" t="s">
        <v>1228</v>
      </c>
      <c r="C33" s="538">
        <v>0.107</v>
      </c>
      <c r="D33" s="534"/>
      <c r="E33" s="534"/>
      <c r="F33" s="534"/>
      <c r="G33" s="536"/>
      <c r="H33" s="534"/>
    </row>
    <row r="34" spans="1:8">
      <c r="A34" s="534"/>
      <c r="B34" s="534"/>
      <c r="C34" s="534"/>
      <c r="D34" s="534"/>
      <c r="E34" s="534"/>
      <c r="F34" s="534"/>
      <c r="G34" s="536"/>
      <c r="H34" s="534"/>
    </row>
    <row r="35" spans="1:8">
      <c r="A35" s="534"/>
      <c r="B35" s="534"/>
      <c r="C35" s="534"/>
      <c r="D35" s="534"/>
      <c r="E35" s="534"/>
      <c r="F35" s="534"/>
      <c r="G35" s="536"/>
      <c r="H35" s="534"/>
    </row>
    <row r="36" spans="1:8">
      <c r="A36" s="536"/>
      <c r="B36" s="536"/>
      <c r="C36" s="536"/>
      <c r="D36" s="536"/>
      <c r="E36" s="536"/>
      <c r="F36" s="536"/>
      <c r="G36" s="536"/>
      <c r="H36" s="534"/>
    </row>
    <row r="37" spans="1:8">
      <c r="A37" s="534"/>
      <c r="B37" s="534"/>
      <c r="C37" s="534"/>
      <c r="D37" s="534"/>
      <c r="E37" s="534"/>
      <c r="F37" s="534"/>
      <c r="G37" s="534"/>
      <c r="H37" s="534"/>
    </row>
    <row r="38" spans="1:8">
      <c r="A38" s="534"/>
      <c r="B38" s="540"/>
      <c r="C38" s="540"/>
      <c r="D38" s="540"/>
      <c r="E38" s="540"/>
      <c r="F38" s="540"/>
      <c r="G38" s="534"/>
      <c r="H38" s="534"/>
    </row>
  </sheetData>
  <sortState ref="A28:C33">
    <sortCondition ref="B28:B33"/>
  </sortState>
  <mergeCells count="1">
    <mergeCell ref="B2:D2"/>
  </mergeCell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Cover</vt:lpstr>
      <vt:lpstr>Parametrics</vt:lpstr>
      <vt:lpstr>Inputs</vt:lpstr>
      <vt:lpstr>InputFiles</vt:lpstr>
      <vt:lpstr>Geometry</vt:lpstr>
      <vt:lpstr>Leakage</vt:lpstr>
      <vt:lpstr>Flue</vt:lpstr>
      <vt:lpstr>UA</vt:lpstr>
      <vt:lpstr>Fans</vt:lpstr>
      <vt:lpstr>Internal gains</vt:lpstr>
      <vt:lpstr>Attic</vt:lpstr>
      <vt:lpstr>Ducts</vt:lpstr>
      <vt:lpstr>HVAC</vt:lpstr>
      <vt:lpstr>Weather</vt:lpstr>
      <vt:lpstr>Humidity</vt:lpstr>
      <vt:lpstr>Dehumidifier</vt:lpstr>
      <vt:lpstr>InfiltrationModelCoefficients</vt:lpstr>
    </vt:vector>
  </TitlesOfParts>
  <Company>BYG.DTU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Dorthe Kragsig Mortensen</dc:creator>
  <cp:lastModifiedBy>User User</cp:lastModifiedBy>
  <cp:lastPrinted>2016-08-12T16:12:06Z</cp:lastPrinted>
  <dcterms:created xsi:type="dcterms:W3CDTF">2009-09-29T23:43:02Z</dcterms:created>
  <dcterms:modified xsi:type="dcterms:W3CDTF">2016-12-08T00:59:09Z</dcterms:modified>
</cp:coreProperties>
</file>