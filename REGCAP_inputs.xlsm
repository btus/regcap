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560" yWindow="0" windowWidth="25040" windowHeight="1558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3" l="1"/>
  <c r="C3" i="3"/>
  <c r="C6" i="3"/>
  <c r="C9" i="6"/>
  <c r="C10" i="6"/>
  <c r="C13" i="6"/>
  <c r="C12" i="6"/>
  <c r="D49" i="1"/>
  <c r="D67" i="1"/>
  <c r="D2" i="3"/>
  <c r="D3" i="3"/>
  <c r="D6" i="3"/>
  <c r="D9" i="6"/>
  <c r="D10" i="6"/>
  <c r="D13" i="6"/>
  <c r="D12" i="6"/>
  <c r="E49" i="1"/>
  <c r="E67" i="1"/>
  <c r="E2" i="3"/>
  <c r="E3" i="3"/>
  <c r="E6" i="3"/>
  <c r="E9" i="6"/>
  <c r="E10" i="6"/>
  <c r="E13" i="6"/>
  <c r="E12" i="6"/>
  <c r="F49" i="1"/>
  <c r="F67" i="1"/>
  <c r="F2" i="3"/>
  <c r="F3" i="3"/>
  <c r="F6" i="3"/>
  <c r="F9" i="6"/>
  <c r="F10" i="6"/>
  <c r="F13" i="6"/>
  <c r="F12" i="6"/>
  <c r="G49" i="1"/>
  <c r="G67" i="1"/>
  <c r="G2" i="3"/>
  <c r="G3" i="3"/>
  <c r="G6" i="3"/>
  <c r="G9" i="6"/>
  <c r="G10" i="6"/>
  <c r="G13" i="6"/>
  <c r="G12" i="6"/>
  <c r="H49" i="1"/>
  <c r="H67" i="1"/>
  <c r="H2" i="3"/>
  <c r="H3" i="3"/>
  <c r="H6" i="3"/>
  <c r="H9" i="6"/>
  <c r="H10" i="6"/>
  <c r="H13" i="6"/>
  <c r="H12" i="6"/>
  <c r="I49" i="1"/>
  <c r="I67" i="1"/>
  <c r="I2" i="3"/>
  <c r="I3" i="3"/>
  <c r="I6" i="3"/>
  <c r="I9" i="6"/>
  <c r="I10" i="6"/>
  <c r="I13" i="6"/>
  <c r="I12" i="6"/>
  <c r="J49" i="1"/>
  <c r="J67" i="1"/>
  <c r="J2" i="3"/>
  <c r="J3" i="3"/>
  <c r="J6" i="3"/>
  <c r="J9" i="6"/>
  <c r="J10" i="6"/>
  <c r="J13" i="6"/>
  <c r="J12" i="6"/>
  <c r="K49" i="1"/>
  <c r="K67" i="1"/>
  <c r="K2" i="3"/>
  <c r="K3" i="3"/>
  <c r="K6" i="3"/>
  <c r="K9" i="6"/>
  <c r="K10" i="6"/>
  <c r="K13" i="6"/>
  <c r="K12" i="6"/>
  <c r="L49" i="1"/>
  <c r="L67" i="1"/>
  <c r="L2" i="3"/>
  <c r="L3" i="3"/>
  <c r="L6" i="3"/>
  <c r="L9" i="6"/>
  <c r="L10" i="6"/>
  <c r="L13" i="6"/>
  <c r="L12" i="6"/>
  <c r="M49" i="1"/>
  <c r="M67" i="1"/>
  <c r="M2" i="3"/>
  <c r="M3" i="3"/>
  <c r="M6" i="3"/>
  <c r="M9" i="6"/>
  <c r="M10" i="6"/>
  <c r="M13" i="6"/>
  <c r="M12" i="6"/>
  <c r="N49" i="1"/>
  <c r="N67" i="1"/>
  <c r="N2" i="3"/>
  <c r="N3" i="3"/>
  <c r="N6" i="3"/>
  <c r="N9" i="6"/>
  <c r="N10" i="6"/>
  <c r="N13" i="6"/>
  <c r="N12" i="6"/>
  <c r="O49" i="1"/>
  <c r="O67" i="1"/>
  <c r="O2" i="3"/>
  <c r="O3" i="3"/>
  <c r="O6" i="3"/>
  <c r="O9" i="6"/>
  <c r="O10" i="6"/>
  <c r="O13" i="6"/>
  <c r="O12" i="6"/>
  <c r="P49" i="1"/>
  <c r="P67" i="1"/>
  <c r="P2" i="3"/>
  <c r="P3" i="3"/>
  <c r="P6" i="3"/>
  <c r="P9" i="6"/>
  <c r="P10" i="6"/>
  <c r="P13" i="6"/>
  <c r="P12" i="6"/>
  <c r="Q49" i="1"/>
  <c r="Q67" i="1"/>
  <c r="Q2" i="3"/>
  <c r="Q3" i="3"/>
  <c r="Q6" i="3"/>
  <c r="Q9" i="6"/>
  <c r="Q10" i="6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2" i="3"/>
  <c r="B3" i="3"/>
  <c r="B6" i="3"/>
  <c r="B9" i="6"/>
  <c r="B10" i="6"/>
  <c r="B13" i="6"/>
  <c r="B12" i="6"/>
  <c r="C49" i="1"/>
  <c r="C67" i="1"/>
  <c r="C50" i="1"/>
  <c r="C68" i="1"/>
  <c r="C48" i="15"/>
  <c r="C67" i="15"/>
  <c r="C68" i="15"/>
  <c r="C69" i="15"/>
  <c r="D29" i="2"/>
  <c r="D8" i="2"/>
  <c r="D16" i="2"/>
  <c r="D13" i="2"/>
  <c r="B18" i="6"/>
  <c r="B22" i="7"/>
  <c r="B23" i="7"/>
  <c r="L2" i="6"/>
  <c r="L6" i="6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C15" i="15"/>
  <c r="C14" i="15"/>
  <c r="B11" i="3"/>
  <c r="C12" i="16"/>
  <c r="D9" i="2"/>
  <c r="D10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B6" i="5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D28" i="2"/>
  <c r="C6" i="5"/>
  <c r="D18" i="2"/>
  <c r="C9" i="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AC12" i="5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AC19" i="5"/>
  <c r="AC18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32" i="2"/>
  <c r="L6" i="2"/>
  <c r="L33" i="2"/>
  <c r="L40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Q26" i="12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C63" i="3"/>
  <c r="AD63" i="3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P19" i="5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AR19" i="5"/>
  <c r="AL19" i="5"/>
  <c r="AF19" i="5"/>
  <c r="O22" i="5"/>
  <c r="J22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AI19" i="5"/>
  <c r="AM19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AE19" i="5"/>
  <c r="AK19" i="5"/>
  <c r="AQ19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AD19" i="5"/>
  <c r="AJ19" i="5"/>
  <c r="AN19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AG19" i="5"/>
  <c r="AO19" i="5"/>
  <c r="W14" i="9"/>
  <c r="O14" i="9"/>
  <c r="H65" i="3"/>
  <c r="N114" i="1"/>
  <c r="H22" i="5"/>
  <c r="L22" i="5"/>
  <c r="P22" i="5"/>
  <c r="T22" i="5"/>
  <c r="AH19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<sst xmlns="http://schemas.openxmlformats.org/spreadsheetml/2006/main" count="2893" uniqueCount="1407">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</sst>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46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7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72" fillId="0" borderId="0" xfId="4" applyFont="1"/>
    <xf numFmtId="0" fontId="27" fillId="0" borderId="13" xfId="4" applyFont="1" applyFill="1" applyBorder="1"/>
    <xf numFmtId="20" fontId="5" fillId="0" borderId="0" xfId="4" applyNumberFormat="1" applyFont="1" applyFill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0" fontId="5" fillId="0" borderId="0" xfId="4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4" applyAlignment="1">
      <alignment horizontal="center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</cellXfs>
  <cellStyles count="463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topLeftCell="A14" workbookViewId="0">
      <selection activeCell="D15" sqref="D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1045</v>
      </c>
    </row>
    <row r="3" spans="1:2">
      <c r="A3" s="285" t="s">
        <v>1046</v>
      </c>
      <c r="B3" s="166" t="s">
        <v>1156</v>
      </c>
    </row>
    <row r="4" spans="1:2">
      <c r="A4" s="285" t="s">
        <v>1048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1115</v>
      </c>
      <c r="B7" s="371" t="s">
        <v>1116</v>
      </c>
    </row>
    <row r="8" spans="1:2" s="245" customFormat="1">
      <c r="A8" s="369" t="s">
        <v>889</v>
      </c>
      <c r="B8" s="371" t="s">
        <v>1060</v>
      </c>
    </row>
    <row r="9" spans="1:2">
      <c r="A9" s="369" t="s">
        <v>1049</v>
      </c>
      <c r="B9" s="371" t="s">
        <v>1061</v>
      </c>
    </row>
    <row r="10" spans="1:2">
      <c r="A10" s="369" t="s">
        <v>1050</v>
      </c>
      <c r="B10" s="371" t="s">
        <v>1062</v>
      </c>
    </row>
    <row r="11" spans="1:2">
      <c r="A11" s="369" t="s">
        <v>14</v>
      </c>
      <c r="B11" s="371" t="s">
        <v>1063</v>
      </c>
    </row>
    <row r="12" spans="1:2">
      <c r="A12" s="369" t="s">
        <v>7</v>
      </c>
      <c r="B12" s="371" t="s">
        <v>1064</v>
      </c>
    </row>
    <row r="13" spans="1:2">
      <c r="A13" s="369" t="s">
        <v>21</v>
      </c>
      <c r="B13" s="371" t="s">
        <v>1065</v>
      </c>
    </row>
    <row r="14" spans="1:2">
      <c r="A14" s="369" t="s">
        <v>44</v>
      </c>
      <c r="B14" s="371" t="s">
        <v>1066</v>
      </c>
    </row>
    <row r="15" spans="1:2">
      <c r="A15" s="369" t="s">
        <v>49</v>
      </c>
      <c r="B15" s="371" t="s">
        <v>1067</v>
      </c>
    </row>
    <row r="16" spans="1:2">
      <c r="A16" s="369" t="s">
        <v>318</v>
      </c>
      <c r="B16" s="371" t="s">
        <v>1068</v>
      </c>
    </row>
    <row r="17" spans="1:4">
      <c r="A17" s="369" t="s">
        <v>70</v>
      </c>
      <c r="B17" s="371" t="s">
        <v>1069</v>
      </c>
    </row>
    <row r="18" spans="1:4">
      <c r="A18" s="369" t="s">
        <v>98</v>
      </c>
      <c r="B18" s="371" t="s">
        <v>1070</v>
      </c>
    </row>
    <row r="19" spans="1:4">
      <c r="A19" s="369" t="s">
        <v>1071</v>
      </c>
      <c r="B19" s="371" t="s">
        <v>1072</v>
      </c>
    </row>
    <row r="20" spans="1:4">
      <c r="A20" s="369" t="s">
        <v>1017</v>
      </c>
      <c r="B20" s="371" t="s">
        <v>1073</v>
      </c>
    </row>
    <row r="21" spans="1:4">
      <c r="A21" s="369" t="s">
        <v>1101</v>
      </c>
      <c r="B21" s="371" t="s">
        <v>1074</v>
      </c>
    </row>
    <row r="22" spans="1:4" ht="15" thickBot="1">
      <c r="A22" s="372" t="s">
        <v>1042</v>
      </c>
      <c r="B22" s="375" t="s">
        <v>1075</v>
      </c>
    </row>
    <row r="24" spans="1:4" ht="18">
      <c r="A24" s="302" t="s">
        <v>1051</v>
      </c>
    </row>
    <row r="25" spans="1:4">
      <c r="A25">
        <v>1</v>
      </c>
      <c r="B25" t="s">
        <v>1091</v>
      </c>
    </row>
    <row r="26" spans="1:4">
      <c r="A26">
        <v>2</v>
      </c>
      <c r="B26" t="s">
        <v>1092</v>
      </c>
    </row>
    <row r="27" spans="1:4">
      <c r="A27">
        <v>3</v>
      </c>
      <c r="B27" t="s">
        <v>1093</v>
      </c>
    </row>
    <row r="28" spans="1:4">
      <c r="A28">
        <v>4</v>
      </c>
      <c r="B28" t="s">
        <v>1094</v>
      </c>
    </row>
    <row r="29" spans="1:4" ht="18">
      <c r="A29" s="302" t="s">
        <v>1052</v>
      </c>
    </row>
    <row r="30" spans="1:4">
      <c r="A30" s="392" t="s">
        <v>1046</v>
      </c>
      <c r="B30" s="392" t="s">
        <v>0</v>
      </c>
      <c r="C30" s="392" t="s">
        <v>1048</v>
      </c>
      <c r="D30" s="392" t="s">
        <v>1053</v>
      </c>
    </row>
    <row r="31" spans="1:4">
      <c r="A31" t="s">
        <v>1047</v>
      </c>
      <c r="B31" t="s">
        <v>1095</v>
      </c>
      <c r="C31" s="389">
        <v>42465</v>
      </c>
      <c r="D31" t="s">
        <v>1054</v>
      </c>
    </row>
    <row r="32" spans="1:4">
      <c r="A32" t="s">
        <v>1114</v>
      </c>
      <c r="B32" s="362" t="s">
        <v>1123</v>
      </c>
      <c r="C32" s="434">
        <v>42585</v>
      </c>
      <c r="D32" t="s">
        <v>1117</v>
      </c>
    </row>
    <row r="33" spans="1:4">
      <c r="A33" s="245" t="s">
        <v>1124</v>
      </c>
      <c r="B33" s="362" t="s">
        <v>1125</v>
      </c>
      <c r="C33" s="434">
        <v>42605</v>
      </c>
      <c r="D33" t="s">
        <v>1054</v>
      </c>
    </row>
    <row r="34" spans="1:4">
      <c r="B34" t="s">
        <v>1126</v>
      </c>
      <c r="C34" s="434">
        <v>42710</v>
      </c>
      <c r="D34" t="s">
        <v>1117</v>
      </c>
    </row>
    <row r="35" spans="1:4">
      <c r="B35" t="s">
        <v>1148</v>
      </c>
      <c r="C35" s="434">
        <v>42710</v>
      </c>
      <c r="D35" t="s">
        <v>1117</v>
      </c>
    </row>
    <row r="36" spans="1:4">
      <c r="B36" t="s">
        <v>1153</v>
      </c>
      <c r="C36" s="434">
        <v>42711</v>
      </c>
      <c r="D36" t="s">
        <v>1117</v>
      </c>
    </row>
    <row r="37" spans="1:4">
      <c r="A37" t="s">
        <v>1156</v>
      </c>
      <c r="B37" t="s">
        <v>1155</v>
      </c>
      <c r="C37" s="434">
        <v>42717</v>
      </c>
      <c r="D37" t="s">
        <v>1117</v>
      </c>
    </row>
    <row r="38" spans="1:4">
      <c r="B38" t="s">
        <v>1164</v>
      </c>
      <c r="C38" s="434">
        <v>42723</v>
      </c>
      <c r="D38" t="s">
        <v>1117</v>
      </c>
    </row>
    <row r="39" spans="1:4">
      <c r="B39" t="s">
        <v>1165</v>
      </c>
      <c r="C39" s="434">
        <v>42723</v>
      </c>
      <c r="D39" t="s">
        <v>1117</v>
      </c>
    </row>
    <row r="40" spans="1:4">
      <c r="B40" t="s">
        <v>1170</v>
      </c>
      <c r="C40" s="434">
        <v>42723</v>
      </c>
      <c r="D40" t="s">
        <v>1117</v>
      </c>
    </row>
    <row r="41" spans="1:4">
      <c r="B41" t="s">
        <v>1172</v>
      </c>
      <c r="C41" s="434">
        <v>42723</v>
      </c>
      <c r="D41" s="245" t="s">
        <v>1117</v>
      </c>
    </row>
    <row r="42" spans="1:4">
      <c r="B42" t="s">
        <v>1173</v>
      </c>
      <c r="C42" s="434">
        <v>42723</v>
      </c>
      <c r="D42" s="245" t="s">
        <v>1117</v>
      </c>
    </row>
    <row r="43" spans="1:4">
      <c r="B43" t="s">
        <v>1176</v>
      </c>
    </row>
    <row r="44" spans="1:4">
      <c r="B44" t="s">
        <v>1177</v>
      </c>
      <c r="C44" s="434">
        <v>42739</v>
      </c>
      <c r="D44" t="s">
        <v>1117</v>
      </c>
    </row>
    <row r="45" spans="1:4">
      <c r="B45" t="s">
        <v>1239</v>
      </c>
      <c r="C45" s="434">
        <v>42753</v>
      </c>
      <c r="D45" t="s">
        <v>1117</v>
      </c>
    </row>
    <row r="46" spans="1:4">
      <c r="A46">
        <v>1.2</v>
      </c>
      <c r="B46" t="s">
        <v>1277</v>
      </c>
      <c r="C46" s="434">
        <v>42836</v>
      </c>
      <c r="D46" t="s">
        <v>1117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topLeftCell="A23" workbookViewId="0">
      <selection activeCell="C27" sqref="C27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889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789</v>
      </c>
      <c r="B2" s="299"/>
      <c r="C2" s="300" t="s">
        <v>794</v>
      </c>
      <c r="E2" s="303" t="s">
        <v>1157</v>
      </c>
      <c r="F2" s="299"/>
      <c r="G2" s="300">
        <v>0</v>
      </c>
      <c r="I2" s="285" t="s">
        <v>888</v>
      </c>
      <c r="J2" s="245"/>
      <c r="K2" s="308" t="s">
        <v>1284</v>
      </c>
      <c r="M2" s="245"/>
    </row>
    <row r="3" spans="1:17" ht="15" thickBot="1">
      <c r="A3" s="293" t="s">
        <v>790</v>
      </c>
      <c r="B3" s="306"/>
      <c r="C3" s="294" t="str">
        <f>IF(B3&lt;&gt;"",A3,"")</f>
        <v/>
      </c>
      <c r="E3" s="293">
        <v>0</v>
      </c>
      <c r="F3" s="306" t="s">
        <v>890</v>
      </c>
      <c r="G3" s="294">
        <f t="shared" ref="G3:G23" si="0">IF(F3&lt;&gt;"",E3,"")</f>
        <v>0</v>
      </c>
      <c r="H3" t="s">
        <v>1159</v>
      </c>
      <c r="J3" s="245"/>
      <c r="M3" s="245"/>
    </row>
    <row r="4" spans="1:17" ht="15" thickBot="1">
      <c r="A4" s="293" t="s">
        <v>794</v>
      </c>
      <c r="B4" s="306" t="s">
        <v>890</v>
      </c>
      <c r="C4" s="294" t="str">
        <f>IF(B4&lt;&gt;"",A4,"")</f>
        <v>Med</v>
      </c>
      <c r="D4" t="s">
        <v>1278</v>
      </c>
      <c r="E4" s="293">
        <v>1</v>
      </c>
      <c r="F4" s="306"/>
      <c r="G4" s="294" t="str">
        <f t="shared" si="0"/>
        <v/>
      </c>
      <c r="H4" t="s">
        <v>1160</v>
      </c>
      <c r="I4" s="310" t="s">
        <v>891</v>
      </c>
      <c r="J4" s="304"/>
      <c r="K4" s="305" t="str">
        <f>HomeSize &amp; "_" &amp;Airtightness &amp; "_" &amp; ASHRAEver&amp;"_"</f>
        <v>Med_1_2013Inf_</v>
      </c>
      <c r="M4" s="245"/>
      <c r="N4" s="245"/>
    </row>
    <row r="5" spans="1:17" ht="15" thickBot="1">
      <c r="A5" s="295" t="s">
        <v>791</v>
      </c>
      <c r="B5" s="307" t="s">
        <v>890</v>
      </c>
      <c r="C5" s="296" t="str">
        <f>IF(B5&lt;&gt;"",A5,"")</f>
        <v>Large</v>
      </c>
      <c r="D5" t="s">
        <v>1279</v>
      </c>
      <c r="E5" s="293">
        <v>2</v>
      </c>
      <c r="F5" s="306"/>
      <c r="G5" s="294" t="str">
        <f t="shared" si="0"/>
        <v/>
      </c>
      <c r="H5" t="s">
        <v>1161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1162</v>
      </c>
      <c r="I6" s="381" t="s">
        <v>892</v>
      </c>
      <c r="J6" s="382"/>
      <c r="K6" s="382"/>
      <c r="L6" s="383" t="s">
        <v>887</v>
      </c>
      <c r="M6" s="245" t="s">
        <v>1301</v>
      </c>
      <c r="N6" s="5"/>
    </row>
    <row r="7" spans="1:17" ht="15">
      <c r="A7" s="303" t="s">
        <v>793</v>
      </c>
      <c r="B7" s="299"/>
      <c r="C7" s="300" t="s">
        <v>794</v>
      </c>
      <c r="E7" s="297">
        <v>4</v>
      </c>
      <c r="F7" s="306"/>
      <c r="G7" s="294" t="str">
        <f t="shared" si="0"/>
        <v/>
      </c>
      <c r="H7" t="s">
        <v>1163</v>
      </c>
      <c r="I7" s="311">
        <f>InputFiles!C1</f>
        <v>1</v>
      </c>
      <c r="J7" s="306" t="s">
        <v>890</v>
      </c>
      <c r="K7" s="17">
        <f t="shared" ref="K7:K23" si="1">IF(J7&lt;&gt;"",I7,"")</f>
        <v>1</v>
      </c>
      <c r="L7" s="384" t="str">
        <f>IF(J7&lt;&gt;"",BaseName &amp; IF(ISNUMBER(I7),I7,LEFT(I7,1)),"")</f>
        <v>Med_1_2013Inf_1</v>
      </c>
      <c r="M7" s="124" t="s">
        <v>1285</v>
      </c>
      <c r="N7" s="245">
        <v>725945</v>
      </c>
    </row>
    <row r="8" spans="1:17">
      <c r="A8" s="293" t="s">
        <v>795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 t="s">
        <v>890</v>
      </c>
      <c r="K8" s="17">
        <f t="shared" si="1"/>
        <v>2</v>
      </c>
      <c r="L8" s="384" t="str">
        <f>IF(J8&lt;&gt;"",BaseName &amp; IF(ISNUMBER(I8),I8,LEFT(I8,1)),"")</f>
        <v>Med_1_2013Inf_2</v>
      </c>
      <c r="M8" s="124" t="s">
        <v>1286</v>
      </c>
      <c r="N8" s="245">
        <v>724957</v>
      </c>
    </row>
    <row r="9" spans="1:17">
      <c r="A9" s="293" t="s">
        <v>794</v>
      </c>
      <c r="B9" s="306" t="s">
        <v>890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890</v>
      </c>
      <c r="K9" s="17">
        <f t="shared" si="1"/>
        <v>3</v>
      </c>
      <c r="L9" s="384" t="str">
        <f>IF(J9&lt;&gt;"",BaseName &amp; IF(ISNUMBER(I9),I9,LEFT(I9,1)),"")</f>
        <v>Med_1_2013Inf_3</v>
      </c>
      <c r="M9" s="124" t="s">
        <v>1287</v>
      </c>
      <c r="N9" s="245">
        <v>724930</v>
      </c>
    </row>
    <row r="10" spans="1:17" ht="15" thickBot="1">
      <c r="A10" s="295" t="s">
        <v>796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 t="s">
        <v>890</v>
      </c>
      <c r="K10" s="17">
        <f t="shared" si="1"/>
        <v>4</v>
      </c>
      <c r="L10" s="384" t="str">
        <f>IF(J10&lt;&gt;"",BaseName &amp; IF(ISNUMBER(I10),I10,LEFT(I10,1)),"")</f>
        <v>Med_1_2013Inf_4</v>
      </c>
      <c r="M10" s="124" t="s">
        <v>1288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 t="s">
        <v>890</v>
      </c>
      <c r="K11" s="17">
        <f t="shared" si="1"/>
        <v>5</v>
      </c>
      <c r="L11" s="384" t="str">
        <f>IF(J11&lt;&gt;"",BaseName &amp; IF(ISNUMBER(I11),I11,LEFT(I11,1)),"")</f>
        <v>Med_1_2013Inf_5</v>
      </c>
      <c r="M11" s="124" t="s">
        <v>1289</v>
      </c>
      <c r="N11" s="245">
        <v>723940</v>
      </c>
    </row>
    <row r="12" spans="1:17" ht="15">
      <c r="A12" s="303" t="s">
        <v>781</v>
      </c>
      <c r="B12" s="299"/>
      <c r="C12" s="300">
        <f>IF(HomeSize="Large",2,1)</f>
        <v>1</v>
      </c>
      <c r="D12" t="s">
        <v>1280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 t="s">
        <v>890</v>
      </c>
      <c r="K12" s="17">
        <f t="shared" si="1"/>
        <v>6</v>
      </c>
      <c r="L12" s="384" t="str">
        <f>IF(J12&lt;&gt;"",BaseName &amp; IF(ISNUMBER(I12),I12,LEFT(I12,1)),"")</f>
        <v>Med_1_2013Inf_6</v>
      </c>
      <c r="M12" s="124" t="s">
        <v>1290</v>
      </c>
      <c r="N12" s="254">
        <v>722950</v>
      </c>
      <c r="O12" t="s">
        <v>1329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 t="s">
        <v>890</v>
      </c>
      <c r="K13" s="17">
        <f t="shared" si="1"/>
        <v>7</v>
      </c>
      <c r="L13" s="384" t="str">
        <f>IF(J13&lt;&gt;"",BaseName &amp; IF(ISNUMBER(I13),I13,LEFT(I13,1)),"")</f>
        <v>Med_1_2013Inf_7</v>
      </c>
      <c r="M13" s="124" t="s">
        <v>1291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 t="s">
        <v>890</v>
      </c>
      <c r="K14" s="17">
        <f t="shared" si="1"/>
        <v>8</v>
      </c>
      <c r="L14" s="384" t="str">
        <f>IF(J14&lt;&gt;"",BaseName &amp; IF(ISNUMBER(I14),I14,LEFT(I14,1)),"")</f>
        <v>Med_1_2013Inf_8</v>
      </c>
      <c r="M14" s="124" t="s">
        <v>1292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 t="s">
        <v>890</v>
      </c>
      <c r="K15" s="17">
        <f t="shared" si="1"/>
        <v>9</v>
      </c>
      <c r="L15" s="384" t="str">
        <f>IF(J15&lt;&gt;"",BaseName &amp; IF(ISNUMBER(I15),I15,LEFT(I15,1)),"")</f>
        <v>Med_1_2013Inf_9</v>
      </c>
      <c r="M15" s="124" t="s">
        <v>1293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890</v>
      </c>
      <c r="K16" s="17">
        <f t="shared" si="1"/>
        <v>10</v>
      </c>
      <c r="L16" s="384" t="str">
        <f>IF(J16&lt;&gt;"",BaseName &amp; IF(ISNUMBER(I16),I16,LEFT(I16,1)),"")</f>
        <v>Med_1_2013Inf_10</v>
      </c>
      <c r="M16" s="124" t="s">
        <v>1294</v>
      </c>
      <c r="N16" s="245">
        <v>722869</v>
      </c>
    </row>
    <row r="17" spans="1:17" ht="15">
      <c r="A17" s="303" t="s">
        <v>803</v>
      </c>
      <c r="B17" s="299"/>
      <c r="C17" s="300">
        <v>1</v>
      </c>
      <c r="D17" t="s">
        <v>1281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 t="s">
        <v>890</v>
      </c>
      <c r="K17" s="17">
        <f t="shared" si="1"/>
        <v>11</v>
      </c>
      <c r="L17" s="384" t="str">
        <f>IF(J17&lt;&gt;"",BaseName &amp; IF(ISNUMBER(I17),I17,LEFT(I17,1)),"")</f>
        <v>Med_1_2013Inf_11</v>
      </c>
      <c r="M17" s="124" t="s">
        <v>1295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1282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 t="s">
        <v>890</v>
      </c>
      <c r="K18" s="17">
        <f t="shared" si="1"/>
        <v>12</v>
      </c>
      <c r="L18" s="384" t="str">
        <f>IF(J18&lt;&gt;"",BaseName &amp; IF(ISNUMBER(I18),I18,LEFT(I18,1)),"")</f>
        <v>Med_1_2013Inf_12</v>
      </c>
      <c r="M18" s="124" t="s">
        <v>1296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 t="s">
        <v>890</v>
      </c>
      <c r="K19" s="17">
        <f t="shared" si="1"/>
        <v>13</v>
      </c>
      <c r="L19" s="384" t="str">
        <f>IF(J19&lt;&gt;"",BaseName &amp; IF(ISNUMBER(I19),I19,LEFT(I19,1)),"")</f>
        <v>Med_1_2013Inf_13</v>
      </c>
      <c r="M19" s="124" t="s">
        <v>1297</v>
      </c>
      <c r="N19" s="245">
        <v>723890</v>
      </c>
    </row>
    <row r="20" spans="1:17" ht="15" thickBot="1">
      <c r="A20" s="295">
        <v>1</v>
      </c>
      <c r="B20" s="307" t="s">
        <v>890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 t="s">
        <v>890</v>
      </c>
      <c r="K20" s="17">
        <f t="shared" si="1"/>
        <v>14</v>
      </c>
      <c r="L20" s="384" t="str">
        <f>IF(J20&lt;&gt;"",BaseName &amp; IF(ISNUMBER(I20),I20,LEFT(I20,1)),"")</f>
        <v>Med_1_2013Inf_14</v>
      </c>
      <c r="M20" s="124" t="s">
        <v>1298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 t="s">
        <v>890</v>
      </c>
      <c r="K21" s="17">
        <f t="shared" si="1"/>
        <v>15</v>
      </c>
      <c r="L21" s="384" t="str">
        <f>IF(J21&lt;&gt;"",BaseName &amp; IF(ISNUMBER(I21),I21,LEFT(I21,1)),"")</f>
        <v>Med_1_2013Inf_15</v>
      </c>
      <c r="M21" s="124" t="s">
        <v>1299</v>
      </c>
      <c r="N21" s="245">
        <v>747187</v>
      </c>
    </row>
    <row r="22" spans="1:17" ht="15">
      <c r="A22" s="303" t="s">
        <v>884</v>
      </c>
      <c r="B22" s="299"/>
      <c r="C22" s="300" t="s">
        <v>785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890</v>
      </c>
      <c r="K22" s="17">
        <f t="shared" si="1"/>
        <v>16</v>
      </c>
      <c r="L22" s="384" t="str">
        <f>IF(J22&lt;&gt;"",BaseName &amp; IF(ISNUMBER(I22),I22,LEFT(I22,1)),"")</f>
        <v>Med_1_2013Inf_16</v>
      </c>
      <c r="M22" s="124" t="s">
        <v>1300</v>
      </c>
      <c r="N22" s="245">
        <v>725845</v>
      </c>
    </row>
    <row r="23" spans="1:17" ht="15" thickBot="1">
      <c r="A23" s="293" t="s">
        <v>785</v>
      </c>
      <c r="B23" s="306" t="s">
        <v>890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7:L23" si="2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786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1018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893</v>
      </c>
      <c r="B27" s="299"/>
      <c r="C27" s="300">
        <v>1</v>
      </c>
      <c r="D27" t="s">
        <v>1283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3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890</v>
      </c>
      <c r="C29" s="294">
        <f t="shared" si="3"/>
        <v>5</v>
      </c>
      <c r="F29" s="245"/>
      <c r="J29" s="245"/>
      <c r="M29" s="245"/>
      <c r="P29" s="245"/>
    </row>
    <row r="30" spans="1:17">
      <c r="A30" s="293">
        <v>3</v>
      </c>
      <c r="B30" s="314" t="s">
        <v>890</v>
      </c>
      <c r="C30" s="294">
        <f t="shared" si="3"/>
        <v>3</v>
      </c>
      <c r="F30" s="245"/>
      <c r="J30" s="245"/>
      <c r="M30" s="245"/>
      <c r="P30" s="245"/>
    </row>
    <row r="31" spans="1:17">
      <c r="A31" s="293">
        <v>2</v>
      </c>
      <c r="B31" s="314" t="s">
        <v>890</v>
      </c>
      <c r="C31" s="294">
        <f t="shared" si="3"/>
        <v>2</v>
      </c>
      <c r="F31" s="245"/>
      <c r="J31" s="245"/>
      <c r="M31" s="245"/>
      <c r="P31" s="245"/>
    </row>
    <row r="32" spans="1:17">
      <c r="A32" s="293">
        <v>1</v>
      </c>
      <c r="B32" s="314" t="s">
        <v>890</v>
      </c>
      <c r="C32" s="294">
        <f t="shared" si="3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890</v>
      </c>
      <c r="C33" s="296">
        <f t="shared" si="3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810</v>
      </c>
      <c r="B35" s="299"/>
      <c r="C35" s="300" t="s">
        <v>1171</v>
      </c>
    </row>
    <row r="36" spans="1:16">
      <c r="A36" s="293" t="s">
        <v>808</v>
      </c>
      <c r="B36" s="306"/>
      <c r="C36" s="294" t="str">
        <f>IF(B36&lt;&gt;"",A36,"")</f>
        <v/>
      </c>
    </row>
    <row r="37" spans="1:16">
      <c r="A37" s="293" t="s">
        <v>809</v>
      </c>
      <c r="B37" s="306"/>
      <c r="C37" s="294" t="str">
        <f>IF(B37&lt;&gt;"",A37,"")</f>
        <v/>
      </c>
    </row>
    <row r="38" spans="1:16" ht="15" thickBot="1">
      <c r="A38" s="295" t="s">
        <v>1171</v>
      </c>
      <c r="B38" s="307" t="s">
        <v>890</v>
      </c>
      <c r="C38" s="296" t="str">
        <f>IF(B38&lt;&gt;"",A38,"")</f>
        <v>Simple Exhaust</v>
      </c>
    </row>
    <row r="39" spans="1:16" s="245" customFormat="1" ht="15" thickBot="1">
      <c r="A39" s="17"/>
      <c r="B39" s="545"/>
      <c r="C39" s="296"/>
    </row>
    <row r="40" spans="1:16" ht="15" thickBot="1"/>
    <row r="41" spans="1:16" ht="15">
      <c r="A41" s="303" t="s">
        <v>1042</v>
      </c>
      <c r="B41" s="299"/>
      <c r="C41" s="300" t="s">
        <v>1113</v>
      </c>
    </row>
    <row r="42" spans="1:16">
      <c r="A42" s="293" t="s">
        <v>1021</v>
      </c>
      <c r="B42" s="306"/>
      <c r="C42" s="294" t="str">
        <f>IF(B42&lt;&gt;"",A42,"")</f>
        <v/>
      </c>
    </row>
    <row r="43" spans="1:16">
      <c r="A43" s="293" t="s">
        <v>1113</v>
      </c>
      <c r="B43" s="306" t="s">
        <v>890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1166</v>
      </c>
      <c r="B46" s="299"/>
      <c r="C46" s="300" t="s">
        <v>841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841</v>
      </c>
      <c r="B47" s="313" t="s">
        <v>890</v>
      </c>
      <c r="C47" s="294" t="str">
        <f>IF(B47&lt;&gt;"",A47,"")</f>
        <v>occ_full.txt</v>
      </c>
    </row>
    <row r="48" spans="1:16">
      <c r="A48" s="293" t="s">
        <v>1167</v>
      </c>
      <c r="B48" s="314"/>
      <c r="C48" s="294" t="str">
        <f t="shared" ref="C48:C49" si="4">IF(B48&lt;&gt;"",A48,"")</f>
        <v/>
      </c>
    </row>
    <row r="49" spans="1:4">
      <c r="A49" s="452" t="s">
        <v>1168</v>
      </c>
      <c r="B49" s="453"/>
      <c r="C49" s="294" t="str">
        <f t="shared" si="4"/>
        <v/>
      </c>
    </row>
    <row r="50" spans="1:4" s="245" customFormat="1">
      <c r="A50" s="17" t="s">
        <v>1180</v>
      </c>
      <c r="B50" s="453"/>
      <c r="C50" s="294" t="str">
        <f t="shared" ref="C50" si="5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1169</v>
      </c>
      <c r="B52" s="299"/>
      <c r="C52" s="300" t="s">
        <v>1178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1178</v>
      </c>
      <c r="B53" s="313" t="s">
        <v>890</v>
      </c>
      <c r="C53" s="294" t="str">
        <f>IF(B53&lt;&gt;"",A53,"")</f>
        <v>REGCAP_FanSchedule_1stShift.txt</v>
      </c>
    </row>
    <row r="54" spans="1:4">
      <c r="A54" s="452" t="s">
        <v>1179</v>
      </c>
      <c r="B54" s="453"/>
      <c r="C54" s="294" t="str">
        <f>IF(B54&lt;&gt;"",A54,"")</f>
        <v/>
      </c>
    </row>
    <row r="55" spans="1:4">
      <c r="A55" s="17" t="s">
        <v>1181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1332</v>
      </c>
      <c r="B57" s="299"/>
      <c r="C57" s="300" t="s">
        <v>1330</v>
      </c>
    </row>
    <row r="58" spans="1:4">
      <c r="A58" s="543" t="s">
        <v>1401</v>
      </c>
      <c r="B58" t="s">
        <v>890</v>
      </c>
      <c r="C58" s="544" t="str">
        <f>IF(B58&lt;&gt;"",A58,"")</f>
        <v>2010noInf</v>
      </c>
    </row>
    <row r="59" spans="1:4">
      <c r="A59" s="516" t="s">
        <v>1330</v>
      </c>
      <c r="B59" t="s">
        <v>890</v>
      </c>
      <c r="C59" s="294" t="str">
        <f>IF(B59&lt;&gt;"",A59,"")</f>
        <v>2013Inf</v>
      </c>
    </row>
    <row r="60" spans="1:4">
      <c r="A60" t="s">
        <v>1331</v>
      </c>
      <c r="B60" t="s">
        <v>890</v>
      </c>
      <c r="C60" s="294" t="str">
        <f>IF(B60&lt;&gt;"",A60,"")</f>
        <v>2013noInf</v>
      </c>
    </row>
    <row r="61" spans="1:4">
      <c r="A61" t="s">
        <v>1337</v>
      </c>
      <c r="B61" t="s">
        <v>890</v>
      </c>
      <c r="C61" s="294" t="str">
        <f>IF(B61&lt;&gt;"",A61,"")</f>
        <v>2016InfPhi</v>
      </c>
    </row>
    <row r="62" spans="1:4">
      <c r="A62" t="s">
        <v>1374</v>
      </c>
      <c r="B62" t="s">
        <v>890</v>
      </c>
      <c r="C62" s="520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39" activePane="bottomLeft" state="frozen"/>
      <selection pane="bottomLeft" activeCell="D67" sqref="D67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897</v>
      </c>
      <c r="B1" s="245" t="s">
        <v>909</v>
      </c>
      <c r="C1" s="245" t="s">
        <v>475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843</v>
      </c>
      <c r="B2" t="s">
        <v>898</v>
      </c>
      <c r="C2" s="339" t="str">
        <f>Weather!B26</f>
        <v>722020TYA.CSV</v>
      </c>
      <c r="D2" t="s">
        <v>835</v>
      </c>
      <c r="G2" t="s">
        <v>1017</v>
      </c>
      <c r="I2" s="285" t="s">
        <v>1055</v>
      </c>
    </row>
    <row r="3" spans="1:23">
      <c r="B3" s="245" t="s">
        <v>831</v>
      </c>
      <c r="C3" s="338" t="str">
        <f>fanSchedule</f>
        <v>REGCAP_FanSchedule_1stShift.txt</v>
      </c>
      <c r="D3" t="s">
        <v>836</v>
      </c>
      <c r="G3" t="s">
        <v>318</v>
      </c>
      <c r="I3" s="309" t="s">
        <v>1056</v>
      </c>
    </row>
    <row r="4" spans="1:23">
      <c r="B4" s="245" t="s">
        <v>832</v>
      </c>
      <c r="C4" s="309" t="s">
        <v>1375</v>
      </c>
      <c r="D4" t="s">
        <v>837</v>
      </c>
      <c r="G4" t="s">
        <v>11</v>
      </c>
      <c r="I4" s="338" t="s">
        <v>1079</v>
      </c>
    </row>
    <row r="5" spans="1:23">
      <c r="B5" s="245" t="s">
        <v>833</v>
      </c>
      <c r="C5" s="309" t="str">
        <f>occSchedule</f>
        <v>occ_full.txt</v>
      </c>
      <c r="D5" t="s">
        <v>838</v>
      </c>
      <c r="G5" t="s">
        <v>11</v>
      </c>
      <c r="I5" s="339" t="s">
        <v>1057</v>
      </c>
    </row>
    <row r="6" spans="1:23">
      <c r="A6" s="334"/>
      <c r="B6" s="334" t="s">
        <v>834</v>
      </c>
      <c r="C6" s="309" t="s">
        <v>840</v>
      </c>
      <c r="D6" s="334" t="s">
        <v>839</v>
      </c>
      <c r="E6" s="334"/>
      <c r="F6" s="334"/>
      <c r="G6" s="334" t="s">
        <v>11</v>
      </c>
      <c r="W6" s="5"/>
    </row>
    <row r="7" spans="1:23">
      <c r="A7" s="1" t="s">
        <v>842</v>
      </c>
      <c r="B7" t="s">
        <v>1141</v>
      </c>
      <c r="C7" s="340">
        <f>Leakage!B4</f>
        <v>1.1135023106541913E-2</v>
      </c>
      <c r="D7" t="s">
        <v>916</v>
      </c>
      <c r="E7" t="s">
        <v>5</v>
      </c>
      <c r="F7" t="s">
        <v>6</v>
      </c>
      <c r="G7" t="s">
        <v>7</v>
      </c>
      <c r="W7" s="5"/>
    </row>
    <row r="8" spans="1:23">
      <c r="B8" t="s">
        <v>886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1136</v>
      </c>
      <c r="C9" s="341">
        <f>VLOOKUP(Stories, InfiltrationModelCoefficients!A3:B5, 2, FALSE)</f>
        <v>0.48</v>
      </c>
      <c r="D9" s="245" t="s">
        <v>1143</v>
      </c>
      <c r="W9" s="254"/>
    </row>
    <row r="10" spans="1:23" s="245" customFormat="1">
      <c r="B10" s="221" t="s">
        <v>1129</v>
      </c>
      <c r="C10" s="341">
        <f>IF(Nflue=0,InfiltrationModelCoefficients!C10,VLOOKUP(Stories,InfiltrationModelCoefficients!A11:C13,3,FALSE))</f>
        <v>0.5</v>
      </c>
      <c r="D10" s="221" t="s">
        <v>1144</v>
      </c>
      <c r="W10" s="254"/>
    </row>
    <row r="11" spans="1:23" s="245" customFormat="1">
      <c r="B11" s="221" t="s">
        <v>1138</v>
      </c>
      <c r="C11" s="341">
        <f>IF(Nflue=0,VLOOKUP(Stories, InfiltrationModelCoefficients!A28:C30,3,FALSE),VLOOKUP(Stories,InfiltrationModelCoefficients!A31:C33,3,FALSE))</f>
        <v>5.3999999999999999E-2</v>
      </c>
      <c r="D11" s="221" t="s">
        <v>1145</v>
      </c>
      <c r="W11" s="254"/>
    </row>
    <row r="12" spans="1:23" s="245" customFormat="1">
      <c r="B12" s="221" t="s">
        <v>1142</v>
      </c>
      <c r="C12" s="341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0.156</v>
      </c>
      <c r="D12" s="221" t="s">
        <v>1146</v>
      </c>
      <c r="W12" s="254"/>
    </row>
    <row r="13" spans="1:23">
      <c r="B13" t="s">
        <v>885</v>
      </c>
      <c r="C13" s="341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1387</v>
      </c>
      <c r="E14" s="266" t="s">
        <v>1377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1388</v>
      </c>
      <c r="E15" s="541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899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1080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911</v>
      </c>
      <c r="C18" s="343">
        <f>H_flueSI</f>
        <v>5.8927998114304057</v>
      </c>
      <c r="D18" t="s">
        <v>22</v>
      </c>
      <c r="G18" t="s">
        <v>23</v>
      </c>
      <c r="W18" s="5"/>
    </row>
    <row r="19" spans="1:25">
      <c r="B19" t="s">
        <v>912</v>
      </c>
      <c r="C19" s="350">
        <f>Flue!C11</f>
        <v>-99</v>
      </c>
      <c r="D19" t="s">
        <v>399</v>
      </c>
      <c r="E19" t="s">
        <v>25</v>
      </c>
      <c r="G19" s="245" t="s">
        <v>21</v>
      </c>
      <c r="W19" s="5"/>
    </row>
    <row r="20" spans="1:25">
      <c r="B20" s="245" t="s">
        <v>1081</v>
      </c>
      <c r="C20" s="425">
        <f>Flue!D10</f>
        <v>1.9281086206186945E-2</v>
      </c>
      <c r="E20" t="s">
        <v>480</v>
      </c>
      <c r="G20" t="s">
        <v>21</v>
      </c>
      <c r="W20" s="5"/>
    </row>
    <row r="21" spans="1:25">
      <c r="B21" s="245" t="s">
        <v>914</v>
      </c>
      <c r="C21" s="343">
        <f>H_flueSI</f>
        <v>5.8927998114304057</v>
      </c>
      <c r="D21" t="s">
        <v>22</v>
      </c>
      <c r="G21" t="s">
        <v>23</v>
      </c>
      <c r="W21" s="5"/>
    </row>
    <row r="22" spans="1:25">
      <c r="A22" s="334"/>
      <c r="B22" s="334" t="s">
        <v>915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900</v>
      </c>
      <c r="C23" s="343">
        <f>Leakage!B12</f>
        <v>0.26041666666666663</v>
      </c>
      <c r="D23" t="s">
        <v>372</v>
      </c>
      <c r="E23" s="266" t="s">
        <v>28</v>
      </c>
      <c r="G23" t="s">
        <v>7</v>
      </c>
      <c r="W23" s="5"/>
    </row>
    <row r="24" spans="1:25">
      <c r="B24" t="s">
        <v>901</v>
      </c>
      <c r="C24" s="343">
        <f>Leakage!B13</f>
        <v>0.26041666666666663</v>
      </c>
      <c r="D24" t="s">
        <v>373</v>
      </c>
      <c r="E24" s="266"/>
      <c r="G24" t="s">
        <v>7</v>
      </c>
      <c r="W24" s="5"/>
    </row>
    <row r="25" spans="1:25">
      <c r="B25" t="s">
        <v>902</v>
      </c>
      <c r="C25" s="343">
        <f>Leakage!B14</f>
        <v>0.23958333333333331</v>
      </c>
      <c r="D25" t="s">
        <v>374</v>
      </c>
      <c r="E25" s="266"/>
      <c r="G25" t="s">
        <v>7</v>
      </c>
      <c r="W25" s="5"/>
    </row>
    <row r="26" spans="1:25">
      <c r="B26" s="334" t="s">
        <v>903</v>
      </c>
      <c r="C26" s="343">
        <f>Leakage!B15</f>
        <v>0.23958333333333331</v>
      </c>
      <c r="D26" s="334" t="s">
        <v>375</v>
      </c>
      <c r="E26" s="541"/>
      <c r="F26" s="334"/>
      <c r="G26" s="334" t="s">
        <v>7</v>
      </c>
      <c r="W26" s="5"/>
    </row>
    <row r="27" spans="1:25">
      <c r="B27" t="s">
        <v>904</v>
      </c>
      <c r="C27" s="343">
        <f>Leakage!B16</f>
        <v>0.26041666666666663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905</v>
      </c>
      <c r="C28" s="343">
        <f>Leakage!B17</f>
        <v>0.26041666666666663</v>
      </c>
      <c r="D28" t="s">
        <v>34</v>
      </c>
      <c r="E28" s="266"/>
      <c r="G28" t="s">
        <v>7</v>
      </c>
      <c r="W28" s="5"/>
      <c r="Y28" s="124"/>
    </row>
    <row r="29" spans="1:25">
      <c r="B29" t="s">
        <v>906</v>
      </c>
      <c r="C29" s="343">
        <f>Leakage!B18</f>
        <v>0.23958333333333331</v>
      </c>
      <c r="D29" t="s">
        <v>35</v>
      </c>
      <c r="E29" s="266"/>
      <c r="G29" t="s">
        <v>7</v>
      </c>
    </row>
    <row r="30" spans="1:25">
      <c r="B30" s="334" t="s">
        <v>907</v>
      </c>
      <c r="C30" s="343">
        <f>Leakage!B19</f>
        <v>0.23958333333333331</v>
      </c>
      <c r="D30" s="334" t="s">
        <v>922</v>
      </c>
      <c r="E30" s="541"/>
      <c r="F30" s="334"/>
      <c r="G30" s="334" t="s">
        <v>7</v>
      </c>
    </row>
    <row r="31" spans="1:25">
      <c r="B31" t="s">
        <v>908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917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1011</v>
      </c>
      <c r="B33" t="s">
        <v>383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918</v>
      </c>
      <c r="C34" s="330" t="s">
        <v>15</v>
      </c>
      <c r="D34" t="s">
        <v>1402</v>
      </c>
      <c r="E34" s="540" t="s">
        <v>1376</v>
      </c>
      <c r="G34" t="s">
        <v>11</v>
      </c>
    </row>
    <row r="35" spans="1:7">
      <c r="B35" t="s">
        <v>919</v>
      </c>
      <c r="C35" s="345">
        <f>V_houseSI</f>
        <v>535.18789625849854</v>
      </c>
      <c r="D35" t="s">
        <v>40</v>
      </c>
      <c r="G35" t="s">
        <v>14</v>
      </c>
    </row>
    <row r="36" spans="1:7">
      <c r="B36" t="s">
        <v>920</v>
      </c>
      <c r="C36" s="345">
        <f>A_houseSI</f>
        <v>195.09</v>
      </c>
      <c r="D36" t="s">
        <v>41</v>
      </c>
      <c r="E36" t="s">
        <v>923</v>
      </c>
      <c r="F36" t="s">
        <v>42</v>
      </c>
      <c r="G36" t="s">
        <v>14</v>
      </c>
    </row>
    <row r="37" spans="1:7">
      <c r="B37" t="s">
        <v>921</v>
      </c>
      <c r="C37" s="345">
        <f>planareaSI</f>
        <v>195.09</v>
      </c>
      <c r="D37" t="s">
        <v>382</v>
      </c>
      <c r="G37" t="s">
        <v>14</v>
      </c>
    </row>
    <row r="38" spans="1:7">
      <c r="B38" t="s">
        <v>844</v>
      </c>
      <c r="C38" s="345">
        <f>H_storeySI</f>
        <v>2.743199912217603</v>
      </c>
      <c r="D38" t="s">
        <v>845</v>
      </c>
      <c r="G38" s="245" t="s">
        <v>14</v>
      </c>
    </row>
    <row r="39" spans="1:7">
      <c r="B39" t="s">
        <v>924</v>
      </c>
      <c r="C39" s="346">
        <f>UA!AC12</f>
        <v>41.166816501080007</v>
      </c>
      <c r="D39" t="s">
        <v>881</v>
      </c>
      <c r="E39" t="s">
        <v>929</v>
      </c>
      <c r="F39" t="s">
        <v>43</v>
      </c>
      <c r="G39" t="s">
        <v>44</v>
      </c>
    </row>
    <row r="40" spans="1:7">
      <c r="B40" t="s">
        <v>925</v>
      </c>
      <c r="C40" s="346">
        <f>UA!AC14</f>
        <v>84.85631728459785</v>
      </c>
      <c r="D40" t="s">
        <v>882</v>
      </c>
      <c r="E40" t="s">
        <v>930</v>
      </c>
      <c r="F40" t="s">
        <v>43</v>
      </c>
      <c r="G40" t="s">
        <v>44</v>
      </c>
    </row>
    <row r="41" spans="1:7">
      <c r="A41" s="334"/>
      <c r="B41" s="334" t="s">
        <v>926</v>
      </c>
      <c r="C41" s="347">
        <f>UA!AC13</f>
        <v>70.894145280000004</v>
      </c>
      <c r="D41" s="334" t="s">
        <v>883</v>
      </c>
      <c r="E41" s="334" t="s">
        <v>931</v>
      </c>
      <c r="F41" s="334"/>
      <c r="G41" s="334" t="s">
        <v>44</v>
      </c>
    </row>
    <row r="42" spans="1:7">
      <c r="A42" s="245" t="s">
        <v>45</v>
      </c>
      <c r="B42" t="s">
        <v>927</v>
      </c>
      <c r="C42" s="335">
        <v>0</v>
      </c>
      <c r="D42" t="s">
        <v>46</v>
      </c>
      <c r="G42" t="s">
        <v>11</v>
      </c>
    </row>
    <row r="43" spans="1:7">
      <c r="B43" t="s">
        <v>846</v>
      </c>
      <c r="C43" s="330">
        <v>0</v>
      </c>
    </row>
    <row r="44" spans="1:7">
      <c r="B44" t="s">
        <v>847</v>
      </c>
      <c r="C44" s="330">
        <v>0</v>
      </c>
    </row>
    <row r="45" spans="1:7">
      <c r="B45" t="s">
        <v>848</v>
      </c>
      <c r="C45" s="330">
        <v>0</v>
      </c>
    </row>
    <row r="46" spans="1:7">
      <c r="B46" t="s">
        <v>849</v>
      </c>
      <c r="C46" s="330">
        <v>0</v>
      </c>
    </row>
    <row r="47" spans="1:7">
      <c r="A47" s="334"/>
      <c r="B47" s="334" t="s">
        <v>850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928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934</v>
      </c>
      <c r="C49" s="348">
        <f>Fans!B12</f>
        <v>16.917738813727798</v>
      </c>
      <c r="D49" t="s">
        <v>615</v>
      </c>
      <c r="G49" t="s">
        <v>49</v>
      </c>
    </row>
    <row r="50" spans="2:7">
      <c r="B50" t="s">
        <v>932</v>
      </c>
      <c r="C50" s="353">
        <f>Fans!B13</f>
        <v>-3.8793255706782388E-2</v>
      </c>
      <c r="D50" t="s">
        <v>50</v>
      </c>
      <c r="G50" t="s">
        <v>49</v>
      </c>
    </row>
    <row r="51" spans="2:7">
      <c r="B51" s="334" t="s">
        <v>933</v>
      </c>
      <c r="C51" s="428">
        <f>Fans!B14</f>
        <v>1</v>
      </c>
      <c r="D51" s="334" t="s">
        <v>616</v>
      </c>
      <c r="E51" s="334"/>
      <c r="F51" s="334" t="s">
        <v>51</v>
      </c>
      <c r="G51" s="334" t="s">
        <v>49</v>
      </c>
    </row>
    <row r="52" spans="2:7">
      <c r="B52" s="245" t="s">
        <v>935</v>
      </c>
      <c r="C52" s="341">
        <f>Fans!I54</f>
        <v>0</v>
      </c>
      <c r="D52" t="s">
        <v>617</v>
      </c>
      <c r="G52" t="s">
        <v>49</v>
      </c>
    </row>
    <row r="53" spans="2:7">
      <c r="B53" s="245" t="s">
        <v>936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937</v>
      </c>
      <c r="C54" s="330">
        <v>23</v>
      </c>
      <c r="D54" s="334" t="s">
        <v>618</v>
      </c>
      <c r="E54" s="334"/>
      <c r="F54" s="334"/>
      <c r="G54" s="334"/>
    </row>
    <row r="55" spans="2:7">
      <c r="B55" s="245" t="s">
        <v>938</v>
      </c>
      <c r="C55" s="350">
        <f>Fans!I52</f>
        <v>37.200000000000003</v>
      </c>
      <c r="D55" t="s">
        <v>619</v>
      </c>
      <c r="G55" t="s">
        <v>49</v>
      </c>
    </row>
    <row r="56" spans="2:7">
      <c r="B56" s="245" t="s">
        <v>939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940</v>
      </c>
      <c r="C57" s="330">
        <v>24</v>
      </c>
      <c r="D57" s="334" t="s">
        <v>620</v>
      </c>
      <c r="E57" s="334"/>
      <c r="F57" s="334"/>
      <c r="G57" s="334"/>
    </row>
    <row r="58" spans="2:7">
      <c r="B58" s="245" t="s">
        <v>941</v>
      </c>
      <c r="C58" s="341">
        <f>IF(Fans!B6&gt;0,Fans!I51,0)</f>
        <v>10.199999999999999</v>
      </c>
      <c r="D58" t="s">
        <v>621</v>
      </c>
      <c r="G58" t="s">
        <v>49</v>
      </c>
    </row>
    <row r="59" spans="2:7">
      <c r="B59" s="245" t="s">
        <v>942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943</v>
      </c>
      <c r="C60" s="330">
        <v>25</v>
      </c>
      <c r="D60" s="334" t="s">
        <v>622</v>
      </c>
      <c r="E60" s="334"/>
      <c r="F60" s="334"/>
      <c r="G60" s="334"/>
    </row>
    <row r="61" spans="2:7">
      <c r="B61" s="245" t="s">
        <v>944</v>
      </c>
      <c r="C61" s="341">
        <f>IF(Fans!B6&gt;1,Fans!I51,0)</f>
        <v>10.199999999999999</v>
      </c>
      <c r="D61" t="s">
        <v>501</v>
      </c>
      <c r="G61" s="245" t="s">
        <v>49</v>
      </c>
    </row>
    <row r="62" spans="2:7">
      <c r="B62" s="245" t="s">
        <v>945</v>
      </c>
      <c r="C62" s="349">
        <f>IF(Fans!B6&gt;1,Fans!C51,0)</f>
        <v>-2.3596035865974516E-2</v>
      </c>
      <c r="D62" t="s">
        <v>499</v>
      </c>
      <c r="G62" s="245" t="s">
        <v>49</v>
      </c>
    </row>
    <row r="63" spans="2:7">
      <c r="B63" s="334" t="s">
        <v>946</v>
      </c>
      <c r="C63" s="330">
        <v>26</v>
      </c>
      <c r="D63" s="334" t="s">
        <v>623</v>
      </c>
      <c r="E63" s="334"/>
      <c r="F63" s="334"/>
      <c r="G63" s="334"/>
    </row>
    <row r="64" spans="2:7">
      <c r="B64" s="245" t="s">
        <v>947</v>
      </c>
      <c r="C64" s="341">
        <f>IF(Fans!B6&gt;2,Fans!I51,0)</f>
        <v>0</v>
      </c>
      <c r="D64" t="s">
        <v>624</v>
      </c>
      <c r="G64" s="245" t="s">
        <v>49</v>
      </c>
    </row>
    <row r="65" spans="1:7">
      <c r="B65" s="245" t="s">
        <v>948</v>
      </c>
      <c r="C65" s="349">
        <f>IF(Fans!B6&gt;2,Fans!C51,0)</f>
        <v>0</v>
      </c>
      <c r="D65" t="s">
        <v>500</v>
      </c>
      <c r="G65" s="245" t="s">
        <v>49</v>
      </c>
    </row>
    <row r="66" spans="1:7">
      <c r="B66" s="334" t="s">
        <v>949</v>
      </c>
      <c r="C66" s="330">
        <v>0</v>
      </c>
      <c r="D66" s="334" t="s">
        <v>625</v>
      </c>
      <c r="E66" s="334"/>
      <c r="F66" s="334"/>
      <c r="G66" s="334"/>
    </row>
    <row r="67" spans="1:7">
      <c r="B67" s="245" t="s">
        <v>950</v>
      </c>
      <c r="C67" s="337">
        <f>IF(Airtightness&lt;=1,Fans!B12,0)</f>
        <v>16.917738813727798</v>
      </c>
      <c r="D67" t="s">
        <v>1016</v>
      </c>
      <c r="G67" s="245"/>
    </row>
    <row r="68" spans="1:7">
      <c r="B68" s="245" t="s">
        <v>951</v>
      </c>
      <c r="C68" s="331">
        <f>IF(Airtightness&lt;=1,ABS(Fans!B13),0)</f>
        <v>3.8793255706782388E-2</v>
      </c>
      <c r="D68" t="s">
        <v>1403</v>
      </c>
      <c r="G68" s="245"/>
    </row>
    <row r="69" spans="1:7">
      <c r="B69" s="334" t="s">
        <v>952</v>
      </c>
      <c r="C69" s="330">
        <f>IF(Airtightness&lt;=1,1,0)</f>
        <v>1</v>
      </c>
      <c r="D69" s="334" t="s">
        <v>1405</v>
      </c>
      <c r="E69" s="334"/>
      <c r="F69" s="334"/>
      <c r="G69" s="334"/>
    </row>
    <row r="70" spans="1:7">
      <c r="B70" s="245" t="s">
        <v>953</v>
      </c>
      <c r="C70" s="337">
        <v>0</v>
      </c>
      <c r="D70" t="s">
        <v>1015</v>
      </c>
      <c r="G70" s="245"/>
    </row>
    <row r="71" spans="1:7">
      <c r="B71" s="245" t="s">
        <v>954</v>
      </c>
      <c r="C71" s="331">
        <v>0</v>
      </c>
      <c r="D71" t="s">
        <v>1404</v>
      </c>
      <c r="G71" s="245"/>
    </row>
    <row r="72" spans="1:7">
      <c r="A72" s="334"/>
      <c r="B72" s="334" t="s">
        <v>955</v>
      </c>
      <c r="C72" s="330">
        <v>0</v>
      </c>
      <c r="D72" s="334" t="s">
        <v>1406</v>
      </c>
      <c r="E72" s="334"/>
      <c r="F72" s="334"/>
      <c r="G72" s="334"/>
    </row>
    <row r="73" spans="1:7">
      <c r="A73" s="245" t="s">
        <v>56</v>
      </c>
      <c r="B73" t="s">
        <v>384</v>
      </c>
      <c r="C73" s="343">
        <f>A_windowSI*SUM(Geometry!D45:D46)</f>
        <v>18.696124999999999</v>
      </c>
      <c r="D73" t="s">
        <v>57</v>
      </c>
      <c r="E73" t="s">
        <v>1399</v>
      </c>
      <c r="G73" t="s">
        <v>14</v>
      </c>
    </row>
    <row r="74" spans="1:7">
      <c r="B74" t="s">
        <v>385</v>
      </c>
      <c r="C74" s="343">
        <f>A_windowSI*Geometry!D43</f>
        <v>10.160937499999999</v>
      </c>
      <c r="D74" t="s">
        <v>58</v>
      </c>
      <c r="E74" s="245" t="s">
        <v>1399</v>
      </c>
      <c r="G74" t="s">
        <v>14</v>
      </c>
    </row>
    <row r="75" spans="1:7">
      <c r="B75" t="s">
        <v>386</v>
      </c>
      <c r="C75" s="343">
        <f>A_windowSI*Geometry!D44</f>
        <v>10.160937499999999</v>
      </c>
      <c r="D75" t="s">
        <v>476</v>
      </c>
      <c r="E75" s="245" t="s">
        <v>1399</v>
      </c>
      <c r="G75" t="s">
        <v>14</v>
      </c>
    </row>
    <row r="76" spans="1:7">
      <c r="B76" t="s">
        <v>956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957</v>
      </c>
      <c r="C77" s="354">
        <f>UA!AC18</f>
        <v>3.8025553171731401</v>
      </c>
      <c r="D77" t="s">
        <v>61</v>
      </c>
      <c r="F77" t="s">
        <v>60</v>
      </c>
      <c r="G77" t="s">
        <v>44</v>
      </c>
    </row>
    <row r="78" spans="1:7">
      <c r="B78" t="s">
        <v>958</v>
      </c>
      <c r="C78" s="354">
        <f>UA!AC19</f>
        <v>5.6239473598527123</v>
      </c>
      <c r="D78" t="s">
        <v>62</v>
      </c>
      <c r="G78" t="s">
        <v>44</v>
      </c>
    </row>
    <row r="79" spans="1:7">
      <c r="B79" t="s">
        <v>959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960</v>
      </c>
      <c r="C80" s="352">
        <f>'Internal gains'!D6</f>
        <v>774.72889800703399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961</v>
      </c>
      <c r="C81" s="345">
        <f>V_atticSI</f>
        <v>247.76429207154263</v>
      </c>
      <c r="D81" t="s">
        <v>477</v>
      </c>
      <c r="G81" s="245" t="s">
        <v>14</v>
      </c>
    </row>
    <row r="82" spans="1:7">
      <c r="B82" t="s">
        <v>962</v>
      </c>
      <c r="C82" s="343">
        <f>Attic!D14</f>
        <v>0.36823315582877392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963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964</v>
      </c>
      <c r="C84" s="341">
        <f>Attic!D18</f>
        <v>0.23437499999999997</v>
      </c>
      <c r="D84" t="s">
        <v>74</v>
      </c>
      <c r="E84" s="266" t="s">
        <v>27</v>
      </c>
      <c r="G84" t="s">
        <v>70</v>
      </c>
    </row>
    <row r="85" spans="1:7">
      <c r="B85" t="s">
        <v>965</v>
      </c>
      <c r="C85" s="341">
        <f>Attic!D19</f>
        <v>0.23437499999999997</v>
      </c>
      <c r="D85" t="s">
        <v>75</v>
      </c>
      <c r="E85" s="266" t="s">
        <v>29</v>
      </c>
      <c r="G85" t="s">
        <v>70</v>
      </c>
    </row>
    <row r="86" spans="1:7">
      <c r="B86" t="s">
        <v>966</v>
      </c>
      <c r="C86" s="341">
        <f>Attic!D20</f>
        <v>0.21562499999999998</v>
      </c>
      <c r="D86" t="s">
        <v>76</v>
      </c>
      <c r="E86" s="266" t="s">
        <v>30</v>
      </c>
      <c r="G86" t="s">
        <v>70</v>
      </c>
    </row>
    <row r="87" spans="1:7">
      <c r="B87" t="s">
        <v>967</v>
      </c>
      <c r="C87" s="341">
        <f>Attic!D21</f>
        <v>0.21562499999999998</v>
      </c>
      <c r="D87" t="s">
        <v>77</v>
      </c>
      <c r="E87" s="266" t="s">
        <v>31</v>
      </c>
      <c r="G87" t="s">
        <v>70</v>
      </c>
    </row>
    <row r="88" spans="1:7">
      <c r="B88" s="334" t="s">
        <v>968</v>
      </c>
      <c r="C88" s="342">
        <f>Attic!D22</f>
        <v>0.1</v>
      </c>
      <c r="D88" s="334" t="s">
        <v>78</v>
      </c>
      <c r="E88" s="541"/>
      <c r="F88" s="334"/>
      <c r="G88" s="334" t="s">
        <v>70</v>
      </c>
    </row>
    <row r="89" spans="1:7">
      <c r="B89" t="s">
        <v>969</v>
      </c>
      <c r="C89" s="341">
        <f>H_soffitSI</f>
        <v>3.3527998927104035</v>
      </c>
      <c r="D89" t="s">
        <v>79</v>
      </c>
      <c r="E89" s="266"/>
      <c r="G89" t="s">
        <v>14</v>
      </c>
    </row>
    <row r="90" spans="1:7">
      <c r="B90" t="s">
        <v>970</v>
      </c>
      <c r="C90" s="341">
        <f>H_soffitSI</f>
        <v>3.3527998927104035</v>
      </c>
      <c r="D90" t="s">
        <v>80</v>
      </c>
      <c r="E90" s="266"/>
      <c r="G90" t="s">
        <v>14</v>
      </c>
    </row>
    <row r="91" spans="1:7">
      <c r="B91" t="s">
        <v>971</v>
      </c>
      <c r="C91" s="341">
        <f>H_soffitSI</f>
        <v>3.3527998927104035</v>
      </c>
      <c r="D91" t="s">
        <v>81</v>
      </c>
      <c r="E91" s="266"/>
      <c r="G91" t="s">
        <v>14</v>
      </c>
    </row>
    <row r="92" spans="1:7">
      <c r="A92" s="334"/>
      <c r="B92" s="334" t="s">
        <v>972</v>
      </c>
      <c r="C92" s="342">
        <f>H_soffitSI</f>
        <v>3.3527998927104035</v>
      </c>
      <c r="D92" s="334" t="s">
        <v>82</v>
      </c>
      <c r="E92" s="541"/>
      <c r="F92" s="334"/>
      <c r="G92" s="334" t="s">
        <v>14</v>
      </c>
    </row>
    <row r="93" spans="1:7">
      <c r="A93" s="245" t="s">
        <v>83</v>
      </c>
      <c r="B93" t="s">
        <v>973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1083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1084</v>
      </c>
      <c r="C95" s="343">
        <f>H_attic.ventSI</f>
        <v>4.6227998520704041</v>
      </c>
      <c r="D95" t="s">
        <v>86</v>
      </c>
      <c r="E95" s="266"/>
      <c r="G95" s="245" t="s">
        <v>14</v>
      </c>
    </row>
    <row r="96" spans="1:7">
      <c r="B96" t="s">
        <v>1085</v>
      </c>
      <c r="C96" s="343">
        <f>Attic!D10/2</f>
        <v>0.32514999999999999</v>
      </c>
      <c r="D96" t="s">
        <v>87</v>
      </c>
      <c r="E96" s="266"/>
      <c r="G96" t="s">
        <v>70</v>
      </c>
    </row>
    <row r="97" spans="1:7">
      <c r="B97" s="334" t="s">
        <v>1086</v>
      </c>
      <c r="C97" s="330">
        <v>0.5</v>
      </c>
      <c r="D97" s="334" t="s">
        <v>88</v>
      </c>
      <c r="E97" s="541"/>
      <c r="F97" s="334"/>
      <c r="G97" s="334" t="s">
        <v>11</v>
      </c>
    </row>
    <row r="98" spans="1:7">
      <c r="B98" s="245" t="s">
        <v>1087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1088</v>
      </c>
      <c r="C99" s="343">
        <f>H_attic.ventSI</f>
        <v>4.6227998520704041</v>
      </c>
      <c r="D99" t="s">
        <v>86</v>
      </c>
      <c r="E99" s="266"/>
      <c r="G99" s="245" t="s">
        <v>14</v>
      </c>
    </row>
    <row r="100" spans="1:7">
      <c r="B100" s="245" t="s">
        <v>1089</v>
      </c>
      <c r="C100" s="343">
        <f>Attic!D10/2</f>
        <v>0.32514999999999999</v>
      </c>
      <c r="D100" t="s">
        <v>87</v>
      </c>
      <c r="E100" s="266"/>
      <c r="G100" t="s">
        <v>70</v>
      </c>
    </row>
    <row r="101" spans="1:7">
      <c r="A101" s="334"/>
      <c r="B101" s="334" t="s">
        <v>1090</v>
      </c>
      <c r="C101" s="330">
        <v>0.5</v>
      </c>
      <c r="D101" s="334" t="s">
        <v>88</v>
      </c>
      <c r="E101" s="541"/>
      <c r="F101" s="334"/>
      <c r="G101" s="334" t="s">
        <v>11</v>
      </c>
    </row>
    <row r="102" spans="1:7">
      <c r="A102" s="245" t="s">
        <v>147</v>
      </c>
      <c r="B102" t="s">
        <v>974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975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976</v>
      </c>
      <c r="C104" s="345">
        <f>H_peak</f>
        <v>5.8927998114304057</v>
      </c>
      <c r="D104" s="254" t="s">
        <v>393</v>
      </c>
      <c r="E104" s="254"/>
      <c r="F104" s="254"/>
      <c r="G104" s="3" t="s">
        <v>14</v>
      </c>
    </row>
    <row r="105" spans="1:7">
      <c r="B105" t="s">
        <v>977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978</v>
      </c>
    </row>
    <row r="107" spans="1:7">
      <c r="B107" t="s">
        <v>979</v>
      </c>
    </row>
    <row r="108" spans="1:7">
      <c r="B108" t="s">
        <v>980</v>
      </c>
    </row>
    <row r="109" spans="1:7">
      <c r="B109" t="s">
        <v>981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982</v>
      </c>
      <c r="C110" s="330">
        <v>3</v>
      </c>
      <c r="D110" s="96" t="s">
        <v>96</v>
      </c>
      <c r="E110" s="96"/>
      <c r="F110" s="96"/>
      <c r="G110" s="336" t="s">
        <v>11</v>
      </c>
    </row>
    <row r="111" spans="1:7">
      <c r="A111" s="245" t="s">
        <v>95</v>
      </c>
      <c r="B111" t="s">
        <v>983</v>
      </c>
      <c r="C111" s="335">
        <v>0</v>
      </c>
      <c r="D111" s="254" t="s">
        <v>504</v>
      </c>
      <c r="E111" s="254"/>
      <c r="F111" s="254"/>
      <c r="G111" s="3" t="s">
        <v>11</v>
      </c>
    </row>
    <row r="112" spans="1:7">
      <c r="B112" t="s">
        <v>984</v>
      </c>
      <c r="C112" s="353">
        <f>Ducts!I14</f>
        <v>0.05</v>
      </c>
      <c r="D112" s="254" t="s">
        <v>97</v>
      </c>
      <c r="E112" s="254"/>
      <c r="F112" s="254"/>
      <c r="G112" s="3" t="s">
        <v>98</v>
      </c>
    </row>
    <row r="113" spans="1:7">
      <c r="B113" t="s">
        <v>985</v>
      </c>
      <c r="C113" s="353">
        <f>Ducts!I14</f>
        <v>0.05</v>
      </c>
      <c r="D113" s="254" t="s">
        <v>99</v>
      </c>
      <c r="E113" s="254"/>
      <c r="F113" s="254"/>
      <c r="G113" s="3" t="s">
        <v>98</v>
      </c>
    </row>
    <row r="114" spans="1:7">
      <c r="B114" t="s">
        <v>100</v>
      </c>
      <c r="C114" s="353">
        <f>Ducts!I16</f>
        <v>1.5322296583303978</v>
      </c>
      <c r="D114" s="254" t="s">
        <v>101</v>
      </c>
      <c r="E114" s="254"/>
      <c r="F114" s="254"/>
      <c r="G114" s="3" t="s">
        <v>98</v>
      </c>
    </row>
    <row r="115" spans="1:7">
      <c r="B115" t="s">
        <v>102</v>
      </c>
      <c r="C115" s="353">
        <f>Ducts!I16</f>
        <v>1.5322296583303978</v>
      </c>
      <c r="D115" s="254" t="s">
        <v>103</v>
      </c>
      <c r="E115" s="254"/>
      <c r="F115" s="254"/>
      <c r="G115" s="3" t="s">
        <v>98</v>
      </c>
    </row>
    <row r="116" spans="1:7">
      <c r="B116" t="s">
        <v>1118</v>
      </c>
      <c r="C116" s="425">
        <v>2.5000000000000001E-2</v>
      </c>
      <c r="D116" s="257" t="s">
        <v>1120</v>
      </c>
      <c r="E116" s="254"/>
      <c r="F116" s="254"/>
      <c r="G116" s="3" t="s">
        <v>98</v>
      </c>
    </row>
    <row r="117" spans="1:7">
      <c r="B117" t="s">
        <v>1119</v>
      </c>
      <c r="C117" s="425">
        <v>2.5000000000000001E-2</v>
      </c>
      <c r="D117" s="257" t="s">
        <v>1121</v>
      </c>
      <c r="E117" s="254"/>
      <c r="F117" s="254"/>
      <c r="G117" s="3" t="s">
        <v>98</v>
      </c>
    </row>
    <row r="118" spans="1:7">
      <c r="B118" t="s">
        <v>986</v>
      </c>
      <c r="C118" s="345">
        <f>Ducts!D16</f>
        <v>67.069196408781849</v>
      </c>
      <c r="D118" s="254" t="s">
        <v>104</v>
      </c>
      <c r="E118" s="254"/>
      <c r="F118" s="254"/>
      <c r="G118" s="3" t="s">
        <v>98</v>
      </c>
    </row>
    <row r="119" spans="1:7">
      <c r="B119" t="s">
        <v>987</v>
      </c>
      <c r="C119" s="345">
        <f>Ducts!D17</f>
        <v>6.9001230873232355</v>
      </c>
      <c r="D119" s="254" t="s">
        <v>105</v>
      </c>
      <c r="E119" s="254"/>
      <c r="F119" s="254"/>
      <c r="G119" s="3" t="s">
        <v>98</v>
      </c>
    </row>
    <row r="120" spans="1:7">
      <c r="B120" t="s">
        <v>988</v>
      </c>
      <c r="C120" s="341">
        <f>Ducts!D12</f>
        <v>0.25</v>
      </c>
      <c r="D120" s="254" t="s">
        <v>106</v>
      </c>
      <c r="E120" s="254"/>
      <c r="F120" s="254"/>
      <c r="G120" s="3" t="s">
        <v>98</v>
      </c>
    </row>
    <row r="121" spans="1:7">
      <c r="B121" t="s">
        <v>989</v>
      </c>
      <c r="C121" s="341">
        <f>Ducts!D13</f>
        <v>0.45</v>
      </c>
      <c r="D121" s="254" t="s">
        <v>478</v>
      </c>
      <c r="E121" s="254"/>
      <c r="F121" s="254"/>
      <c r="G121" s="3" t="s">
        <v>98</v>
      </c>
    </row>
    <row r="122" spans="1:7">
      <c r="B122" t="s">
        <v>990</v>
      </c>
      <c r="C122" s="353">
        <f>HVAC!B135</f>
        <v>0.28320000000000001</v>
      </c>
      <c r="D122" s="254" t="s">
        <v>630</v>
      </c>
      <c r="E122" s="254" t="str">
        <f>"q=" &amp;TEXT(Inputs!C122/0.3048^3*60,"0")&amp; " CFM"</f>
        <v>q=600 CFM</v>
      </c>
      <c r="F122" s="254"/>
      <c r="G122" s="3" t="s">
        <v>107</v>
      </c>
    </row>
    <row r="123" spans="1:7">
      <c r="B123" t="s">
        <v>991</v>
      </c>
      <c r="C123" s="353">
        <f>HVAC!B139</f>
        <v>0.19031039999999999</v>
      </c>
      <c r="D123" s="254" t="s">
        <v>108</v>
      </c>
      <c r="E123" s="254" t="str">
        <f>"q=" &amp;TEXT(Inputs!C123/0.3048^3*60,"0")&amp; " CFM"</f>
        <v>q=403 CFM</v>
      </c>
      <c r="F123" s="254"/>
      <c r="G123" s="3" t="s">
        <v>107</v>
      </c>
    </row>
    <row r="124" spans="1:7">
      <c r="B124" t="s">
        <v>109</v>
      </c>
      <c r="C124" s="341">
        <f>Ducts!D20</f>
        <v>0.6</v>
      </c>
      <c r="D124" s="254" t="s">
        <v>110</v>
      </c>
      <c r="E124" s="254"/>
      <c r="F124" s="254"/>
      <c r="G124" s="3" t="s">
        <v>98</v>
      </c>
    </row>
    <row r="125" spans="1:7">
      <c r="B125" t="s">
        <v>111</v>
      </c>
      <c r="C125" s="341">
        <f>Ducts!D21</f>
        <v>0.6</v>
      </c>
      <c r="D125" s="254" t="s">
        <v>112</v>
      </c>
      <c r="E125" s="254"/>
      <c r="F125" s="254"/>
      <c r="G125" s="3" t="s">
        <v>98</v>
      </c>
    </row>
    <row r="126" spans="1:7">
      <c r="B126" t="s">
        <v>113</v>
      </c>
      <c r="C126" s="355">
        <f>HVAC!B141</f>
        <v>1.0262880037676171E-3</v>
      </c>
      <c r="D126" s="254" t="s">
        <v>114</v>
      </c>
      <c r="E126" s="254"/>
      <c r="F126" s="254"/>
      <c r="G126" s="3" t="s">
        <v>107</v>
      </c>
    </row>
    <row r="127" spans="1:7">
      <c r="A127" s="334"/>
      <c r="B127" s="334" t="s">
        <v>115</v>
      </c>
      <c r="C127" s="355">
        <f>HVAC!B142</f>
        <v>1.0262880037676171E-3</v>
      </c>
      <c r="D127" s="96" t="s">
        <v>116</v>
      </c>
      <c r="E127" s="96"/>
      <c r="F127" s="96"/>
      <c r="G127" s="336" t="s">
        <v>107</v>
      </c>
    </row>
    <row r="128" spans="1:7">
      <c r="A128" s="245" t="s">
        <v>479</v>
      </c>
      <c r="B128" t="s">
        <v>388</v>
      </c>
      <c r="C128" s="353">
        <f>HVAC!B133</f>
        <v>1.5</v>
      </c>
      <c r="D128" s="254" t="s">
        <v>117</v>
      </c>
      <c r="E128" s="254" t="str">
        <f>"= "&amp;TEXT(Inputs!C128*12*1055/1000,"0.0")&amp;"kJ"</f>
        <v>= 19.0kJ</v>
      </c>
      <c r="F128" s="254"/>
      <c r="G128" s="3" t="s">
        <v>107</v>
      </c>
    </row>
    <row r="129" spans="1:7">
      <c r="B129" t="s">
        <v>389</v>
      </c>
      <c r="C129" s="356">
        <f>12*C128</f>
        <v>18</v>
      </c>
      <c r="D129" s="254" t="s">
        <v>118</v>
      </c>
      <c r="E129" s="254" t="str">
        <f>"= "&amp;TEXT(Inputs!C129*1055*1000/(3600)/1000,"0.0")&amp;"kW"</f>
        <v>= 5.3kW</v>
      </c>
      <c r="F129" s="254"/>
      <c r="G129" s="3" t="s">
        <v>107</v>
      </c>
    </row>
    <row r="130" spans="1:7">
      <c r="B130" t="s">
        <v>387</v>
      </c>
      <c r="C130" s="354">
        <f>HVAC!C10</f>
        <v>12.8</v>
      </c>
      <c r="D130" s="254" t="s">
        <v>119</v>
      </c>
      <c r="E130" s="254" t="s">
        <v>120</v>
      </c>
      <c r="F130" s="254"/>
      <c r="G130" s="3" t="s">
        <v>107</v>
      </c>
    </row>
    <row r="131" spans="1:7">
      <c r="B131" t="s">
        <v>992</v>
      </c>
      <c r="C131" s="354">
        <f>12000/1000*HVAC!B137</f>
        <v>24</v>
      </c>
      <c r="D131" s="254" t="s">
        <v>121</v>
      </c>
      <c r="E131" s="254" t="str">
        <f>"= "&amp;TEXT(Inputs!C131*1055*1000/(3600)/1000,"0.0")&amp;"kW"</f>
        <v>= 7.0kW</v>
      </c>
      <c r="F131" s="254"/>
      <c r="G131" s="3" t="s">
        <v>107</v>
      </c>
    </row>
    <row r="132" spans="1:7">
      <c r="B132" t="s">
        <v>993</v>
      </c>
      <c r="C132" s="354">
        <f>HVAC!B140</f>
        <v>161.28</v>
      </c>
      <c r="D132" s="254" t="s">
        <v>430</v>
      </c>
      <c r="E132" s="254"/>
      <c r="F132" s="254"/>
      <c r="G132" s="3" t="s">
        <v>107</v>
      </c>
    </row>
    <row r="133" spans="1:7">
      <c r="B133" t="s">
        <v>994</v>
      </c>
      <c r="C133" s="354">
        <f>HVAC!B136</f>
        <v>240</v>
      </c>
      <c r="D133" s="254" t="s">
        <v>431</v>
      </c>
      <c r="E133" s="254"/>
      <c r="F133" s="254"/>
      <c r="G133" s="3" t="s">
        <v>107</v>
      </c>
    </row>
    <row r="134" spans="1:7">
      <c r="B134" t="s">
        <v>390</v>
      </c>
      <c r="C134" s="330">
        <v>1</v>
      </c>
      <c r="D134" s="80" t="s">
        <v>432</v>
      </c>
      <c r="E134" s="254"/>
      <c r="F134" s="254"/>
      <c r="G134" s="3" t="s">
        <v>11</v>
      </c>
    </row>
    <row r="135" spans="1:7">
      <c r="A135" s="334"/>
      <c r="B135" s="334" t="s">
        <v>370</v>
      </c>
      <c r="C135" s="357">
        <f>HVAC!C14</f>
        <v>0.92</v>
      </c>
      <c r="D135" s="118" t="s">
        <v>429</v>
      </c>
      <c r="E135" s="96"/>
      <c r="F135" s="96"/>
      <c r="G135" s="336" t="s">
        <v>107</v>
      </c>
    </row>
    <row r="136" spans="1:7">
      <c r="A136" s="245" t="s">
        <v>1012</v>
      </c>
      <c r="B136" t="s">
        <v>995</v>
      </c>
      <c r="C136" s="359">
        <f>Nbedrooms</f>
        <v>3</v>
      </c>
      <c r="D136" t="s">
        <v>593</v>
      </c>
      <c r="G136" s="333" t="s">
        <v>318</v>
      </c>
    </row>
    <row r="137" spans="1:7">
      <c r="B137" t="s">
        <v>996</v>
      </c>
      <c r="C137" s="360">
        <f>Stories</f>
        <v>1</v>
      </c>
      <c r="D137" t="s">
        <v>637</v>
      </c>
      <c r="G137" s="333" t="s">
        <v>999</v>
      </c>
    </row>
    <row r="138" spans="1:7">
      <c r="B138" t="s">
        <v>594</v>
      </c>
      <c r="C138" s="358">
        <f>Weather!B44</f>
        <v>0.56000000000000005</v>
      </c>
      <c r="D138" t="s">
        <v>595</v>
      </c>
      <c r="G138" s="333" t="s">
        <v>1017</v>
      </c>
    </row>
    <row r="139" spans="1:7">
      <c r="B139" t="s">
        <v>851</v>
      </c>
      <c r="C139" s="330">
        <v>2</v>
      </c>
      <c r="D139" t="s">
        <v>860</v>
      </c>
      <c r="E139" t="s">
        <v>869</v>
      </c>
    </row>
    <row r="140" spans="1:7">
      <c r="B140" t="s">
        <v>1149</v>
      </c>
      <c r="C140" s="330">
        <f>Aeq/1000*3600/V_houseSI</f>
        <v>0.2910166711333334</v>
      </c>
      <c r="D140" t="s">
        <v>1150</v>
      </c>
    </row>
    <row r="141" spans="1:7" s="245" customFormat="1">
      <c r="B141" s="245" t="s">
        <v>1151</v>
      </c>
      <c r="C141" s="330">
        <v>0</v>
      </c>
      <c r="D141" s="245" t="s">
        <v>1154</v>
      </c>
      <c r="E141" s="245" t="s">
        <v>1152</v>
      </c>
    </row>
    <row r="142" spans="1:7">
      <c r="A142" s="334"/>
      <c r="B142" s="334" t="s">
        <v>852</v>
      </c>
      <c r="C142" s="330">
        <v>0</v>
      </c>
      <c r="D142" s="334" t="s">
        <v>861</v>
      </c>
      <c r="E142" s="334" t="s">
        <v>870</v>
      </c>
      <c r="F142" s="334"/>
      <c r="G142" s="334"/>
    </row>
    <row r="143" spans="1:7">
      <c r="A143" s="245" t="s">
        <v>1013</v>
      </c>
      <c r="B143" t="s">
        <v>853</v>
      </c>
      <c r="C143" s="335">
        <v>0.82</v>
      </c>
      <c r="D143" t="s">
        <v>862</v>
      </c>
    </row>
    <row r="144" spans="1:7">
      <c r="B144" t="s">
        <v>854</v>
      </c>
      <c r="C144" s="330">
        <v>0.63</v>
      </c>
      <c r="D144" t="s">
        <v>863</v>
      </c>
      <c r="E144" t="s">
        <v>871</v>
      </c>
    </row>
    <row r="145" spans="1:7">
      <c r="B145" t="s">
        <v>855</v>
      </c>
      <c r="C145" s="330">
        <v>0.51</v>
      </c>
      <c r="D145" t="s">
        <v>864</v>
      </c>
      <c r="E145" t="s">
        <v>871</v>
      </c>
    </row>
    <row r="146" spans="1:7">
      <c r="B146" t="s">
        <v>856</v>
      </c>
      <c r="C146" s="330">
        <v>0</v>
      </c>
      <c r="D146" t="s">
        <v>865</v>
      </c>
      <c r="E146" t="s">
        <v>872</v>
      </c>
    </row>
    <row r="147" spans="1:7">
      <c r="B147" t="s">
        <v>857</v>
      </c>
      <c r="C147" s="330">
        <v>8</v>
      </c>
      <c r="D147" t="s">
        <v>866</v>
      </c>
      <c r="E147" t="s">
        <v>873</v>
      </c>
    </row>
    <row r="148" spans="1:7">
      <c r="B148" t="s">
        <v>858</v>
      </c>
      <c r="C148" s="330">
        <v>0</v>
      </c>
      <c r="D148" t="s">
        <v>867</v>
      </c>
      <c r="E148" t="s">
        <v>874</v>
      </c>
    </row>
    <row r="149" spans="1:7">
      <c r="A149" s="334"/>
      <c r="B149" s="334" t="s">
        <v>859</v>
      </c>
      <c r="C149" s="330">
        <v>1</v>
      </c>
      <c r="D149" s="334" t="s">
        <v>868</v>
      </c>
      <c r="E149" s="334" t="s">
        <v>875</v>
      </c>
      <c r="F149" s="334"/>
      <c r="G149" s="334"/>
    </row>
    <row r="150" spans="1:7">
      <c r="A150" s="245" t="s">
        <v>777</v>
      </c>
      <c r="B150" t="s">
        <v>815</v>
      </c>
      <c r="C150" s="361">
        <f>IF(HumControl=0,0,1)</f>
        <v>0</v>
      </c>
      <c r="D150" t="s">
        <v>817</v>
      </c>
      <c r="E150" t="s">
        <v>780</v>
      </c>
    </row>
    <row r="151" spans="1:7">
      <c r="B151" t="s">
        <v>1157</v>
      </c>
      <c r="C151" s="361">
        <f>HumControl</f>
        <v>0</v>
      </c>
      <c r="D151" t="s">
        <v>1158</v>
      </c>
      <c r="G151" t="s">
        <v>1010</v>
      </c>
    </row>
    <row r="152" spans="1:7" s="245" customFormat="1">
      <c r="B152" s="245" t="s">
        <v>1174</v>
      </c>
      <c r="C152" s="361">
        <f>IF(OR(HumControl=2, HumControl=4),1,0)</f>
        <v>0</v>
      </c>
      <c r="D152" s="245" t="s">
        <v>1175</v>
      </c>
    </row>
    <row r="153" spans="1:7">
      <c r="A153" s="245" t="s">
        <v>1014</v>
      </c>
      <c r="B153" t="s">
        <v>1000</v>
      </c>
      <c r="C153" s="380">
        <f>Dehumidifier!B8</f>
        <v>0</v>
      </c>
      <c r="D153" t="s">
        <v>1006</v>
      </c>
      <c r="E153" t="s">
        <v>1001</v>
      </c>
      <c r="G153" t="s">
        <v>1042</v>
      </c>
    </row>
    <row r="154" spans="1:7">
      <c r="B154" t="s">
        <v>1002</v>
      </c>
      <c r="C154" s="378">
        <f>Dehumidifier!B9</f>
        <v>1.85</v>
      </c>
      <c r="D154" t="s">
        <v>1007</v>
      </c>
      <c r="G154" t="s">
        <v>1042</v>
      </c>
    </row>
    <row r="155" spans="1:7">
      <c r="B155" t="s">
        <v>1003</v>
      </c>
      <c r="C155" s="377">
        <f>Dehumidifier!B10</f>
        <v>55</v>
      </c>
      <c r="D155" t="s">
        <v>1008</v>
      </c>
      <c r="G155" s="245" t="s">
        <v>1042</v>
      </c>
    </row>
    <row r="156" spans="1:7">
      <c r="B156" t="s">
        <v>1004</v>
      </c>
      <c r="C156" s="379">
        <f>Dehumidifier!B11</f>
        <v>2.5</v>
      </c>
      <c r="D156" t="s">
        <v>1009</v>
      </c>
      <c r="E156" t="s">
        <v>1005</v>
      </c>
      <c r="G156" s="245" t="s">
        <v>1042</v>
      </c>
    </row>
    <row r="157" spans="1:7">
      <c r="A157" s="254" t="s">
        <v>1043</v>
      </c>
      <c r="B157" t="s">
        <v>1059</v>
      </c>
      <c r="C157" s="330" t="s">
        <v>1044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59"/>
  <sheetViews>
    <sheetView tabSelected="1"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69" sqref="B69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843</v>
      </c>
      <c r="B2" s="124" t="s">
        <v>898</v>
      </c>
      <c r="C2" s="52" t="str">
        <f>Weather!B52</f>
        <v>725945TYA.csv</v>
      </c>
      <c r="D2" s="52" t="str">
        <f>Weather!C52</f>
        <v>724957TYA.csv</v>
      </c>
      <c r="E2" s="52" t="str">
        <f>Weather!D52</f>
        <v>724930TYA.csv</v>
      </c>
      <c r="F2" s="52" t="str">
        <f>Weather!E52</f>
        <v>724945TYA.csv</v>
      </c>
      <c r="G2" s="52" t="str">
        <f>Weather!F52</f>
        <v>723940TYA.csv</v>
      </c>
      <c r="H2" s="52" t="str">
        <f>Weather!G52</f>
        <v>722950TYA.csv</v>
      </c>
      <c r="I2" s="52" t="str">
        <f>Weather!H52</f>
        <v>722900TYA.csv</v>
      </c>
      <c r="J2" s="52" t="str">
        <f>Weather!I52</f>
        <v>722976TYA.csv</v>
      </c>
      <c r="K2" s="52" t="str">
        <f>Weather!J52</f>
        <v>722880TYA.csv</v>
      </c>
      <c r="L2" s="52" t="str">
        <f>Weather!K52</f>
        <v>722869TYA.csv</v>
      </c>
      <c r="M2" s="52" t="str">
        <f>Weather!L52</f>
        <v>725910TYA.csv</v>
      </c>
      <c r="N2" s="52" t="str">
        <f>Weather!M52</f>
        <v>724830TYA.csv</v>
      </c>
      <c r="O2" s="52" t="str">
        <f>Weather!N52</f>
        <v>723890TYA.csv</v>
      </c>
      <c r="P2" s="52" t="str">
        <f>Weather!O52</f>
        <v>723820TYA.csv</v>
      </c>
      <c r="Q2" s="52" t="str">
        <f>Weather!P52</f>
        <v>747187TYA.csv</v>
      </c>
      <c r="R2" s="52" t="str">
        <f>Weather!Q52</f>
        <v>725845TYA.csv</v>
      </c>
      <c r="Y2" s="1"/>
    </row>
    <row r="3" spans="1:25" s="124" customFormat="1" ht="14">
      <c r="B3" s="124" t="s">
        <v>831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832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833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834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842</v>
      </c>
      <c r="B7" s="254" t="s">
        <v>1141</v>
      </c>
      <c r="C7" s="6">
        <f>Leakage!B4</f>
        <v>1.1135023106541913E-2</v>
      </c>
      <c r="D7" s="6">
        <f>Leakage!C4</f>
        <v>1.1135023106541913E-2</v>
      </c>
      <c r="E7" s="6">
        <f>Leakage!D4</f>
        <v>1.1135023106541913E-2</v>
      </c>
      <c r="F7" s="6">
        <f>Leakage!E4</f>
        <v>1.1135023106541913E-2</v>
      </c>
      <c r="G7" s="6">
        <f>Leakage!F4</f>
        <v>1.1135023106541913E-2</v>
      </c>
      <c r="H7" s="6">
        <f>Leakage!G4</f>
        <v>1.1135023106541913E-2</v>
      </c>
      <c r="I7" s="6">
        <f>Leakage!H4</f>
        <v>1.1135023106541913E-2</v>
      </c>
      <c r="J7" s="6">
        <f>Leakage!I4</f>
        <v>1.1135023106541913E-2</v>
      </c>
      <c r="K7" s="6">
        <f>Leakage!J4</f>
        <v>1.1135023106541913E-2</v>
      </c>
      <c r="L7" s="6">
        <f>Leakage!K4</f>
        <v>1.1135023106541913E-2</v>
      </c>
      <c r="M7" s="6">
        <f>Leakage!L4</f>
        <v>1.1135023106541913E-2</v>
      </c>
      <c r="N7" s="6">
        <f>Leakage!M4</f>
        <v>1.1135023106541913E-2</v>
      </c>
      <c r="O7" s="6">
        <f>Leakage!N4</f>
        <v>1.1135023106541913E-2</v>
      </c>
      <c r="P7" s="6">
        <f>Leakage!O4</f>
        <v>1.1135023106541913E-2</v>
      </c>
      <c r="Q7" s="6">
        <f>Leakage!P4</f>
        <v>1.1135023106541913E-2</v>
      </c>
      <c r="R7" s="6">
        <f>Leakage!Q4</f>
        <v>1.1135023106541913E-2</v>
      </c>
      <c r="S7" s="60"/>
    </row>
    <row r="8" spans="1:25" ht="15" customHeight="1">
      <c r="B8" s="254" t="s">
        <v>886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1136</v>
      </c>
      <c r="C9" s="153">
        <f>Inputs!C9</f>
        <v>0.48</v>
      </c>
      <c r="D9" s="153">
        <f>C9</f>
        <v>0.48</v>
      </c>
      <c r="E9" s="153">
        <f t="shared" ref="E9:R9" si="0">D9</f>
        <v>0.48</v>
      </c>
      <c r="F9" s="153">
        <f t="shared" si="0"/>
        <v>0.48</v>
      </c>
      <c r="G9" s="153">
        <f t="shared" si="0"/>
        <v>0.48</v>
      </c>
      <c r="H9" s="153">
        <f t="shared" si="0"/>
        <v>0.48</v>
      </c>
      <c r="I9" s="153">
        <f t="shared" si="0"/>
        <v>0.48</v>
      </c>
      <c r="J9" s="153">
        <f t="shared" si="0"/>
        <v>0.48</v>
      </c>
      <c r="K9" s="153">
        <f t="shared" si="0"/>
        <v>0.48</v>
      </c>
      <c r="L9" s="153">
        <f t="shared" si="0"/>
        <v>0.48</v>
      </c>
      <c r="M9" s="153">
        <f t="shared" si="0"/>
        <v>0.48</v>
      </c>
      <c r="N9" s="153">
        <f t="shared" si="0"/>
        <v>0.48</v>
      </c>
      <c r="O9" s="153">
        <f t="shared" si="0"/>
        <v>0.48</v>
      </c>
      <c r="P9" s="153">
        <f t="shared" si="0"/>
        <v>0.48</v>
      </c>
      <c r="Q9" s="153">
        <f t="shared" si="0"/>
        <v>0.48</v>
      </c>
      <c r="R9" s="153">
        <f t="shared" si="0"/>
        <v>0.48</v>
      </c>
      <c r="S9" s="60"/>
    </row>
    <row r="10" spans="1:25" s="254" customFormat="1" ht="15" customHeight="1">
      <c r="B10" s="254" t="s">
        <v>1129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1138</v>
      </c>
      <c r="C11" s="153">
        <f>Inputs!C11</f>
        <v>5.3999999999999999E-2</v>
      </c>
      <c r="D11" s="153">
        <f t="shared" si="1"/>
        <v>5.3999999999999999E-2</v>
      </c>
      <c r="E11" s="153">
        <f t="shared" si="1"/>
        <v>5.3999999999999999E-2</v>
      </c>
      <c r="F11" s="153">
        <f t="shared" si="1"/>
        <v>5.3999999999999999E-2</v>
      </c>
      <c r="G11" s="153">
        <f t="shared" si="1"/>
        <v>5.3999999999999999E-2</v>
      </c>
      <c r="H11" s="153">
        <f t="shared" si="1"/>
        <v>5.3999999999999999E-2</v>
      </c>
      <c r="I11" s="153">
        <f t="shared" si="1"/>
        <v>5.3999999999999999E-2</v>
      </c>
      <c r="J11" s="153">
        <f t="shared" si="1"/>
        <v>5.3999999999999999E-2</v>
      </c>
      <c r="K11" s="153">
        <f t="shared" si="1"/>
        <v>5.3999999999999999E-2</v>
      </c>
      <c r="L11" s="153">
        <f t="shared" si="1"/>
        <v>5.3999999999999999E-2</v>
      </c>
      <c r="M11" s="153">
        <f t="shared" si="1"/>
        <v>5.3999999999999999E-2</v>
      </c>
      <c r="N11" s="153">
        <f t="shared" si="1"/>
        <v>5.3999999999999999E-2</v>
      </c>
      <c r="O11" s="153">
        <f t="shared" si="1"/>
        <v>5.3999999999999999E-2</v>
      </c>
      <c r="P11" s="153">
        <f t="shared" si="1"/>
        <v>5.3999999999999999E-2</v>
      </c>
      <c r="Q11" s="153">
        <f t="shared" si="1"/>
        <v>5.3999999999999999E-2</v>
      </c>
      <c r="R11" s="153">
        <f t="shared" si="1"/>
        <v>5.3999999999999999E-2</v>
      </c>
      <c r="S11" s="60"/>
    </row>
    <row r="12" spans="1:25" s="254" customFormat="1" ht="15" customHeight="1">
      <c r="B12" s="254" t="s">
        <v>1142</v>
      </c>
      <c r="C12" s="153">
        <f>Inputs!C12</f>
        <v>0.156</v>
      </c>
      <c r="D12" s="153">
        <f t="shared" si="1"/>
        <v>0.156</v>
      </c>
      <c r="E12" s="153">
        <f t="shared" si="1"/>
        <v>0.156</v>
      </c>
      <c r="F12" s="153">
        <f t="shared" si="1"/>
        <v>0.156</v>
      </c>
      <c r="G12" s="153">
        <f t="shared" si="1"/>
        <v>0.156</v>
      </c>
      <c r="H12" s="153">
        <f t="shared" si="1"/>
        <v>0.156</v>
      </c>
      <c r="I12" s="153">
        <f t="shared" si="1"/>
        <v>0.156</v>
      </c>
      <c r="J12" s="153">
        <f t="shared" si="1"/>
        <v>0.156</v>
      </c>
      <c r="K12" s="153">
        <f t="shared" si="1"/>
        <v>0.156</v>
      </c>
      <c r="L12" s="153">
        <f t="shared" si="1"/>
        <v>0.156</v>
      </c>
      <c r="M12" s="153">
        <f t="shared" si="1"/>
        <v>0.156</v>
      </c>
      <c r="N12" s="153">
        <f t="shared" si="1"/>
        <v>0.156</v>
      </c>
      <c r="O12" s="153">
        <f t="shared" si="1"/>
        <v>0.156</v>
      </c>
      <c r="P12" s="153">
        <f t="shared" si="1"/>
        <v>0.156</v>
      </c>
      <c r="Q12" s="153">
        <f t="shared" si="1"/>
        <v>0.156</v>
      </c>
      <c r="R12" s="153">
        <f t="shared" si="1"/>
        <v>0.156</v>
      </c>
      <c r="S12" s="60"/>
    </row>
    <row r="13" spans="1:25" ht="15" customHeight="1">
      <c r="B13" s="254" t="s">
        <v>885</v>
      </c>
      <c r="C13" s="153">
        <f>Inputs!C13</f>
        <v>3.3527998927104035</v>
      </c>
      <c r="D13" s="153">
        <f t="shared" ref="D13:R26" si="2">C13</f>
        <v>3.3527998927104035</v>
      </c>
      <c r="E13" s="153">
        <f t="shared" si="2"/>
        <v>3.3527998927104035</v>
      </c>
      <c r="F13" s="153">
        <f t="shared" si="2"/>
        <v>3.3527998927104035</v>
      </c>
      <c r="G13" s="153">
        <f t="shared" si="2"/>
        <v>3.3527998927104035</v>
      </c>
      <c r="H13" s="153">
        <f t="shared" si="2"/>
        <v>3.3527998927104035</v>
      </c>
      <c r="I13" s="153">
        <f t="shared" si="2"/>
        <v>3.3527998927104035</v>
      </c>
      <c r="J13" s="153">
        <f t="shared" si="2"/>
        <v>3.3527998927104035</v>
      </c>
      <c r="K13" s="153">
        <f t="shared" si="2"/>
        <v>3.3527998927104035</v>
      </c>
      <c r="L13" s="153">
        <f t="shared" si="2"/>
        <v>3.3527998927104035</v>
      </c>
      <c r="M13" s="153">
        <f t="shared" si="2"/>
        <v>3.3527998927104035</v>
      </c>
      <c r="N13" s="153">
        <f t="shared" si="2"/>
        <v>3.3527998927104035</v>
      </c>
      <c r="O13" s="153">
        <f t="shared" si="2"/>
        <v>3.3527998927104035</v>
      </c>
      <c r="P13" s="153">
        <f t="shared" si="2"/>
        <v>3.3527998927104035</v>
      </c>
      <c r="Q13" s="153">
        <f t="shared" si="2"/>
        <v>3.3527998927104035</v>
      </c>
      <c r="R13" s="153">
        <f t="shared" si="2"/>
        <v>3.3527998927104035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899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910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911</v>
      </c>
      <c r="C18" s="153">
        <f>Inputs!C18</f>
        <v>5.8927998114304057</v>
      </c>
      <c r="D18" s="153">
        <f t="shared" si="2"/>
        <v>5.8927998114304057</v>
      </c>
      <c r="E18" s="153">
        <f t="shared" si="2"/>
        <v>5.8927998114304057</v>
      </c>
      <c r="F18" s="153">
        <f t="shared" si="2"/>
        <v>5.8927998114304057</v>
      </c>
      <c r="G18" s="153">
        <f t="shared" si="2"/>
        <v>5.8927998114304057</v>
      </c>
      <c r="H18" s="153">
        <f t="shared" si="2"/>
        <v>5.8927998114304057</v>
      </c>
      <c r="I18" s="153">
        <f t="shared" si="2"/>
        <v>5.8927998114304057</v>
      </c>
      <c r="J18" s="153">
        <f t="shared" si="2"/>
        <v>5.8927998114304057</v>
      </c>
      <c r="K18" s="153">
        <f t="shared" si="2"/>
        <v>5.8927998114304057</v>
      </c>
      <c r="L18" s="153">
        <f t="shared" si="2"/>
        <v>5.8927998114304057</v>
      </c>
      <c r="M18" s="153">
        <f t="shared" si="2"/>
        <v>5.8927998114304057</v>
      </c>
      <c r="N18" s="153">
        <f t="shared" si="2"/>
        <v>5.8927998114304057</v>
      </c>
      <c r="O18" s="153">
        <f t="shared" si="2"/>
        <v>5.8927998114304057</v>
      </c>
      <c r="P18" s="153">
        <f t="shared" si="2"/>
        <v>5.8927998114304057</v>
      </c>
      <c r="Q18" s="153">
        <f t="shared" si="2"/>
        <v>5.8927998114304057</v>
      </c>
      <c r="R18" s="153">
        <f t="shared" si="2"/>
        <v>5.8927998114304057</v>
      </c>
      <c r="S18" s="60"/>
      <c r="T18" s="254"/>
    </row>
    <row r="19" spans="1:20" ht="15" customHeight="1">
      <c r="B19" s="254" t="s">
        <v>912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913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914</v>
      </c>
      <c r="C21" s="153">
        <f>Inputs!C21</f>
        <v>5.8927998114304057</v>
      </c>
      <c r="D21" s="153">
        <f t="shared" si="2"/>
        <v>5.8927998114304057</v>
      </c>
      <c r="E21" s="153">
        <f t="shared" si="2"/>
        <v>5.8927998114304057</v>
      </c>
      <c r="F21" s="153">
        <f t="shared" si="2"/>
        <v>5.8927998114304057</v>
      </c>
      <c r="G21" s="153">
        <f t="shared" si="2"/>
        <v>5.8927998114304057</v>
      </c>
      <c r="H21" s="153">
        <f t="shared" si="2"/>
        <v>5.8927998114304057</v>
      </c>
      <c r="I21" s="153">
        <f t="shared" si="2"/>
        <v>5.8927998114304057</v>
      </c>
      <c r="J21" s="153">
        <f t="shared" si="2"/>
        <v>5.8927998114304057</v>
      </c>
      <c r="K21" s="153">
        <f t="shared" si="2"/>
        <v>5.8927998114304057</v>
      </c>
      <c r="L21" s="153">
        <f t="shared" si="2"/>
        <v>5.8927998114304057</v>
      </c>
      <c r="M21" s="153">
        <f t="shared" si="2"/>
        <v>5.8927998114304057</v>
      </c>
      <c r="N21" s="153">
        <f t="shared" si="2"/>
        <v>5.8927998114304057</v>
      </c>
      <c r="O21" s="153">
        <f t="shared" si="2"/>
        <v>5.8927998114304057</v>
      </c>
      <c r="P21" s="153">
        <f t="shared" si="2"/>
        <v>5.8927998114304057</v>
      </c>
      <c r="Q21" s="153">
        <f t="shared" si="2"/>
        <v>5.8927998114304057</v>
      </c>
      <c r="R21" s="153">
        <f t="shared" si="2"/>
        <v>5.8927998114304057</v>
      </c>
    </row>
    <row r="22" spans="1:20" ht="15" customHeight="1">
      <c r="B22" s="254" t="s">
        <v>915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900</v>
      </c>
      <c r="C23" s="153">
        <f>Inputs!C23</f>
        <v>0.26041666666666663</v>
      </c>
      <c r="D23" s="153">
        <f t="shared" si="2"/>
        <v>0.26041666666666663</v>
      </c>
      <c r="E23" s="153">
        <f t="shared" si="2"/>
        <v>0.26041666666666663</v>
      </c>
      <c r="F23" s="153">
        <f t="shared" si="2"/>
        <v>0.26041666666666663</v>
      </c>
      <c r="G23" s="153">
        <f t="shared" si="2"/>
        <v>0.26041666666666663</v>
      </c>
      <c r="H23" s="153">
        <f t="shared" si="2"/>
        <v>0.26041666666666663</v>
      </c>
      <c r="I23" s="153">
        <f t="shared" si="2"/>
        <v>0.26041666666666663</v>
      </c>
      <c r="J23" s="153">
        <f t="shared" si="2"/>
        <v>0.26041666666666663</v>
      </c>
      <c r="K23" s="153">
        <f t="shared" si="2"/>
        <v>0.26041666666666663</v>
      </c>
      <c r="L23" s="153">
        <f t="shared" si="2"/>
        <v>0.26041666666666663</v>
      </c>
      <c r="M23" s="153">
        <f t="shared" si="2"/>
        <v>0.26041666666666663</v>
      </c>
      <c r="N23" s="153">
        <f t="shared" si="2"/>
        <v>0.26041666666666663</v>
      </c>
      <c r="O23" s="153">
        <f t="shared" si="2"/>
        <v>0.26041666666666663</v>
      </c>
      <c r="P23" s="153">
        <f t="shared" si="2"/>
        <v>0.26041666666666663</v>
      </c>
      <c r="Q23" s="153">
        <f t="shared" si="2"/>
        <v>0.26041666666666663</v>
      </c>
      <c r="R23" s="153">
        <f t="shared" si="2"/>
        <v>0.26041666666666663</v>
      </c>
      <c r="S23" s="60"/>
      <c r="T23" s="254"/>
    </row>
    <row r="24" spans="1:20" ht="15" customHeight="1">
      <c r="B24" s="254" t="s">
        <v>901</v>
      </c>
      <c r="C24" s="153">
        <f>Inputs!C24</f>
        <v>0.26041666666666663</v>
      </c>
      <c r="D24" s="153">
        <f t="shared" si="2"/>
        <v>0.26041666666666663</v>
      </c>
      <c r="E24" s="153">
        <f t="shared" si="2"/>
        <v>0.26041666666666663</v>
      </c>
      <c r="F24" s="153">
        <f t="shared" si="2"/>
        <v>0.26041666666666663</v>
      </c>
      <c r="G24" s="153">
        <f t="shared" si="2"/>
        <v>0.26041666666666663</v>
      </c>
      <c r="H24" s="153">
        <f t="shared" si="2"/>
        <v>0.26041666666666663</v>
      </c>
      <c r="I24" s="153">
        <f t="shared" si="2"/>
        <v>0.26041666666666663</v>
      </c>
      <c r="J24" s="153">
        <f t="shared" si="2"/>
        <v>0.26041666666666663</v>
      </c>
      <c r="K24" s="153">
        <f t="shared" si="2"/>
        <v>0.26041666666666663</v>
      </c>
      <c r="L24" s="153">
        <f t="shared" si="2"/>
        <v>0.26041666666666663</v>
      </c>
      <c r="M24" s="153">
        <f t="shared" si="2"/>
        <v>0.26041666666666663</v>
      </c>
      <c r="N24" s="153">
        <f t="shared" si="2"/>
        <v>0.26041666666666663</v>
      </c>
      <c r="O24" s="153">
        <f t="shared" si="2"/>
        <v>0.26041666666666663</v>
      </c>
      <c r="P24" s="153">
        <f t="shared" si="2"/>
        <v>0.26041666666666663</v>
      </c>
      <c r="Q24" s="153">
        <f t="shared" si="2"/>
        <v>0.26041666666666663</v>
      </c>
      <c r="R24" s="153">
        <f t="shared" si="2"/>
        <v>0.26041666666666663</v>
      </c>
      <c r="S24" s="60"/>
    </row>
    <row r="25" spans="1:20" ht="15" customHeight="1">
      <c r="B25" s="254" t="s">
        <v>902</v>
      </c>
      <c r="C25" s="153">
        <f>Inputs!C25</f>
        <v>0.23958333333333331</v>
      </c>
      <c r="D25" s="153">
        <f t="shared" si="2"/>
        <v>0.23958333333333331</v>
      </c>
      <c r="E25" s="153">
        <f t="shared" si="2"/>
        <v>0.23958333333333331</v>
      </c>
      <c r="F25" s="153">
        <f t="shared" si="2"/>
        <v>0.23958333333333331</v>
      </c>
      <c r="G25" s="153">
        <f t="shared" si="2"/>
        <v>0.23958333333333331</v>
      </c>
      <c r="H25" s="153">
        <f t="shared" si="2"/>
        <v>0.23958333333333331</v>
      </c>
      <c r="I25" s="153">
        <f t="shared" si="2"/>
        <v>0.23958333333333331</v>
      </c>
      <c r="J25" s="153">
        <f t="shared" si="2"/>
        <v>0.23958333333333331</v>
      </c>
      <c r="K25" s="153">
        <f t="shared" si="2"/>
        <v>0.23958333333333331</v>
      </c>
      <c r="L25" s="153">
        <f t="shared" si="2"/>
        <v>0.23958333333333331</v>
      </c>
      <c r="M25" s="153">
        <f t="shared" si="2"/>
        <v>0.23958333333333331</v>
      </c>
      <c r="N25" s="153">
        <f t="shared" si="2"/>
        <v>0.23958333333333331</v>
      </c>
      <c r="O25" s="153">
        <f t="shared" si="2"/>
        <v>0.23958333333333331</v>
      </c>
      <c r="P25" s="153">
        <f t="shared" si="2"/>
        <v>0.23958333333333331</v>
      </c>
      <c r="Q25" s="153">
        <f t="shared" si="2"/>
        <v>0.23958333333333331</v>
      </c>
      <c r="R25" s="153">
        <f t="shared" si="2"/>
        <v>0.23958333333333331</v>
      </c>
      <c r="S25" s="60"/>
      <c r="T25" s="254"/>
    </row>
    <row r="26" spans="1:20" ht="15" customHeight="1">
      <c r="B26" s="254" t="s">
        <v>903</v>
      </c>
      <c r="C26" s="153">
        <f>Inputs!C26</f>
        <v>0.23958333333333331</v>
      </c>
      <c r="D26" s="153">
        <f t="shared" si="2"/>
        <v>0.23958333333333331</v>
      </c>
      <c r="E26" s="153">
        <f t="shared" si="2"/>
        <v>0.23958333333333331</v>
      </c>
      <c r="F26" s="153">
        <f t="shared" si="2"/>
        <v>0.23958333333333331</v>
      </c>
      <c r="G26" s="153">
        <f t="shared" si="2"/>
        <v>0.23958333333333331</v>
      </c>
      <c r="H26" s="153">
        <f t="shared" si="2"/>
        <v>0.23958333333333331</v>
      </c>
      <c r="I26" s="153">
        <f t="shared" si="2"/>
        <v>0.23958333333333331</v>
      </c>
      <c r="J26" s="153">
        <f t="shared" si="2"/>
        <v>0.23958333333333331</v>
      </c>
      <c r="K26" s="153">
        <f t="shared" si="2"/>
        <v>0.23958333333333331</v>
      </c>
      <c r="L26" s="153">
        <f t="shared" si="2"/>
        <v>0.23958333333333331</v>
      </c>
      <c r="M26" s="153">
        <f t="shared" si="2"/>
        <v>0.23958333333333331</v>
      </c>
      <c r="N26" s="153">
        <f t="shared" si="2"/>
        <v>0.23958333333333331</v>
      </c>
      <c r="O26" s="153">
        <f t="shared" si="2"/>
        <v>0.23958333333333331</v>
      </c>
      <c r="P26" s="153">
        <f t="shared" si="2"/>
        <v>0.23958333333333331</v>
      </c>
      <c r="Q26" s="153">
        <f t="shared" si="2"/>
        <v>0.23958333333333331</v>
      </c>
      <c r="R26" s="153">
        <f t="shared" si="2"/>
        <v>0.23958333333333331</v>
      </c>
      <c r="S26" s="60"/>
      <c r="T26" s="254"/>
    </row>
    <row r="27" spans="1:20" ht="15" customHeight="1">
      <c r="B27" s="254" t="s">
        <v>904</v>
      </c>
      <c r="C27" s="153">
        <f>Inputs!C27</f>
        <v>0.26041666666666663</v>
      </c>
      <c r="D27" s="153">
        <f t="shared" ref="D27:R38" si="3">C27</f>
        <v>0.26041666666666663</v>
      </c>
      <c r="E27" s="153">
        <f t="shared" si="3"/>
        <v>0.26041666666666663</v>
      </c>
      <c r="F27" s="153">
        <f t="shared" si="3"/>
        <v>0.26041666666666663</v>
      </c>
      <c r="G27" s="153">
        <f t="shared" si="3"/>
        <v>0.26041666666666663</v>
      </c>
      <c r="H27" s="153">
        <f t="shared" si="3"/>
        <v>0.26041666666666663</v>
      </c>
      <c r="I27" s="153">
        <f t="shared" si="3"/>
        <v>0.26041666666666663</v>
      </c>
      <c r="J27" s="153">
        <f t="shared" si="3"/>
        <v>0.26041666666666663</v>
      </c>
      <c r="K27" s="153">
        <f t="shared" si="3"/>
        <v>0.26041666666666663</v>
      </c>
      <c r="L27" s="153">
        <f t="shared" si="3"/>
        <v>0.26041666666666663</v>
      </c>
      <c r="M27" s="153">
        <f t="shared" si="3"/>
        <v>0.26041666666666663</v>
      </c>
      <c r="N27" s="153">
        <f t="shared" si="3"/>
        <v>0.26041666666666663</v>
      </c>
      <c r="O27" s="153">
        <f t="shared" si="3"/>
        <v>0.26041666666666663</v>
      </c>
      <c r="P27" s="153">
        <f t="shared" si="3"/>
        <v>0.26041666666666663</v>
      </c>
      <c r="Q27" s="153">
        <f t="shared" si="3"/>
        <v>0.26041666666666663</v>
      </c>
      <c r="R27" s="153">
        <f t="shared" si="3"/>
        <v>0.26041666666666663</v>
      </c>
      <c r="S27" s="60"/>
    </row>
    <row r="28" spans="1:20" ht="15" customHeight="1">
      <c r="B28" s="254" t="s">
        <v>905</v>
      </c>
      <c r="C28" s="153">
        <f>Inputs!C28</f>
        <v>0.26041666666666663</v>
      </c>
      <c r="D28" s="153">
        <f t="shared" si="3"/>
        <v>0.26041666666666663</v>
      </c>
      <c r="E28" s="153">
        <f t="shared" si="3"/>
        <v>0.26041666666666663</v>
      </c>
      <c r="F28" s="153">
        <f t="shared" si="3"/>
        <v>0.26041666666666663</v>
      </c>
      <c r="G28" s="153">
        <f t="shared" si="3"/>
        <v>0.26041666666666663</v>
      </c>
      <c r="H28" s="153">
        <f t="shared" si="3"/>
        <v>0.26041666666666663</v>
      </c>
      <c r="I28" s="153">
        <f t="shared" si="3"/>
        <v>0.26041666666666663</v>
      </c>
      <c r="J28" s="153">
        <f t="shared" si="3"/>
        <v>0.26041666666666663</v>
      </c>
      <c r="K28" s="153">
        <f t="shared" si="3"/>
        <v>0.26041666666666663</v>
      </c>
      <c r="L28" s="153">
        <f t="shared" si="3"/>
        <v>0.26041666666666663</v>
      </c>
      <c r="M28" s="153">
        <f t="shared" si="3"/>
        <v>0.26041666666666663</v>
      </c>
      <c r="N28" s="153">
        <f t="shared" si="3"/>
        <v>0.26041666666666663</v>
      </c>
      <c r="O28" s="153">
        <f t="shared" si="3"/>
        <v>0.26041666666666663</v>
      </c>
      <c r="P28" s="153">
        <f t="shared" si="3"/>
        <v>0.26041666666666663</v>
      </c>
      <c r="Q28" s="153">
        <f t="shared" si="3"/>
        <v>0.26041666666666663</v>
      </c>
      <c r="R28" s="153">
        <f t="shared" si="3"/>
        <v>0.26041666666666663</v>
      </c>
      <c r="S28" s="60"/>
      <c r="T28" s="254"/>
    </row>
    <row r="29" spans="1:20" ht="15" customHeight="1">
      <c r="B29" s="254" t="s">
        <v>906</v>
      </c>
      <c r="C29" s="153">
        <f>Inputs!C29</f>
        <v>0.23958333333333331</v>
      </c>
      <c r="D29" s="153">
        <f t="shared" si="3"/>
        <v>0.23958333333333331</v>
      </c>
      <c r="E29" s="153">
        <f t="shared" si="3"/>
        <v>0.23958333333333331</v>
      </c>
      <c r="F29" s="153">
        <f t="shared" si="3"/>
        <v>0.23958333333333331</v>
      </c>
      <c r="G29" s="153">
        <f t="shared" si="3"/>
        <v>0.23958333333333331</v>
      </c>
      <c r="H29" s="153">
        <f t="shared" si="3"/>
        <v>0.23958333333333331</v>
      </c>
      <c r="I29" s="153">
        <f t="shared" si="3"/>
        <v>0.23958333333333331</v>
      </c>
      <c r="J29" s="153">
        <f t="shared" si="3"/>
        <v>0.23958333333333331</v>
      </c>
      <c r="K29" s="153">
        <f t="shared" si="3"/>
        <v>0.23958333333333331</v>
      </c>
      <c r="L29" s="153">
        <f t="shared" si="3"/>
        <v>0.23958333333333331</v>
      </c>
      <c r="M29" s="153">
        <f t="shared" si="3"/>
        <v>0.23958333333333331</v>
      </c>
      <c r="N29" s="153">
        <f t="shared" si="3"/>
        <v>0.23958333333333331</v>
      </c>
      <c r="O29" s="153">
        <f t="shared" si="3"/>
        <v>0.23958333333333331</v>
      </c>
      <c r="P29" s="153">
        <f t="shared" si="3"/>
        <v>0.23958333333333331</v>
      </c>
      <c r="Q29" s="153">
        <f t="shared" si="3"/>
        <v>0.23958333333333331</v>
      </c>
      <c r="R29" s="153">
        <f t="shared" si="3"/>
        <v>0.23958333333333331</v>
      </c>
      <c r="S29" s="60"/>
      <c r="T29" s="254"/>
    </row>
    <row r="30" spans="1:20" ht="15" customHeight="1">
      <c r="B30" s="254" t="s">
        <v>907</v>
      </c>
      <c r="C30" s="153">
        <f>Inputs!C30</f>
        <v>0.23958333333333331</v>
      </c>
      <c r="D30" s="153">
        <f t="shared" si="3"/>
        <v>0.23958333333333331</v>
      </c>
      <c r="E30" s="153">
        <f t="shared" si="3"/>
        <v>0.23958333333333331</v>
      </c>
      <c r="F30" s="153">
        <f t="shared" si="3"/>
        <v>0.23958333333333331</v>
      </c>
      <c r="G30" s="153">
        <f t="shared" si="3"/>
        <v>0.23958333333333331</v>
      </c>
      <c r="H30" s="153">
        <f t="shared" si="3"/>
        <v>0.23958333333333331</v>
      </c>
      <c r="I30" s="153">
        <f t="shared" si="3"/>
        <v>0.23958333333333331</v>
      </c>
      <c r="J30" s="153">
        <f t="shared" si="3"/>
        <v>0.23958333333333331</v>
      </c>
      <c r="K30" s="153">
        <f t="shared" si="3"/>
        <v>0.23958333333333331</v>
      </c>
      <c r="L30" s="153">
        <f t="shared" si="3"/>
        <v>0.23958333333333331</v>
      </c>
      <c r="M30" s="153">
        <f t="shared" si="3"/>
        <v>0.23958333333333331</v>
      </c>
      <c r="N30" s="153">
        <f t="shared" si="3"/>
        <v>0.23958333333333331</v>
      </c>
      <c r="O30" s="153">
        <f t="shared" si="3"/>
        <v>0.23958333333333331</v>
      </c>
      <c r="P30" s="153">
        <f t="shared" si="3"/>
        <v>0.23958333333333331</v>
      </c>
      <c r="Q30" s="153">
        <f t="shared" si="3"/>
        <v>0.23958333333333331</v>
      </c>
      <c r="R30" s="153">
        <f t="shared" si="3"/>
        <v>0.23958333333333331</v>
      </c>
      <c r="S30" s="60"/>
    </row>
    <row r="31" spans="1:20" ht="15" customHeight="1">
      <c r="B31" s="254" t="s">
        <v>908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917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1011</v>
      </c>
      <c r="B33" s="254" t="s">
        <v>383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918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919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78"/>
    </row>
    <row r="36" spans="1:21" ht="15" customHeight="1">
      <c r="B36" s="254" t="s">
        <v>920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78"/>
    </row>
    <row r="37" spans="1:21" ht="15" customHeight="1">
      <c r="B37" s="254" t="s">
        <v>921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78"/>
    </row>
    <row r="38" spans="1:21" s="254" customFormat="1" ht="15" customHeight="1">
      <c r="B38" s="254" t="s">
        <v>844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924</v>
      </c>
      <c r="C39" s="346">
        <f>UA!AC12</f>
        <v>41.166816501080007</v>
      </c>
      <c r="D39" s="346">
        <f>UA!AD12</f>
        <v>41.166816501080007</v>
      </c>
      <c r="E39" s="346">
        <f>UA!AE12</f>
        <v>41.166816501080007</v>
      </c>
      <c r="F39" s="346">
        <f>UA!AF12</f>
        <v>41.166816501080007</v>
      </c>
      <c r="G39" s="346">
        <f>UA!AG12</f>
        <v>41.166816501080007</v>
      </c>
      <c r="H39" s="346">
        <f>UA!AH12</f>
        <v>51.309110160200007</v>
      </c>
      <c r="I39" s="346">
        <f>UA!AI12</f>
        <v>51.309110160200007</v>
      </c>
      <c r="J39" s="346">
        <f>UA!AJ12</f>
        <v>41.166816501080007</v>
      </c>
      <c r="K39" s="346">
        <f>UA!AK12</f>
        <v>41.166816501080007</v>
      </c>
      <c r="L39" s="346">
        <f>UA!AL12</f>
        <v>41.166816501080007</v>
      </c>
      <c r="M39" s="346">
        <f>UA!AM12</f>
        <v>41.166816501080007</v>
      </c>
      <c r="N39" s="346">
        <f>UA!AN12</f>
        <v>41.166816501080007</v>
      </c>
      <c r="O39" s="346">
        <f>UA!AO12</f>
        <v>41.166816501080007</v>
      </c>
      <c r="P39" s="346">
        <f>UA!AP12</f>
        <v>41.166816501080007</v>
      </c>
      <c r="Q39" s="346">
        <f>UA!AQ12</f>
        <v>41.166816501080007</v>
      </c>
      <c r="R39" s="346">
        <f>UA!AR12</f>
        <v>41.166816501080007</v>
      </c>
      <c r="S39" s="278"/>
      <c r="U39" s="254"/>
    </row>
    <row r="40" spans="1:21" ht="15" customHeight="1">
      <c r="B40" s="254" t="s">
        <v>925</v>
      </c>
      <c r="C40" s="346">
        <f>UA!AC14</f>
        <v>84.85631728459785</v>
      </c>
      <c r="D40" s="346">
        <f>UA!AD14</f>
        <v>84.85631728459785</v>
      </c>
      <c r="E40" s="346">
        <f>UA!AE14</f>
        <v>84.85631728459785</v>
      </c>
      <c r="F40" s="346">
        <f>UA!AF14</f>
        <v>84.85631728459785</v>
      </c>
      <c r="G40" s="346">
        <f>UA!AG14</f>
        <v>84.85631728459785</v>
      </c>
      <c r="H40" s="346">
        <f>UA!AH14</f>
        <v>84.85631728459785</v>
      </c>
      <c r="I40" s="346">
        <f>UA!AI14</f>
        <v>84.85631728459785</v>
      </c>
      <c r="J40" s="346">
        <f>UA!AJ14</f>
        <v>84.85631728459785</v>
      </c>
      <c r="K40" s="346">
        <f>UA!AK14</f>
        <v>84.85631728459785</v>
      </c>
      <c r="L40" s="346">
        <f>UA!AL14</f>
        <v>84.85631728459785</v>
      </c>
      <c r="M40" s="346">
        <f>UA!AM14</f>
        <v>84.85631728459785</v>
      </c>
      <c r="N40" s="346">
        <f>UA!AN14</f>
        <v>84.85631728459785</v>
      </c>
      <c r="O40" s="346">
        <f>UA!AO14</f>
        <v>84.85631728459785</v>
      </c>
      <c r="P40" s="346">
        <f>UA!AP14</f>
        <v>84.85631728459785</v>
      </c>
      <c r="Q40" s="346">
        <f>UA!AQ14</f>
        <v>84.85631728459785</v>
      </c>
      <c r="R40" s="346">
        <f>UA!AR14</f>
        <v>49.743358408212529</v>
      </c>
      <c r="S40" s="278"/>
    </row>
    <row r="41" spans="1:21" s="254" customFormat="1" ht="15" customHeight="1">
      <c r="B41" s="254" t="s">
        <v>926</v>
      </c>
      <c r="C41" s="347">
        <f>UA!AC13</f>
        <v>70.894145280000004</v>
      </c>
      <c r="D41" s="347">
        <f>UA!AD13</f>
        <v>70.894145280000004</v>
      </c>
      <c r="E41" s="347">
        <f>UA!AE13</f>
        <v>70.894145280000004</v>
      </c>
      <c r="F41" s="347">
        <f>UA!AF13</f>
        <v>70.894145280000004</v>
      </c>
      <c r="G41" s="347">
        <f>UA!AG13</f>
        <v>70.894145280000004</v>
      </c>
      <c r="H41" s="347">
        <f>UA!AH13</f>
        <v>70.894145280000004</v>
      </c>
      <c r="I41" s="347">
        <f>UA!AI13</f>
        <v>70.894145280000004</v>
      </c>
      <c r="J41" s="347">
        <f>UA!AJ13</f>
        <v>70.894145280000004</v>
      </c>
      <c r="K41" s="347">
        <f>UA!AK13</f>
        <v>70.894145280000004</v>
      </c>
      <c r="L41" s="347">
        <f>UA!AL13</f>
        <v>70.894145280000004</v>
      </c>
      <c r="M41" s="347">
        <f>UA!AM13</f>
        <v>70.894145280000004</v>
      </c>
      <c r="N41" s="347">
        <f>UA!AN13</f>
        <v>70.894145280000004</v>
      </c>
      <c r="O41" s="347">
        <f>UA!AO13</f>
        <v>70.894145280000004</v>
      </c>
      <c r="P41" s="347">
        <f>UA!AP13</f>
        <v>70.894145280000004</v>
      </c>
      <c r="Q41" s="347">
        <f>UA!AQ13</f>
        <v>70.894145280000004</v>
      </c>
      <c r="R41" s="347">
        <f>UA!AR13</f>
        <v>70.894145280000004</v>
      </c>
      <c r="S41" s="278"/>
    </row>
    <row r="42" spans="1:21" ht="15" customHeight="1">
      <c r="A42" s="254" t="s">
        <v>45</v>
      </c>
      <c r="B42" s="254" t="s">
        <v>927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846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847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848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849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850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928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934</v>
      </c>
      <c r="C49" s="329">
        <f>Fans!B12</f>
        <v>16.917738813727798</v>
      </c>
      <c r="D49" s="329">
        <f>Fans!C12</f>
        <v>17.161423005761822</v>
      </c>
      <c r="E49" s="329">
        <f>Fans!D12</f>
        <v>16.987362868594666</v>
      </c>
      <c r="F49" s="329">
        <f>Fans!E12</f>
        <v>17.196235033195261</v>
      </c>
      <c r="G49" s="329">
        <f>Fans!F12</f>
        <v>17.056986923461526</v>
      </c>
      <c r="H49" s="329">
        <f>Fans!G12</f>
        <v>17.40510719779585</v>
      </c>
      <c r="I49" s="329">
        <f>Fans!H12</f>
        <v>17.544355307529575</v>
      </c>
      <c r="J49" s="329">
        <f>Fans!I12</f>
        <v>17.683603417263306</v>
      </c>
      <c r="K49" s="329">
        <f>Fans!J12</f>
        <v>17.509543280096146</v>
      </c>
      <c r="L49" s="329">
        <f>Fans!K12</f>
        <v>17.40510719779585</v>
      </c>
      <c r="M49" s="329">
        <f>Fans!L12</f>
        <v>17.12661097832839</v>
      </c>
      <c r="N49" s="329">
        <f>Fans!M12</f>
        <v>17.091798950894958</v>
      </c>
      <c r="O49" s="329">
        <f>Fans!N12</f>
        <v>17.300671115495554</v>
      </c>
      <c r="P49" s="329">
        <f>Fans!O12</f>
        <v>16.882926786294366</v>
      </c>
      <c r="Q49" s="329">
        <f>Fans!P12</f>
        <v>17.265859088062118</v>
      </c>
      <c r="R49" s="329">
        <f>Fans!Q12</f>
        <v>17.335483142928986</v>
      </c>
      <c r="S49" s="278"/>
    </row>
    <row r="50" spans="2:19" ht="15" customHeight="1">
      <c r="B50" s="254" t="s">
        <v>932</v>
      </c>
      <c r="C50" s="491">
        <f>Fans!B13</f>
        <v>-3.8793255706782388E-2</v>
      </c>
      <c r="D50" s="187">
        <f>Fans!C13</f>
        <v>-3.9352036243434592E-2</v>
      </c>
      <c r="E50" s="187">
        <f>Fans!D13</f>
        <v>-3.8952907288683017E-2</v>
      </c>
      <c r="F50" s="187">
        <f>Fans!E13</f>
        <v>-3.943186203438491E-2</v>
      </c>
      <c r="G50" s="187">
        <f>Fans!F13</f>
        <v>-3.9112558870583645E-2</v>
      </c>
      <c r="H50" s="187">
        <f>Fans!G13</f>
        <v>-3.9910816780086789E-2</v>
      </c>
      <c r="I50" s="187">
        <f>Fans!H13</f>
        <v>-4.0230119943888046E-2</v>
      </c>
      <c r="J50" s="187">
        <f>Fans!I13</f>
        <v>-4.054942310768931E-2</v>
      </c>
      <c r="K50" s="187">
        <f>Fans!J13</f>
        <v>-4.0150294152937735E-2</v>
      </c>
      <c r="L50" s="187">
        <f>Fans!K13</f>
        <v>-3.9910816780086789E-2</v>
      </c>
      <c r="M50" s="187">
        <f>Fans!L13</f>
        <v>-3.9272210452484274E-2</v>
      </c>
      <c r="N50" s="187">
        <f>Fans!M13</f>
        <v>-3.9192384661533956E-2</v>
      </c>
      <c r="O50" s="187">
        <f>Fans!N13</f>
        <v>-3.9671339407235849E-2</v>
      </c>
      <c r="P50" s="187">
        <f>Fans!O13</f>
        <v>-3.871342991583207E-2</v>
      </c>
      <c r="Q50" s="187">
        <f>Fans!P13</f>
        <v>-3.9591513616285531E-2</v>
      </c>
      <c r="R50" s="187">
        <f>Fans!Q13</f>
        <v>-3.9751165198186167E-2</v>
      </c>
      <c r="S50" s="278"/>
    </row>
    <row r="51" spans="2:19" ht="15" customHeight="1">
      <c r="B51" s="254" t="s">
        <v>933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935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936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937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938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939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940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941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942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943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944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945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946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947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948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949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950</v>
      </c>
      <c r="C67" s="219">
        <f>IF(Airtightness&lt;=1,ABS(C49),0)</f>
        <v>16.917738813727798</v>
      </c>
      <c r="D67" s="219">
        <f>IF(Airtightness&lt;=1,ABS(D49),0)</f>
        <v>17.161423005761822</v>
      </c>
      <c r="E67" s="219">
        <f>IF(Airtightness&lt;=1,ABS(E49),0)</f>
        <v>16.987362868594666</v>
      </c>
      <c r="F67" s="219">
        <f>IF(Airtightness&lt;=1,ABS(F49),0)</f>
        <v>17.196235033195261</v>
      </c>
      <c r="G67" s="219">
        <f>IF(Airtightness&lt;=1,ABS(G49),0)</f>
        <v>17.056986923461526</v>
      </c>
      <c r="H67" s="219">
        <f>IF(Airtightness&lt;=1,ABS(H49),0)</f>
        <v>17.40510719779585</v>
      </c>
      <c r="I67" s="219">
        <f>IF(Airtightness&lt;=1,ABS(I49),0)</f>
        <v>17.544355307529575</v>
      </c>
      <c r="J67" s="219">
        <f>IF(Airtightness&lt;=1,ABS(J49),0)</f>
        <v>17.683603417263306</v>
      </c>
      <c r="K67" s="219">
        <f>IF(Airtightness&lt;=1,ABS(K49),0)</f>
        <v>17.509543280096146</v>
      </c>
      <c r="L67" s="219">
        <f>IF(Airtightness&lt;=1,ABS(L49),0)</f>
        <v>17.40510719779585</v>
      </c>
      <c r="M67" s="219">
        <f>IF(Airtightness&lt;=1,ABS(M49),0)</f>
        <v>17.12661097832839</v>
      </c>
      <c r="N67" s="219">
        <f>IF(Airtightness&lt;=1,ABS(N49),0)</f>
        <v>17.091798950894958</v>
      </c>
      <c r="O67" s="219">
        <f>IF(Airtightness&lt;=1,ABS(O49),0)</f>
        <v>17.300671115495554</v>
      </c>
      <c r="P67" s="219">
        <f>IF(Airtightness&lt;=1,ABS(P49),0)</f>
        <v>16.882926786294366</v>
      </c>
      <c r="Q67" s="219">
        <f>IF(Airtightness&lt;=1,ABS(Q49),0)</f>
        <v>17.265859088062118</v>
      </c>
      <c r="R67" s="219">
        <f>IF(Airtightness&lt;=1,ABS(R49),0)</f>
        <v>17.335483142928986</v>
      </c>
      <c r="S67" s="62"/>
    </row>
    <row r="68" spans="1:19" s="123" customFormat="1" ht="15" customHeight="1">
      <c r="A68" s="254"/>
      <c r="B68" s="254" t="s">
        <v>951</v>
      </c>
      <c r="C68" s="546">
        <f>IF(Airtightness&lt;=1,ABS(C50),0)</f>
        <v>3.8793255706782388E-2</v>
      </c>
      <c r="D68" s="262">
        <f>IF(Airtightness&lt;=1,ABS(D50),0)</f>
        <v>3.9352036243434592E-2</v>
      </c>
      <c r="E68" s="262">
        <f>IF(Airtightness&lt;=1,ABS(E50),0)</f>
        <v>3.8952907288683017E-2</v>
      </c>
      <c r="F68" s="262">
        <f>IF(Airtightness&lt;=1,ABS(F50),0)</f>
        <v>3.943186203438491E-2</v>
      </c>
      <c r="G68" s="262">
        <f>IF(Airtightness&lt;=1,ABS(G50),0)</f>
        <v>3.9112558870583645E-2</v>
      </c>
      <c r="H68" s="262">
        <f>IF(Airtightness&lt;=1,ABS(H50),0)</f>
        <v>3.9910816780086789E-2</v>
      </c>
      <c r="I68" s="262">
        <f>IF(Airtightness&lt;=1,ABS(I50),0)</f>
        <v>4.0230119943888046E-2</v>
      </c>
      <c r="J68" s="262">
        <f>IF(Airtightness&lt;=1,ABS(J50),0)</f>
        <v>4.054942310768931E-2</v>
      </c>
      <c r="K68" s="262">
        <f>IF(Airtightness&lt;=1,ABS(K50),0)</f>
        <v>4.0150294152937735E-2</v>
      </c>
      <c r="L68" s="262">
        <f>IF(Airtightness&lt;=1,ABS(L50),0)</f>
        <v>3.9910816780086789E-2</v>
      </c>
      <c r="M68" s="262">
        <f>IF(Airtightness&lt;=1,ABS(M50),0)</f>
        <v>3.9272210452484274E-2</v>
      </c>
      <c r="N68" s="262">
        <f>IF(Airtightness&lt;=1,ABS(N50),0)</f>
        <v>3.9192384661533956E-2</v>
      </c>
      <c r="O68" s="262">
        <f>IF(Airtightness&lt;=1,ABS(O50),0)</f>
        <v>3.9671339407235849E-2</v>
      </c>
      <c r="P68" s="262">
        <f>IF(Airtightness&lt;=1,ABS(P50),0)</f>
        <v>3.871342991583207E-2</v>
      </c>
      <c r="Q68" s="262">
        <f>IF(Airtightness&lt;=1,ABS(Q50),0)</f>
        <v>3.9591513616285531E-2</v>
      </c>
      <c r="R68" s="262">
        <f>IF(Airtightness&lt;=1,ABS(R50),0)</f>
        <v>3.9751165198186167E-2</v>
      </c>
      <c r="S68" s="62"/>
    </row>
    <row r="69" spans="1:19" s="123" customFormat="1" ht="15" customHeight="1">
      <c r="A69" s="254"/>
      <c r="B69" s="254" t="s">
        <v>952</v>
      </c>
      <c r="C69" s="186">
        <f>Inputs!C69</f>
        <v>1</v>
      </c>
      <c r="D69" s="186">
        <f>C69</f>
        <v>1</v>
      </c>
      <c r="E69" s="186">
        <f t="shared" ref="E69:R69" si="33">D69</f>
        <v>1</v>
      </c>
      <c r="F69" s="186">
        <f t="shared" si="33"/>
        <v>1</v>
      </c>
      <c r="G69" s="186">
        <f t="shared" si="33"/>
        <v>1</v>
      </c>
      <c r="H69" s="186">
        <f t="shared" si="33"/>
        <v>1</v>
      </c>
      <c r="I69" s="186">
        <f t="shared" si="33"/>
        <v>1</v>
      </c>
      <c r="J69" s="186">
        <f t="shared" si="33"/>
        <v>1</v>
      </c>
      <c r="K69" s="186">
        <f t="shared" si="33"/>
        <v>1</v>
      </c>
      <c r="L69" s="186">
        <f t="shared" si="33"/>
        <v>1</v>
      </c>
      <c r="M69" s="186">
        <f t="shared" si="33"/>
        <v>1</v>
      </c>
      <c r="N69" s="186">
        <f t="shared" si="33"/>
        <v>1</v>
      </c>
      <c r="O69" s="186">
        <f t="shared" si="33"/>
        <v>1</v>
      </c>
      <c r="P69" s="186">
        <f t="shared" si="33"/>
        <v>1</v>
      </c>
      <c r="Q69" s="186">
        <f t="shared" si="33"/>
        <v>1</v>
      </c>
      <c r="R69" s="186">
        <f t="shared" si="33"/>
        <v>1</v>
      </c>
      <c r="S69" s="62"/>
    </row>
    <row r="70" spans="1:19" s="123" customFormat="1" ht="15" customHeight="1">
      <c r="A70" s="254"/>
      <c r="B70" s="254" t="s">
        <v>953</v>
      </c>
      <c r="C70" s="191">
        <f>Inputs!C70</f>
        <v>0</v>
      </c>
      <c r="D70" s="191">
        <f t="shared" si="32"/>
        <v>0</v>
      </c>
      <c r="E70" s="191">
        <f t="shared" ref="E70:Q70" si="34">D70</f>
        <v>0</v>
      </c>
      <c r="F70" s="191">
        <f t="shared" si="34"/>
        <v>0</v>
      </c>
      <c r="G70" s="191">
        <f t="shared" si="34"/>
        <v>0</v>
      </c>
      <c r="H70" s="191">
        <f t="shared" si="34"/>
        <v>0</v>
      </c>
      <c r="I70" s="191">
        <f t="shared" si="34"/>
        <v>0</v>
      </c>
      <c r="J70" s="191">
        <f t="shared" si="34"/>
        <v>0</v>
      </c>
      <c r="K70" s="191">
        <f t="shared" si="34"/>
        <v>0</v>
      </c>
      <c r="L70" s="191">
        <f t="shared" si="34"/>
        <v>0</v>
      </c>
      <c r="M70" s="191">
        <f t="shared" si="34"/>
        <v>0</v>
      </c>
      <c r="N70" s="191">
        <f t="shared" si="34"/>
        <v>0</v>
      </c>
      <c r="O70" s="191">
        <f t="shared" si="34"/>
        <v>0</v>
      </c>
      <c r="P70" s="191">
        <f t="shared" si="34"/>
        <v>0</v>
      </c>
      <c r="Q70" s="191">
        <f t="shared" si="34"/>
        <v>0</v>
      </c>
      <c r="R70" s="191">
        <f t="shared" ref="R70:R72" si="35">Q70</f>
        <v>0</v>
      </c>
      <c r="S70" s="62"/>
    </row>
    <row r="71" spans="1:19" s="123" customFormat="1" ht="15" customHeight="1">
      <c r="A71" s="254"/>
      <c r="B71" s="254" t="s">
        <v>954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5"/>
        <v>0</v>
      </c>
      <c r="S71" s="62"/>
    </row>
    <row r="72" spans="1:19" s="123" customFormat="1" ht="15" customHeight="1">
      <c r="A72" s="254"/>
      <c r="B72" s="254" t="s">
        <v>955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5"/>
        <v>0</v>
      </c>
      <c r="S72" s="62"/>
    </row>
    <row r="73" spans="1:19" ht="15" customHeight="1">
      <c r="A73" s="254" t="s">
        <v>56</v>
      </c>
      <c r="B73" s="254" t="s">
        <v>384</v>
      </c>
      <c r="C73" s="153">
        <f>Inputs!C73</f>
        <v>18.696124999999999</v>
      </c>
      <c r="D73" s="153">
        <f t="shared" ref="D73:R73" si="36">C73</f>
        <v>18.696124999999999</v>
      </c>
      <c r="E73" s="153">
        <f t="shared" si="36"/>
        <v>18.696124999999999</v>
      </c>
      <c r="F73" s="153">
        <f t="shared" si="36"/>
        <v>18.696124999999999</v>
      </c>
      <c r="G73" s="153">
        <f t="shared" si="36"/>
        <v>18.696124999999999</v>
      </c>
      <c r="H73" s="153">
        <f t="shared" si="36"/>
        <v>18.696124999999999</v>
      </c>
      <c r="I73" s="153">
        <f t="shared" si="36"/>
        <v>18.696124999999999</v>
      </c>
      <c r="J73" s="153">
        <f t="shared" si="36"/>
        <v>18.696124999999999</v>
      </c>
      <c r="K73" s="153">
        <f t="shared" si="36"/>
        <v>18.696124999999999</v>
      </c>
      <c r="L73" s="153">
        <f t="shared" si="36"/>
        <v>18.696124999999999</v>
      </c>
      <c r="M73" s="153">
        <f t="shared" si="36"/>
        <v>18.696124999999999</v>
      </c>
      <c r="N73" s="153">
        <f t="shared" si="36"/>
        <v>18.696124999999999</v>
      </c>
      <c r="O73" s="153">
        <f t="shared" si="36"/>
        <v>18.696124999999999</v>
      </c>
      <c r="P73" s="153">
        <f t="shared" si="36"/>
        <v>18.696124999999999</v>
      </c>
      <c r="Q73" s="153">
        <f t="shared" si="36"/>
        <v>18.696124999999999</v>
      </c>
      <c r="R73" s="153">
        <f t="shared" si="36"/>
        <v>18.696124999999999</v>
      </c>
    </row>
    <row r="74" spans="1:19" ht="15" customHeight="1">
      <c r="B74" s="254" t="s">
        <v>385</v>
      </c>
      <c r="C74" s="153">
        <f>Inputs!C74</f>
        <v>10.160937499999999</v>
      </c>
      <c r="D74" s="153">
        <f t="shared" ref="D74:R74" si="37">C74</f>
        <v>10.160937499999999</v>
      </c>
      <c r="E74" s="153">
        <f t="shared" si="37"/>
        <v>10.160937499999999</v>
      </c>
      <c r="F74" s="153">
        <f t="shared" si="37"/>
        <v>10.160937499999999</v>
      </c>
      <c r="G74" s="153">
        <f t="shared" si="37"/>
        <v>10.160937499999999</v>
      </c>
      <c r="H74" s="153">
        <f t="shared" si="37"/>
        <v>10.160937499999999</v>
      </c>
      <c r="I74" s="153">
        <f t="shared" si="37"/>
        <v>10.160937499999999</v>
      </c>
      <c r="J74" s="153">
        <f t="shared" si="37"/>
        <v>10.160937499999999</v>
      </c>
      <c r="K74" s="153">
        <f t="shared" si="37"/>
        <v>10.160937499999999</v>
      </c>
      <c r="L74" s="153">
        <f t="shared" si="37"/>
        <v>10.160937499999999</v>
      </c>
      <c r="M74" s="153">
        <f t="shared" si="37"/>
        <v>10.160937499999999</v>
      </c>
      <c r="N74" s="153">
        <f t="shared" si="37"/>
        <v>10.160937499999999</v>
      </c>
      <c r="O74" s="153">
        <f t="shared" si="37"/>
        <v>10.160937499999999</v>
      </c>
      <c r="P74" s="153">
        <f t="shared" si="37"/>
        <v>10.160937499999999</v>
      </c>
      <c r="Q74" s="153">
        <f t="shared" si="37"/>
        <v>10.160937499999999</v>
      </c>
      <c r="R74" s="153">
        <f t="shared" si="37"/>
        <v>10.160937499999999</v>
      </c>
    </row>
    <row r="75" spans="1:19" ht="15" customHeight="1">
      <c r="B75" s="254" t="s">
        <v>386</v>
      </c>
      <c r="C75" s="153">
        <f>Inputs!C75</f>
        <v>10.160937499999999</v>
      </c>
      <c r="D75" s="153">
        <f t="shared" ref="D75:R91" si="38">C75</f>
        <v>10.160937499999999</v>
      </c>
      <c r="E75" s="153">
        <f t="shared" si="38"/>
        <v>10.160937499999999</v>
      </c>
      <c r="F75" s="153">
        <f t="shared" si="38"/>
        <v>10.160937499999999</v>
      </c>
      <c r="G75" s="153">
        <f t="shared" si="38"/>
        <v>10.160937499999999</v>
      </c>
      <c r="H75" s="153">
        <f t="shared" si="38"/>
        <v>10.160937499999999</v>
      </c>
      <c r="I75" s="153">
        <f t="shared" si="38"/>
        <v>10.160937499999999</v>
      </c>
      <c r="J75" s="153">
        <f t="shared" si="38"/>
        <v>10.160937499999999</v>
      </c>
      <c r="K75" s="153">
        <f t="shared" si="38"/>
        <v>10.160937499999999</v>
      </c>
      <c r="L75" s="153">
        <f t="shared" si="38"/>
        <v>10.160937499999999</v>
      </c>
      <c r="M75" s="153">
        <f t="shared" si="38"/>
        <v>10.160937499999999</v>
      </c>
      <c r="N75" s="153">
        <f t="shared" si="38"/>
        <v>10.160937499999999</v>
      </c>
      <c r="O75" s="153">
        <f t="shared" si="38"/>
        <v>10.160937499999999</v>
      </c>
      <c r="P75" s="153">
        <f t="shared" si="38"/>
        <v>10.160937499999999</v>
      </c>
      <c r="Q75" s="153">
        <f t="shared" si="38"/>
        <v>10.160937499999999</v>
      </c>
      <c r="R75" s="153">
        <f t="shared" si="38"/>
        <v>10.160937499999999</v>
      </c>
    </row>
    <row r="76" spans="1:19" ht="15" customHeight="1">
      <c r="B76" s="254" t="s">
        <v>956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957</v>
      </c>
      <c r="C77" s="354">
        <f>UA!AC18</f>
        <v>3.8025553171731401</v>
      </c>
      <c r="D77" s="354">
        <f>UA!AD18</f>
        <v>3.8025553171731401</v>
      </c>
      <c r="E77" s="354">
        <f>UA!AE18</f>
        <v>3.3022190912293063</v>
      </c>
      <c r="F77" s="354">
        <f>UA!AF18</f>
        <v>3.8025553171731401</v>
      </c>
      <c r="G77" s="354">
        <f>UA!AG18</f>
        <v>3.3022190912293063</v>
      </c>
      <c r="H77" s="354">
        <f>UA!AH18</f>
        <v>3.3022190912293063</v>
      </c>
      <c r="I77" s="354">
        <f>UA!AI18</f>
        <v>3.3022190912293063</v>
      </c>
      <c r="J77" s="354">
        <f>UA!AJ18</f>
        <v>3.8025553171731401</v>
      </c>
      <c r="K77" s="354">
        <f>UA!AK18</f>
        <v>3.8025553171731401</v>
      </c>
      <c r="L77" s="354">
        <f>UA!AL18</f>
        <v>3.8025553171731401</v>
      </c>
      <c r="M77" s="354">
        <f>UA!AM18</f>
        <v>3.8025553171731401</v>
      </c>
      <c r="N77" s="354">
        <f>UA!AN18</f>
        <v>3.8025553171731401</v>
      </c>
      <c r="O77" s="354">
        <f>UA!AO18</f>
        <v>3.8025553171731401</v>
      </c>
      <c r="P77" s="354">
        <f>UA!AP18</f>
        <v>3.8025553171731401</v>
      </c>
      <c r="Q77" s="354">
        <f>UA!AQ18</f>
        <v>3.8025553171731401</v>
      </c>
      <c r="R77" s="354">
        <f>UA!AR18</f>
        <v>3.8025553171731401</v>
      </c>
    </row>
    <row r="78" spans="1:19" ht="15" customHeight="1">
      <c r="B78" s="254" t="s">
        <v>958</v>
      </c>
      <c r="C78" s="354">
        <f>UA!AC19</f>
        <v>5.6239473598527123</v>
      </c>
      <c r="D78" s="354">
        <f>UA!AD19</f>
        <v>5.6239473598527123</v>
      </c>
      <c r="E78" s="354">
        <f>UA!AE19</f>
        <v>4.5943917791016435</v>
      </c>
      <c r="F78" s="354">
        <f>UA!AF19</f>
        <v>5.6239473598527123</v>
      </c>
      <c r="G78" s="354">
        <f>UA!AG19</f>
        <v>4.5943917791016435</v>
      </c>
      <c r="H78" s="354">
        <f>UA!AH19</f>
        <v>4.5943917791016435</v>
      </c>
      <c r="I78" s="354">
        <f>UA!AI19</f>
        <v>4.5943917791016435</v>
      </c>
      <c r="J78" s="354">
        <f>UA!AJ19</f>
        <v>5.6239473598527123</v>
      </c>
      <c r="K78" s="354">
        <f>UA!AK19</f>
        <v>5.6239473598527123</v>
      </c>
      <c r="L78" s="354">
        <f>UA!AL19</f>
        <v>5.6239473598527123</v>
      </c>
      <c r="M78" s="354">
        <f>UA!AM19</f>
        <v>5.6239473598527123</v>
      </c>
      <c r="N78" s="354">
        <f>UA!AN19</f>
        <v>5.6239473598527123</v>
      </c>
      <c r="O78" s="354">
        <f>UA!AO19</f>
        <v>5.6239473598527123</v>
      </c>
      <c r="P78" s="354">
        <f>UA!AP19</f>
        <v>5.6239473598527123</v>
      </c>
      <c r="Q78" s="354">
        <f>UA!AQ19</f>
        <v>5.6239473598527123</v>
      </c>
      <c r="R78" s="354">
        <f>UA!AR19</f>
        <v>5.6239473598527123</v>
      </c>
    </row>
    <row r="79" spans="1:19" ht="15" customHeight="1">
      <c r="B79" s="254" t="s">
        <v>959</v>
      </c>
      <c r="C79" s="190">
        <f>Inputs!C79</f>
        <v>7.5231481481481474E-5</v>
      </c>
      <c r="D79" s="190">
        <f t="shared" ref="D79:D95" si="39">C79</f>
        <v>7.5231481481481474E-5</v>
      </c>
      <c r="E79" s="190">
        <f t="shared" si="38"/>
        <v>7.5231481481481474E-5</v>
      </c>
      <c r="F79" s="190">
        <f t="shared" si="38"/>
        <v>7.5231481481481474E-5</v>
      </c>
      <c r="G79" s="190">
        <f t="shared" si="38"/>
        <v>7.5231481481481474E-5</v>
      </c>
      <c r="H79" s="190">
        <f t="shared" si="38"/>
        <v>7.5231481481481474E-5</v>
      </c>
      <c r="I79" s="190">
        <f t="shared" si="38"/>
        <v>7.5231481481481474E-5</v>
      </c>
      <c r="J79" s="190">
        <f t="shared" si="38"/>
        <v>7.5231481481481474E-5</v>
      </c>
      <c r="K79" s="190">
        <f t="shared" si="38"/>
        <v>7.5231481481481474E-5</v>
      </c>
      <c r="L79" s="190">
        <f t="shared" si="38"/>
        <v>7.5231481481481474E-5</v>
      </c>
      <c r="M79" s="190">
        <f t="shared" si="38"/>
        <v>7.5231481481481474E-5</v>
      </c>
      <c r="N79" s="190">
        <f t="shared" si="38"/>
        <v>7.5231481481481474E-5</v>
      </c>
      <c r="O79" s="190">
        <f t="shared" si="38"/>
        <v>7.5231481481481474E-5</v>
      </c>
      <c r="P79" s="190">
        <f t="shared" si="38"/>
        <v>7.5231481481481474E-5</v>
      </c>
      <c r="Q79" s="190">
        <f t="shared" si="38"/>
        <v>7.5231481481481474E-5</v>
      </c>
      <c r="R79" s="190">
        <f t="shared" si="38"/>
        <v>7.5231481481481474E-5</v>
      </c>
    </row>
    <row r="80" spans="1:19" ht="15" customHeight="1">
      <c r="B80" s="254" t="s">
        <v>960</v>
      </c>
      <c r="C80" s="8">
        <f>Inputs!C80</f>
        <v>774.72889800703399</v>
      </c>
      <c r="D80" s="8">
        <f t="shared" si="39"/>
        <v>774.72889800703399</v>
      </c>
      <c r="E80" s="8">
        <f t="shared" si="38"/>
        <v>774.72889800703399</v>
      </c>
      <c r="F80" s="8">
        <f t="shared" si="38"/>
        <v>774.72889800703399</v>
      </c>
      <c r="G80" s="8">
        <f t="shared" si="38"/>
        <v>774.72889800703399</v>
      </c>
      <c r="H80" s="8">
        <f t="shared" si="38"/>
        <v>774.72889800703399</v>
      </c>
      <c r="I80" s="8">
        <f t="shared" si="38"/>
        <v>774.72889800703399</v>
      </c>
      <c r="J80" s="8">
        <f t="shared" si="38"/>
        <v>774.72889800703399</v>
      </c>
      <c r="K80" s="8">
        <f t="shared" si="38"/>
        <v>774.72889800703399</v>
      </c>
      <c r="L80" s="8">
        <f t="shared" si="38"/>
        <v>774.72889800703399</v>
      </c>
      <c r="M80" s="8">
        <f t="shared" si="38"/>
        <v>774.72889800703399</v>
      </c>
      <c r="N80" s="8">
        <f t="shared" si="38"/>
        <v>774.72889800703399</v>
      </c>
      <c r="O80" s="8">
        <f t="shared" si="38"/>
        <v>774.72889800703399</v>
      </c>
      <c r="P80" s="8">
        <f t="shared" si="38"/>
        <v>774.72889800703399</v>
      </c>
      <c r="Q80" s="8">
        <f t="shared" si="38"/>
        <v>774.72889800703399</v>
      </c>
      <c r="R80" s="8">
        <f t="shared" si="38"/>
        <v>774.72889800703399</v>
      </c>
    </row>
    <row r="81" spans="1:18" ht="15" customHeight="1">
      <c r="A81" s="254" t="s">
        <v>66</v>
      </c>
      <c r="B81" s="254" t="s">
        <v>961</v>
      </c>
      <c r="C81" s="8">
        <f>Inputs!C81</f>
        <v>247.76429207154263</v>
      </c>
      <c r="D81" s="8">
        <f t="shared" si="39"/>
        <v>247.76429207154263</v>
      </c>
      <c r="E81" s="8">
        <f t="shared" si="38"/>
        <v>247.76429207154263</v>
      </c>
      <c r="F81" s="8">
        <f t="shared" si="38"/>
        <v>247.76429207154263</v>
      </c>
      <c r="G81" s="8">
        <f t="shared" si="38"/>
        <v>247.76429207154263</v>
      </c>
      <c r="H81" s="8">
        <f t="shared" si="38"/>
        <v>247.76429207154263</v>
      </c>
      <c r="I81" s="8">
        <f t="shared" si="38"/>
        <v>247.76429207154263</v>
      </c>
      <c r="J81" s="8">
        <f t="shared" si="38"/>
        <v>247.76429207154263</v>
      </c>
      <c r="K81" s="8">
        <f t="shared" si="38"/>
        <v>247.76429207154263</v>
      </c>
      <c r="L81" s="8">
        <f t="shared" si="38"/>
        <v>247.76429207154263</v>
      </c>
      <c r="M81" s="8">
        <f t="shared" si="38"/>
        <v>247.76429207154263</v>
      </c>
      <c r="N81" s="8">
        <f t="shared" si="38"/>
        <v>247.76429207154263</v>
      </c>
      <c r="O81" s="8">
        <f t="shared" si="38"/>
        <v>247.76429207154263</v>
      </c>
      <c r="P81" s="8">
        <f t="shared" si="38"/>
        <v>247.76429207154263</v>
      </c>
      <c r="Q81" s="8">
        <f t="shared" si="38"/>
        <v>247.76429207154263</v>
      </c>
      <c r="R81" s="8">
        <f t="shared" si="38"/>
        <v>247.76429207154263</v>
      </c>
    </row>
    <row r="82" spans="1:18" ht="15" customHeight="1">
      <c r="B82" s="254" t="s">
        <v>962</v>
      </c>
      <c r="C82" s="153">
        <f>Inputs!C82</f>
        <v>0.36823315582877392</v>
      </c>
      <c r="D82" s="153">
        <f t="shared" si="39"/>
        <v>0.36823315582877392</v>
      </c>
      <c r="E82" s="153">
        <f t="shared" si="38"/>
        <v>0.36823315582877392</v>
      </c>
      <c r="F82" s="153">
        <f t="shared" si="38"/>
        <v>0.36823315582877392</v>
      </c>
      <c r="G82" s="153">
        <f t="shared" si="38"/>
        <v>0.36823315582877392</v>
      </c>
      <c r="H82" s="153">
        <f t="shared" si="38"/>
        <v>0.36823315582877392</v>
      </c>
      <c r="I82" s="153">
        <f t="shared" si="38"/>
        <v>0.36823315582877392</v>
      </c>
      <c r="J82" s="153">
        <f t="shared" si="38"/>
        <v>0.36823315582877392</v>
      </c>
      <c r="K82" s="153">
        <f t="shared" si="38"/>
        <v>0.36823315582877392</v>
      </c>
      <c r="L82" s="153">
        <f t="shared" si="38"/>
        <v>0.36823315582877392</v>
      </c>
      <c r="M82" s="153">
        <f t="shared" si="38"/>
        <v>0.36823315582877392</v>
      </c>
      <c r="N82" s="153">
        <f t="shared" si="38"/>
        <v>0.36823315582877392</v>
      </c>
      <c r="O82" s="153">
        <f t="shared" si="38"/>
        <v>0.36823315582877392</v>
      </c>
      <c r="P82" s="153">
        <f t="shared" si="38"/>
        <v>0.36823315582877392</v>
      </c>
      <c r="Q82" s="153">
        <f t="shared" si="38"/>
        <v>0.36823315582877392</v>
      </c>
      <c r="R82" s="153">
        <f t="shared" si="38"/>
        <v>0.36823315582877392</v>
      </c>
    </row>
    <row r="83" spans="1:18" ht="15" customHeight="1">
      <c r="B83" s="254" t="s">
        <v>963</v>
      </c>
      <c r="C83" s="153">
        <f>Inputs!C83</f>
        <v>0.65</v>
      </c>
      <c r="D83" s="153">
        <f t="shared" si="39"/>
        <v>0.65</v>
      </c>
      <c r="E83" s="153">
        <f t="shared" si="38"/>
        <v>0.65</v>
      </c>
      <c r="F83" s="153">
        <f t="shared" si="38"/>
        <v>0.65</v>
      </c>
      <c r="G83" s="153">
        <f t="shared" si="38"/>
        <v>0.65</v>
      </c>
      <c r="H83" s="153">
        <f t="shared" si="38"/>
        <v>0.65</v>
      </c>
      <c r="I83" s="153">
        <f t="shared" si="38"/>
        <v>0.65</v>
      </c>
      <c r="J83" s="153">
        <f t="shared" si="38"/>
        <v>0.65</v>
      </c>
      <c r="K83" s="153">
        <f t="shared" si="38"/>
        <v>0.65</v>
      </c>
      <c r="L83" s="153">
        <f t="shared" si="38"/>
        <v>0.65</v>
      </c>
      <c r="M83" s="153">
        <f t="shared" si="38"/>
        <v>0.65</v>
      </c>
      <c r="N83" s="153">
        <f t="shared" si="38"/>
        <v>0.65</v>
      </c>
      <c r="O83" s="153">
        <f t="shared" si="38"/>
        <v>0.65</v>
      </c>
      <c r="P83" s="153">
        <f t="shared" si="38"/>
        <v>0.65</v>
      </c>
      <c r="Q83" s="153">
        <f t="shared" si="38"/>
        <v>0.65</v>
      </c>
      <c r="R83" s="153">
        <f t="shared" si="38"/>
        <v>0.65</v>
      </c>
    </row>
    <row r="84" spans="1:18" ht="15" customHeight="1">
      <c r="B84" s="254" t="s">
        <v>964</v>
      </c>
      <c r="C84" s="153">
        <f>Inputs!C84</f>
        <v>0.23437499999999997</v>
      </c>
      <c r="D84" s="153">
        <f t="shared" si="39"/>
        <v>0.23437499999999997</v>
      </c>
      <c r="E84" s="153">
        <f t="shared" si="38"/>
        <v>0.23437499999999997</v>
      </c>
      <c r="F84" s="153">
        <f t="shared" si="38"/>
        <v>0.23437499999999997</v>
      </c>
      <c r="G84" s="153">
        <f t="shared" si="38"/>
        <v>0.23437499999999997</v>
      </c>
      <c r="H84" s="153">
        <f t="shared" si="38"/>
        <v>0.23437499999999997</v>
      </c>
      <c r="I84" s="153">
        <f t="shared" si="38"/>
        <v>0.23437499999999997</v>
      </c>
      <c r="J84" s="153">
        <f t="shared" si="38"/>
        <v>0.23437499999999997</v>
      </c>
      <c r="K84" s="153">
        <f t="shared" si="38"/>
        <v>0.23437499999999997</v>
      </c>
      <c r="L84" s="153">
        <f t="shared" si="38"/>
        <v>0.23437499999999997</v>
      </c>
      <c r="M84" s="153">
        <f t="shared" si="38"/>
        <v>0.23437499999999997</v>
      </c>
      <c r="N84" s="153">
        <f t="shared" si="38"/>
        <v>0.23437499999999997</v>
      </c>
      <c r="O84" s="153">
        <f t="shared" si="38"/>
        <v>0.23437499999999997</v>
      </c>
      <c r="P84" s="153">
        <f t="shared" si="38"/>
        <v>0.23437499999999997</v>
      </c>
      <c r="Q84" s="153">
        <f t="shared" si="38"/>
        <v>0.23437499999999997</v>
      </c>
      <c r="R84" s="153">
        <f t="shared" si="38"/>
        <v>0.23437499999999997</v>
      </c>
    </row>
    <row r="85" spans="1:18" ht="15.75" customHeight="1">
      <c r="B85" s="254" t="s">
        <v>965</v>
      </c>
      <c r="C85" s="153">
        <f>Inputs!C85</f>
        <v>0.23437499999999997</v>
      </c>
      <c r="D85" s="153">
        <f t="shared" si="39"/>
        <v>0.23437499999999997</v>
      </c>
      <c r="E85" s="153">
        <f t="shared" si="38"/>
        <v>0.23437499999999997</v>
      </c>
      <c r="F85" s="153">
        <f t="shared" si="38"/>
        <v>0.23437499999999997</v>
      </c>
      <c r="G85" s="153">
        <f t="shared" si="38"/>
        <v>0.23437499999999997</v>
      </c>
      <c r="H85" s="153">
        <f t="shared" si="38"/>
        <v>0.23437499999999997</v>
      </c>
      <c r="I85" s="153">
        <f t="shared" si="38"/>
        <v>0.23437499999999997</v>
      </c>
      <c r="J85" s="153">
        <f t="shared" si="38"/>
        <v>0.23437499999999997</v>
      </c>
      <c r="K85" s="153">
        <f t="shared" si="38"/>
        <v>0.23437499999999997</v>
      </c>
      <c r="L85" s="153">
        <f t="shared" si="38"/>
        <v>0.23437499999999997</v>
      </c>
      <c r="M85" s="153">
        <f t="shared" si="38"/>
        <v>0.23437499999999997</v>
      </c>
      <c r="N85" s="153">
        <f t="shared" si="38"/>
        <v>0.23437499999999997</v>
      </c>
      <c r="O85" s="153">
        <f t="shared" si="38"/>
        <v>0.23437499999999997</v>
      </c>
      <c r="P85" s="153">
        <f t="shared" si="38"/>
        <v>0.23437499999999997</v>
      </c>
      <c r="Q85" s="153">
        <f t="shared" si="38"/>
        <v>0.23437499999999997</v>
      </c>
      <c r="R85" s="153">
        <f t="shared" si="38"/>
        <v>0.23437499999999997</v>
      </c>
    </row>
    <row r="86" spans="1:18" ht="15" customHeight="1">
      <c r="B86" s="254" t="s">
        <v>966</v>
      </c>
      <c r="C86" s="153">
        <f>Inputs!C86</f>
        <v>0.21562499999999998</v>
      </c>
      <c r="D86" s="153">
        <f t="shared" si="39"/>
        <v>0.21562499999999998</v>
      </c>
      <c r="E86" s="153">
        <f t="shared" si="38"/>
        <v>0.21562499999999998</v>
      </c>
      <c r="F86" s="153">
        <f t="shared" si="38"/>
        <v>0.21562499999999998</v>
      </c>
      <c r="G86" s="153">
        <f t="shared" si="38"/>
        <v>0.21562499999999998</v>
      </c>
      <c r="H86" s="153">
        <f t="shared" si="38"/>
        <v>0.21562499999999998</v>
      </c>
      <c r="I86" s="153">
        <f t="shared" si="38"/>
        <v>0.21562499999999998</v>
      </c>
      <c r="J86" s="153">
        <f t="shared" si="38"/>
        <v>0.21562499999999998</v>
      </c>
      <c r="K86" s="153">
        <f t="shared" si="38"/>
        <v>0.21562499999999998</v>
      </c>
      <c r="L86" s="153">
        <f t="shared" si="38"/>
        <v>0.21562499999999998</v>
      </c>
      <c r="M86" s="153">
        <f t="shared" si="38"/>
        <v>0.21562499999999998</v>
      </c>
      <c r="N86" s="153">
        <f t="shared" si="38"/>
        <v>0.21562499999999998</v>
      </c>
      <c r="O86" s="153">
        <f t="shared" si="38"/>
        <v>0.21562499999999998</v>
      </c>
      <c r="P86" s="153">
        <f t="shared" si="38"/>
        <v>0.21562499999999998</v>
      </c>
      <c r="Q86" s="153">
        <f t="shared" si="38"/>
        <v>0.21562499999999998</v>
      </c>
      <c r="R86" s="153">
        <f t="shared" si="38"/>
        <v>0.21562499999999998</v>
      </c>
    </row>
    <row r="87" spans="1:18" ht="15" customHeight="1">
      <c r="B87" s="254" t="s">
        <v>967</v>
      </c>
      <c r="C87" s="153">
        <f>Inputs!C87</f>
        <v>0.21562499999999998</v>
      </c>
      <c r="D87" s="153">
        <f t="shared" si="39"/>
        <v>0.21562499999999998</v>
      </c>
      <c r="E87" s="153">
        <f t="shared" si="38"/>
        <v>0.21562499999999998</v>
      </c>
      <c r="F87" s="153">
        <f t="shared" si="38"/>
        <v>0.21562499999999998</v>
      </c>
      <c r="G87" s="153">
        <f t="shared" si="38"/>
        <v>0.21562499999999998</v>
      </c>
      <c r="H87" s="153">
        <f t="shared" si="38"/>
        <v>0.21562499999999998</v>
      </c>
      <c r="I87" s="153">
        <f t="shared" si="38"/>
        <v>0.21562499999999998</v>
      </c>
      <c r="J87" s="153">
        <f t="shared" si="38"/>
        <v>0.21562499999999998</v>
      </c>
      <c r="K87" s="153">
        <f t="shared" si="38"/>
        <v>0.21562499999999998</v>
      </c>
      <c r="L87" s="153">
        <f t="shared" si="38"/>
        <v>0.21562499999999998</v>
      </c>
      <c r="M87" s="153">
        <f t="shared" si="38"/>
        <v>0.21562499999999998</v>
      </c>
      <c r="N87" s="153">
        <f t="shared" si="38"/>
        <v>0.21562499999999998</v>
      </c>
      <c r="O87" s="153">
        <f t="shared" si="38"/>
        <v>0.21562499999999998</v>
      </c>
      <c r="P87" s="153">
        <f t="shared" si="38"/>
        <v>0.21562499999999998</v>
      </c>
      <c r="Q87" s="153">
        <f t="shared" si="38"/>
        <v>0.21562499999999998</v>
      </c>
      <c r="R87" s="153">
        <f t="shared" si="38"/>
        <v>0.21562499999999998</v>
      </c>
    </row>
    <row r="88" spans="1:18" ht="15" customHeight="1">
      <c r="B88" s="254" t="s">
        <v>968</v>
      </c>
      <c r="C88" s="153">
        <f>Inputs!C88</f>
        <v>0.1</v>
      </c>
      <c r="D88" s="153">
        <f t="shared" si="39"/>
        <v>0.1</v>
      </c>
      <c r="E88" s="153">
        <f t="shared" si="38"/>
        <v>0.1</v>
      </c>
      <c r="F88" s="153">
        <f t="shared" si="38"/>
        <v>0.1</v>
      </c>
      <c r="G88" s="153">
        <f t="shared" si="38"/>
        <v>0.1</v>
      </c>
      <c r="H88" s="153">
        <f t="shared" si="38"/>
        <v>0.1</v>
      </c>
      <c r="I88" s="153">
        <f t="shared" si="38"/>
        <v>0.1</v>
      </c>
      <c r="J88" s="153">
        <f t="shared" si="38"/>
        <v>0.1</v>
      </c>
      <c r="K88" s="153">
        <f t="shared" si="38"/>
        <v>0.1</v>
      </c>
      <c r="L88" s="153">
        <f t="shared" si="38"/>
        <v>0.1</v>
      </c>
      <c r="M88" s="153">
        <f t="shared" si="38"/>
        <v>0.1</v>
      </c>
      <c r="N88" s="153">
        <f t="shared" si="38"/>
        <v>0.1</v>
      </c>
      <c r="O88" s="153">
        <f t="shared" si="38"/>
        <v>0.1</v>
      </c>
      <c r="P88" s="153">
        <f t="shared" si="38"/>
        <v>0.1</v>
      </c>
      <c r="Q88" s="153">
        <f t="shared" si="38"/>
        <v>0.1</v>
      </c>
      <c r="R88" s="153">
        <f t="shared" si="38"/>
        <v>0.1</v>
      </c>
    </row>
    <row r="89" spans="1:18" ht="15" customHeight="1">
      <c r="B89" s="254" t="s">
        <v>969</v>
      </c>
      <c r="C89" s="153">
        <f>Inputs!C89</f>
        <v>3.3527998927104035</v>
      </c>
      <c r="D89" s="153">
        <f t="shared" si="39"/>
        <v>3.3527998927104035</v>
      </c>
      <c r="E89" s="153">
        <f t="shared" si="38"/>
        <v>3.3527998927104035</v>
      </c>
      <c r="F89" s="153">
        <f t="shared" si="38"/>
        <v>3.3527998927104035</v>
      </c>
      <c r="G89" s="153">
        <f t="shared" si="38"/>
        <v>3.3527998927104035</v>
      </c>
      <c r="H89" s="153">
        <f t="shared" si="38"/>
        <v>3.3527998927104035</v>
      </c>
      <c r="I89" s="153">
        <f t="shared" si="38"/>
        <v>3.3527998927104035</v>
      </c>
      <c r="J89" s="153">
        <f t="shared" si="38"/>
        <v>3.3527998927104035</v>
      </c>
      <c r="K89" s="153">
        <f t="shared" si="38"/>
        <v>3.3527998927104035</v>
      </c>
      <c r="L89" s="153">
        <f t="shared" si="38"/>
        <v>3.3527998927104035</v>
      </c>
      <c r="M89" s="153">
        <f t="shared" si="38"/>
        <v>3.3527998927104035</v>
      </c>
      <c r="N89" s="153">
        <f t="shared" si="38"/>
        <v>3.3527998927104035</v>
      </c>
      <c r="O89" s="153">
        <f t="shared" si="38"/>
        <v>3.3527998927104035</v>
      </c>
      <c r="P89" s="153">
        <f t="shared" si="38"/>
        <v>3.3527998927104035</v>
      </c>
      <c r="Q89" s="153">
        <f t="shared" si="38"/>
        <v>3.3527998927104035</v>
      </c>
      <c r="R89" s="153">
        <f t="shared" si="38"/>
        <v>3.3527998927104035</v>
      </c>
    </row>
    <row r="90" spans="1:18" ht="15" customHeight="1">
      <c r="B90" s="254" t="s">
        <v>970</v>
      </c>
      <c r="C90" s="153">
        <f>Inputs!C90</f>
        <v>3.3527998927104035</v>
      </c>
      <c r="D90" s="153">
        <f t="shared" si="39"/>
        <v>3.3527998927104035</v>
      </c>
      <c r="E90" s="153">
        <f t="shared" si="38"/>
        <v>3.3527998927104035</v>
      </c>
      <c r="F90" s="153">
        <f t="shared" si="38"/>
        <v>3.3527998927104035</v>
      </c>
      <c r="G90" s="153">
        <f t="shared" si="38"/>
        <v>3.3527998927104035</v>
      </c>
      <c r="H90" s="153">
        <f t="shared" si="38"/>
        <v>3.3527998927104035</v>
      </c>
      <c r="I90" s="153">
        <f t="shared" si="38"/>
        <v>3.3527998927104035</v>
      </c>
      <c r="J90" s="153">
        <f t="shared" si="38"/>
        <v>3.3527998927104035</v>
      </c>
      <c r="K90" s="153">
        <f t="shared" si="38"/>
        <v>3.3527998927104035</v>
      </c>
      <c r="L90" s="153">
        <f t="shared" si="38"/>
        <v>3.3527998927104035</v>
      </c>
      <c r="M90" s="153">
        <f t="shared" si="38"/>
        <v>3.3527998927104035</v>
      </c>
      <c r="N90" s="153">
        <f t="shared" si="38"/>
        <v>3.3527998927104035</v>
      </c>
      <c r="O90" s="153">
        <f t="shared" si="38"/>
        <v>3.3527998927104035</v>
      </c>
      <c r="P90" s="153">
        <f t="shared" si="38"/>
        <v>3.3527998927104035</v>
      </c>
      <c r="Q90" s="153">
        <f t="shared" si="38"/>
        <v>3.3527998927104035</v>
      </c>
      <c r="R90" s="153">
        <f t="shared" si="38"/>
        <v>3.3527998927104035</v>
      </c>
    </row>
    <row r="91" spans="1:18" ht="15" customHeight="1">
      <c r="B91" s="254" t="s">
        <v>971</v>
      </c>
      <c r="C91" s="153">
        <f>Inputs!C91</f>
        <v>3.3527998927104035</v>
      </c>
      <c r="D91" s="153">
        <f t="shared" si="39"/>
        <v>3.3527998927104035</v>
      </c>
      <c r="E91" s="153">
        <f t="shared" si="38"/>
        <v>3.3527998927104035</v>
      </c>
      <c r="F91" s="153">
        <f t="shared" si="38"/>
        <v>3.3527998927104035</v>
      </c>
      <c r="G91" s="153">
        <f t="shared" si="38"/>
        <v>3.3527998927104035</v>
      </c>
      <c r="H91" s="153">
        <f t="shared" si="38"/>
        <v>3.3527998927104035</v>
      </c>
      <c r="I91" s="153">
        <f t="shared" si="38"/>
        <v>3.3527998927104035</v>
      </c>
      <c r="J91" s="153">
        <f t="shared" si="38"/>
        <v>3.3527998927104035</v>
      </c>
      <c r="K91" s="153">
        <f t="shared" si="38"/>
        <v>3.3527998927104035</v>
      </c>
      <c r="L91" s="153">
        <f t="shared" si="38"/>
        <v>3.3527998927104035</v>
      </c>
      <c r="M91" s="153">
        <f t="shared" si="38"/>
        <v>3.3527998927104035</v>
      </c>
      <c r="N91" s="153">
        <f t="shared" si="38"/>
        <v>3.3527998927104035</v>
      </c>
      <c r="O91" s="153">
        <f t="shared" si="38"/>
        <v>3.3527998927104035</v>
      </c>
      <c r="P91" s="153">
        <f t="shared" si="38"/>
        <v>3.3527998927104035</v>
      </c>
      <c r="Q91" s="153">
        <f t="shared" si="38"/>
        <v>3.3527998927104035</v>
      </c>
      <c r="R91" s="153">
        <f t="shared" si="38"/>
        <v>3.3527998927104035</v>
      </c>
    </row>
    <row r="92" spans="1:18" ht="15" customHeight="1">
      <c r="B92" s="254" t="s">
        <v>972</v>
      </c>
      <c r="C92" s="153">
        <f>Inputs!C92</f>
        <v>3.3527998927104035</v>
      </c>
      <c r="D92" s="153">
        <f t="shared" si="39"/>
        <v>3.3527998927104035</v>
      </c>
      <c r="E92" s="153">
        <f t="shared" ref="E92:R92" si="40">D92</f>
        <v>3.3527998927104035</v>
      </c>
      <c r="F92" s="153">
        <f t="shared" si="40"/>
        <v>3.3527998927104035</v>
      </c>
      <c r="G92" s="153">
        <f t="shared" si="40"/>
        <v>3.3527998927104035</v>
      </c>
      <c r="H92" s="153">
        <f t="shared" si="40"/>
        <v>3.3527998927104035</v>
      </c>
      <c r="I92" s="153">
        <f t="shared" si="40"/>
        <v>3.3527998927104035</v>
      </c>
      <c r="J92" s="153">
        <f t="shared" si="40"/>
        <v>3.3527998927104035</v>
      </c>
      <c r="K92" s="153">
        <f t="shared" si="40"/>
        <v>3.3527998927104035</v>
      </c>
      <c r="L92" s="153">
        <f t="shared" si="40"/>
        <v>3.3527998927104035</v>
      </c>
      <c r="M92" s="153">
        <f t="shared" si="40"/>
        <v>3.3527998927104035</v>
      </c>
      <c r="N92" s="153">
        <f t="shared" si="40"/>
        <v>3.3527998927104035</v>
      </c>
      <c r="O92" s="153">
        <f t="shared" si="40"/>
        <v>3.3527998927104035</v>
      </c>
      <c r="P92" s="153">
        <f t="shared" si="40"/>
        <v>3.3527998927104035</v>
      </c>
      <c r="Q92" s="153">
        <f t="shared" si="40"/>
        <v>3.3527998927104035</v>
      </c>
      <c r="R92" s="153">
        <f t="shared" si="40"/>
        <v>3.3527998927104035</v>
      </c>
    </row>
    <row r="93" spans="1:18" ht="15" customHeight="1">
      <c r="A93" s="254" t="s">
        <v>83</v>
      </c>
      <c r="B93" s="254" t="s">
        <v>973</v>
      </c>
      <c r="C93" s="128">
        <f>Inputs!C93</f>
        <v>2</v>
      </c>
      <c r="D93" s="128">
        <f t="shared" si="39"/>
        <v>2</v>
      </c>
      <c r="E93" s="128">
        <f t="shared" ref="E93:R93" si="41">D93</f>
        <v>2</v>
      </c>
      <c r="F93" s="128">
        <f t="shared" si="41"/>
        <v>2</v>
      </c>
      <c r="G93" s="128">
        <f t="shared" si="41"/>
        <v>2</v>
      </c>
      <c r="H93" s="128">
        <f t="shared" si="41"/>
        <v>2</v>
      </c>
      <c r="I93" s="128">
        <f t="shared" si="41"/>
        <v>2</v>
      </c>
      <c r="J93" s="128">
        <f t="shared" si="41"/>
        <v>2</v>
      </c>
      <c r="K93" s="128">
        <f t="shared" si="41"/>
        <v>2</v>
      </c>
      <c r="L93" s="128">
        <f t="shared" si="41"/>
        <v>2</v>
      </c>
      <c r="M93" s="128">
        <f t="shared" si="41"/>
        <v>2</v>
      </c>
      <c r="N93" s="128">
        <f t="shared" si="41"/>
        <v>2</v>
      </c>
      <c r="O93" s="128">
        <f t="shared" si="41"/>
        <v>2</v>
      </c>
      <c r="P93" s="128">
        <f t="shared" si="41"/>
        <v>2</v>
      </c>
      <c r="Q93" s="128">
        <f t="shared" si="41"/>
        <v>2</v>
      </c>
      <c r="R93" s="128">
        <f t="shared" si="41"/>
        <v>2</v>
      </c>
    </row>
    <row r="94" spans="1:18" ht="15" customHeight="1">
      <c r="B94" s="254" t="s">
        <v>1083</v>
      </c>
      <c r="C94" s="6">
        <f>Inputs!C94</f>
        <v>1</v>
      </c>
      <c r="D94" s="6">
        <f t="shared" si="39"/>
        <v>1</v>
      </c>
      <c r="E94" s="6">
        <f t="shared" ref="E94:R94" si="42">D94</f>
        <v>1</v>
      </c>
      <c r="F94" s="6">
        <f t="shared" si="42"/>
        <v>1</v>
      </c>
      <c r="G94" s="6">
        <f t="shared" si="42"/>
        <v>1</v>
      </c>
      <c r="H94" s="6">
        <f t="shared" si="42"/>
        <v>1</v>
      </c>
      <c r="I94" s="6">
        <f t="shared" si="42"/>
        <v>1</v>
      </c>
      <c r="J94" s="6">
        <f t="shared" si="42"/>
        <v>1</v>
      </c>
      <c r="K94" s="6">
        <f t="shared" si="42"/>
        <v>1</v>
      </c>
      <c r="L94" s="6">
        <f t="shared" si="42"/>
        <v>1</v>
      </c>
      <c r="M94" s="6">
        <f t="shared" si="42"/>
        <v>1</v>
      </c>
      <c r="N94" s="6">
        <f t="shared" si="42"/>
        <v>1</v>
      </c>
      <c r="O94" s="6">
        <f t="shared" si="42"/>
        <v>1</v>
      </c>
      <c r="P94" s="6">
        <f t="shared" si="42"/>
        <v>1</v>
      </c>
      <c r="Q94" s="6">
        <f t="shared" si="42"/>
        <v>1</v>
      </c>
      <c r="R94" s="6">
        <f t="shared" si="42"/>
        <v>1</v>
      </c>
    </row>
    <row r="95" spans="1:18" ht="15" customHeight="1">
      <c r="B95" s="254" t="s">
        <v>1084</v>
      </c>
      <c r="C95" s="6">
        <f>Inputs!C95</f>
        <v>4.6227998520704041</v>
      </c>
      <c r="D95" s="6">
        <f t="shared" si="39"/>
        <v>4.6227998520704041</v>
      </c>
      <c r="E95" s="6">
        <f t="shared" ref="E95:R95" si="43">D95</f>
        <v>4.6227998520704041</v>
      </c>
      <c r="F95" s="6">
        <f t="shared" si="43"/>
        <v>4.6227998520704041</v>
      </c>
      <c r="G95" s="6">
        <f t="shared" si="43"/>
        <v>4.6227998520704041</v>
      </c>
      <c r="H95" s="6">
        <f t="shared" si="43"/>
        <v>4.6227998520704041</v>
      </c>
      <c r="I95" s="6">
        <f t="shared" si="43"/>
        <v>4.6227998520704041</v>
      </c>
      <c r="J95" s="6">
        <f t="shared" si="43"/>
        <v>4.6227998520704041</v>
      </c>
      <c r="K95" s="6">
        <f t="shared" si="43"/>
        <v>4.6227998520704041</v>
      </c>
      <c r="L95" s="6">
        <f t="shared" si="43"/>
        <v>4.6227998520704041</v>
      </c>
      <c r="M95" s="6">
        <f t="shared" si="43"/>
        <v>4.6227998520704041</v>
      </c>
      <c r="N95" s="6">
        <f t="shared" si="43"/>
        <v>4.6227998520704041</v>
      </c>
      <c r="O95" s="6">
        <f t="shared" si="43"/>
        <v>4.6227998520704041</v>
      </c>
      <c r="P95" s="6">
        <f t="shared" si="43"/>
        <v>4.6227998520704041</v>
      </c>
      <c r="Q95" s="6">
        <f t="shared" si="43"/>
        <v>4.6227998520704041</v>
      </c>
      <c r="R95" s="6">
        <f t="shared" si="43"/>
        <v>4.6227998520704041</v>
      </c>
    </row>
    <row r="96" spans="1:18" ht="15" customHeight="1">
      <c r="B96" s="254" t="s">
        <v>1085</v>
      </c>
      <c r="C96" s="6">
        <f>Inputs!C96</f>
        <v>0.32514999999999999</v>
      </c>
      <c r="D96" s="6">
        <f t="shared" ref="D96:R111" si="44">C96</f>
        <v>0.32514999999999999</v>
      </c>
      <c r="E96" s="6">
        <f t="shared" si="44"/>
        <v>0.32514999999999999</v>
      </c>
      <c r="F96" s="6">
        <f t="shared" si="44"/>
        <v>0.32514999999999999</v>
      </c>
      <c r="G96" s="6">
        <f t="shared" si="44"/>
        <v>0.32514999999999999</v>
      </c>
      <c r="H96" s="6">
        <f t="shared" si="44"/>
        <v>0.32514999999999999</v>
      </c>
      <c r="I96" s="6">
        <f t="shared" si="44"/>
        <v>0.32514999999999999</v>
      </c>
      <c r="J96" s="6">
        <f t="shared" si="44"/>
        <v>0.32514999999999999</v>
      </c>
      <c r="K96" s="6">
        <f t="shared" si="44"/>
        <v>0.32514999999999999</v>
      </c>
      <c r="L96" s="6">
        <f t="shared" si="44"/>
        <v>0.32514999999999999</v>
      </c>
      <c r="M96" s="6">
        <f t="shared" si="44"/>
        <v>0.32514999999999999</v>
      </c>
      <c r="N96" s="6">
        <f t="shared" si="44"/>
        <v>0.32514999999999999</v>
      </c>
      <c r="O96" s="6">
        <f t="shared" si="44"/>
        <v>0.32514999999999999</v>
      </c>
      <c r="P96" s="6">
        <f t="shared" si="44"/>
        <v>0.32514999999999999</v>
      </c>
      <c r="Q96" s="6">
        <f t="shared" si="44"/>
        <v>0.32514999999999999</v>
      </c>
      <c r="R96" s="6">
        <f t="shared" si="44"/>
        <v>0.32514999999999999</v>
      </c>
    </row>
    <row r="97" spans="1:18" ht="15" customHeight="1">
      <c r="B97" s="254" t="s">
        <v>1086</v>
      </c>
      <c r="C97" s="6">
        <f>Inputs!C97</f>
        <v>0.5</v>
      </c>
      <c r="D97" s="6">
        <f t="shared" si="44"/>
        <v>0.5</v>
      </c>
      <c r="E97" s="6">
        <f t="shared" si="44"/>
        <v>0.5</v>
      </c>
      <c r="F97" s="6">
        <f t="shared" si="44"/>
        <v>0.5</v>
      </c>
      <c r="G97" s="6">
        <f t="shared" si="44"/>
        <v>0.5</v>
      </c>
      <c r="H97" s="6">
        <f t="shared" si="44"/>
        <v>0.5</v>
      </c>
      <c r="I97" s="6">
        <f t="shared" si="44"/>
        <v>0.5</v>
      </c>
      <c r="J97" s="6">
        <f t="shared" si="44"/>
        <v>0.5</v>
      </c>
      <c r="K97" s="6">
        <f t="shared" si="44"/>
        <v>0.5</v>
      </c>
      <c r="L97" s="6">
        <f t="shared" si="44"/>
        <v>0.5</v>
      </c>
      <c r="M97" s="6">
        <f t="shared" si="44"/>
        <v>0.5</v>
      </c>
      <c r="N97" s="6">
        <f t="shared" si="44"/>
        <v>0.5</v>
      </c>
      <c r="O97" s="6">
        <f t="shared" si="44"/>
        <v>0.5</v>
      </c>
      <c r="P97" s="6">
        <f t="shared" si="44"/>
        <v>0.5</v>
      </c>
      <c r="Q97" s="6">
        <f t="shared" si="44"/>
        <v>0.5</v>
      </c>
      <c r="R97" s="6">
        <f t="shared" si="44"/>
        <v>0.5</v>
      </c>
    </row>
    <row r="98" spans="1:18" ht="15" customHeight="1">
      <c r="B98" s="254" t="s">
        <v>1087</v>
      </c>
      <c r="C98" s="128">
        <f>Inputs!C98</f>
        <v>2</v>
      </c>
      <c r="D98" s="128">
        <f t="shared" si="44"/>
        <v>2</v>
      </c>
      <c r="E98" s="128">
        <f t="shared" si="44"/>
        <v>2</v>
      </c>
      <c r="F98" s="128">
        <f t="shared" si="44"/>
        <v>2</v>
      </c>
      <c r="G98" s="128">
        <f t="shared" si="44"/>
        <v>2</v>
      </c>
      <c r="H98" s="128">
        <f t="shared" si="44"/>
        <v>2</v>
      </c>
      <c r="I98" s="128">
        <f t="shared" si="44"/>
        <v>2</v>
      </c>
      <c r="J98" s="128">
        <f t="shared" si="44"/>
        <v>2</v>
      </c>
      <c r="K98" s="128">
        <f t="shared" si="44"/>
        <v>2</v>
      </c>
      <c r="L98" s="128">
        <f t="shared" si="44"/>
        <v>2</v>
      </c>
      <c r="M98" s="128">
        <f t="shared" si="44"/>
        <v>2</v>
      </c>
      <c r="N98" s="128">
        <f t="shared" si="44"/>
        <v>2</v>
      </c>
      <c r="O98" s="128">
        <f t="shared" si="44"/>
        <v>2</v>
      </c>
      <c r="P98" s="128">
        <f t="shared" si="44"/>
        <v>2</v>
      </c>
      <c r="Q98" s="128">
        <f t="shared" si="44"/>
        <v>2</v>
      </c>
      <c r="R98" s="128">
        <f t="shared" si="44"/>
        <v>2</v>
      </c>
    </row>
    <row r="99" spans="1:18" ht="15" customHeight="1">
      <c r="B99" s="254" t="s">
        <v>1088</v>
      </c>
      <c r="C99" s="153">
        <f>Inputs!C99</f>
        <v>4.6227998520704041</v>
      </c>
      <c r="D99" s="153">
        <f t="shared" si="44"/>
        <v>4.6227998520704041</v>
      </c>
      <c r="E99" s="153">
        <f t="shared" si="44"/>
        <v>4.6227998520704041</v>
      </c>
      <c r="F99" s="153">
        <f t="shared" si="44"/>
        <v>4.6227998520704041</v>
      </c>
      <c r="G99" s="153">
        <f t="shared" si="44"/>
        <v>4.6227998520704041</v>
      </c>
      <c r="H99" s="153">
        <f t="shared" si="44"/>
        <v>4.6227998520704041</v>
      </c>
      <c r="I99" s="153">
        <f t="shared" si="44"/>
        <v>4.6227998520704041</v>
      </c>
      <c r="J99" s="153">
        <f t="shared" si="44"/>
        <v>4.6227998520704041</v>
      </c>
      <c r="K99" s="153">
        <f t="shared" si="44"/>
        <v>4.6227998520704041</v>
      </c>
      <c r="L99" s="153">
        <f t="shared" si="44"/>
        <v>4.6227998520704041</v>
      </c>
      <c r="M99" s="153">
        <f t="shared" si="44"/>
        <v>4.6227998520704041</v>
      </c>
      <c r="N99" s="153">
        <f t="shared" si="44"/>
        <v>4.6227998520704041</v>
      </c>
      <c r="O99" s="153">
        <f t="shared" si="44"/>
        <v>4.6227998520704041</v>
      </c>
      <c r="P99" s="153">
        <f t="shared" si="44"/>
        <v>4.6227998520704041</v>
      </c>
      <c r="Q99" s="153">
        <f t="shared" si="44"/>
        <v>4.6227998520704041</v>
      </c>
      <c r="R99" s="153">
        <f t="shared" si="44"/>
        <v>4.6227998520704041</v>
      </c>
    </row>
    <row r="100" spans="1:18" ht="15" customHeight="1">
      <c r="B100" s="254" t="s">
        <v>1089</v>
      </c>
      <c r="C100" s="153">
        <f>Inputs!C100</f>
        <v>0.32514999999999999</v>
      </c>
      <c r="D100" s="153">
        <f t="shared" si="44"/>
        <v>0.32514999999999999</v>
      </c>
      <c r="E100" s="153">
        <f t="shared" si="44"/>
        <v>0.32514999999999999</v>
      </c>
      <c r="F100" s="153">
        <f t="shared" si="44"/>
        <v>0.32514999999999999</v>
      </c>
      <c r="G100" s="153">
        <f t="shared" si="44"/>
        <v>0.32514999999999999</v>
      </c>
      <c r="H100" s="153">
        <f t="shared" si="44"/>
        <v>0.32514999999999999</v>
      </c>
      <c r="I100" s="153">
        <f t="shared" si="44"/>
        <v>0.32514999999999999</v>
      </c>
      <c r="J100" s="153">
        <f t="shared" si="44"/>
        <v>0.32514999999999999</v>
      </c>
      <c r="K100" s="153">
        <f t="shared" si="44"/>
        <v>0.32514999999999999</v>
      </c>
      <c r="L100" s="153">
        <f t="shared" si="44"/>
        <v>0.32514999999999999</v>
      </c>
      <c r="M100" s="153">
        <f t="shared" si="44"/>
        <v>0.32514999999999999</v>
      </c>
      <c r="N100" s="153">
        <f t="shared" si="44"/>
        <v>0.32514999999999999</v>
      </c>
      <c r="O100" s="153">
        <f t="shared" si="44"/>
        <v>0.32514999999999999</v>
      </c>
      <c r="P100" s="153">
        <f t="shared" si="44"/>
        <v>0.32514999999999999</v>
      </c>
      <c r="Q100" s="153">
        <f t="shared" si="44"/>
        <v>0.32514999999999999</v>
      </c>
      <c r="R100" s="153">
        <f t="shared" si="44"/>
        <v>0.32514999999999999</v>
      </c>
    </row>
    <row r="101" spans="1:18" ht="15" customHeight="1">
      <c r="B101" s="254" t="s">
        <v>1090</v>
      </c>
      <c r="C101" s="8">
        <f>Inputs!C101</f>
        <v>0.5</v>
      </c>
      <c r="D101" s="8">
        <f t="shared" si="44"/>
        <v>0.5</v>
      </c>
      <c r="E101" s="8">
        <f t="shared" si="44"/>
        <v>0.5</v>
      </c>
      <c r="F101" s="8">
        <f t="shared" si="44"/>
        <v>0.5</v>
      </c>
      <c r="G101" s="8">
        <f t="shared" si="44"/>
        <v>0.5</v>
      </c>
      <c r="H101" s="8">
        <f t="shared" si="44"/>
        <v>0.5</v>
      </c>
      <c r="I101" s="8">
        <f t="shared" si="44"/>
        <v>0.5</v>
      </c>
      <c r="J101" s="8">
        <f t="shared" si="44"/>
        <v>0.5</v>
      </c>
      <c r="K101" s="8">
        <f t="shared" si="44"/>
        <v>0.5</v>
      </c>
      <c r="L101" s="8">
        <f t="shared" si="44"/>
        <v>0.5</v>
      </c>
      <c r="M101" s="8">
        <f t="shared" si="44"/>
        <v>0.5</v>
      </c>
      <c r="N101" s="8">
        <f t="shared" si="44"/>
        <v>0.5</v>
      </c>
      <c r="O101" s="8">
        <f t="shared" si="44"/>
        <v>0.5</v>
      </c>
      <c r="P101" s="8">
        <f t="shared" si="44"/>
        <v>0.5</v>
      </c>
      <c r="Q101" s="8">
        <f t="shared" si="44"/>
        <v>0.5</v>
      </c>
      <c r="R101" s="8">
        <f t="shared" si="44"/>
        <v>0.5</v>
      </c>
    </row>
    <row r="102" spans="1:18" ht="15" customHeight="1">
      <c r="A102" s="254" t="s">
        <v>147</v>
      </c>
      <c r="B102" s="254" t="s">
        <v>974</v>
      </c>
      <c r="C102" s="153">
        <f>Inputs!C102</f>
        <v>18.43494882292201</v>
      </c>
      <c r="D102" s="153">
        <f t="shared" si="44"/>
        <v>18.43494882292201</v>
      </c>
      <c r="E102" s="153">
        <f t="shared" si="44"/>
        <v>18.43494882292201</v>
      </c>
      <c r="F102" s="153">
        <f t="shared" si="44"/>
        <v>18.43494882292201</v>
      </c>
      <c r="G102" s="153">
        <f t="shared" si="44"/>
        <v>18.43494882292201</v>
      </c>
      <c r="H102" s="153">
        <f t="shared" si="44"/>
        <v>18.43494882292201</v>
      </c>
      <c r="I102" s="153">
        <f t="shared" si="44"/>
        <v>18.43494882292201</v>
      </c>
      <c r="J102" s="153">
        <f t="shared" si="44"/>
        <v>18.43494882292201</v>
      </c>
      <c r="K102" s="153">
        <f t="shared" si="44"/>
        <v>18.43494882292201</v>
      </c>
      <c r="L102" s="153">
        <f t="shared" si="44"/>
        <v>18.43494882292201</v>
      </c>
      <c r="M102" s="153">
        <f t="shared" si="44"/>
        <v>18.43494882292201</v>
      </c>
      <c r="N102" s="153">
        <f t="shared" si="44"/>
        <v>18.43494882292201</v>
      </c>
      <c r="O102" s="153">
        <f t="shared" si="44"/>
        <v>18.43494882292201</v>
      </c>
      <c r="P102" s="153">
        <f t="shared" si="44"/>
        <v>18.43494882292201</v>
      </c>
      <c r="Q102" s="153">
        <f t="shared" si="44"/>
        <v>18.43494882292201</v>
      </c>
      <c r="R102" s="153">
        <f t="shared" si="44"/>
        <v>18.43494882292201</v>
      </c>
    </row>
    <row r="103" spans="1:18" ht="15" customHeight="1">
      <c r="B103" s="254" t="s">
        <v>975</v>
      </c>
      <c r="C103" s="6" t="str">
        <f>Inputs!C103</f>
        <v>P</v>
      </c>
      <c r="D103" s="6" t="str">
        <f t="shared" si="44"/>
        <v>P</v>
      </c>
      <c r="E103" s="6" t="str">
        <f t="shared" si="44"/>
        <v>P</v>
      </c>
      <c r="F103" s="6" t="str">
        <f t="shared" si="44"/>
        <v>P</v>
      </c>
      <c r="G103" s="6" t="str">
        <f t="shared" si="44"/>
        <v>P</v>
      </c>
      <c r="H103" s="6" t="str">
        <f t="shared" si="44"/>
        <v>P</v>
      </c>
      <c r="I103" s="6" t="str">
        <f t="shared" si="44"/>
        <v>P</v>
      </c>
      <c r="J103" s="6" t="str">
        <f t="shared" si="44"/>
        <v>P</v>
      </c>
      <c r="K103" s="6" t="str">
        <f t="shared" si="44"/>
        <v>P</v>
      </c>
      <c r="L103" s="6" t="str">
        <f t="shared" si="44"/>
        <v>P</v>
      </c>
      <c r="M103" s="6" t="str">
        <f t="shared" si="44"/>
        <v>P</v>
      </c>
      <c r="N103" s="6" t="str">
        <f t="shared" si="44"/>
        <v>P</v>
      </c>
      <c r="O103" s="6" t="str">
        <f t="shared" si="44"/>
        <v>P</v>
      </c>
      <c r="P103" s="6" t="str">
        <f t="shared" si="44"/>
        <v>P</v>
      </c>
      <c r="Q103" s="6" t="str">
        <f t="shared" si="44"/>
        <v>P</v>
      </c>
      <c r="R103" s="6" t="str">
        <f t="shared" si="44"/>
        <v>P</v>
      </c>
    </row>
    <row r="104" spans="1:18" ht="15" customHeight="1">
      <c r="B104" s="254" t="s">
        <v>976</v>
      </c>
      <c r="C104" s="8">
        <f>Inputs!C104</f>
        <v>5.8927998114304057</v>
      </c>
      <c r="D104" s="8">
        <f>C104</f>
        <v>5.8927998114304057</v>
      </c>
      <c r="E104" s="8">
        <f t="shared" si="44"/>
        <v>5.8927998114304057</v>
      </c>
      <c r="F104" s="8">
        <f t="shared" si="44"/>
        <v>5.8927998114304057</v>
      </c>
      <c r="G104" s="8">
        <f t="shared" si="44"/>
        <v>5.8927998114304057</v>
      </c>
      <c r="H104" s="8">
        <f t="shared" si="44"/>
        <v>5.8927998114304057</v>
      </c>
      <c r="I104" s="8">
        <f t="shared" si="44"/>
        <v>5.8927998114304057</v>
      </c>
      <c r="J104" s="8">
        <f t="shared" si="44"/>
        <v>5.8927998114304057</v>
      </c>
      <c r="K104" s="8">
        <f t="shared" si="44"/>
        <v>5.8927998114304057</v>
      </c>
      <c r="L104" s="8">
        <f t="shared" si="44"/>
        <v>5.8927998114304057</v>
      </c>
      <c r="M104" s="8">
        <f t="shared" si="44"/>
        <v>5.8927998114304057</v>
      </c>
      <c r="N104" s="8">
        <f t="shared" si="44"/>
        <v>5.8927998114304057</v>
      </c>
      <c r="O104" s="8">
        <f t="shared" si="44"/>
        <v>5.8927998114304057</v>
      </c>
      <c r="P104" s="8">
        <f t="shared" si="44"/>
        <v>5.8927998114304057</v>
      </c>
      <c r="Q104" s="8">
        <f t="shared" si="44"/>
        <v>5.8927998114304057</v>
      </c>
      <c r="R104" s="8">
        <f t="shared" si="44"/>
        <v>5.8927998114304057</v>
      </c>
    </row>
    <row r="105" spans="1:18" ht="15" customHeight="1">
      <c r="B105" s="254" t="s">
        <v>977</v>
      </c>
      <c r="C105" s="128">
        <f>Inputs!C105</f>
        <v>0</v>
      </c>
      <c r="D105" s="128">
        <f t="shared" si="44"/>
        <v>0</v>
      </c>
      <c r="E105" s="128">
        <f t="shared" si="44"/>
        <v>0</v>
      </c>
      <c r="F105" s="128">
        <f t="shared" si="44"/>
        <v>0</v>
      </c>
      <c r="G105" s="128">
        <f t="shared" si="44"/>
        <v>0</v>
      </c>
      <c r="H105" s="128">
        <f t="shared" si="44"/>
        <v>0</v>
      </c>
      <c r="I105" s="128">
        <f t="shared" si="44"/>
        <v>0</v>
      </c>
      <c r="J105" s="128">
        <f t="shared" si="44"/>
        <v>0</v>
      </c>
      <c r="K105" s="128">
        <f t="shared" si="44"/>
        <v>0</v>
      </c>
      <c r="L105" s="128">
        <f t="shared" si="44"/>
        <v>0</v>
      </c>
      <c r="M105" s="128">
        <f t="shared" si="44"/>
        <v>0</v>
      </c>
      <c r="N105" s="128">
        <f t="shared" si="44"/>
        <v>0</v>
      </c>
      <c r="O105" s="128">
        <f t="shared" si="44"/>
        <v>0</v>
      </c>
      <c r="P105" s="128">
        <f t="shared" si="44"/>
        <v>0</v>
      </c>
      <c r="Q105" s="128">
        <f t="shared" si="44"/>
        <v>0</v>
      </c>
      <c r="R105" s="128">
        <f t="shared" si="44"/>
        <v>0</v>
      </c>
    </row>
    <row r="106" spans="1:18" ht="15" customHeight="1">
      <c r="B106" s="254" t="s">
        <v>978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979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980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981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982</v>
      </c>
      <c r="C110" s="128">
        <f>Inputs!C110</f>
        <v>3</v>
      </c>
      <c r="D110" s="128">
        <f t="shared" si="44"/>
        <v>3</v>
      </c>
      <c r="E110" s="128">
        <f t="shared" si="44"/>
        <v>3</v>
      </c>
      <c r="F110" s="128">
        <f t="shared" si="44"/>
        <v>3</v>
      </c>
      <c r="G110" s="128">
        <f t="shared" si="44"/>
        <v>3</v>
      </c>
      <c r="H110" s="128">
        <f t="shared" si="44"/>
        <v>3</v>
      </c>
      <c r="I110" s="128">
        <f t="shared" si="44"/>
        <v>3</v>
      </c>
      <c r="J110" s="128">
        <f t="shared" si="44"/>
        <v>3</v>
      </c>
      <c r="K110" s="128">
        <f t="shared" si="44"/>
        <v>3</v>
      </c>
      <c r="L110" s="128">
        <f t="shared" si="44"/>
        <v>3</v>
      </c>
      <c r="M110" s="128">
        <f t="shared" si="44"/>
        <v>3</v>
      </c>
      <c r="N110" s="128">
        <f t="shared" si="44"/>
        <v>3</v>
      </c>
      <c r="O110" s="128">
        <f t="shared" si="44"/>
        <v>3</v>
      </c>
      <c r="P110" s="128">
        <f t="shared" si="44"/>
        <v>3</v>
      </c>
      <c r="Q110" s="128">
        <f t="shared" si="44"/>
        <v>3</v>
      </c>
      <c r="R110" s="128">
        <f t="shared" si="44"/>
        <v>3</v>
      </c>
    </row>
    <row r="111" spans="1:18" ht="15" customHeight="1">
      <c r="A111" s="254" t="s">
        <v>95</v>
      </c>
      <c r="B111" s="254" t="s">
        <v>983</v>
      </c>
      <c r="C111" s="128">
        <f>Inputs!C111</f>
        <v>0</v>
      </c>
      <c r="D111" s="128">
        <f t="shared" si="44"/>
        <v>0</v>
      </c>
      <c r="E111" s="128">
        <f t="shared" si="44"/>
        <v>0</v>
      </c>
      <c r="F111" s="128">
        <f t="shared" si="44"/>
        <v>0</v>
      </c>
      <c r="G111" s="128">
        <f t="shared" si="44"/>
        <v>0</v>
      </c>
      <c r="H111" s="128">
        <f t="shared" si="44"/>
        <v>0</v>
      </c>
      <c r="I111" s="128">
        <f t="shared" si="44"/>
        <v>0</v>
      </c>
      <c r="J111" s="128">
        <f t="shared" si="44"/>
        <v>0</v>
      </c>
      <c r="K111" s="128">
        <f t="shared" si="44"/>
        <v>0</v>
      </c>
      <c r="L111" s="128">
        <f t="shared" si="44"/>
        <v>0</v>
      </c>
      <c r="M111" s="128">
        <f t="shared" si="44"/>
        <v>0</v>
      </c>
      <c r="N111" s="128">
        <f t="shared" si="44"/>
        <v>0</v>
      </c>
      <c r="O111" s="128">
        <f t="shared" si="44"/>
        <v>0</v>
      </c>
      <c r="P111" s="128">
        <f t="shared" si="44"/>
        <v>0</v>
      </c>
      <c r="Q111" s="128">
        <f t="shared" si="44"/>
        <v>0</v>
      </c>
      <c r="R111" s="128">
        <f t="shared" si="44"/>
        <v>0</v>
      </c>
    </row>
    <row r="112" spans="1:18" ht="15" customHeight="1">
      <c r="B112" s="254" t="s">
        <v>984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985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100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102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1118</v>
      </c>
      <c r="C116" s="153">
        <f>Inputs!C116</f>
        <v>2.5000000000000001E-2</v>
      </c>
      <c r="D116" s="153">
        <f t="shared" ref="D116:R125" si="45">C116</f>
        <v>2.5000000000000001E-2</v>
      </c>
      <c r="E116" s="153">
        <f t="shared" si="45"/>
        <v>2.5000000000000001E-2</v>
      </c>
      <c r="F116" s="153">
        <f t="shared" si="45"/>
        <v>2.5000000000000001E-2</v>
      </c>
      <c r="G116" s="153">
        <f t="shared" si="45"/>
        <v>2.5000000000000001E-2</v>
      </c>
      <c r="H116" s="153">
        <f t="shared" si="45"/>
        <v>2.5000000000000001E-2</v>
      </c>
      <c r="I116" s="153">
        <f t="shared" si="45"/>
        <v>2.5000000000000001E-2</v>
      </c>
      <c r="J116" s="153">
        <f t="shared" si="45"/>
        <v>2.5000000000000001E-2</v>
      </c>
      <c r="K116" s="153">
        <f t="shared" si="45"/>
        <v>2.5000000000000001E-2</v>
      </c>
      <c r="L116" s="153">
        <f t="shared" si="45"/>
        <v>2.5000000000000001E-2</v>
      </c>
      <c r="M116" s="153">
        <f t="shared" si="45"/>
        <v>2.5000000000000001E-2</v>
      </c>
      <c r="N116" s="153">
        <f t="shared" si="45"/>
        <v>2.5000000000000001E-2</v>
      </c>
      <c r="O116" s="153">
        <f t="shared" si="45"/>
        <v>2.5000000000000001E-2</v>
      </c>
      <c r="P116" s="153">
        <f t="shared" si="45"/>
        <v>2.5000000000000001E-2</v>
      </c>
      <c r="Q116" s="153">
        <f t="shared" si="45"/>
        <v>2.5000000000000001E-2</v>
      </c>
      <c r="R116" s="153">
        <f t="shared" si="45"/>
        <v>2.5000000000000001E-2</v>
      </c>
    </row>
    <row r="117" spans="1:18" ht="15" customHeight="1">
      <c r="B117" s="254" t="s">
        <v>1119</v>
      </c>
      <c r="C117" s="153">
        <f>Inputs!C117</f>
        <v>2.5000000000000001E-2</v>
      </c>
      <c r="D117" s="153">
        <f t="shared" si="45"/>
        <v>2.5000000000000001E-2</v>
      </c>
      <c r="E117" s="153">
        <f t="shared" si="45"/>
        <v>2.5000000000000001E-2</v>
      </c>
      <c r="F117" s="153">
        <f t="shared" si="45"/>
        <v>2.5000000000000001E-2</v>
      </c>
      <c r="G117" s="153">
        <f t="shared" si="45"/>
        <v>2.5000000000000001E-2</v>
      </c>
      <c r="H117" s="153">
        <f t="shared" si="45"/>
        <v>2.5000000000000001E-2</v>
      </c>
      <c r="I117" s="153">
        <f t="shared" si="45"/>
        <v>2.5000000000000001E-2</v>
      </c>
      <c r="J117" s="153">
        <f t="shared" si="45"/>
        <v>2.5000000000000001E-2</v>
      </c>
      <c r="K117" s="153">
        <f t="shared" si="45"/>
        <v>2.5000000000000001E-2</v>
      </c>
      <c r="L117" s="153">
        <f t="shared" si="45"/>
        <v>2.5000000000000001E-2</v>
      </c>
      <c r="M117" s="153">
        <f t="shared" si="45"/>
        <v>2.5000000000000001E-2</v>
      </c>
      <c r="N117" s="153">
        <f t="shared" si="45"/>
        <v>2.5000000000000001E-2</v>
      </c>
      <c r="O117" s="153">
        <f t="shared" si="45"/>
        <v>2.5000000000000001E-2</v>
      </c>
      <c r="P117" s="153">
        <f t="shared" si="45"/>
        <v>2.5000000000000001E-2</v>
      </c>
      <c r="Q117" s="153">
        <f t="shared" si="45"/>
        <v>2.5000000000000001E-2</v>
      </c>
      <c r="R117" s="153">
        <f t="shared" si="45"/>
        <v>2.5000000000000001E-2</v>
      </c>
    </row>
    <row r="118" spans="1:18" ht="15" customHeight="1">
      <c r="B118" s="254" t="s">
        <v>986</v>
      </c>
      <c r="C118" s="8">
        <f>Inputs!C118</f>
        <v>67.069196408781849</v>
      </c>
      <c r="D118" s="8">
        <f t="shared" si="45"/>
        <v>67.069196408781849</v>
      </c>
      <c r="E118" s="8">
        <f t="shared" si="45"/>
        <v>67.069196408781849</v>
      </c>
      <c r="F118" s="8">
        <f t="shared" si="45"/>
        <v>67.069196408781849</v>
      </c>
      <c r="G118" s="8">
        <f t="shared" si="45"/>
        <v>67.069196408781849</v>
      </c>
      <c r="H118" s="8">
        <f t="shared" si="45"/>
        <v>67.069196408781849</v>
      </c>
      <c r="I118" s="8">
        <f t="shared" si="45"/>
        <v>67.069196408781849</v>
      </c>
      <c r="J118" s="8">
        <f t="shared" si="45"/>
        <v>67.069196408781849</v>
      </c>
      <c r="K118" s="8">
        <f t="shared" si="45"/>
        <v>67.069196408781849</v>
      </c>
      <c r="L118" s="8">
        <f t="shared" si="45"/>
        <v>67.069196408781849</v>
      </c>
      <c r="M118" s="8">
        <f t="shared" si="45"/>
        <v>67.069196408781849</v>
      </c>
      <c r="N118" s="8">
        <f t="shared" si="45"/>
        <v>67.069196408781849</v>
      </c>
      <c r="O118" s="8">
        <f t="shared" si="45"/>
        <v>67.069196408781849</v>
      </c>
      <c r="P118" s="8">
        <f t="shared" si="45"/>
        <v>67.069196408781849</v>
      </c>
      <c r="Q118" s="8">
        <f t="shared" si="45"/>
        <v>67.069196408781849</v>
      </c>
      <c r="R118" s="8">
        <f t="shared" si="45"/>
        <v>67.069196408781849</v>
      </c>
    </row>
    <row r="119" spans="1:18" ht="15" customHeight="1">
      <c r="B119" s="254" t="s">
        <v>987</v>
      </c>
      <c r="C119" s="8">
        <f>Inputs!C119</f>
        <v>6.9001230873232355</v>
      </c>
      <c r="D119" s="8">
        <f t="shared" si="45"/>
        <v>6.9001230873232355</v>
      </c>
      <c r="E119" s="8">
        <f t="shared" si="45"/>
        <v>6.9001230873232355</v>
      </c>
      <c r="F119" s="8">
        <f t="shared" si="45"/>
        <v>6.9001230873232355</v>
      </c>
      <c r="G119" s="8">
        <f t="shared" si="45"/>
        <v>6.9001230873232355</v>
      </c>
      <c r="H119" s="8">
        <f t="shared" si="45"/>
        <v>6.9001230873232355</v>
      </c>
      <c r="I119" s="8">
        <f t="shared" si="45"/>
        <v>6.9001230873232355</v>
      </c>
      <c r="J119" s="8">
        <f t="shared" si="45"/>
        <v>6.9001230873232355</v>
      </c>
      <c r="K119" s="8">
        <f t="shared" si="45"/>
        <v>6.9001230873232355</v>
      </c>
      <c r="L119" s="8">
        <f t="shared" si="45"/>
        <v>6.9001230873232355</v>
      </c>
      <c r="M119" s="8">
        <f t="shared" si="45"/>
        <v>6.9001230873232355</v>
      </c>
      <c r="N119" s="8">
        <f t="shared" si="45"/>
        <v>6.9001230873232355</v>
      </c>
      <c r="O119" s="8">
        <f t="shared" si="45"/>
        <v>6.9001230873232355</v>
      </c>
      <c r="P119" s="8">
        <f t="shared" si="45"/>
        <v>6.9001230873232355</v>
      </c>
      <c r="Q119" s="8">
        <f t="shared" si="45"/>
        <v>6.9001230873232355</v>
      </c>
      <c r="R119" s="8">
        <f t="shared" si="45"/>
        <v>6.9001230873232355</v>
      </c>
    </row>
    <row r="120" spans="1:18" ht="15" customHeight="1">
      <c r="B120" s="254" t="s">
        <v>988</v>
      </c>
      <c r="C120" s="6">
        <f>Inputs!C120</f>
        <v>0.25</v>
      </c>
      <c r="D120" s="6">
        <f t="shared" si="45"/>
        <v>0.25</v>
      </c>
      <c r="E120" s="6">
        <f t="shared" si="45"/>
        <v>0.25</v>
      </c>
      <c r="F120" s="6">
        <f t="shared" si="45"/>
        <v>0.25</v>
      </c>
      <c r="G120" s="6">
        <f t="shared" si="45"/>
        <v>0.25</v>
      </c>
      <c r="H120" s="6">
        <f t="shared" si="45"/>
        <v>0.25</v>
      </c>
      <c r="I120" s="6">
        <f t="shared" si="45"/>
        <v>0.25</v>
      </c>
      <c r="J120" s="6">
        <f t="shared" si="45"/>
        <v>0.25</v>
      </c>
      <c r="K120" s="6">
        <f t="shared" si="45"/>
        <v>0.25</v>
      </c>
      <c r="L120" s="6">
        <f t="shared" si="45"/>
        <v>0.25</v>
      </c>
      <c r="M120" s="6">
        <f t="shared" si="45"/>
        <v>0.25</v>
      </c>
      <c r="N120" s="6">
        <f t="shared" si="45"/>
        <v>0.25</v>
      </c>
      <c r="O120" s="6">
        <f t="shared" si="45"/>
        <v>0.25</v>
      </c>
      <c r="P120" s="6">
        <f t="shared" si="45"/>
        <v>0.25</v>
      </c>
      <c r="Q120" s="6">
        <f t="shared" si="45"/>
        <v>0.25</v>
      </c>
      <c r="R120" s="6">
        <f t="shared" si="45"/>
        <v>0.25</v>
      </c>
    </row>
    <row r="121" spans="1:18" ht="15" customHeight="1">
      <c r="B121" s="254" t="s">
        <v>989</v>
      </c>
      <c r="C121" s="6">
        <f>Inputs!C121</f>
        <v>0.45</v>
      </c>
      <c r="D121" s="6">
        <f t="shared" si="45"/>
        <v>0.45</v>
      </c>
      <c r="E121" s="6">
        <f t="shared" si="45"/>
        <v>0.45</v>
      </c>
      <c r="F121" s="6">
        <f t="shared" si="45"/>
        <v>0.45</v>
      </c>
      <c r="G121" s="6">
        <f t="shared" si="45"/>
        <v>0.45</v>
      </c>
      <c r="H121" s="6">
        <f t="shared" si="45"/>
        <v>0.45</v>
      </c>
      <c r="I121" s="6">
        <f t="shared" si="45"/>
        <v>0.45</v>
      </c>
      <c r="J121" s="6">
        <f t="shared" si="45"/>
        <v>0.45</v>
      </c>
      <c r="K121" s="6">
        <f t="shared" si="45"/>
        <v>0.45</v>
      </c>
      <c r="L121" s="6">
        <f t="shared" si="45"/>
        <v>0.45</v>
      </c>
      <c r="M121" s="6">
        <f t="shared" si="45"/>
        <v>0.45</v>
      </c>
      <c r="N121" s="6">
        <f t="shared" si="45"/>
        <v>0.45</v>
      </c>
      <c r="O121" s="6">
        <f t="shared" si="45"/>
        <v>0.45</v>
      </c>
      <c r="P121" s="6">
        <f t="shared" si="45"/>
        <v>0.45</v>
      </c>
      <c r="Q121" s="6">
        <f t="shared" si="45"/>
        <v>0.45</v>
      </c>
      <c r="R121" s="6">
        <f t="shared" si="45"/>
        <v>0.45</v>
      </c>
    </row>
    <row r="122" spans="1:18" ht="15" customHeight="1">
      <c r="B122" s="254" t="s">
        <v>990</v>
      </c>
      <c r="C122" s="353">
        <f>HVAC!B135</f>
        <v>0.28320000000000001</v>
      </c>
      <c r="D122" s="353">
        <f>HVAC!C135</f>
        <v>0.37759999999999999</v>
      </c>
      <c r="E122" s="353">
        <f>HVAC!D135</f>
        <v>0.28320000000000001</v>
      </c>
      <c r="F122" s="353">
        <f>HVAC!E135</f>
        <v>0.37759999999999999</v>
      </c>
      <c r="G122" s="353">
        <f>HVAC!F135</f>
        <v>0.28320000000000001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0.37759999999999999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991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0.19031039999999999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0.23788799999999999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109</v>
      </c>
      <c r="C124" s="8">
        <f>Inputs!C124</f>
        <v>0.6</v>
      </c>
      <c r="D124" s="8">
        <f>C124</f>
        <v>0.6</v>
      </c>
      <c r="E124" s="8">
        <f t="shared" si="45"/>
        <v>0.6</v>
      </c>
      <c r="F124" s="8">
        <f t="shared" si="45"/>
        <v>0.6</v>
      </c>
      <c r="G124" s="8">
        <f t="shared" si="45"/>
        <v>0.6</v>
      </c>
      <c r="H124" s="8">
        <f t="shared" si="45"/>
        <v>0.6</v>
      </c>
      <c r="I124" s="8">
        <f t="shared" si="45"/>
        <v>0.6</v>
      </c>
      <c r="J124" s="8">
        <f t="shared" si="45"/>
        <v>0.6</v>
      </c>
      <c r="K124" s="8">
        <f t="shared" si="45"/>
        <v>0.6</v>
      </c>
      <c r="L124" s="8">
        <f t="shared" si="45"/>
        <v>0.6</v>
      </c>
      <c r="M124" s="8">
        <f t="shared" si="45"/>
        <v>0.6</v>
      </c>
      <c r="N124" s="8">
        <f t="shared" si="45"/>
        <v>0.6</v>
      </c>
      <c r="O124" s="8">
        <f t="shared" si="45"/>
        <v>0.6</v>
      </c>
      <c r="P124" s="8">
        <f t="shared" si="45"/>
        <v>0.6</v>
      </c>
      <c r="Q124" s="8">
        <f t="shared" si="45"/>
        <v>0.6</v>
      </c>
      <c r="R124" s="8">
        <f t="shared" si="45"/>
        <v>0.6</v>
      </c>
    </row>
    <row r="125" spans="1:18" ht="15" customHeight="1">
      <c r="B125" s="254" t="s">
        <v>111</v>
      </c>
      <c r="C125" s="8">
        <f>Inputs!C125</f>
        <v>0.6</v>
      </c>
      <c r="D125" s="8">
        <f>C125</f>
        <v>0.6</v>
      </c>
      <c r="E125" s="8">
        <f t="shared" si="45"/>
        <v>0.6</v>
      </c>
      <c r="F125" s="8">
        <f t="shared" si="45"/>
        <v>0.6</v>
      </c>
      <c r="G125" s="8">
        <f t="shared" si="45"/>
        <v>0.6</v>
      </c>
      <c r="H125" s="8">
        <f t="shared" si="45"/>
        <v>0.6</v>
      </c>
      <c r="I125" s="8">
        <f t="shared" si="45"/>
        <v>0.6</v>
      </c>
      <c r="J125" s="8">
        <f t="shared" si="45"/>
        <v>0.6</v>
      </c>
      <c r="K125" s="8">
        <f t="shared" si="45"/>
        <v>0.6</v>
      </c>
      <c r="L125" s="8">
        <f t="shared" si="45"/>
        <v>0.6</v>
      </c>
      <c r="M125" s="8">
        <f t="shared" si="45"/>
        <v>0.6</v>
      </c>
      <c r="N125" s="8">
        <f t="shared" si="45"/>
        <v>0.6</v>
      </c>
      <c r="O125" s="8">
        <f t="shared" si="45"/>
        <v>0.6</v>
      </c>
      <c r="P125" s="8">
        <f t="shared" si="45"/>
        <v>0.6</v>
      </c>
      <c r="Q125" s="8">
        <f t="shared" si="45"/>
        <v>0.6</v>
      </c>
      <c r="R125" s="8">
        <f t="shared" si="45"/>
        <v>0.6</v>
      </c>
    </row>
    <row r="126" spans="1:18" ht="15" customHeight="1">
      <c r="B126" s="254" t="s">
        <v>113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1.0262880037676171E-3</v>
      </c>
      <c r="F126" s="355">
        <f>HVAC!E141</f>
        <v>1.3683840050234895E-3</v>
      </c>
      <c r="G126" s="355">
        <f>HVAC!F141</f>
        <v>1.0262880037676171E-3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1.3683840050234895E-3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115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1.0262880037676171E-3</v>
      </c>
      <c r="F127" s="355">
        <f>HVAC!E142</f>
        <v>1.3683840050234895E-3</v>
      </c>
      <c r="G127" s="355">
        <f>HVAC!F142</f>
        <v>1.0262880037676171E-3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1.3683840050234895E-3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479</v>
      </c>
      <c r="B128" s="254" t="s">
        <v>388</v>
      </c>
      <c r="C128" s="353">
        <f>HVAC!B133</f>
        <v>1.5</v>
      </c>
      <c r="D128" s="353">
        <f>HVAC!C133</f>
        <v>2</v>
      </c>
      <c r="E128" s="353">
        <f>HVAC!D133</f>
        <v>1.5</v>
      </c>
      <c r="F128" s="353">
        <f>HVAC!E133</f>
        <v>2</v>
      </c>
      <c r="G128" s="353">
        <f>HVAC!F133</f>
        <v>1.5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389</v>
      </c>
      <c r="C129" s="356">
        <f>12*C128</f>
        <v>18</v>
      </c>
      <c r="D129" s="356">
        <f t="shared" ref="D129:R129" si="46">12*D128</f>
        <v>24</v>
      </c>
      <c r="E129" s="356">
        <f t="shared" si="46"/>
        <v>18</v>
      </c>
      <c r="F129" s="356">
        <f t="shared" si="46"/>
        <v>24</v>
      </c>
      <c r="G129" s="356">
        <f t="shared" si="46"/>
        <v>18</v>
      </c>
      <c r="H129" s="356">
        <f t="shared" si="46"/>
        <v>24</v>
      </c>
      <c r="I129" s="356">
        <f t="shared" si="46"/>
        <v>24</v>
      </c>
      <c r="J129" s="356">
        <f t="shared" si="46"/>
        <v>24</v>
      </c>
      <c r="K129" s="356">
        <f t="shared" si="46"/>
        <v>24</v>
      </c>
      <c r="L129" s="356">
        <f t="shared" si="46"/>
        <v>24</v>
      </c>
      <c r="M129" s="356">
        <f t="shared" si="46"/>
        <v>24</v>
      </c>
      <c r="N129" s="356">
        <f t="shared" si="46"/>
        <v>24</v>
      </c>
      <c r="O129" s="356">
        <f t="shared" si="46"/>
        <v>24</v>
      </c>
      <c r="P129" s="356">
        <f t="shared" si="46"/>
        <v>24</v>
      </c>
      <c r="Q129" s="356">
        <f t="shared" si="46"/>
        <v>30</v>
      </c>
      <c r="R129" s="356">
        <f t="shared" si="46"/>
        <v>24</v>
      </c>
    </row>
    <row r="130" spans="1:19" ht="15" customHeight="1">
      <c r="B130" s="254" t="s">
        <v>387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992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24</v>
      </c>
      <c r="N131" s="354">
        <f>12000/1000*HVAC!M137</f>
        <v>24</v>
      </c>
      <c r="O131" s="354">
        <f>12000/1000*HVAC!N137</f>
        <v>24</v>
      </c>
      <c r="P131" s="354">
        <f>12000/1000*HVAC!O137</f>
        <v>30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993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161.28</v>
      </c>
      <c r="N132" s="354">
        <f>HVAC!M140</f>
        <v>161.28</v>
      </c>
      <c r="O132" s="354">
        <f>HVAC!N140</f>
        <v>161.28</v>
      </c>
      <c r="P132" s="354">
        <f>HVAC!O140</f>
        <v>201.6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994</v>
      </c>
      <c r="C133" s="354">
        <f>HVAC!B136</f>
        <v>240</v>
      </c>
      <c r="D133" s="354">
        <f>HVAC!C136</f>
        <v>320</v>
      </c>
      <c r="E133" s="354">
        <f>HVAC!D136</f>
        <v>240</v>
      </c>
      <c r="F133" s="354">
        <f>HVAC!E136</f>
        <v>320</v>
      </c>
      <c r="G133" s="354">
        <f>HVAC!F136</f>
        <v>240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320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390</v>
      </c>
      <c r="C134" s="8">
        <f>Inputs!C134</f>
        <v>1</v>
      </c>
      <c r="D134" s="8">
        <f t="shared" ref="D134:R134" si="47">C134</f>
        <v>1</v>
      </c>
      <c r="E134" s="8">
        <f t="shared" si="47"/>
        <v>1</v>
      </c>
      <c r="F134" s="8">
        <f t="shared" si="47"/>
        <v>1</v>
      </c>
      <c r="G134" s="8">
        <f t="shared" si="47"/>
        <v>1</v>
      </c>
      <c r="H134" s="8">
        <f t="shared" si="47"/>
        <v>1</v>
      </c>
      <c r="I134" s="8">
        <f t="shared" si="47"/>
        <v>1</v>
      </c>
      <c r="J134" s="8">
        <f t="shared" si="47"/>
        <v>1</v>
      </c>
      <c r="K134" s="8">
        <f t="shared" si="47"/>
        <v>1</v>
      </c>
      <c r="L134" s="8">
        <f t="shared" si="47"/>
        <v>1</v>
      </c>
      <c r="M134" s="8">
        <f t="shared" si="47"/>
        <v>1</v>
      </c>
      <c r="N134" s="8">
        <f t="shared" si="47"/>
        <v>1</v>
      </c>
      <c r="O134" s="8">
        <f t="shared" si="47"/>
        <v>1</v>
      </c>
      <c r="P134" s="8">
        <f t="shared" si="47"/>
        <v>1</v>
      </c>
      <c r="Q134" s="8">
        <f t="shared" si="47"/>
        <v>1</v>
      </c>
      <c r="R134" s="8">
        <f t="shared" si="47"/>
        <v>1</v>
      </c>
    </row>
    <row r="135" spans="1:19" ht="15" customHeight="1">
      <c r="B135" s="254" t="s">
        <v>370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1012</v>
      </c>
      <c r="B136" s="254" t="s">
        <v>995</v>
      </c>
      <c r="C136" s="128">
        <f>Inputs!C136</f>
        <v>3</v>
      </c>
      <c r="D136" s="128">
        <f>C136</f>
        <v>3</v>
      </c>
      <c r="E136" s="128">
        <f t="shared" ref="E136:R136" si="48">D136</f>
        <v>3</v>
      </c>
      <c r="F136" s="128">
        <f t="shared" si="48"/>
        <v>3</v>
      </c>
      <c r="G136" s="128">
        <f t="shared" si="48"/>
        <v>3</v>
      </c>
      <c r="H136" s="128">
        <f t="shared" si="48"/>
        <v>3</v>
      </c>
      <c r="I136" s="128">
        <f t="shared" si="48"/>
        <v>3</v>
      </c>
      <c r="J136" s="128">
        <f t="shared" si="48"/>
        <v>3</v>
      </c>
      <c r="K136" s="128">
        <f t="shared" si="48"/>
        <v>3</v>
      </c>
      <c r="L136" s="128">
        <f t="shared" si="48"/>
        <v>3</v>
      </c>
      <c r="M136" s="128">
        <f t="shared" si="48"/>
        <v>3</v>
      </c>
      <c r="N136" s="128">
        <f t="shared" si="48"/>
        <v>3</v>
      </c>
      <c r="O136" s="128">
        <f t="shared" si="48"/>
        <v>3</v>
      </c>
      <c r="P136" s="128">
        <f t="shared" si="48"/>
        <v>3</v>
      </c>
      <c r="Q136" s="128">
        <f t="shared" si="48"/>
        <v>3</v>
      </c>
      <c r="R136" s="128">
        <f t="shared" si="48"/>
        <v>3</v>
      </c>
      <c r="S136" s="62"/>
    </row>
    <row r="137" spans="1:19" s="254" customFormat="1" ht="15" customHeight="1">
      <c r="B137" s="254" t="s">
        <v>996</v>
      </c>
      <c r="C137" s="128">
        <f>Inputs!C137</f>
        <v>1</v>
      </c>
      <c r="D137" s="128">
        <f>C137</f>
        <v>1</v>
      </c>
      <c r="E137" s="128">
        <f t="shared" ref="E137:R137" si="49">D137</f>
        <v>1</v>
      </c>
      <c r="F137" s="128">
        <f t="shared" si="49"/>
        <v>1</v>
      </c>
      <c r="G137" s="128">
        <f t="shared" si="49"/>
        <v>1</v>
      </c>
      <c r="H137" s="128">
        <f t="shared" si="49"/>
        <v>1</v>
      </c>
      <c r="I137" s="128">
        <f t="shared" si="49"/>
        <v>1</v>
      </c>
      <c r="J137" s="128">
        <f t="shared" si="49"/>
        <v>1</v>
      </c>
      <c r="K137" s="128">
        <f t="shared" si="49"/>
        <v>1</v>
      </c>
      <c r="L137" s="128">
        <f t="shared" si="49"/>
        <v>1</v>
      </c>
      <c r="M137" s="128">
        <f t="shared" si="49"/>
        <v>1</v>
      </c>
      <c r="N137" s="128">
        <f t="shared" si="49"/>
        <v>1</v>
      </c>
      <c r="O137" s="128">
        <f t="shared" si="49"/>
        <v>1</v>
      </c>
      <c r="P137" s="128">
        <f t="shared" si="49"/>
        <v>1</v>
      </c>
      <c r="Q137" s="128">
        <f t="shared" si="49"/>
        <v>1</v>
      </c>
      <c r="R137" s="128">
        <f t="shared" si="49"/>
        <v>1</v>
      </c>
      <c r="S137" s="62"/>
    </row>
    <row r="138" spans="1:19" s="254" customFormat="1" ht="15" customHeight="1">
      <c r="B138" s="254" t="s">
        <v>594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851</v>
      </c>
      <c r="C139" s="128">
        <f>Inputs!C139</f>
        <v>2</v>
      </c>
      <c r="D139" s="128">
        <f>C139</f>
        <v>2</v>
      </c>
      <c r="E139" s="128">
        <f t="shared" ref="E139:R141" si="50">D139</f>
        <v>2</v>
      </c>
      <c r="F139" s="128">
        <f t="shared" si="50"/>
        <v>2</v>
      </c>
      <c r="G139" s="128">
        <f t="shared" si="50"/>
        <v>2</v>
      </c>
      <c r="H139" s="128">
        <f t="shared" si="50"/>
        <v>2</v>
      </c>
      <c r="I139" s="128">
        <f t="shared" si="50"/>
        <v>2</v>
      </c>
      <c r="J139" s="128">
        <f t="shared" si="50"/>
        <v>2</v>
      </c>
      <c r="K139" s="128">
        <f t="shared" si="50"/>
        <v>2</v>
      </c>
      <c r="L139" s="128">
        <f t="shared" si="50"/>
        <v>2</v>
      </c>
      <c r="M139" s="128">
        <f t="shared" si="50"/>
        <v>2</v>
      </c>
      <c r="N139" s="128">
        <f t="shared" si="50"/>
        <v>2</v>
      </c>
      <c r="O139" s="128">
        <f t="shared" si="50"/>
        <v>2</v>
      </c>
      <c r="P139" s="128">
        <f t="shared" si="50"/>
        <v>2</v>
      </c>
      <c r="Q139" s="128">
        <f t="shared" si="50"/>
        <v>2</v>
      </c>
      <c r="R139" s="128">
        <f t="shared" si="50"/>
        <v>2</v>
      </c>
      <c r="S139" s="62"/>
    </row>
    <row r="140" spans="1:19" s="254" customFormat="1" ht="15" customHeight="1">
      <c r="B140" s="254" t="s">
        <v>1149</v>
      </c>
      <c r="C140" s="197">
        <f>Inputs!C140</f>
        <v>0.2910166711333334</v>
      </c>
      <c r="D140" s="197">
        <f>C140</f>
        <v>0.2910166711333334</v>
      </c>
      <c r="E140" s="197">
        <f t="shared" si="50"/>
        <v>0.2910166711333334</v>
      </c>
      <c r="F140" s="197">
        <f t="shared" si="50"/>
        <v>0.2910166711333334</v>
      </c>
      <c r="G140" s="197">
        <f t="shared" si="50"/>
        <v>0.2910166711333334</v>
      </c>
      <c r="H140" s="197">
        <f t="shared" si="50"/>
        <v>0.2910166711333334</v>
      </c>
      <c r="I140" s="197">
        <f t="shared" si="50"/>
        <v>0.2910166711333334</v>
      </c>
      <c r="J140" s="197">
        <f t="shared" si="50"/>
        <v>0.2910166711333334</v>
      </c>
      <c r="K140" s="197">
        <f t="shared" si="50"/>
        <v>0.2910166711333334</v>
      </c>
      <c r="L140" s="197">
        <f t="shared" si="50"/>
        <v>0.2910166711333334</v>
      </c>
      <c r="M140" s="197">
        <f t="shared" si="50"/>
        <v>0.2910166711333334</v>
      </c>
      <c r="N140" s="197">
        <f t="shared" si="50"/>
        <v>0.2910166711333334</v>
      </c>
      <c r="O140" s="197">
        <f t="shared" si="50"/>
        <v>0.2910166711333334</v>
      </c>
      <c r="P140" s="197">
        <f t="shared" si="50"/>
        <v>0.2910166711333334</v>
      </c>
      <c r="Q140" s="197">
        <f t="shared" si="50"/>
        <v>0.2910166711333334</v>
      </c>
      <c r="R140" s="197">
        <f t="shared" si="50"/>
        <v>0.2910166711333334</v>
      </c>
      <c r="S140" s="62"/>
    </row>
    <row r="141" spans="1:19" s="254" customFormat="1" ht="15" customHeight="1">
      <c r="B141" s="254" t="s">
        <v>1151</v>
      </c>
      <c r="C141" s="197">
        <f>Inputs!C141</f>
        <v>0</v>
      </c>
      <c r="D141" s="197">
        <f>C141</f>
        <v>0</v>
      </c>
      <c r="E141" s="197">
        <f t="shared" si="50"/>
        <v>0</v>
      </c>
      <c r="F141" s="197">
        <f t="shared" si="50"/>
        <v>0</v>
      </c>
      <c r="G141" s="197">
        <f t="shared" si="50"/>
        <v>0</v>
      </c>
      <c r="H141" s="197">
        <f t="shared" si="50"/>
        <v>0</v>
      </c>
      <c r="I141" s="197">
        <f t="shared" si="50"/>
        <v>0</v>
      </c>
      <c r="J141" s="197">
        <f t="shared" si="50"/>
        <v>0</v>
      </c>
      <c r="K141" s="197">
        <f t="shared" si="50"/>
        <v>0</v>
      </c>
      <c r="L141" s="197">
        <f t="shared" si="50"/>
        <v>0</v>
      </c>
      <c r="M141" s="197">
        <f t="shared" si="50"/>
        <v>0</v>
      </c>
      <c r="N141" s="197">
        <f t="shared" si="50"/>
        <v>0</v>
      </c>
      <c r="O141" s="197">
        <f t="shared" si="50"/>
        <v>0</v>
      </c>
      <c r="P141" s="197">
        <f t="shared" si="50"/>
        <v>0</v>
      </c>
      <c r="Q141" s="197">
        <f t="shared" si="50"/>
        <v>0</v>
      </c>
      <c r="R141" s="197">
        <f t="shared" si="50"/>
        <v>0</v>
      </c>
      <c r="S141" s="62"/>
    </row>
    <row r="142" spans="1:19" s="254" customFormat="1" ht="15" customHeight="1">
      <c r="B142" s="254" t="s">
        <v>852</v>
      </c>
      <c r="C142" s="128">
        <f>Inputs!C142</f>
        <v>0</v>
      </c>
      <c r="D142" s="128">
        <f t="shared" ref="D142:R149" si="51">C142</f>
        <v>0</v>
      </c>
      <c r="E142" s="128">
        <f t="shared" si="51"/>
        <v>0</v>
      </c>
      <c r="F142" s="128">
        <f t="shared" si="51"/>
        <v>0</v>
      </c>
      <c r="G142" s="128">
        <f t="shared" si="51"/>
        <v>0</v>
      </c>
      <c r="H142" s="128">
        <f t="shared" si="51"/>
        <v>0</v>
      </c>
      <c r="I142" s="128">
        <f t="shared" si="51"/>
        <v>0</v>
      </c>
      <c r="J142" s="128">
        <f t="shared" si="51"/>
        <v>0</v>
      </c>
      <c r="K142" s="128">
        <f t="shared" si="51"/>
        <v>0</v>
      </c>
      <c r="L142" s="128">
        <f t="shared" si="51"/>
        <v>0</v>
      </c>
      <c r="M142" s="128">
        <f t="shared" si="51"/>
        <v>0</v>
      </c>
      <c r="N142" s="128">
        <f t="shared" si="51"/>
        <v>0</v>
      </c>
      <c r="O142" s="128">
        <f t="shared" si="51"/>
        <v>0</v>
      </c>
      <c r="P142" s="128">
        <f t="shared" si="51"/>
        <v>0</v>
      </c>
      <c r="Q142" s="128">
        <f t="shared" si="51"/>
        <v>0</v>
      </c>
      <c r="R142" s="128">
        <f t="shared" si="51"/>
        <v>0</v>
      </c>
      <c r="S142" s="62"/>
    </row>
    <row r="143" spans="1:19" s="254" customFormat="1" ht="15" customHeight="1">
      <c r="A143" s="254" t="s">
        <v>1013</v>
      </c>
      <c r="B143" s="254" t="s">
        <v>853</v>
      </c>
      <c r="C143" s="153">
        <f>Inputs!C143</f>
        <v>0.82</v>
      </c>
      <c r="D143" s="153">
        <f t="shared" si="51"/>
        <v>0.82</v>
      </c>
      <c r="E143" s="153">
        <f t="shared" si="51"/>
        <v>0.82</v>
      </c>
      <c r="F143" s="153">
        <f t="shared" si="51"/>
        <v>0.82</v>
      </c>
      <c r="G143" s="153">
        <f t="shared" si="51"/>
        <v>0.82</v>
      </c>
      <c r="H143" s="153">
        <f t="shared" si="51"/>
        <v>0.82</v>
      </c>
      <c r="I143" s="153">
        <f t="shared" si="51"/>
        <v>0.82</v>
      </c>
      <c r="J143" s="153">
        <f t="shared" si="51"/>
        <v>0.82</v>
      </c>
      <c r="K143" s="153">
        <f t="shared" si="51"/>
        <v>0.82</v>
      </c>
      <c r="L143" s="153">
        <f t="shared" si="51"/>
        <v>0.82</v>
      </c>
      <c r="M143" s="153">
        <f t="shared" si="51"/>
        <v>0.82</v>
      </c>
      <c r="N143" s="153">
        <f t="shared" si="51"/>
        <v>0.82</v>
      </c>
      <c r="O143" s="153">
        <f t="shared" si="51"/>
        <v>0.82</v>
      </c>
      <c r="P143" s="153">
        <f t="shared" si="51"/>
        <v>0.82</v>
      </c>
      <c r="Q143" s="153">
        <f t="shared" si="51"/>
        <v>0.82</v>
      </c>
      <c r="R143" s="153">
        <f t="shared" si="51"/>
        <v>0.82</v>
      </c>
      <c r="S143" s="62"/>
    </row>
    <row r="144" spans="1:19" s="254" customFormat="1" ht="15" customHeight="1">
      <c r="B144" s="254" t="s">
        <v>854</v>
      </c>
      <c r="C144" s="153">
        <f>Inputs!C144</f>
        <v>0.63</v>
      </c>
      <c r="D144" s="153">
        <f t="shared" si="51"/>
        <v>0.63</v>
      </c>
      <c r="E144" s="153">
        <f t="shared" si="51"/>
        <v>0.63</v>
      </c>
      <c r="F144" s="153">
        <f t="shared" si="51"/>
        <v>0.63</v>
      </c>
      <c r="G144" s="153">
        <f t="shared" si="51"/>
        <v>0.63</v>
      </c>
      <c r="H144" s="153">
        <f t="shared" si="51"/>
        <v>0.63</v>
      </c>
      <c r="I144" s="153">
        <f t="shared" si="51"/>
        <v>0.63</v>
      </c>
      <c r="J144" s="153">
        <f t="shared" si="51"/>
        <v>0.63</v>
      </c>
      <c r="K144" s="153">
        <f t="shared" si="51"/>
        <v>0.63</v>
      </c>
      <c r="L144" s="153">
        <f t="shared" si="51"/>
        <v>0.63</v>
      </c>
      <c r="M144" s="153">
        <f t="shared" si="51"/>
        <v>0.63</v>
      </c>
      <c r="N144" s="153">
        <f t="shared" si="51"/>
        <v>0.63</v>
      </c>
      <c r="O144" s="153">
        <f t="shared" si="51"/>
        <v>0.63</v>
      </c>
      <c r="P144" s="153">
        <f t="shared" si="51"/>
        <v>0.63</v>
      </c>
      <c r="Q144" s="153">
        <f t="shared" si="51"/>
        <v>0.63</v>
      </c>
      <c r="R144" s="153">
        <f t="shared" si="51"/>
        <v>0.63</v>
      </c>
      <c r="S144" s="62"/>
    </row>
    <row r="145" spans="1:19" s="254" customFormat="1" ht="15" customHeight="1">
      <c r="B145" s="254" t="s">
        <v>855</v>
      </c>
      <c r="C145" s="153">
        <f>Inputs!C145</f>
        <v>0.51</v>
      </c>
      <c r="D145" s="153">
        <f t="shared" si="51"/>
        <v>0.51</v>
      </c>
      <c r="E145" s="153">
        <f t="shared" si="51"/>
        <v>0.51</v>
      </c>
      <c r="F145" s="153">
        <f t="shared" si="51"/>
        <v>0.51</v>
      </c>
      <c r="G145" s="153">
        <f t="shared" si="51"/>
        <v>0.51</v>
      </c>
      <c r="H145" s="153">
        <f t="shared" si="51"/>
        <v>0.51</v>
      </c>
      <c r="I145" s="153">
        <f t="shared" si="51"/>
        <v>0.51</v>
      </c>
      <c r="J145" s="153">
        <f t="shared" si="51"/>
        <v>0.51</v>
      </c>
      <c r="K145" s="153">
        <f t="shared" si="51"/>
        <v>0.51</v>
      </c>
      <c r="L145" s="153">
        <f t="shared" si="51"/>
        <v>0.51</v>
      </c>
      <c r="M145" s="153">
        <f t="shared" si="51"/>
        <v>0.51</v>
      </c>
      <c r="N145" s="153">
        <f t="shared" si="51"/>
        <v>0.51</v>
      </c>
      <c r="O145" s="153">
        <f t="shared" si="51"/>
        <v>0.51</v>
      </c>
      <c r="P145" s="153">
        <f t="shared" si="51"/>
        <v>0.51</v>
      </c>
      <c r="Q145" s="153">
        <f t="shared" si="51"/>
        <v>0.51</v>
      </c>
      <c r="R145" s="153">
        <f t="shared" si="51"/>
        <v>0.51</v>
      </c>
      <c r="S145" s="62"/>
    </row>
    <row r="146" spans="1:19" s="254" customFormat="1" ht="15" customHeight="1">
      <c r="B146" s="254" t="s">
        <v>856</v>
      </c>
      <c r="C146" s="128">
        <f>Inputs!C146</f>
        <v>0</v>
      </c>
      <c r="D146" s="128">
        <f t="shared" si="51"/>
        <v>0</v>
      </c>
      <c r="E146" s="128">
        <f t="shared" si="51"/>
        <v>0</v>
      </c>
      <c r="F146" s="128">
        <f t="shared" si="51"/>
        <v>0</v>
      </c>
      <c r="G146" s="128">
        <f t="shared" si="51"/>
        <v>0</v>
      </c>
      <c r="H146" s="128">
        <f t="shared" si="51"/>
        <v>0</v>
      </c>
      <c r="I146" s="128">
        <f t="shared" si="51"/>
        <v>0</v>
      </c>
      <c r="J146" s="128">
        <f t="shared" si="51"/>
        <v>0</v>
      </c>
      <c r="K146" s="128">
        <f t="shared" si="51"/>
        <v>0</v>
      </c>
      <c r="L146" s="128">
        <f t="shared" si="51"/>
        <v>0</v>
      </c>
      <c r="M146" s="128">
        <f t="shared" si="51"/>
        <v>0</v>
      </c>
      <c r="N146" s="128">
        <f t="shared" si="51"/>
        <v>0</v>
      </c>
      <c r="O146" s="128">
        <f t="shared" si="51"/>
        <v>0</v>
      </c>
      <c r="P146" s="128">
        <f t="shared" si="51"/>
        <v>0</v>
      </c>
      <c r="Q146" s="128">
        <f t="shared" si="51"/>
        <v>0</v>
      </c>
      <c r="R146" s="128">
        <f t="shared" si="51"/>
        <v>0</v>
      </c>
      <c r="S146" s="62"/>
    </row>
    <row r="147" spans="1:19" ht="15" customHeight="1">
      <c r="B147" s="254" t="s">
        <v>857</v>
      </c>
      <c r="C147" s="128">
        <f>Inputs!C147</f>
        <v>8</v>
      </c>
      <c r="D147" s="128">
        <f t="shared" si="51"/>
        <v>8</v>
      </c>
      <c r="E147" s="128">
        <f t="shared" si="51"/>
        <v>8</v>
      </c>
      <c r="F147" s="128">
        <f t="shared" si="51"/>
        <v>8</v>
      </c>
      <c r="G147" s="128">
        <f t="shared" si="51"/>
        <v>8</v>
      </c>
      <c r="H147" s="128">
        <f t="shared" si="51"/>
        <v>8</v>
      </c>
      <c r="I147" s="128">
        <f t="shared" si="51"/>
        <v>8</v>
      </c>
      <c r="J147" s="128">
        <f t="shared" si="51"/>
        <v>8</v>
      </c>
      <c r="K147" s="128">
        <f t="shared" si="51"/>
        <v>8</v>
      </c>
      <c r="L147" s="128">
        <f t="shared" si="51"/>
        <v>8</v>
      </c>
      <c r="M147" s="128">
        <f t="shared" si="51"/>
        <v>8</v>
      </c>
      <c r="N147" s="128">
        <f t="shared" si="51"/>
        <v>8</v>
      </c>
      <c r="O147" s="128">
        <f t="shared" si="51"/>
        <v>8</v>
      </c>
      <c r="P147" s="128">
        <f t="shared" si="51"/>
        <v>8</v>
      </c>
      <c r="Q147" s="128">
        <f t="shared" si="51"/>
        <v>8</v>
      </c>
      <c r="R147" s="128">
        <f t="shared" si="51"/>
        <v>8</v>
      </c>
    </row>
    <row r="148" spans="1:19" ht="15" customHeight="1">
      <c r="B148" s="254" t="s">
        <v>858</v>
      </c>
      <c r="C148" s="128">
        <f>Inputs!C148</f>
        <v>0</v>
      </c>
      <c r="D148" s="128">
        <f t="shared" si="51"/>
        <v>0</v>
      </c>
      <c r="E148" s="128">
        <f t="shared" si="51"/>
        <v>0</v>
      </c>
      <c r="F148" s="128">
        <f t="shared" si="51"/>
        <v>0</v>
      </c>
      <c r="G148" s="128">
        <f t="shared" si="51"/>
        <v>0</v>
      </c>
      <c r="H148" s="128">
        <f t="shared" si="51"/>
        <v>0</v>
      </c>
      <c r="I148" s="128">
        <f t="shared" si="51"/>
        <v>0</v>
      </c>
      <c r="J148" s="128">
        <f t="shared" si="51"/>
        <v>0</v>
      </c>
      <c r="K148" s="128">
        <f t="shared" si="51"/>
        <v>0</v>
      </c>
      <c r="L148" s="128">
        <f t="shared" si="51"/>
        <v>0</v>
      </c>
      <c r="M148" s="128">
        <f t="shared" si="51"/>
        <v>0</v>
      </c>
      <c r="N148" s="128">
        <f t="shared" si="51"/>
        <v>0</v>
      </c>
      <c r="O148" s="128">
        <f t="shared" si="51"/>
        <v>0</v>
      </c>
      <c r="P148" s="128">
        <f t="shared" si="51"/>
        <v>0</v>
      </c>
      <c r="Q148" s="128">
        <f t="shared" si="51"/>
        <v>0</v>
      </c>
      <c r="R148" s="128">
        <f t="shared" si="51"/>
        <v>0</v>
      </c>
    </row>
    <row r="149" spans="1:19" ht="15" customHeight="1">
      <c r="B149" s="254" t="s">
        <v>859</v>
      </c>
      <c r="C149" s="128">
        <f>Inputs!C149</f>
        <v>1</v>
      </c>
      <c r="D149" s="128">
        <f t="shared" si="51"/>
        <v>1</v>
      </c>
      <c r="E149" s="128">
        <f t="shared" si="51"/>
        <v>1</v>
      </c>
      <c r="F149" s="128">
        <f t="shared" si="51"/>
        <v>1</v>
      </c>
      <c r="G149" s="128">
        <f t="shared" si="51"/>
        <v>1</v>
      </c>
      <c r="H149" s="128">
        <f t="shared" si="51"/>
        <v>1</v>
      </c>
      <c r="I149" s="128">
        <f t="shared" si="51"/>
        <v>1</v>
      </c>
      <c r="J149" s="128">
        <f t="shared" si="51"/>
        <v>1</v>
      </c>
      <c r="K149" s="128">
        <f t="shared" si="51"/>
        <v>1</v>
      </c>
      <c r="L149" s="128">
        <f t="shared" si="51"/>
        <v>1</v>
      </c>
      <c r="M149" s="128">
        <f t="shared" si="51"/>
        <v>1</v>
      </c>
      <c r="N149" s="128">
        <f t="shared" si="51"/>
        <v>1</v>
      </c>
      <c r="O149" s="128">
        <f t="shared" si="51"/>
        <v>1</v>
      </c>
      <c r="P149" s="128">
        <f t="shared" si="51"/>
        <v>1</v>
      </c>
      <c r="Q149" s="128">
        <f t="shared" si="51"/>
        <v>1</v>
      </c>
      <c r="R149" s="128">
        <f t="shared" si="51"/>
        <v>1</v>
      </c>
    </row>
    <row r="150" spans="1:19" s="254" customFormat="1" ht="15" customHeight="1">
      <c r="A150" s="254" t="s">
        <v>777</v>
      </c>
      <c r="B150" s="254" t="s">
        <v>815</v>
      </c>
      <c r="C150" s="232">
        <f>Inputs!C150</f>
        <v>0</v>
      </c>
      <c r="D150" s="232">
        <f>C150</f>
        <v>0</v>
      </c>
      <c r="E150" s="232">
        <f t="shared" ref="E150:R150" si="52">D150</f>
        <v>0</v>
      </c>
      <c r="F150" s="232">
        <f t="shared" si="52"/>
        <v>0</v>
      </c>
      <c r="G150" s="232">
        <f t="shared" si="52"/>
        <v>0</v>
      </c>
      <c r="H150" s="232">
        <f t="shared" si="52"/>
        <v>0</v>
      </c>
      <c r="I150" s="232">
        <f t="shared" si="52"/>
        <v>0</v>
      </c>
      <c r="J150" s="232">
        <f t="shared" si="52"/>
        <v>0</v>
      </c>
      <c r="K150" s="232">
        <f t="shared" si="52"/>
        <v>0</v>
      </c>
      <c r="L150" s="232">
        <f t="shared" si="52"/>
        <v>0</v>
      </c>
      <c r="M150" s="232">
        <f t="shared" si="52"/>
        <v>0</v>
      </c>
      <c r="N150" s="232">
        <f t="shared" si="52"/>
        <v>0</v>
      </c>
      <c r="O150" s="232">
        <f t="shared" si="52"/>
        <v>0</v>
      </c>
      <c r="P150" s="232">
        <f t="shared" si="52"/>
        <v>0</v>
      </c>
      <c r="Q150" s="232">
        <f t="shared" si="52"/>
        <v>0</v>
      </c>
      <c r="R150" s="232">
        <f t="shared" si="52"/>
        <v>0</v>
      </c>
      <c r="S150" s="62"/>
    </row>
    <row r="151" spans="1:19" ht="15" customHeight="1">
      <c r="B151" s="254" t="s">
        <v>816</v>
      </c>
      <c r="C151" s="232">
        <f>Inputs!C151</f>
        <v>0</v>
      </c>
      <c r="D151" s="232">
        <f>C151</f>
        <v>0</v>
      </c>
      <c r="E151" s="232">
        <f t="shared" ref="E151:R151" si="53">D151</f>
        <v>0</v>
      </c>
      <c r="F151" s="232">
        <f t="shared" si="53"/>
        <v>0</v>
      </c>
      <c r="G151" s="232">
        <f t="shared" si="53"/>
        <v>0</v>
      </c>
      <c r="H151" s="232">
        <f t="shared" si="53"/>
        <v>0</v>
      </c>
      <c r="I151" s="232">
        <f t="shared" si="53"/>
        <v>0</v>
      </c>
      <c r="J151" s="232">
        <f t="shared" si="53"/>
        <v>0</v>
      </c>
      <c r="K151" s="232">
        <f t="shared" si="53"/>
        <v>0</v>
      </c>
      <c r="L151" s="232">
        <f t="shared" si="53"/>
        <v>0</v>
      </c>
      <c r="M151" s="232">
        <f t="shared" si="53"/>
        <v>0</v>
      </c>
      <c r="N151" s="232">
        <f t="shared" si="53"/>
        <v>0</v>
      </c>
      <c r="O151" s="232">
        <f t="shared" si="53"/>
        <v>0</v>
      </c>
      <c r="P151" s="232">
        <f t="shared" si="53"/>
        <v>0</v>
      </c>
      <c r="Q151" s="232">
        <f t="shared" si="53"/>
        <v>0</v>
      </c>
      <c r="R151" s="232">
        <f t="shared" si="53"/>
        <v>0</v>
      </c>
    </row>
    <row r="152" spans="1:19" s="254" customFormat="1" ht="15" customHeight="1">
      <c r="B152" s="245" t="s">
        <v>1174</v>
      </c>
      <c r="C152" s="232">
        <f>Inputs!$C$152</f>
        <v>0</v>
      </c>
      <c r="D152" s="232">
        <f>Inputs!$C$152</f>
        <v>0</v>
      </c>
      <c r="E152" s="232">
        <f>Inputs!$C$152</f>
        <v>0</v>
      </c>
      <c r="F152" s="232">
        <f>Inputs!$C$152</f>
        <v>0</v>
      </c>
      <c r="G152" s="232">
        <f>Inputs!$C$152</f>
        <v>0</v>
      </c>
      <c r="H152" s="232">
        <f>Inputs!$C$152</f>
        <v>0</v>
      </c>
      <c r="I152" s="232">
        <f>Inputs!$C$152</f>
        <v>0</v>
      </c>
      <c r="J152" s="232">
        <f>Inputs!$C$152</f>
        <v>0</v>
      </c>
      <c r="K152" s="232">
        <f>Inputs!$C$152</f>
        <v>0</v>
      </c>
      <c r="L152" s="232">
        <f>Inputs!$C$152</f>
        <v>0</v>
      </c>
      <c r="M152" s="232">
        <f>Inputs!$C$152</f>
        <v>0</v>
      </c>
      <c r="N152" s="232">
        <f>Inputs!$C$152</f>
        <v>0</v>
      </c>
      <c r="O152" s="232">
        <f>Inputs!$C$152</f>
        <v>0</v>
      </c>
      <c r="P152" s="232">
        <f>Inputs!$C$152</f>
        <v>0</v>
      </c>
      <c r="Q152" s="232">
        <f>Inputs!$C$152</f>
        <v>0</v>
      </c>
      <c r="R152" s="232">
        <f>Inputs!$C$152</f>
        <v>0</v>
      </c>
      <c r="S152" s="62"/>
    </row>
    <row r="153" spans="1:19" ht="15" customHeight="1">
      <c r="A153" s="254" t="s">
        <v>1014</v>
      </c>
      <c r="B153" s="254" t="s">
        <v>1000</v>
      </c>
      <c r="C153" s="128">
        <f>Inputs!C153</f>
        <v>0</v>
      </c>
      <c r="D153" s="128">
        <f>C153</f>
        <v>0</v>
      </c>
      <c r="E153" s="128">
        <f t="shared" ref="E153:R153" si="54">D153</f>
        <v>0</v>
      </c>
      <c r="F153" s="128">
        <f t="shared" si="54"/>
        <v>0</v>
      </c>
      <c r="G153" s="128">
        <f t="shared" si="54"/>
        <v>0</v>
      </c>
      <c r="H153" s="128">
        <f t="shared" si="54"/>
        <v>0</v>
      </c>
      <c r="I153" s="128">
        <f t="shared" si="54"/>
        <v>0</v>
      </c>
      <c r="J153" s="128">
        <f t="shared" si="54"/>
        <v>0</v>
      </c>
      <c r="K153" s="128">
        <f t="shared" si="54"/>
        <v>0</v>
      </c>
      <c r="L153" s="128">
        <f t="shared" si="54"/>
        <v>0</v>
      </c>
      <c r="M153" s="128">
        <f t="shared" si="54"/>
        <v>0</v>
      </c>
      <c r="N153" s="128">
        <f t="shared" si="54"/>
        <v>0</v>
      </c>
      <c r="O153" s="128">
        <f t="shared" si="54"/>
        <v>0</v>
      </c>
      <c r="P153" s="128">
        <f t="shared" si="54"/>
        <v>0</v>
      </c>
      <c r="Q153" s="128">
        <f t="shared" si="54"/>
        <v>0</v>
      </c>
      <c r="R153" s="128">
        <f t="shared" si="54"/>
        <v>0</v>
      </c>
    </row>
    <row r="154" spans="1:19" ht="15" customHeight="1">
      <c r="B154" s="254" t="s">
        <v>1002</v>
      </c>
      <c r="C154" s="153">
        <f>Inputs!C154</f>
        <v>1.85</v>
      </c>
      <c r="D154" s="153">
        <f t="shared" ref="D154:R157" si="55">C154</f>
        <v>1.85</v>
      </c>
      <c r="E154" s="153">
        <f t="shared" si="55"/>
        <v>1.85</v>
      </c>
      <c r="F154" s="153">
        <f t="shared" si="55"/>
        <v>1.85</v>
      </c>
      <c r="G154" s="153">
        <f t="shared" si="55"/>
        <v>1.85</v>
      </c>
      <c r="H154" s="153">
        <f t="shared" si="55"/>
        <v>1.85</v>
      </c>
      <c r="I154" s="153">
        <f t="shared" si="55"/>
        <v>1.85</v>
      </c>
      <c r="J154" s="153">
        <f t="shared" si="55"/>
        <v>1.85</v>
      </c>
      <c r="K154" s="153">
        <f t="shared" si="55"/>
        <v>1.85</v>
      </c>
      <c r="L154" s="153">
        <f t="shared" si="55"/>
        <v>1.85</v>
      </c>
      <c r="M154" s="153">
        <f t="shared" si="55"/>
        <v>1.85</v>
      </c>
      <c r="N154" s="153">
        <f t="shared" si="55"/>
        <v>1.85</v>
      </c>
      <c r="O154" s="153">
        <f t="shared" si="55"/>
        <v>1.85</v>
      </c>
      <c r="P154" s="153">
        <f t="shared" si="55"/>
        <v>1.85</v>
      </c>
      <c r="Q154" s="153">
        <f t="shared" si="55"/>
        <v>1.85</v>
      </c>
      <c r="R154" s="153">
        <f t="shared" si="55"/>
        <v>1.85</v>
      </c>
    </row>
    <row r="155" spans="1:19" ht="15" customHeight="1">
      <c r="B155" s="254" t="s">
        <v>1003</v>
      </c>
      <c r="C155" s="128">
        <f>Inputs!C155</f>
        <v>55</v>
      </c>
      <c r="D155" s="128">
        <f t="shared" si="55"/>
        <v>55</v>
      </c>
      <c r="E155" s="128">
        <f t="shared" si="55"/>
        <v>55</v>
      </c>
      <c r="F155" s="128">
        <f t="shared" si="55"/>
        <v>55</v>
      </c>
      <c r="G155" s="128">
        <f t="shared" si="55"/>
        <v>55</v>
      </c>
      <c r="H155" s="128">
        <f t="shared" si="55"/>
        <v>55</v>
      </c>
      <c r="I155" s="128">
        <f t="shared" si="55"/>
        <v>55</v>
      </c>
      <c r="J155" s="128">
        <f t="shared" si="55"/>
        <v>55</v>
      </c>
      <c r="K155" s="128">
        <f t="shared" si="55"/>
        <v>55</v>
      </c>
      <c r="L155" s="128">
        <f t="shared" si="55"/>
        <v>55</v>
      </c>
      <c r="M155" s="128">
        <f t="shared" si="55"/>
        <v>55</v>
      </c>
      <c r="N155" s="128">
        <f t="shared" si="55"/>
        <v>55</v>
      </c>
      <c r="O155" s="128">
        <f t="shared" si="55"/>
        <v>55</v>
      </c>
      <c r="P155" s="128">
        <f t="shared" si="55"/>
        <v>55</v>
      </c>
      <c r="Q155" s="128">
        <f t="shared" si="55"/>
        <v>55</v>
      </c>
      <c r="R155" s="128">
        <f t="shared" si="55"/>
        <v>55</v>
      </c>
    </row>
    <row r="156" spans="1:19" ht="15" customHeight="1">
      <c r="B156" s="254" t="s">
        <v>1004</v>
      </c>
      <c r="C156" s="233">
        <f>Inputs!C156</f>
        <v>2.5</v>
      </c>
      <c r="D156" s="233">
        <f t="shared" si="55"/>
        <v>2.5</v>
      </c>
      <c r="E156" s="233">
        <f t="shared" si="55"/>
        <v>2.5</v>
      </c>
      <c r="F156" s="233">
        <f t="shared" si="55"/>
        <v>2.5</v>
      </c>
      <c r="G156" s="233">
        <f t="shared" si="55"/>
        <v>2.5</v>
      </c>
      <c r="H156" s="233">
        <f t="shared" si="55"/>
        <v>2.5</v>
      </c>
      <c r="I156" s="233">
        <f t="shared" si="55"/>
        <v>2.5</v>
      </c>
      <c r="J156" s="233">
        <f t="shared" si="55"/>
        <v>2.5</v>
      </c>
      <c r="K156" s="233">
        <f t="shared" si="55"/>
        <v>2.5</v>
      </c>
      <c r="L156" s="233">
        <f t="shared" si="55"/>
        <v>2.5</v>
      </c>
      <c r="M156" s="233">
        <f t="shared" si="55"/>
        <v>2.5</v>
      </c>
      <c r="N156" s="233">
        <f t="shared" si="55"/>
        <v>2.5</v>
      </c>
      <c r="O156" s="233">
        <f t="shared" si="55"/>
        <v>2.5</v>
      </c>
      <c r="P156" s="233">
        <f t="shared" si="55"/>
        <v>2.5</v>
      </c>
      <c r="Q156" s="233">
        <f t="shared" si="55"/>
        <v>2.5</v>
      </c>
      <c r="R156" s="233">
        <f t="shared" si="55"/>
        <v>2.5</v>
      </c>
    </row>
    <row r="157" spans="1:19" ht="15" customHeight="1">
      <c r="A157" s="254" t="s">
        <v>1043</v>
      </c>
      <c r="C157" s="233" t="str">
        <f>Inputs!C157</f>
        <v>E_O_F</v>
      </c>
      <c r="D157" s="233" t="str">
        <f t="shared" si="55"/>
        <v>E_O_F</v>
      </c>
      <c r="E157" s="233" t="str">
        <f t="shared" si="55"/>
        <v>E_O_F</v>
      </c>
      <c r="F157" s="233" t="str">
        <f t="shared" si="55"/>
        <v>E_O_F</v>
      </c>
      <c r="G157" s="233" t="str">
        <f t="shared" si="55"/>
        <v>E_O_F</v>
      </c>
      <c r="H157" s="233" t="str">
        <f t="shared" si="55"/>
        <v>E_O_F</v>
      </c>
      <c r="I157" s="233" t="str">
        <f t="shared" si="55"/>
        <v>E_O_F</v>
      </c>
      <c r="J157" s="233" t="str">
        <f t="shared" si="55"/>
        <v>E_O_F</v>
      </c>
      <c r="K157" s="233" t="str">
        <f t="shared" si="55"/>
        <v>E_O_F</v>
      </c>
      <c r="L157" s="233" t="str">
        <f t="shared" si="55"/>
        <v>E_O_F</v>
      </c>
      <c r="M157" s="233" t="str">
        <f t="shared" si="55"/>
        <v>E_O_F</v>
      </c>
      <c r="N157" s="233" t="str">
        <f t="shared" si="55"/>
        <v>E_O_F</v>
      </c>
      <c r="O157" s="233" t="str">
        <f t="shared" si="55"/>
        <v>E_O_F</v>
      </c>
      <c r="P157" s="233" t="str">
        <f t="shared" si="55"/>
        <v>E_O_F</v>
      </c>
      <c r="Q157" s="233" t="str">
        <f t="shared" si="55"/>
        <v>E_O_F</v>
      </c>
      <c r="R157" s="233" t="str">
        <f t="shared" si="55"/>
        <v>E_O_F</v>
      </c>
    </row>
    <row r="158" spans="1:19" ht="15" customHeight="1"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32"/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16" workbookViewId="0">
      <selection activeCell="G37" sqref="G37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122</v>
      </c>
      <c r="B1" s="124"/>
      <c r="C1" s="124"/>
      <c r="D1" s="124"/>
      <c r="E1" s="124"/>
      <c r="I1" s="124" t="s">
        <v>1312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496</v>
      </c>
      <c r="I2" s="125" t="s">
        <v>496</v>
      </c>
      <c r="N2" s="254"/>
      <c r="O2" s="254"/>
      <c r="P2" s="254"/>
      <c r="Q2" s="254"/>
    </row>
    <row r="3" spans="1:19" ht="15" customHeight="1">
      <c r="A3" s="126" t="s">
        <v>497</v>
      </c>
      <c r="B3" s="521" t="s">
        <v>1311</v>
      </c>
      <c r="C3" s="521"/>
      <c r="D3" s="521"/>
      <c r="E3" s="521"/>
      <c r="I3" s="126" t="s">
        <v>497</v>
      </c>
      <c r="J3" s="521" t="s">
        <v>1278</v>
      </c>
      <c r="K3" s="521"/>
      <c r="L3" s="521"/>
      <c r="M3" s="521"/>
      <c r="N3" s="521" t="s">
        <v>1279</v>
      </c>
      <c r="O3" s="521"/>
      <c r="P3" s="521"/>
      <c r="Q3" s="521"/>
    </row>
    <row r="4" spans="1:19" ht="15" customHeight="1">
      <c r="A4" s="99" t="s">
        <v>124</v>
      </c>
      <c r="B4" s="100" t="s">
        <v>125</v>
      </c>
      <c r="C4" s="100" t="s">
        <v>126</v>
      </c>
      <c r="D4" s="100" t="s">
        <v>127</v>
      </c>
      <c r="E4" s="100" t="s">
        <v>126</v>
      </c>
      <c r="I4" s="99" t="s">
        <v>124</v>
      </c>
      <c r="J4" s="100" t="s">
        <v>125</v>
      </c>
      <c r="K4" s="100" t="s">
        <v>126</v>
      </c>
      <c r="L4" s="100" t="s">
        <v>127</v>
      </c>
      <c r="M4" s="100" t="s">
        <v>126</v>
      </c>
      <c r="N4" s="100" t="s">
        <v>125</v>
      </c>
      <c r="O4" s="100" t="s">
        <v>126</v>
      </c>
      <c r="P4" s="100" t="s">
        <v>127</v>
      </c>
      <c r="Q4" s="100" t="s">
        <v>126</v>
      </c>
      <c r="R4" s="5" t="s">
        <v>2</v>
      </c>
    </row>
    <row r="5" spans="1:19" ht="15" customHeight="1">
      <c r="A5" s="201" t="s">
        <v>563</v>
      </c>
      <c r="B5" s="254">
        <f>IF(HomeSize="Med",VLOOKUP(Geometry!A5,Geometry!$I$5:$Q$40,2,FALSE),VLOOKUP(Geometry!A5,Geometry!$I5:$Q$40,6,FALSE))</f>
        <v>1</v>
      </c>
      <c r="C5" s="245"/>
      <c r="D5" s="254">
        <f>IF(HomeSize="Med",VLOOKUP(Geometry!A5,Geometry!$I$5:$Q$40,4,FALSE),VLOOKUP(Geometry!A5,Geometry!$I$5:$Q$40,8,FALSE))</f>
        <v>1</v>
      </c>
      <c r="E5" s="254" t="s">
        <v>11</v>
      </c>
      <c r="I5" s="87" t="s">
        <v>563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128</v>
      </c>
      <c r="B6" s="254">
        <f>IF(HomeSize="Med",VLOOKUP(Geometry!A6,Geometry!$I$5:$Q$40,2,FALSE),VLOOKUP(Geometry!A6,Geometry!$I5:$Q$40,6,FALSE))</f>
        <v>50</v>
      </c>
      <c r="C6" s="257" t="s">
        <v>129</v>
      </c>
      <c r="D6" s="254">
        <f>IF(HomeSize="Med",VLOOKUP(Geometry!A6,Geometry!$I$5:$Q$40,4,FALSE),VLOOKUP(Geometry!A6,Geometry!$I$5:$Q$40,8,FALSE))</f>
        <v>15.239999512320015</v>
      </c>
      <c r="E6" s="257" t="s">
        <v>130</v>
      </c>
      <c r="I6" s="87" t="s">
        <v>128</v>
      </c>
      <c r="J6" s="257">
        <v>50</v>
      </c>
      <c r="K6" s="241" t="s">
        <v>129</v>
      </c>
      <c r="L6" s="257">
        <f t="shared" ref="L6:L7" si="0">J6/3.28084</f>
        <v>15.239999512320015</v>
      </c>
      <c r="M6" s="257" t="s">
        <v>130</v>
      </c>
      <c r="N6" s="257">
        <v>50</v>
      </c>
      <c r="O6" s="257" t="s">
        <v>129</v>
      </c>
      <c r="P6" s="257">
        <f t="shared" ref="P6:P7" si="1">N6/3.28084</f>
        <v>15.239999512320015</v>
      </c>
      <c r="Q6" s="257" t="s">
        <v>130</v>
      </c>
      <c r="R6" s="123" t="s">
        <v>494</v>
      </c>
    </row>
    <row r="7" spans="1:19" ht="15" customHeight="1">
      <c r="A7" s="201" t="s">
        <v>131</v>
      </c>
      <c r="B7" s="254">
        <f>IF(HomeSize="Med",VLOOKUP(Geometry!A7,Geometry!$I$5:$Q$40,2,FALSE),VLOOKUP(Geometry!A7,Geometry!$I7:$Q$40,6,FALSE))</f>
        <v>46</v>
      </c>
      <c r="C7" s="257" t="s">
        <v>129</v>
      </c>
      <c r="D7" s="254">
        <f>IF(HomeSize="Med",VLOOKUP(Geometry!A7,Geometry!$I$5:$Q$40,4,FALSE),VLOOKUP(Geometry!A7,Geometry!$I$5:$Q$40,8,FALSE))</f>
        <v>14.020799551334415</v>
      </c>
      <c r="E7" s="257" t="s">
        <v>130</v>
      </c>
      <c r="I7" s="87" t="s">
        <v>131</v>
      </c>
      <c r="J7" s="257">
        <v>46</v>
      </c>
      <c r="K7" s="241" t="s">
        <v>129</v>
      </c>
      <c r="L7" s="257">
        <f t="shared" si="0"/>
        <v>14.020799551334415</v>
      </c>
      <c r="M7" s="257" t="s">
        <v>130</v>
      </c>
      <c r="N7" s="257">
        <v>29</v>
      </c>
      <c r="O7" s="257" t="s">
        <v>129</v>
      </c>
      <c r="P7" s="257">
        <f t="shared" si="1"/>
        <v>8.8391997171456094</v>
      </c>
      <c r="Q7" s="257" t="s">
        <v>130</v>
      </c>
      <c r="R7" s="122"/>
      <c r="S7" s="55"/>
    </row>
    <row r="8" spans="1:19" ht="15" customHeight="1">
      <c r="A8" s="201" t="s">
        <v>132</v>
      </c>
      <c r="B8" s="254">
        <f>IF(HomeSize="Med",VLOOKUP(Geometry!A8,Geometry!$I$5:$Q$40,2,FALSE),VLOOKUP(Geometry!A8,Geometry!$I8:$Q$40,6,FALSE))</f>
        <v>2100</v>
      </c>
      <c r="C8" s="257" t="s">
        <v>491</v>
      </c>
      <c r="D8" s="264">
        <f>IF(HomeSize="Med",VLOOKUP(Geometry!A8,Geometry!$I$5:$Q$40,4,FALSE),VLOOKUP(Geometry!A8,Geometry!$I$5:$Q$40,8,FALSE))</f>
        <v>195.09</v>
      </c>
      <c r="E8" s="257" t="s">
        <v>490</v>
      </c>
      <c r="I8" s="87" t="s">
        <v>132</v>
      </c>
      <c r="J8" s="242">
        <v>2100</v>
      </c>
      <c r="K8" s="241" t="s">
        <v>491</v>
      </c>
      <c r="L8" s="244">
        <f t="shared" ref="L8:L12" si="2">J8*0.0929</f>
        <v>195.09</v>
      </c>
      <c r="M8" s="257" t="s">
        <v>490</v>
      </c>
      <c r="N8" s="242">
        <v>2700</v>
      </c>
      <c r="O8" s="257" t="s">
        <v>491</v>
      </c>
      <c r="P8" s="244">
        <f t="shared" ref="P8:P12" si="3">N8*0.0929</f>
        <v>250.82999999999998</v>
      </c>
      <c r="Q8" s="257" t="s">
        <v>490</v>
      </c>
      <c r="R8" s="122"/>
      <c r="S8"/>
    </row>
    <row r="9" spans="1:19" ht="15" customHeight="1">
      <c r="A9" s="201" t="s">
        <v>489</v>
      </c>
      <c r="B9" s="254">
        <f>IF(HomeSize="Med",VLOOKUP(Geometry!A9,Geometry!$I$5:$Q$40,2,FALSE),VLOOKUP(Geometry!A9,Geometry!$I9:$Q$40,6,FALSE))</f>
        <v>2100</v>
      </c>
      <c r="C9" s="257" t="s">
        <v>491</v>
      </c>
      <c r="D9" s="264">
        <f>IF(HomeSize="Med",VLOOKUP(Geometry!A9,Geometry!$I$5:$Q$40,4,FALSE),VLOOKUP(Geometry!A9,Geometry!$I$5:$Q$40,8,FALSE))</f>
        <v>195.09</v>
      </c>
      <c r="E9" s="257" t="s">
        <v>490</v>
      </c>
      <c r="I9" s="87" t="s">
        <v>489</v>
      </c>
      <c r="J9" s="257">
        <f>J8/J5</f>
        <v>2100</v>
      </c>
      <c r="K9" s="241" t="s">
        <v>491</v>
      </c>
      <c r="L9" s="244">
        <f t="shared" si="2"/>
        <v>195.09</v>
      </c>
      <c r="M9" s="257" t="s">
        <v>490</v>
      </c>
      <c r="N9" s="257">
        <v>1250</v>
      </c>
      <c r="O9" s="257" t="s">
        <v>491</v>
      </c>
      <c r="P9" s="244">
        <f t="shared" si="3"/>
        <v>116.125</v>
      </c>
      <c r="Q9" s="257" t="s">
        <v>490</v>
      </c>
      <c r="R9" s="122"/>
      <c r="S9"/>
    </row>
    <row r="10" spans="1:19" ht="15" customHeight="1">
      <c r="A10" s="201" t="s">
        <v>135</v>
      </c>
      <c r="B10" s="254">
        <f>IF(HomeSize="Med",VLOOKUP(Geometry!A10,Geometry!$I$5:$Q$40,2,FALSE),VLOOKUP(Geometry!A10,Geometry!$I10:$Q$40,6,FALSE))</f>
        <v>0</v>
      </c>
      <c r="C10" s="257" t="s">
        <v>491</v>
      </c>
      <c r="D10" s="264">
        <f>IF(HomeSize="Med",VLOOKUP(Geometry!A10,Geometry!$I$5:$Q$40,4,FALSE),VLOOKUP(Geometry!A10,Geometry!$I$5:$Q$40,8,FALSE))</f>
        <v>0</v>
      </c>
      <c r="E10" s="257" t="s">
        <v>490</v>
      </c>
      <c r="I10" s="87" t="s">
        <v>135</v>
      </c>
      <c r="J10" s="257">
        <f>IF(J5=2,J8/J5,0)</f>
        <v>0</v>
      </c>
      <c r="K10" s="241" t="s">
        <v>491</v>
      </c>
      <c r="L10" s="244">
        <f t="shared" si="2"/>
        <v>0</v>
      </c>
      <c r="M10" s="257" t="s">
        <v>490</v>
      </c>
      <c r="N10" s="257">
        <v>1450</v>
      </c>
      <c r="O10" s="257" t="s">
        <v>491</v>
      </c>
      <c r="P10" s="244">
        <f t="shared" si="3"/>
        <v>134.70499999999998</v>
      </c>
      <c r="Q10" s="257" t="s">
        <v>490</v>
      </c>
      <c r="R10" s="122"/>
    </row>
    <row r="11" spans="1:19" ht="15" customHeight="1">
      <c r="A11" s="201" t="s">
        <v>136</v>
      </c>
      <c r="B11" s="254">
        <f>IF(HomeSize="Med",VLOOKUP(Geometry!A11,Geometry!$I$5:$Q$40,2,FALSE),VLOOKUP(Geometry!A11,Geometry!$I11:$Q$40,6,FALSE))</f>
        <v>192</v>
      </c>
      <c r="C11" s="257" t="s">
        <v>129</v>
      </c>
      <c r="D11" s="254">
        <f>IF(HomeSize="Med",VLOOKUP(Geometry!A11,Geometry!$I$5:$Q$40,4,FALSE),VLOOKUP(Geometry!A11,Geometry!$I$5:$Q$40,8,FALSE))</f>
        <v>58.521598127308863</v>
      </c>
      <c r="E11" s="257" t="s">
        <v>130</v>
      </c>
      <c r="I11" s="87" t="s">
        <v>136</v>
      </c>
      <c r="J11" s="243">
        <v>192</v>
      </c>
      <c r="K11" s="241" t="s">
        <v>129</v>
      </c>
      <c r="L11" s="257">
        <f>J11/3.28084</f>
        <v>58.521598127308863</v>
      </c>
      <c r="M11" s="257" t="s">
        <v>130</v>
      </c>
      <c r="N11" s="243">
        <v>158</v>
      </c>
      <c r="O11" s="257" t="s">
        <v>129</v>
      </c>
      <c r="P11" s="257">
        <f>N11/3.28084</f>
        <v>48.158398458931252</v>
      </c>
      <c r="Q11" s="257" t="s">
        <v>130</v>
      </c>
      <c r="R11" s="122"/>
      <c r="S11" s="5" t="s">
        <v>1310</v>
      </c>
    </row>
    <row r="12" spans="1:19" s="254" customFormat="1" ht="15" customHeight="1">
      <c r="A12" s="201" t="s">
        <v>1316</v>
      </c>
      <c r="B12" s="254">
        <f>IF(HomeSize="Med",VLOOKUP(Geometry!A12,Geometry!$I$5:$Q$40,2,FALSE),VLOOKUP(Geometry!A12,Geometry!$I12:$Q$40,6,FALSE))</f>
        <v>0</v>
      </c>
      <c r="C12" s="257" t="s">
        <v>491</v>
      </c>
      <c r="D12" s="254">
        <f>IF(HomeSize="Med",VLOOKUP(Geometry!A12,Geometry!$I$5:$Q$40,4,FALSE),VLOOKUP(Geometry!A12,Geometry!$I$5:$Q$40,8,FALSE))</f>
        <v>0</v>
      </c>
      <c r="E12" s="257" t="s">
        <v>490</v>
      </c>
      <c r="I12" s="201" t="s">
        <v>1316</v>
      </c>
      <c r="J12" s="496">
        <f>J8-J9</f>
        <v>0</v>
      </c>
      <c r="K12" s="257" t="s">
        <v>491</v>
      </c>
      <c r="L12" s="244">
        <f t="shared" si="2"/>
        <v>0</v>
      </c>
      <c r="M12" s="257" t="s">
        <v>490</v>
      </c>
      <c r="N12" s="496">
        <f>N10-N9</f>
        <v>200</v>
      </c>
      <c r="O12" s="257" t="s">
        <v>491</v>
      </c>
      <c r="P12" s="244">
        <f t="shared" si="3"/>
        <v>18.579999999999998</v>
      </c>
      <c r="Q12" s="257" t="s">
        <v>490</v>
      </c>
      <c r="R12" s="245"/>
    </row>
    <row r="13" spans="1:19" ht="15" customHeight="1">
      <c r="A13" s="201" t="s">
        <v>137</v>
      </c>
      <c r="B13" s="254">
        <f>IF(HomeSize="Med",VLOOKUP(Geometry!A13,Geometry!$I$5:$Q$40,2,FALSE),VLOOKUP(Geometry!A13,Geometry!$I13:$Q$40,6,FALSE))</f>
        <v>1</v>
      </c>
      <c r="C13" s="257" t="s">
        <v>129</v>
      </c>
      <c r="D13" s="264">
        <f>IF(HomeSize="Med",VLOOKUP(Geometry!A13,Geometry!$I$5:$Q$40,4,FALSE),VLOOKUP(Geometry!A13,Geometry!$I$5:$Q$40,8,FALSE))</f>
        <v>0.30479999024640031</v>
      </c>
      <c r="E13" s="257" t="s">
        <v>130</v>
      </c>
      <c r="I13" s="87" t="s">
        <v>137</v>
      </c>
      <c r="J13" s="257">
        <v>1</v>
      </c>
      <c r="K13" s="241" t="s">
        <v>129</v>
      </c>
      <c r="L13" s="257">
        <f>J13/3.28084</f>
        <v>0.30479999024640031</v>
      </c>
      <c r="M13" s="257" t="s">
        <v>130</v>
      </c>
      <c r="N13" s="257">
        <v>1</v>
      </c>
      <c r="O13" s="257" t="s">
        <v>129</v>
      </c>
      <c r="P13" s="257">
        <f>N13/3.28084</f>
        <v>0.30479999024640031</v>
      </c>
      <c r="Q13" s="257" t="s">
        <v>130</v>
      </c>
      <c r="R13" s="122"/>
    </row>
    <row r="14" spans="1:19" ht="15" customHeight="1">
      <c r="A14" s="201" t="s">
        <v>138</v>
      </c>
      <c r="B14" s="254">
        <f>IF(HomeSize="Med",VLOOKUP(Geometry!A14,Geometry!$I$5:$Q$40,2,FALSE),VLOOKUP(Geometry!A14,Geometry!$I14:$Q$40,6,FALSE))</f>
        <v>9</v>
      </c>
      <c r="C14" s="257" t="s">
        <v>129</v>
      </c>
      <c r="D14" s="264">
        <f>IF(HomeSize="Med",VLOOKUP(Geometry!A14,Geometry!$I$5:$Q$40,4,FALSE),VLOOKUP(Geometry!A14,Geometry!$I$5:$Q$40,8,FALSE))</f>
        <v>2.743199912217603</v>
      </c>
      <c r="E14" s="257" t="s">
        <v>130</v>
      </c>
      <c r="I14" s="87" t="s">
        <v>138</v>
      </c>
      <c r="J14" s="257">
        <v>9</v>
      </c>
      <c r="K14" s="241" t="s">
        <v>129</v>
      </c>
      <c r="L14" s="257">
        <f>J14/3.28084</f>
        <v>2.743199912217603</v>
      </c>
      <c r="M14" s="257" t="s">
        <v>130</v>
      </c>
      <c r="N14" s="257">
        <v>9</v>
      </c>
      <c r="O14" s="257" t="s">
        <v>129</v>
      </c>
      <c r="P14" s="257">
        <f>N14/3.28084</f>
        <v>2.743199912217603</v>
      </c>
      <c r="Q14" s="257" t="s">
        <v>130</v>
      </c>
      <c r="R14" s="122"/>
    </row>
    <row r="15" spans="1:19" ht="15" customHeight="1">
      <c r="A15" s="201" t="s">
        <v>139</v>
      </c>
      <c r="B15" s="254">
        <f>IF(HomeSize="Med",VLOOKUP(Geometry!A15,Geometry!$I$5:$Q$40,2,FALSE),VLOOKUP(Geometry!A15,Geometry!$I15:$Q$40,6,FALSE))</f>
        <v>1</v>
      </c>
      <c r="C15" s="257" t="s">
        <v>129</v>
      </c>
      <c r="D15" s="254">
        <f>IF(HomeSize="Med",VLOOKUP(Geometry!A15,Geometry!$I$5:$Q$40,4,FALSE),VLOOKUP(Geometry!A15,Geometry!$I$5:$Q$40,8,FALSE))</f>
        <v>0.30479999024640031</v>
      </c>
      <c r="E15" s="257" t="s">
        <v>130</v>
      </c>
      <c r="I15" s="87" t="s">
        <v>139</v>
      </c>
      <c r="J15" s="257">
        <v>1</v>
      </c>
      <c r="K15" s="241" t="s">
        <v>129</v>
      </c>
      <c r="L15" s="257">
        <f>J15/3.28084</f>
        <v>0.30479999024640031</v>
      </c>
      <c r="M15" s="257" t="s">
        <v>130</v>
      </c>
      <c r="N15" s="257">
        <v>1</v>
      </c>
      <c r="O15" s="257" t="s">
        <v>129</v>
      </c>
      <c r="P15" s="257">
        <f>N15/3.28084</f>
        <v>0.30479999024640031</v>
      </c>
      <c r="Q15" s="257" t="s">
        <v>130</v>
      </c>
      <c r="R15" s="122"/>
    </row>
    <row r="16" spans="1:19" ht="15" customHeight="1">
      <c r="A16" s="201" t="s">
        <v>140</v>
      </c>
      <c r="B16" s="254">
        <f>IF(HomeSize="Med",VLOOKUP(Geometry!A16,Geometry!$I$5:$Q$40,2,FALSE),VLOOKUP(Geometry!A16,Geometry!$I16:$Q$40,6,FALSE))</f>
        <v>11</v>
      </c>
      <c r="C16" s="257" t="s">
        <v>129</v>
      </c>
      <c r="D16" s="264">
        <f>IF(HomeSize="Med",VLOOKUP(Geometry!A16,Geometry!$I$5:$Q$40,4,FALSE),VLOOKUP(Geometry!A16,Geometry!$I$5:$Q$40,8,FALSE))</f>
        <v>3.3527998927104035</v>
      </c>
      <c r="E16" s="257" t="s">
        <v>130</v>
      </c>
      <c r="I16" s="87" t="s">
        <v>140</v>
      </c>
      <c r="J16" s="257">
        <f>J13+(J14*J5)+J15</f>
        <v>11</v>
      </c>
      <c r="K16" s="241" t="s">
        <v>129</v>
      </c>
      <c r="L16" s="257">
        <f>J16/3.28084</f>
        <v>3.3527998927104035</v>
      </c>
      <c r="M16" s="257" t="s">
        <v>130</v>
      </c>
      <c r="N16" s="257">
        <f>N13+(N14*N5)+N15</f>
        <v>20</v>
      </c>
      <c r="O16" s="257" t="s">
        <v>129</v>
      </c>
      <c r="P16" s="257">
        <f>N16/3.28084</f>
        <v>6.095999804928006</v>
      </c>
      <c r="Q16" s="257" t="s">
        <v>130</v>
      </c>
      <c r="R16" s="122"/>
      <c r="S16" s="5" t="s">
        <v>141</v>
      </c>
    </row>
    <row r="17" spans="1:19" ht="15" customHeight="1">
      <c r="A17" s="201" t="s">
        <v>142</v>
      </c>
      <c r="B17" s="254">
        <f>IF(HomeSize="Med",VLOOKUP(Geometry!A17,Geometry!$I$5:$Q$40,2,FALSE),VLOOKUP(Geometry!A17,Geometry!$I17:$Q$40,6,FALSE))</f>
        <v>420</v>
      </c>
      <c r="C17" s="257" t="s">
        <v>491</v>
      </c>
      <c r="D17" s="264">
        <f>IF(HomeSize="Med",VLOOKUP(Geometry!A17,Geometry!$I$5:$Q$40,4,FALSE),VLOOKUP(Geometry!A17,Geometry!$I$5:$Q$40,8,FALSE))</f>
        <v>39.018000000000001</v>
      </c>
      <c r="E17" s="257" t="s">
        <v>490</v>
      </c>
      <c r="G17" s="5" t="s">
        <v>1314</v>
      </c>
      <c r="I17" s="87" t="s">
        <v>142</v>
      </c>
      <c r="J17" s="244">
        <f>0.2*J8</f>
        <v>420</v>
      </c>
      <c r="K17" s="257" t="s">
        <v>491</v>
      </c>
      <c r="L17" s="244">
        <f>J17*0.0929</f>
        <v>39.018000000000001</v>
      </c>
      <c r="M17" s="257" t="s">
        <v>490</v>
      </c>
      <c r="N17" s="244">
        <f>0.2*N8</f>
        <v>540</v>
      </c>
      <c r="O17" s="257" t="s">
        <v>491</v>
      </c>
      <c r="P17" s="244">
        <f>N17*0.0929</f>
        <v>50.165999999999997</v>
      </c>
      <c r="Q17" s="257" t="s">
        <v>490</v>
      </c>
      <c r="R17" s="123" t="s">
        <v>495</v>
      </c>
      <c r="S17" s="5" t="s">
        <v>143</v>
      </c>
    </row>
    <row r="18" spans="1:19" s="254" customFormat="1" ht="15" customHeight="1">
      <c r="A18" s="201" t="s">
        <v>876</v>
      </c>
      <c r="B18" s="254">
        <f>IF(HomeSize="Med",VLOOKUP(Geometry!A18,Geometry!$I$5:$Q$40,2,FALSE),VLOOKUP(Geometry!A18,Geometry!$I18:$Q$40,6,FALSE))</f>
        <v>40</v>
      </c>
      <c r="C18" s="257" t="s">
        <v>491</v>
      </c>
      <c r="D18" s="254">
        <f>IF(HomeSize="Med",VLOOKUP(Geometry!A18,Geometry!$I$5:$Q$40,4,FALSE),VLOOKUP(Geometry!A18,Geometry!$I$5:$Q$40,8,FALSE))</f>
        <v>3.7159999999999997</v>
      </c>
      <c r="E18" s="257" t="s">
        <v>490</v>
      </c>
      <c r="I18" s="201" t="s">
        <v>876</v>
      </c>
      <c r="J18" s="244">
        <v>40</v>
      </c>
      <c r="K18" s="257" t="s">
        <v>491</v>
      </c>
      <c r="L18" s="244">
        <f>J18*0.0929</f>
        <v>3.7159999999999997</v>
      </c>
      <c r="M18" s="257" t="s">
        <v>490</v>
      </c>
      <c r="N18" s="244">
        <v>40</v>
      </c>
      <c r="O18" s="257" t="s">
        <v>491</v>
      </c>
      <c r="P18" s="244">
        <f>N18*0.0929</f>
        <v>3.7159999999999997</v>
      </c>
      <c r="Q18" s="257" t="s">
        <v>490</v>
      </c>
    </row>
    <row r="19" spans="1:19" ht="15" customHeight="1">
      <c r="A19" s="201" t="s">
        <v>144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144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156</v>
      </c>
    </row>
    <row r="20" spans="1:19" s="254" customFormat="1" ht="15" customHeight="1">
      <c r="A20" s="201" t="s">
        <v>1302</v>
      </c>
      <c r="B20" s="254">
        <f>IF(HomeSize="Med",VLOOKUP(Geometry!A20,Geometry!$I$5:$Q$40,2,FALSE),VLOOKUP(Geometry!A20,Geometry!$I20:$Q$40,6,FALSE))</f>
        <v>270</v>
      </c>
      <c r="C20" s="257" t="s">
        <v>491</v>
      </c>
      <c r="D20" s="254">
        <f>IF(HomeSize="Med",VLOOKUP(Geometry!A20,Geometry!$I$5:$Q$40,4,FALSE),VLOOKUP(Geometry!A20,Geometry!$I$5:$Q$40,8,FALSE))</f>
        <v>25.082999999999998</v>
      </c>
      <c r="E20" s="257" t="s">
        <v>490</v>
      </c>
      <c r="I20" s="201" t="s">
        <v>1302</v>
      </c>
      <c r="J20" s="257">
        <v>270</v>
      </c>
      <c r="K20" s="257" t="s">
        <v>491</v>
      </c>
      <c r="L20" s="244">
        <f t="shared" ref="L20:L28" si="4">J20*0.0929</f>
        <v>25.082999999999998</v>
      </c>
      <c r="M20" s="257" t="s">
        <v>490</v>
      </c>
      <c r="N20" s="257">
        <v>270</v>
      </c>
      <c r="O20" s="257" t="s">
        <v>491</v>
      </c>
      <c r="P20" s="244">
        <f t="shared" ref="P20:P28" si="5">N20*0.0929</f>
        <v>25.082999999999998</v>
      </c>
      <c r="Q20" s="257" t="s">
        <v>490</v>
      </c>
      <c r="R20" s="266"/>
    </row>
    <row r="21" spans="1:19" s="254" customFormat="1" ht="15" customHeight="1">
      <c r="A21" s="201" t="s">
        <v>1303</v>
      </c>
      <c r="B21" s="254">
        <f>IF(HomeSize="Med",VLOOKUP(Geometry!A21,Geometry!$I$5:$Q$40,2,FALSE),VLOOKUP(Geometry!A21,Geometry!$I21:$Q$40,6,FALSE))</f>
        <v>180</v>
      </c>
      <c r="C21" s="257" t="s">
        <v>491</v>
      </c>
      <c r="D21" s="254">
        <f>IF(HomeSize="Med",VLOOKUP(Geometry!A21,Geometry!$I$5:$Q$40,4,FALSE),VLOOKUP(Geometry!A21,Geometry!$I$5:$Q$40,8,FALSE))</f>
        <v>16.721999999999998</v>
      </c>
      <c r="E21" s="257" t="s">
        <v>490</v>
      </c>
      <c r="I21" s="201" t="s">
        <v>1303</v>
      </c>
      <c r="J21" s="257">
        <v>180</v>
      </c>
      <c r="K21" s="257" t="s">
        <v>491</v>
      </c>
      <c r="L21" s="244">
        <f t="shared" si="4"/>
        <v>16.721999999999998</v>
      </c>
      <c r="M21" s="257" t="s">
        <v>490</v>
      </c>
      <c r="N21" s="257">
        <v>180</v>
      </c>
      <c r="O21" s="257" t="s">
        <v>491</v>
      </c>
      <c r="P21" s="244">
        <f t="shared" si="5"/>
        <v>16.721999999999998</v>
      </c>
      <c r="Q21" s="257" t="s">
        <v>490</v>
      </c>
      <c r="R21" s="266"/>
    </row>
    <row r="22" spans="1:19" s="254" customFormat="1" ht="15" customHeight="1">
      <c r="A22" s="201" t="s">
        <v>1304</v>
      </c>
      <c r="B22" s="254">
        <f>IF(HomeSize="Med",VLOOKUP(Geometry!A22,Geometry!$I$5:$Q$40,2,FALSE),VLOOKUP(Geometry!A22,Geometry!$I22:$Q$40,6,FALSE))</f>
        <v>324</v>
      </c>
      <c r="C22" s="257" t="s">
        <v>491</v>
      </c>
      <c r="D22" s="254">
        <f>IF(HomeSize="Med",VLOOKUP(Geometry!A22,Geometry!$I$5:$Q$40,4,FALSE),VLOOKUP(Geometry!A22,Geometry!$I$5:$Q$40,8,FALSE))</f>
        <v>30.099599999999999</v>
      </c>
      <c r="E22" s="257" t="s">
        <v>490</v>
      </c>
      <c r="I22" s="201" t="s">
        <v>1304</v>
      </c>
      <c r="J22" s="257">
        <v>324</v>
      </c>
      <c r="K22" s="257" t="s">
        <v>491</v>
      </c>
      <c r="L22" s="244">
        <f t="shared" si="4"/>
        <v>30.099599999999999</v>
      </c>
      <c r="M22" s="257" t="s">
        <v>490</v>
      </c>
      <c r="N22" s="257">
        <v>551</v>
      </c>
      <c r="O22" s="257" t="s">
        <v>491</v>
      </c>
      <c r="P22" s="244">
        <f t="shared" si="5"/>
        <v>51.187899999999999</v>
      </c>
      <c r="Q22" s="257" t="s">
        <v>490</v>
      </c>
      <c r="R22" s="266"/>
    </row>
    <row r="23" spans="1:19" s="254" customFormat="1" ht="15" customHeight="1">
      <c r="A23" s="201" t="s">
        <v>1305</v>
      </c>
      <c r="B23" s="254">
        <f>IF(HomeSize="Med",VLOOKUP(Geometry!A23,Geometry!$I$5:$Q$40,2,FALSE),VLOOKUP(Geometry!A23,Geometry!$I23:$Q$40,6,FALSE))</f>
        <v>90</v>
      </c>
      <c r="C23" s="257" t="s">
        <v>491</v>
      </c>
      <c r="D23" s="254">
        <f>IF(HomeSize="Med",VLOOKUP(Geometry!A23,Geometry!$I$5:$Q$40,4,FALSE),VLOOKUP(Geometry!A23,Geometry!$I$5:$Q$40,8,FALSE))</f>
        <v>8.3609999999999989</v>
      </c>
      <c r="E23" s="257" t="s">
        <v>490</v>
      </c>
      <c r="I23" s="201" t="s">
        <v>1305</v>
      </c>
      <c r="J23" s="257">
        <v>90</v>
      </c>
      <c r="K23" s="257" t="s">
        <v>491</v>
      </c>
      <c r="L23" s="244">
        <f t="shared" si="4"/>
        <v>8.3609999999999989</v>
      </c>
      <c r="M23" s="257" t="s">
        <v>490</v>
      </c>
      <c r="N23" s="257">
        <v>0</v>
      </c>
      <c r="O23" s="257" t="s">
        <v>491</v>
      </c>
      <c r="P23" s="244">
        <f t="shared" si="5"/>
        <v>0</v>
      </c>
      <c r="Q23" s="257" t="s">
        <v>490</v>
      </c>
      <c r="R23" s="266"/>
    </row>
    <row r="24" spans="1:19" s="254" customFormat="1" ht="15" customHeight="1">
      <c r="A24" s="201" t="s">
        <v>1306</v>
      </c>
      <c r="B24" s="254">
        <f>IF(HomeSize="Med",VLOOKUP(Geometry!A24,Geometry!$I$5:$Q$40,2,FALSE),VLOOKUP(Geometry!A24,Geometry!$I24:$Q$40,6,FALSE))</f>
        <v>450</v>
      </c>
      <c r="C24" s="257" t="s">
        <v>491</v>
      </c>
      <c r="D24" s="254">
        <f>IF(HomeSize="Med",VLOOKUP(Geometry!A24,Geometry!$I$5:$Q$40,4,FALSE),VLOOKUP(Geometry!A24,Geometry!$I$5:$Q$40,8,FALSE))</f>
        <v>41.805</v>
      </c>
      <c r="E24" s="257" t="s">
        <v>490</v>
      </c>
      <c r="I24" s="201" t="s">
        <v>1306</v>
      </c>
      <c r="J24" s="257">
        <v>450</v>
      </c>
      <c r="K24" s="257" t="s">
        <v>491</v>
      </c>
      <c r="L24" s="244">
        <f t="shared" si="4"/>
        <v>41.805</v>
      </c>
      <c r="M24" s="257" t="s">
        <v>490</v>
      </c>
      <c r="N24" s="257">
        <v>950</v>
      </c>
      <c r="O24" s="257" t="s">
        <v>491</v>
      </c>
      <c r="P24" s="244">
        <f t="shared" si="5"/>
        <v>88.254999999999995</v>
      </c>
      <c r="Q24" s="257" t="s">
        <v>490</v>
      </c>
      <c r="R24" s="266"/>
    </row>
    <row r="25" spans="1:19" s="254" customFormat="1" ht="15" customHeight="1">
      <c r="A25" s="201" t="s">
        <v>1307</v>
      </c>
      <c r="B25" s="254">
        <f>IF(HomeSize="Med",VLOOKUP(Geometry!A25,Geometry!$I$5:$Q$40,2,FALSE),VLOOKUP(Geometry!A25,Geometry!$I25:$Q$40,6,FALSE))</f>
        <v>414</v>
      </c>
      <c r="C25" s="257" t="s">
        <v>491</v>
      </c>
      <c r="D25" s="254">
        <f>IF(HomeSize="Med",VLOOKUP(Geometry!A25,Geometry!$I$5:$Q$40,4,FALSE),VLOOKUP(Geometry!A25,Geometry!$I$5:$Q$40,8,FALSE))</f>
        <v>38.460599999999999</v>
      </c>
      <c r="E25" s="257" t="s">
        <v>490</v>
      </c>
      <c r="I25" s="201" t="s">
        <v>1307</v>
      </c>
      <c r="J25" s="257">
        <v>414</v>
      </c>
      <c r="K25" s="257" t="s">
        <v>491</v>
      </c>
      <c r="L25" s="244">
        <f t="shared" si="4"/>
        <v>38.460599999999999</v>
      </c>
      <c r="M25" s="257" t="s">
        <v>490</v>
      </c>
      <c r="N25" s="257">
        <v>461</v>
      </c>
      <c r="O25" s="257" t="s">
        <v>491</v>
      </c>
      <c r="P25" s="244">
        <f t="shared" si="5"/>
        <v>42.826899999999995</v>
      </c>
      <c r="Q25" s="257" t="s">
        <v>490</v>
      </c>
      <c r="R25" s="266"/>
    </row>
    <row r="26" spans="1:19" s="254" customFormat="1" ht="15" customHeight="1">
      <c r="A26" s="201" t="s">
        <v>1309</v>
      </c>
      <c r="B26" s="254">
        <f>IF(HomeSize="Med",VLOOKUP(Geometry!A26,Geometry!$I$5:$Q$40,2,FALSE),VLOOKUP(Geometry!A26,Geometry!$I26:$Q$40,6,FALSE))</f>
        <v>0</v>
      </c>
      <c r="C26" s="257" t="s">
        <v>491</v>
      </c>
      <c r="D26" s="254">
        <f>IF(HomeSize="Med",VLOOKUP(Geometry!A26,Geometry!$I$5:$Q$40,4,FALSE),VLOOKUP(Geometry!A26,Geometry!$I$5:$Q$40,8,FALSE))</f>
        <v>0</v>
      </c>
      <c r="E26" s="257" t="s">
        <v>490</v>
      </c>
      <c r="I26" s="201" t="s">
        <v>1309</v>
      </c>
      <c r="J26" s="257">
        <v>0</v>
      </c>
      <c r="K26" s="257" t="s">
        <v>491</v>
      </c>
      <c r="L26" s="244">
        <f t="shared" si="4"/>
        <v>0</v>
      </c>
      <c r="M26" s="257" t="s">
        <v>490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1317</v>
      </c>
      <c r="B27" s="254">
        <f>IF(HomeSize="Med",VLOOKUP(Geometry!A27,Geometry!$I$5:$Q$40,2,FALSE),VLOOKUP(Geometry!A27,Geometry!$I27:$Q$40,6,FALSE))</f>
        <v>1728</v>
      </c>
      <c r="C27" s="257" t="s">
        <v>491</v>
      </c>
      <c r="D27" s="254">
        <f>IF(HomeSize="Med",VLOOKUP(Geometry!A27,Geometry!$I$5:$Q$40,4,FALSE),VLOOKUP(Geometry!A27,Geometry!$I$5:$Q$40,8,FALSE))</f>
        <v>160.53119999999998</v>
      </c>
      <c r="E27" s="257" t="s">
        <v>490</v>
      </c>
      <c r="G27" s="5" t="s">
        <v>1315</v>
      </c>
      <c r="I27" s="87" t="s">
        <v>1317</v>
      </c>
      <c r="J27" s="266">
        <f>SUM(J20:J26)</f>
        <v>1728</v>
      </c>
      <c r="K27" s="257" t="s">
        <v>491</v>
      </c>
      <c r="L27" s="244">
        <f t="shared" si="4"/>
        <v>160.53119999999998</v>
      </c>
      <c r="M27" s="257" t="s">
        <v>490</v>
      </c>
      <c r="N27" s="266">
        <f>SUM(N20:N26)</f>
        <v>2502</v>
      </c>
      <c r="O27" s="257" t="s">
        <v>491</v>
      </c>
      <c r="P27" s="244">
        <f t="shared" si="5"/>
        <v>232.4358</v>
      </c>
      <c r="Q27" s="257" t="s">
        <v>490</v>
      </c>
      <c r="R27"/>
      <c r="S27" s="5">
        <f>((L11*L14*Stories))-A_windowSI</f>
        <v>121.51844284566752</v>
      </c>
    </row>
    <row r="28" spans="1:19" s="254" customFormat="1" ht="15" customHeight="1">
      <c r="A28" s="201" t="s">
        <v>1318</v>
      </c>
      <c r="B28" s="254">
        <f>IF(HomeSize="Med",VLOOKUP(Geometry!A28,Geometry!$I$5:$Q$40,2,FALSE),VLOOKUP(Geometry!A28,Geometry!$I28:$Q$40,6,FALSE))</f>
        <v>1308</v>
      </c>
      <c r="C28" s="257" t="s">
        <v>1319</v>
      </c>
      <c r="D28" s="254">
        <f>IF(HomeSize="Med",VLOOKUP(Geometry!A28,Geometry!$I$5:$Q$40,4,FALSE),VLOOKUP(Geometry!A28,Geometry!$I$5:$Q$40,8,FALSE))</f>
        <v>121.5132</v>
      </c>
      <c r="E28" s="257" t="s">
        <v>1320</v>
      </c>
      <c r="I28" s="201" t="s">
        <v>1318</v>
      </c>
      <c r="J28" s="497">
        <f>J27-J17</f>
        <v>1308</v>
      </c>
      <c r="K28" s="257" t="s">
        <v>491</v>
      </c>
      <c r="L28" s="244">
        <f t="shared" si="4"/>
        <v>121.5132</v>
      </c>
      <c r="M28" s="257" t="s">
        <v>490</v>
      </c>
      <c r="N28" s="497">
        <f>N27-N17</f>
        <v>1962</v>
      </c>
      <c r="O28" s="257" t="s">
        <v>491</v>
      </c>
      <c r="P28" s="244">
        <f t="shared" si="5"/>
        <v>182.2698</v>
      </c>
      <c r="Q28" s="257" t="s">
        <v>490</v>
      </c>
      <c r="R28" s="245"/>
    </row>
    <row r="29" spans="1:19" ht="15" customHeight="1">
      <c r="A29" s="201" t="s">
        <v>145</v>
      </c>
      <c r="B29" s="254">
        <f>IF(HomeSize="Med",VLOOKUP(Geometry!A29,Geometry!$I$5:$Q$40,2,FALSE),VLOOKUP(Geometry!A29,Geometry!$I29:$Q$40,6,FALSE))</f>
        <v>18900</v>
      </c>
      <c r="C29" s="257" t="s">
        <v>1308</v>
      </c>
      <c r="D29" s="264">
        <f>IF(HomeSize="Med",VLOOKUP(Geometry!A29,Geometry!$I$5:$Q$40,4,FALSE),VLOOKUP(Geometry!A29,Geometry!$I$5:$Q$40,8,FALSE))</f>
        <v>535.18789625849854</v>
      </c>
      <c r="E29" s="254" t="s">
        <v>146</v>
      </c>
      <c r="I29" s="87" t="s">
        <v>145</v>
      </c>
      <c r="J29" s="266">
        <v>18900</v>
      </c>
      <c r="K29" s="257" t="s">
        <v>1308</v>
      </c>
      <c r="L29" s="242">
        <f>J29/35.3147</f>
        <v>535.18789625849854</v>
      </c>
      <c r="M29" s="257" t="s">
        <v>146</v>
      </c>
      <c r="N29" s="266">
        <v>25750</v>
      </c>
      <c r="O29" s="257" t="s">
        <v>1308</v>
      </c>
      <c r="P29" s="242">
        <f>N29/35.3147</f>
        <v>729.1581126273195</v>
      </c>
      <c r="Q29" s="254" t="s">
        <v>146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147</v>
      </c>
      <c r="B31" s="100" t="s">
        <v>125</v>
      </c>
      <c r="C31" s="100" t="s">
        <v>126</v>
      </c>
      <c r="D31" s="100" t="s">
        <v>127</v>
      </c>
      <c r="E31" s="100" t="s">
        <v>126</v>
      </c>
      <c r="I31" s="99" t="s">
        <v>147</v>
      </c>
      <c r="J31" s="100" t="s">
        <v>125</v>
      </c>
      <c r="K31" s="100" t="s">
        <v>126</v>
      </c>
      <c r="L31" s="494" t="s">
        <v>127</v>
      </c>
      <c r="M31" s="494" t="s">
        <v>126</v>
      </c>
      <c r="N31" s="494" t="s">
        <v>125</v>
      </c>
      <c r="O31" s="494" t="s">
        <v>126</v>
      </c>
      <c r="P31" s="494" t="s">
        <v>127</v>
      </c>
      <c r="Q31" s="100" t="s">
        <v>126</v>
      </c>
      <c r="R31" s="122"/>
    </row>
    <row r="32" spans="1:19" ht="15" customHeight="1">
      <c r="A32" s="201" t="s">
        <v>148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149</v>
      </c>
      <c r="I32" s="87" t="s">
        <v>148</v>
      </c>
      <c r="J32" s="247">
        <v>0.17500000000000004</v>
      </c>
      <c r="K32" s="246" t="s">
        <v>11</v>
      </c>
      <c r="L32" s="244">
        <f>DEGREES(ATAN(4/12))</f>
        <v>18.43494882292201</v>
      </c>
      <c r="M32" s="257" t="s">
        <v>149</v>
      </c>
      <c r="N32" s="495">
        <v>0.17500000000000004</v>
      </c>
      <c r="O32" s="257" t="s">
        <v>11</v>
      </c>
      <c r="P32" s="244">
        <f>DEGREES(ATAN(4/12))</f>
        <v>18.43494882292201</v>
      </c>
      <c r="Q32" s="254" t="s">
        <v>149</v>
      </c>
      <c r="R32" s="123" t="s">
        <v>521</v>
      </c>
    </row>
    <row r="33" spans="1:19" ht="15" customHeight="1">
      <c r="A33" s="201" t="s">
        <v>150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130</v>
      </c>
      <c r="I33" s="87" t="s">
        <v>150</v>
      </c>
      <c r="J33" s="245"/>
      <c r="K33" s="245"/>
      <c r="L33" s="57">
        <f>TAN(RADIANS(L32))*(L6/2)</f>
        <v>2.5399999187200022</v>
      </c>
      <c r="M33" s="257" t="s">
        <v>130</v>
      </c>
      <c r="N33" s="266"/>
      <c r="O33" s="266"/>
      <c r="P33" s="57">
        <f>TAN(RADIANS(P32))*(P6/2)</f>
        <v>2.5399999187200022</v>
      </c>
      <c r="Q33" s="254" t="s">
        <v>130</v>
      </c>
    </row>
    <row r="34" spans="1:19" ht="15" customHeight="1">
      <c r="A34" s="201" t="s">
        <v>151</v>
      </c>
      <c r="B34" s="245"/>
      <c r="C34" s="245"/>
      <c r="D34" s="264">
        <f>IF(HomeSize="Med",VLOOKUP(Geometry!A34,Geometry!$I$5:$Q$40,4,FALSE),VLOOKUP(Geometry!A34,Geometry!$I$5:$Q$40,8,FALSE))</f>
        <v>247.76429207154263</v>
      </c>
      <c r="E34" s="254" t="s">
        <v>492</v>
      </c>
      <c r="I34" s="87" t="s">
        <v>151</v>
      </c>
      <c r="J34" s="245"/>
      <c r="K34" s="245"/>
      <c r="L34" s="244">
        <f>0.5*L9*L33</f>
        <v>247.76429207154263</v>
      </c>
      <c r="M34" s="257" t="s">
        <v>492</v>
      </c>
      <c r="N34" s="266"/>
      <c r="O34" s="266"/>
      <c r="P34" s="244">
        <f>0.5*P10*P33</f>
        <v>171.07534452558892</v>
      </c>
      <c r="Q34" s="254" t="s">
        <v>492</v>
      </c>
    </row>
    <row r="35" spans="1:19" ht="15" customHeight="1">
      <c r="A35" s="201" t="s">
        <v>152</v>
      </c>
      <c r="B35" s="245"/>
      <c r="C35" s="245"/>
      <c r="D35" s="264">
        <f>IF(HomeSize="Med",VLOOKUP(Geometry!A35,Geometry!$I$5:$Q$40,4,FALSE),VLOOKUP(Geometry!A35,Geometry!$I$5:$Q$40,8,FALSE))</f>
        <v>5.8927998114304057</v>
      </c>
      <c r="E35" s="254" t="s">
        <v>130</v>
      </c>
      <c r="I35" s="87" t="s">
        <v>152</v>
      </c>
      <c r="J35" s="245"/>
      <c r="K35" s="245"/>
      <c r="L35" s="244">
        <f>L16+L33</f>
        <v>5.8927998114304057</v>
      </c>
      <c r="M35" s="257" t="s">
        <v>130</v>
      </c>
      <c r="N35" s="266"/>
      <c r="O35" s="266"/>
      <c r="P35" s="244">
        <f>P16+P33</f>
        <v>8.6359997236480091</v>
      </c>
      <c r="Q35" s="254" t="s">
        <v>130</v>
      </c>
    </row>
    <row r="36" spans="1:19" ht="15" customHeight="1">
      <c r="A36" s="201" t="s">
        <v>153</v>
      </c>
      <c r="B36" s="245"/>
      <c r="C36" s="245"/>
      <c r="D36" s="254">
        <f>IF(HomeSize="Med",VLOOKUP(Geometry!A36,Geometry!$I$5:$Q$40,4,FALSE),VLOOKUP(Geometry!A36,Geometry!$I$5:$Q$40,8,FALSE))</f>
        <v>4.6227998520704041</v>
      </c>
      <c r="E36" s="254" t="s">
        <v>130</v>
      </c>
      <c r="I36" s="87" t="s">
        <v>153</v>
      </c>
      <c r="J36" s="245"/>
      <c r="K36" s="245"/>
      <c r="L36" s="244">
        <f>L16+(0.5*L33)</f>
        <v>4.6227998520704041</v>
      </c>
      <c r="M36" s="257" t="s">
        <v>130</v>
      </c>
      <c r="N36" s="266"/>
      <c r="O36" s="266"/>
      <c r="P36" s="244">
        <f>P16+(0.5*P33)</f>
        <v>7.3659997642880075</v>
      </c>
      <c r="Q36" s="254" t="s">
        <v>130</v>
      </c>
      <c r="R36" s="5" t="s">
        <v>503</v>
      </c>
    </row>
    <row r="37" spans="1:19" ht="15" customHeight="1">
      <c r="A37" s="201" t="s">
        <v>154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130</v>
      </c>
      <c r="I37" s="87" t="s">
        <v>154</v>
      </c>
      <c r="J37" s="245"/>
      <c r="K37" s="245"/>
      <c r="L37" s="257">
        <v>0.3</v>
      </c>
      <c r="M37" s="257" t="s">
        <v>130</v>
      </c>
      <c r="N37" s="266"/>
      <c r="O37" s="266"/>
      <c r="P37" s="257">
        <v>0.3</v>
      </c>
      <c r="Q37" s="254" t="s">
        <v>130</v>
      </c>
      <c r="R37" s="5" t="s">
        <v>155</v>
      </c>
      <c r="S37" s="5" t="s">
        <v>156</v>
      </c>
    </row>
    <row r="38" spans="1:19" ht="15" customHeight="1">
      <c r="A38" s="201" t="s">
        <v>157</v>
      </c>
      <c r="B38" s="245"/>
      <c r="C38" s="245"/>
      <c r="D38" s="254">
        <f>IF(HomeSize="Med",VLOOKUP(Geometry!A38,Geometry!$I$5:$Q$40,4,FALSE),VLOOKUP(Geometry!A38,Geometry!$I$5:$Q$40,8,FALSE))</f>
        <v>5.8927998114304057</v>
      </c>
      <c r="E38" s="254" t="s">
        <v>130</v>
      </c>
      <c r="I38" s="87" t="s">
        <v>157</v>
      </c>
      <c r="J38" s="245"/>
      <c r="K38" s="245"/>
      <c r="L38" s="244">
        <f>L35</f>
        <v>5.8927998114304057</v>
      </c>
      <c r="M38" s="257" t="s">
        <v>130</v>
      </c>
      <c r="N38" s="266"/>
      <c r="O38" s="266"/>
      <c r="P38" s="244">
        <f>P35</f>
        <v>8.6359997236480091</v>
      </c>
      <c r="Q38" s="254" t="s">
        <v>130</v>
      </c>
      <c r="S38" s="5" t="s">
        <v>158</v>
      </c>
    </row>
    <row r="39" spans="1:19" ht="15" customHeight="1">
      <c r="A39" s="201" t="s">
        <v>391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130</v>
      </c>
      <c r="I39" s="87" t="s">
        <v>391</v>
      </c>
      <c r="J39" s="245">
        <v>1</v>
      </c>
      <c r="K39" s="245"/>
      <c r="L39" s="257">
        <f>J39/3.28084</f>
        <v>0.30479999024640031</v>
      </c>
      <c r="M39" s="257" t="s">
        <v>130</v>
      </c>
      <c r="N39" s="266">
        <v>1</v>
      </c>
      <c r="O39" s="266"/>
      <c r="P39" s="257">
        <f>N39/3.28084</f>
        <v>0.30479999024640031</v>
      </c>
      <c r="Q39" s="254" t="s">
        <v>130</v>
      </c>
    </row>
    <row r="40" spans="1:19" ht="15" customHeight="1">
      <c r="A40" s="254" t="s">
        <v>523</v>
      </c>
      <c r="C40" s="245"/>
      <c r="D40" s="254">
        <f>IF(HomeSize="Med",VLOOKUP(Geometry!A40,Geometry!$I$5:$Q$40,4,FALSE),VLOOKUP(Geometry!A40,Geometry!$I$5:$Q$40,8,FALSE))</f>
        <v>245.46674876041138</v>
      </c>
      <c r="E40" s="254" t="s">
        <v>490</v>
      </c>
      <c r="I40" s="123" t="s">
        <v>523</v>
      </c>
      <c r="J40" s="246"/>
      <c r="K40" s="245"/>
      <c r="L40" s="256">
        <f>(((L7/2+L39)^2+(L33^2))^0.5)*(L6+2*L39)*2</f>
        <v>245.46674876041138</v>
      </c>
      <c r="M40" s="120" t="s">
        <v>490</v>
      </c>
      <c r="N40" s="254"/>
      <c r="O40" s="245"/>
      <c r="P40" s="256">
        <f>(((P7/2+P39)^2+(P33^2))^0.5)*(P6+2*P39)*2</f>
        <v>170.031718482922</v>
      </c>
      <c r="Q40" s="254" t="s">
        <v>490</v>
      </c>
      <c r="R40" s="123" t="s">
        <v>522</v>
      </c>
      <c r="S40" s="254" t="s">
        <v>392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1396</v>
      </c>
      <c r="D42" s="20" t="s">
        <v>1397</v>
      </c>
      <c r="E42" s="20"/>
      <c r="F42" s="542" t="s">
        <v>1398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900</v>
      </c>
      <c r="D43" s="5">
        <f>L_houseSI/(2*L_houseSI+2*W_houseSI)</f>
        <v>0.26041666666666663</v>
      </c>
      <c r="F43" s="254" t="s">
        <v>1392</v>
      </c>
      <c r="N43" s="254"/>
      <c r="O43" s="254"/>
      <c r="P43" s="254"/>
      <c r="Q43" s="254"/>
    </row>
    <row r="44" spans="1:19" ht="15" customHeight="1">
      <c r="A44" s="245" t="s">
        <v>901</v>
      </c>
      <c r="D44" s="254">
        <f>L_houseSI/(2*L_houseSI+2*W_houseSI)</f>
        <v>0.26041666666666663</v>
      </c>
      <c r="F44" s="254" t="s">
        <v>1393</v>
      </c>
      <c r="N44" s="254"/>
      <c r="O44" s="254"/>
      <c r="P44" s="254"/>
      <c r="Q44" s="254"/>
    </row>
    <row r="45" spans="1:19" ht="15" customHeight="1">
      <c r="A45" s="245" t="s">
        <v>902</v>
      </c>
      <c r="D45" s="254">
        <f>W_houseSI/(2*L_houseSI+2*W_houseSI)</f>
        <v>0.23958333333333331</v>
      </c>
      <c r="F45" s="254" t="s">
        <v>1394</v>
      </c>
      <c r="N45" s="254"/>
      <c r="O45" s="254"/>
      <c r="P45" s="254"/>
      <c r="Q45" s="254"/>
    </row>
    <row r="46" spans="1:19" ht="15" customHeight="1">
      <c r="A46" s="334" t="s">
        <v>903</v>
      </c>
      <c r="D46" s="254">
        <f>W_houseSI/(2*L_houseSI+2*W_houseSI)</f>
        <v>0.23958333333333331</v>
      </c>
      <c r="F46" s="254" t="s">
        <v>1395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493</v>
      </c>
      <c r="D58" s="254">
        <f>W_houseSI/(W_houseSI+L_houseSI)</f>
        <v>0.47916666666666663</v>
      </c>
      <c r="I58" s="5" t="s">
        <v>493</v>
      </c>
      <c r="L58" s="5">
        <f>W_houseSI/(W_houseSI+L_houseSI)</f>
        <v>0.47916666666666663</v>
      </c>
    </row>
    <row r="59" spans="1:17" ht="15" customHeight="1">
      <c r="A59" s="254" t="s">
        <v>398</v>
      </c>
      <c r="I59" s="5" t="s">
        <v>398</v>
      </c>
    </row>
    <row r="61" spans="1:17" ht="15" customHeight="1">
      <c r="A61" s="124" t="s">
        <v>123</v>
      </c>
      <c r="I61" s="4" t="s">
        <v>123</v>
      </c>
    </row>
    <row r="64" spans="1:17" ht="15" customHeight="1">
      <c r="A64" s="82"/>
      <c r="B64" s="100" t="s">
        <v>125</v>
      </c>
      <c r="C64" s="100" t="s">
        <v>126</v>
      </c>
      <c r="D64" s="100" t="s">
        <v>127</v>
      </c>
      <c r="E64" s="100" t="s">
        <v>126</v>
      </c>
      <c r="I64" s="82"/>
      <c r="J64" s="100" t="s">
        <v>125</v>
      </c>
      <c r="K64" s="100" t="s">
        <v>126</v>
      </c>
      <c r="L64" s="100" t="s">
        <v>127</v>
      </c>
      <c r="M64" s="100" t="s">
        <v>126</v>
      </c>
    </row>
    <row r="65" spans="1:13" ht="15" customHeight="1">
      <c r="A65" s="129" t="s">
        <v>414</v>
      </c>
      <c r="B65" s="257">
        <v>200</v>
      </c>
      <c r="C65" s="257" t="s">
        <v>133</v>
      </c>
      <c r="D65" s="244">
        <f>B65*0.3048^2</f>
        <v>18.580608000000002</v>
      </c>
      <c r="E65" s="257" t="s">
        <v>490</v>
      </c>
      <c r="I65" s="129" t="s">
        <v>414</v>
      </c>
      <c r="J65" s="55">
        <v>200</v>
      </c>
      <c r="K65" s="55" t="s">
        <v>133</v>
      </c>
      <c r="L65" s="164">
        <f>J65*0.3048^2</f>
        <v>18.580608000000002</v>
      </c>
      <c r="M65" s="55" t="s">
        <v>490</v>
      </c>
    </row>
    <row r="66" spans="1:13" ht="15" customHeight="1">
      <c r="A66" s="129" t="s">
        <v>415</v>
      </c>
      <c r="B66" s="257">
        <v>240</v>
      </c>
      <c r="C66" s="257" t="s">
        <v>133</v>
      </c>
      <c r="D66" s="244">
        <f>B66*0.3048^2</f>
        <v>22.296729600000003</v>
      </c>
      <c r="E66" s="257" t="s">
        <v>490</v>
      </c>
      <c r="I66" s="129" t="s">
        <v>415</v>
      </c>
      <c r="J66" s="55">
        <v>240</v>
      </c>
      <c r="K66" s="55" t="s">
        <v>133</v>
      </c>
      <c r="L66" s="164">
        <f>J66*0.3048^2</f>
        <v>22.296729600000003</v>
      </c>
      <c r="M66" s="55" t="s">
        <v>490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F15" sqref="F1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566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771</v>
      </c>
      <c r="B2" s="1">
        <f t="shared" ref="B2:Q2" si="0">Airtightness</f>
        <v>1</v>
      </c>
      <c r="C2" s="1">
        <f t="shared" si="0"/>
        <v>1</v>
      </c>
      <c r="D2" s="1">
        <f t="shared" si="0"/>
        <v>1</v>
      </c>
      <c r="E2" s="1">
        <f t="shared" si="0"/>
        <v>1</v>
      </c>
      <c r="F2" s="1">
        <f t="shared" si="0"/>
        <v>1</v>
      </c>
      <c r="G2" s="1">
        <f t="shared" si="0"/>
        <v>1</v>
      </c>
      <c r="H2" s="1">
        <f t="shared" si="0"/>
        <v>1</v>
      </c>
      <c r="I2" s="1">
        <f t="shared" si="0"/>
        <v>1</v>
      </c>
      <c r="J2" s="1">
        <f t="shared" si="0"/>
        <v>1</v>
      </c>
      <c r="K2" s="1">
        <f t="shared" si="0"/>
        <v>1</v>
      </c>
      <c r="L2" s="1">
        <f t="shared" si="0"/>
        <v>1</v>
      </c>
      <c r="M2" s="1">
        <f t="shared" si="0"/>
        <v>1</v>
      </c>
      <c r="N2" s="1">
        <f t="shared" si="0"/>
        <v>1</v>
      </c>
      <c r="O2" s="1">
        <f t="shared" si="0"/>
        <v>1</v>
      </c>
      <c r="P2" s="1">
        <f t="shared" si="0"/>
        <v>1</v>
      </c>
      <c r="Q2" s="1">
        <f t="shared" si="0"/>
        <v>1</v>
      </c>
    </row>
    <row r="3" spans="1:17" ht="15" customHeight="1">
      <c r="A3" s="1" t="s">
        <v>787</v>
      </c>
      <c r="B3" s="1">
        <f>(V_houseSI*B2)/3600/14</f>
        <v>1.0618807465446399E-2</v>
      </c>
      <c r="C3" s="1">
        <f t="shared" ref="C3:P3" si="1">(V_houseSI*C2)/3600/14</f>
        <v>1.0618807465446399E-2</v>
      </c>
      <c r="D3" s="1">
        <f t="shared" si="1"/>
        <v>1.0618807465446399E-2</v>
      </c>
      <c r="E3" s="1">
        <f t="shared" si="1"/>
        <v>1.0618807465446399E-2</v>
      </c>
      <c r="F3" s="1">
        <f t="shared" si="1"/>
        <v>1.0618807465446399E-2</v>
      </c>
      <c r="G3" s="1">
        <f t="shared" si="1"/>
        <v>1.0618807465446399E-2</v>
      </c>
      <c r="H3" s="1">
        <f t="shared" si="1"/>
        <v>1.0618807465446399E-2</v>
      </c>
      <c r="I3" s="1">
        <f t="shared" si="1"/>
        <v>1.0618807465446399E-2</v>
      </c>
      <c r="J3" s="1">
        <f t="shared" si="1"/>
        <v>1.0618807465446399E-2</v>
      </c>
      <c r="K3" s="1">
        <f t="shared" si="1"/>
        <v>1.0618807465446399E-2</v>
      </c>
      <c r="L3" s="1">
        <f t="shared" si="1"/>
        <v>1.0618807465446399E-2</v>
      </c>
      <c r="M3" s="1">
        <f t="shared" si="1"/>
        <v>1.0618807465446399E-2</v>
      </c>
      <c r="N3" s="1">
        <f t="shared" si="1"/>
        <v>1.0618807465446399E-2</v>
      </c>
      <c r="O3" s="1">
        <f t="shared" si="1"/>
        <v>1.0618807465446399E-2</v>
      </c>
      <c r="P3" s="1">
        <f t="shared" si="1"/>
        <v>1.0618807465446399E-2</v>
      </c>
      <c r="Q3" s="1">
        <f>(V_houseSI*Q2)/3600/14</f>
        <v>1.0618807465446399E-2</v>
      </c>
    </row>
    <row r="4" spans="1:17" ht="15" customHeight="1">
      <c r="A4" s="1" t="s">
        <v>788</v>
      </c>
      <c r="B4" s="395">
        <f t="shared" ref="B4:Q4" si="2">B3/(SQRT(1.2/2)*4^(n-0.5))</f>
        <v>1.1135023106541913E-2</v>
      </c>
      <c r="C4" s="395">
        <f t="shared" si="2"/>
        <v>1.1135023106541913E-2</v>
      </c>
      <c r="D4" s="395">
        <f t="shared" si="2"/>
        <v>1.1135023106541913E-2</v>
      </c>
      <c r="E4" s="395">
        <f t="shared" si="2"/>
        <v>1.1135023106541913E-2</v>
      </c>
      <c r="F4" s="395">
        <f t="shared" si="2"/>
        <v>1.1135023106541913E-2</v>
      </c>
      <c r="G4" s="395">
        <f t="shared" si="2"/>
        <v>1.1135023106541913E-2</v>
      </c>
      <c r="H4" s="395">
        <f t="shared" si="2"/>
        <v>1.1135023106541913E-2</v>
      </c>
      <c r="I4" s="395">
        <f t="shared" si="2"/>
        <v>1.1135023106541913E-2</v>
      </c>
      <c r="J4" s="395">
        <f t="shared" si="2"/>
        <v>1.1135023106541913E-2</v>
      </c>
      <c r="K4" s="395">
        <f t="shared" si="2"/>
        <v>1.1135023106541913E-2</v>
      </c>
      <c r="L4" s="395">
        <f t="shared" si="2"/>
        <v>1.1135023106541913E-2</v>
      </c>
      <c r="M4" s="395">
        <f t="shared" si="2"/>
        <v>1.1135023106541913E-2</v>
      </c>
      <c r="N4" s="395">
        <f t="shared" si="2"/>
        <v>1.1135023106541913E-2</v>
      </c>
      <c r="O4" s="395">
        <f t="shared" si="2"/>
        <v>1.1135023106541913E-2</v>
      </c>
      <c r="P4" s="395">
        <f t="shared" si="2"/>
        <v>1.1135023106541913E-2</v>
      </c>
      <c r="Q4" s="395">
        <f t="shared" si="2"/>
        <v>1.1135023106541913E-2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768</v>
      </c>
      <c r="B6" s="1">
        <f t="shared" ref="B6:Q6" si="4">1000*(B3/A_houseSI)*((H_soffitSI-H_ground)/2.5)^0.4</f>
        <v>5.8921082048517551E-2</v>
      </c>
      <c r="C6" s="1">
        <f t="shared" si="4"/>
        <v>5.8921082048517551E-2</v>
      </c>
      <c r="D6" s="1">
        <f t="shared" si="4"/>
        <v>5.8921082048517551E-2</v>
      </c>
      <c r="E6" s="1">
        <f t="shared" si="4"/>
        <v>5.8921082048517551E-2</v>
      </c>
      <c r="F6" s="1">
        <f t="shared" si="4"/>
        <v>5.8921082048517551E-2</v>
      </c>
      <c r="G6" s="1">
        <f t="shared" si="4"/>
        <v>5.8921082048517551E-2</v>
      </c>
      <c r="H6" s="1">
        <f t="shared" si="4"/>
        <v>5.8921082048517551E-2</v>
      </c>
      <c r="I6" s="1">
        <f t="shared" si="4"/>
        <v>5.8921082048517551E-2</v>
      </c>
      <c r="J6" s="1">
        <f t="shared" si="4"/>
        <v>5.8921082048517551E-2</v>
      </c>
      <c r="K6" s="1">
        <f t="shared" si="4"/>
        <v>5.8921082048517551E-2</v>
      </c>
      <c r="L6" s="1">
        <f t="shared" si="4"/>
        <v>5.8921082048517551E-2</v>
      </c>
      <c r="M6" s="1">
        <f t="shared" si="4"/>
        <v>5.8921082048517551E-2</v>
      </c>
      <c r="N6" s="1">
        <f t="shared" si="4"/>
        <v>5.8921082048517551E-2</v>
      </c>
      <c r="O6" s="1">
        <f t="shared" si="4"/>
        <v>5.8921082048517551E-2</v>
      </c>
      <c r="P6" s="1">
        <f t="shared" si="4"/>
        <v>5.8921082048517551E-2</v>
      </c>
      <c r="Q6" s="1">
        <f t="shared" si="4"/>
        <v>5.8921082048517551E-2</v>
      </c>
    </row>
    <row r="9" spans="1:17" ht="15" customHeight="1">
      <c r="A9" s="99" t="s">
        <v>7</v>
      </c>
      <c r="B9" s="100" t="s">
        <v>168</v>
      </c>
      <c r="C9" s="100" t="s">
        <v>126</v>
      </c>
    </row>
    <row r="10" spans="1:17" ht="15" customHeight="1">
      <c r="A10" s="92" t="s">
        <v>176</v>
      </c>
      <c r="B10" s="395">
        <v>0.5</v>
      </c>
      <c r="C10" s="1" t="s">
        <v>11</v>
      </c>
    </row>
    <row r="11" spans="1:17" ht="15" customHeight="1">
      <c r="A11" s="92" t="s">
        <v>179</v>
      </c>
      <c r="B11" s="395">
        <f>IF(Inputs!C142=0,0.5,0.4)</f>
        <v>0.5</v>
      </c>
      <c r="C11" s="1" t="s">
        <v>11</v>
      </c>
      <c r="F11" s="1" t="s">
        <v>1391</v>
      </c>
    </row>
    <row r="12" spans="1:17" ht="15" customHeight="1">
      <c r="A12" s="245" t="s">
        <v>900</v>
      </c>
      <c r="B12" s="395">
        <f>Geometry!D43</f>
        <v>0.26041666666666663</v>
      </c>
    </row>
    <row r="13" spans="1:17" ht="15" customHeight="1">
      <c r="A13" s="245" t="s">
        <v>901</v>
      </c>
      <c r="B13" s="395">
        <f>Geometry!D44</f>
        <v>0.26041666666666663</v>
      </c>
    </row>
    <row r="14" spans="1:17" ht="15" customHeight="1">
      <c r="A14" s="245" t="s">
        <v>902</v>
      </c>
      <c r="B14" s="395">
        <f>Geometry!D45</f>
        <v>0.23958333333333331</v>
      </c>
    </row>
    <row r="15" spans="1:17" ht="15" customHeight="1">
      <c r="A15" s="334" t="s">
        <v>903</v>
      </c>
      <c r="B15" s="395">
        <f>Geometry!D46</f>
        <v>0.23958333333333331</v>
      </c>
    </row>
    <row r="16" spans="1:17" ht="15" customHeight="1">
      <c r="A16" s="245" t="s">
        <v>904</v>
      </c>
      <c r="B16" s="395">
        <f>Geometry!D43</f>
        <v>0.26041666666666663</v>
      </c>
    </row>
    <row r="17" spans="1:24" ht="15" customHeight="1">
      <c r="A17" s="245" t="s">
        <v>905</v>
      </c>
      <c r="B17" s="395">
        <f>Geometry!D44</f>
        <v>0.26041666666666663</v>
      </c>
    </row>
    <row r="18" spans="1:24" ht="15" customHeight="1">
      <c r="A18" s="245" t="s">
        <v>906</v>
      </c>
      <c r="B18" s="395">
        <f>Geometry!D45</f>
        <v>0.23958333333333331</v>
      </c>
    </row>
    <row r="19" spans="1:24" ht="15" customHeight="1">
      <c r="A19" s="334" t="s">
        <v>907</v>
      </c>
      <c r="B19" s="395">
        <f>Geometry!D46</f>
        <v>0.23958333333333331</v>
      </c>
    </row>
    <row r="22" spans="1:24" ht="15.75" customHeight="1">
      <c r="A22" s="20" t="s">
        <v>1389</v>
      </c>
      <c r="B22" s="20"/>
      <c r="C22" s="20"/>
      <c r="D22" s="20"/>
      <c r="E22" s="20"/>
    </row>
    <row r="23" spans="1:24" ht="15.75" customHeight="1">
      <c r="A23" s="20" t="s">
        <v>1390</v>
      </c>
      <c r="B23" s="20"/>
      <c r="C23" s="20"/>
      <c r="D23" s="20"/>
      <c r="E23" s="20"/>
    </row>
    <row r="24" spans="1:24" ht="15" customHeight="1">
      <c r="A24" s="20"/>
      <c r="B24" s="20" t="s">
        <v>252</v>
      </c>
      <c r="C24" s="20" t="s">
        <v>238</v>
      </c>
      <c r="D24" s="20" t="s">
        <v>717</v>
      </c>
      <c r="E24" s="20" t="s">
        <v>1386</v>
      </c>
    </row>
    <row r="25" spans="1:24" ht="15" customHeight="1">
      <c r="A25" s="1" t="s">
        <v>650</v>
      </c>
      <c r="B25" s="1">
        <v>50</v>
      </c>
      <c r="C25" s="1">
        <v>0</v>
      </c>
    </row>
    <row r="26" spans="1:24" ht="15" customHeight="1">
      <c r="A26" s="1" t="s">
        <v>1316</v>
      </c>
      <c r="B26" s="1">
        <v>40</v>
      </c>
      <c r="C26" s="1">
        <v>10</v>
      </c>
    </row>
    <row r="27" spans="1:24" ht="15" customHeight="1">
      <c r="A27" s="1" t="s">
        <v>1384</v>
      </c>
      <c r="D27" s="1">
        <v>50</v>
      </c>
      <c r="E27" s="1">
        <v>0</v>
      </c>
    </row>
    <row r="28" spans="1:24" ht="15" customHeight="1">
      <c r="A28" s="1" t="s">
        <v>1385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3" t="s">
        <v>1313</v>
      </c>
    </row>
    <row r="50" spans="1:37" ht="15" customHeight="1">
      <c r="A50" s="4" t="s">
        <v>159</v>
      </c>
      <c r="B50" s="4"/>
      <c r="C50" s="4"/>
      <c r="D50" s="4"/>
      <c r="E50" s="4"/>
      <c r="F50" s="4"/>
      <c r="G50" s="4" t="s">
        <v>160</v>
      </c>
      <c r="H50" s="4"/>
      <c r="I50" s="4"/>
      <c r="J50" s="4"/>
      <c r="K50" s="4"/>
      <c r="L50" s="393" t="s">
        <v>161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162</v>
      </c>
      <c r="L51" s="65" t="s">
        <v>413</v>
      </c>
      <c r="M51" s="65"/>
      <c r="N51" s="65"/>
    </row>
    <row r="52" spans="1:37" ht="15" customHeight="1">
      <c r="A52" s="11" t="s">
        <v>163</v>
      </c>
      <c r="L52" s="65"/>
      <c r="M52" s="65"/>
      <c r="N52" s="65"/>
    </row>
    <row r="53" spans="1:37" ht="15" customHeight="1">
      <c r="A53" s="11" t="s">
        <v>164</v>
      </c>
      <c r="G53" s="107"/>
      <c r="H53" s="100" t="s">
        <v>165</v>
      </c>
      <c r="I53" s="100" t="s">
        <v>166</v>
      </c>
      <c r="J53" s="85" t="s">
        <v>167</v>
      </c>
      <c r="L53" s="238"/>
      <c r="M53" s="65" t="s">
        <v>168</v>
      </c>
      <c r="N53" s="65" t="s">
        <v>126</v>
      </c>
      <c r="P53" s="115" t="s">
        <v>410</v>
      </c>
      <c r="Q53" s="114" t="s">
        <v>880</v>
      </c>
      <c r="R53" s="114"/>
      <c r="T53" s="115" t="s">
        <v>411</v>
      </c>
      <c r="U53" s="114"/>
      <c r="V53" s="114"/>
      <c r="X53" s="115" t="s">
        <v>412</v>
      </c>
      <c r="Y53" s="114"/>
      <c r="Z53" s="114"/>
      <c r="AB53" s="1" t="s">
        <v>638</v>
      </c>
      <c r="AD53" s="1" t="s">
        <v>639</v>
      </c>
      <c r="AE53" s="1" t="s">
        <v>640</v>
      </c>
      <c r="AF53" s="1" t="s">
        <v>641</v>
      </c>
      <c r="AG53" s="1" t="s">
        <v>642</v>
      </c>
    </row>
    <row r="54" spans="1:37" ht="15" customHeight="1">
      <c r="A54" s="11" t="s">
        <v>169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170</v>
      </c>
      <c r="M54" s="395">
        <f>H72</f>
        <v>0.26041666666666663</v>
      </c>
      <c r="N54" s="65" t="s">
        <v>11</v>
      </c>
      <c r="P54" s="116" t="s">
        <v>408</v>
      </c>
      <c r="Q54" s="68">
        <v>4.8</v>
      </c>
      <c r="R54" s="68"/>
      <c r="T54" s="116" t="s">
        <v>408</v>
      </c>
      <c r="U54" s="68">
        <v>5.2</v>
      </c>
      <c r="V54" s="68"/>
      <c r="X54" s="116" t="s">
        <v>408</v>
      </c>
      <c r="Y54" s="68">
        <v>8.6</v>
      </c>
      <c r="Z54" s="68"/>
      <c r="AA54" s="277" t="s">
        <v>408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171</v>
      </c>
      <c r="M55" s="395">
        <f>H71</f>
        <v>0.23958333333333331</v>
      </c>
      <c r="N55" s="65" t="s">
        <v>11</v>
      </c>
      <c r="P55" s="111" t="s">
        <v>409</v>
      </c>
      <c r="Q55" s="69">
        <f>V_houseSI</f>
        <v>535.18789625849854</v>
      </c>
      <c r="R55" s="68" t="s">
        <v>146</v>
      </c>
      <c r="T55" s="111" t="s">
        <v>409</v>
      </c>
      <c r="U55" s="69">
        <f>V_houseSI</f>
        <v>535.18789625849854</v>
      </c>
      <c r="V55" s="68" t="s">
        <v>146</v>
      </c>
      <c r="X55" s="111" t="s">
        <v>409</v>
      </c>
      <c r="Y55" s="69">
        <f>V_houseSI</f>
        <v>535.18789625849854</v>
      </c>
      <c r="Z55" s="68" t="s">
        <v>146</v>
      </c>
      <c r="AA55" s="109" t="s">
        <v>409</v>
      </c>
      <c r="AB55" s="69">
        <f t="shared" ref="AB55:AG55" si="5">V_houseSI</f>
        <v>535.18789625849854</v>
      </c>
      <c r="AC55" s="69">
        <f t="shared" si="5"/>
        <v>535.18789625849854</v>
      </c>
      <c r="AD55" s="69">
        <f t="shared" si="5"/>
        <v>535.18789625849854</v>
      </c>
      <c r="AE55" s="69">
        <f t="shared" si="5"/>
        <v>535.18789625849854</v>
      </c>
      <c r="AF55" s="69">
        <f t="shared" si="5"/>
        <v>535.18789625849854</v>
      </c>
      <c r="AG55" s="69">
        <f t="shared" si="5"/>
        <v>535.18789625849854</v>
      </c>
    </row>
    <row r="56" spans="1:37" ht="15" customHeight="1">
      <c r="A56" s="107"/>
      <c r="B56" s="100" t="s">
        <v>125</v>
      </c>
      <c r="C56" s="100" t="s">
        <v>126</v>
      </c>
      <c r="D56" s="100" t="s">
        <v>127</v>
      </c>
      <c r="E56" s="100" t="s">
        <v>126</v>
      </c>
      <c r="L56" s="65" t="s">
        <v>172</v>
      </c>
      <c r="M56" s="65">
        <f>M54*2+M55*2</f>
        <v>0.99999999999999989</v>
      </c>
      <c r="N56" s="65"/>
      <c r="P56" s="111" t="s">
        <v>191</v>
      </c>
      <c r="Q56" s="70">
        <f>(Q54*Q55)/3600/14</f>
        <v>5.0970275834142716E-2</v>
      </c>
      <c r="R56" s="68" t="s">
        <v>134</v>
      </c>
      <c r="T56" s="111" t="s">
        <v>191</v>
      </c>
      <c r="U56" s="70">
        <f>(U54*U55)/3600/14</f>
        <v>5.5217798820321282E-2</v>
      </c>
      <c r="V56" s="68" t="s">
        <v>134</v>
      </c>
      <c r="X56" s="111" t="s">
        <v>191</v>
      </c>
      <c r="Y56" s="70">
        <f>(Y54*Y55)/3600/14</f>
        <v>9.1321744202839034E-2</v>
      </c>
      <c r="Z56" s="68" t="s">
        <v>134</v>
      </c>
      <c r="AA56" s="109" t="s">
        <v>191</v>
      </c>
      <c r="AB56" s="70">
        <f t="shared" ref="AB56:AG56" si="6">(AB54*AB55)/3600/14</f>
        <v>0.106188074654464</v>
      </c>
      <c r="AC56" s="70">
        <f t="shared" si="6"/>
        <v>7.4331652258124783E-2</v>
      </c>
      <c r="AD56" s="70">
        <f t="shared" si="6"/>
        <v>5.3094037327232002E-2</v>
      </c>
      <c r="AE56" s="70">
        <f t="shared" si="6"/>
        <v>3.18564223963392E-2</v>
      </c>
      <c r="AF56" s="70">
        <f t="shared" si="6"/>
        <v>1.59282111981696E-2</v>
      </c>
      <c r="AG56" s="70">
        <f t="shared" si="6"/>
        <v>6.3712844792678395E-3</v>
      </c>
    </row>
    <row r="57" spans="1:37" ht="15" customHeight="1">
      <c r="A57" s="109" t="s">
        <v>173</v>
      </c>
      <c r="B57" s="196"/>
      <c r="C57" s="65"/>
      <c r="D57" s="65"/>
      <c r="E57" s="65"/>
      <c r="L57" s="65"/>
      <c r="M57" s="65"/>
      <c r="N57" s="65"/>
      <c r="P57" s="111" t="s">
        <v>173</v>
      </c>
      <c r="Q57" s="72">
        <f>10000*(Q56/A_houseSI)</f>
        <v>2.6126544586674205</v>
      </c>
      <c r="R57" s="71" t="s">
        <v>11</v>
      </c>
      <c r="T57" s="111" t="s">
        <v>173</v>
      </c>
      <c r="U57" s="72">
        <f>10000*(U56/A_houseSI)</f>
        <v>2.8303756635563726</v>
      </c>
      <c r="V57" s="71" t="s">
        <v>11</v>
      </c>
      <c r="X57" s="111" t="s">
        <v>173</v>
      </c>
      <c r="Y57" s="72">
        <f>10000*(Y56/A_houseSI)</f>
        <v>4.6810059051124622</v>
      </c>
      <c r="Z57" s="71" t="s">
        <v>11</v>
      </c>
      <c r="AA57" s="109" t="s">
        <v>173</v>
      </c>
      <c r="AB57" s="72">
        <f t="shared" ref="AB57:AG57" si="7">10000*(AB56/A_houseSI)</f>
        <v>5.4430301222237949</v>
      </c>
      <c r="AC57" s="72">
        <f t="shared" si="7"/>
        <v>3.8101210855566552</v>
      </c>
      <c r="AD57" s="72">
        <f t="shared" si="7"/>
        <v>2.7215150611118974</v>
      </c>
      <c r="AE57" s="72">
        <f t="shared" si="7"/>
        <v>1.6329090366671382</v>
      </c>
      <c r="AF57" s="72">
        <f t="shared" si="7"/>
        <v>0.81645451833356908</v>
      </c>
      <c r="AG57" s="72">
        <f t="shared" si="7"/>
        <v>0.32658180733342757</v>
      </c>
    </row>
    <row r="58" spans="1:37" ht="15" customHeight="1">
      <c r="A58" s="92" t="s">
        <v>174</v>
      </c>
      <c r="B58" s="15"/>
      <c r="D58" s="397" t="e">
        <f>VLOOKUP(Airtightness,Leakage!AB60:AF65,3,FALSE)</f>
        <v>#N/A</v>
      </c>
      <c r="E58" s="1" t="s">
        <v>134</v>
      </c>
      <c r="L58" s="394" t="s">
        <v>574</v>
      </c>
      <c r="M58" s="65"/>
      <c r="N58" s="65"/>
      <c r="P58" s="1" t="s">
        <v>768</v>
      </c>
      <c r="AA58" s="1" t="s">
        <v>768</v>
      </c>
      <c r="AB58" s="1">
        <f>1000*(AB56/A_houseSI)*(([0]!H_soffitSI-Geometry!L13)/2.5)^0.4</f>
        <v>0.58921082048517559</v>
      </c>
      <c r="AC58" s="1">
        <f>1000*(AC56/A_houseSI)*(([0]!H_soffitSI-Geometry!L13)/2.5)^0.4</f>
        <v>0.41244757433962281</v>
      </c>
      <c r="AD58" s="1">
        <f>1000*(AD56/A_houseSI)*(([0]!H_soffitSI-Geometry!L13)/2.5)^0.4</f>
        <v>0.2946054102425878</v>
      </c>
      <c r="AE58" s="1">
        <f>1000*(AE56/A_houseSI)*(([0]!H_soffitSI-Geometry!L13)/2.5)^0.4</f>
        <v>0.17676324614555267</v>
      </c>
      <c r="AF58" s="1">
        <f>1000*(AF56/A_houseSI)*(([0]!H_soffitSI-Geometry!L13)/2.5)^0.4</f>
        <v>8.8381623072776333E-2</v>
      </c>
      <c r="AG58" s="1">
        <f>1000*(AG56/A_houseSI)*(([0]!H_soffitSI-Geometry!L13)/2.5)^0.4</f>
        <v>3.5352649229110522E-2</v>
      </c>
    </row>
    <row r="59" spans="1:37" ht="15" customHeight="1">
      <c r="A59" s="92" t="s">
        <v>175</v>
      </c>
      <c r="D59" s="1">
        <v>1</v>
      </c>
      <c r="E59" s="1" t="s">
        <v>11</v>
      </c>
      <c r="L59" s="65" t="s">
        <v>170</v>
      </c>
      <c r="M59" s="65">
        <v>0.5</v>
      </c>
      <c r="N59" s="65"/>
      <c r="AB59" s="277" t="s">
        <v>408</v>
      </c>
      <c r="AC59" s="109" t="s">
        <v>409</v>
      </c>
      <c r="AD59" s="109" t="s">
        <v>191</v>
      </c>
      <c r="AE59" s="109" t="s">
        <v>173</v>
      </c>
      <c r="AF59" s="1" t="s">
        <v>768</v>
      </c>
    </row>
    <row r="60" spans="1:37" ht="15" customHeight="1">
      <c r="A60" s="92" t="s">
        <v>177</v>
      </c>
      <c r="D60" s="15">
        <v>1.2</v>
      </c>
      <c r="E60" s="1" t="s">
        <v>178</v>
      </c>
      <c r="L60" s="65" t="s">
        <v>171</v>
      </c>
      <c r="M60" s="65">
        <v>0</v>
      </c>
      <c r="N60" s="65"/>
      <c r="AA60" s="1" t="s">
        <v>638</v>
      </c>
      <c r="AB60" s="68">
        <v>10</v>
      </c>
      <c r="AC60" s="69">
        <f t="shared" ref="AC60:AC65" si="8">V_houseSI</f>
        <v>535.18789625849854</v>
      </c>
      <c r="AD60" s="70">
        <f t="shared" ref="AD60:AD65" si="9">(AB60*AC60)/3600/14</f>
        <v>0.106188074654464</v>
      </c>
      <c r="AE60" s="72">
        <f t="shared" ref="AE60:AE65" si="10">10000*(AD60/A_houseSI)</f>
        <v>5.4430301222237949</v>
      </c>
      <c r="AF60" s="1">
        <f>1000*(AD60/A_houseSI)*((H_soffitSI-Geometry!$L$13)/Geometry!$L$14)^0.4</f>
        <v>0.56773247088937218</v>
      </c>
    </row>
    <row r="61" spans="1:37" ht="15" customHeight="1">
      <c r="A61" s="109" t="s">
        <v>180</v>
      </c>
      <c r="B61" s="65"/>
      <c r="C61" s="65"/>
      <c r="D61" s="396">
        <v>4</v>
      </c>
      <c r="E61" s="65" t="s">
        <v>396</v>
      </c>
      <c r="G61" s="92"/>
      <c r="L61" s="65" t="s">
        <v>172</v>
      </c>
      <c r="M61" s="65">
        <f>M59*2+M60*2</f>
        <v>1</v>
      </c>
      <c r="N61" s="65"/>
      <c r="AB61" s="1">
        <v>7</v>
      </c>
      <c r="AC61" s="69">
        <f>V_houseSI</f>
        <v>535.18789625849854</v>
      </c>
      <c r="AD61" s="70">
        <f>(AB61*AC61)/3600/14</f>
        <v>7.4331652258124783E-2</v>
      </c>
      <c r="AE61" s="72">
        <f t="shared" si="10"/>
        <v>3.8101210855566552</v>
      </c>
      <c r="AF61" s="1">
        <f>1000*(AD61/A_houseSI)*((H_soffitSI-Geometry!$L$13)/Geometry!$L$14)^0.4</f>
        <v>0.39741272962256041</v>
      </c>
    </row>
    <row r="62" spans="1:37" ht="15" customHeight="1">
      <c r="A62" s="109" t="s">
        <v>4</v>
      </c>
      <c r="B62" s="65"/>
      <c r="C62" s="65"/>
      <c r="D62" s="436" t="e">
        <f>D58*D59/(SQRT(rho_air/2)*D61^(n-0.5))</f>
        <v>#N/A</v>
      </c>
      <c r="E62" s="65" t="s">
        <v>416</v>
      </c>
      <c r="G62" s="92" t="s">
        <v>181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639</v>
      </c>
      <c r="AB62" s="68">
        <v>5</v>
      </c>
      <c r="AC62" s="69">
        <f t="shared" si="8"/>
        <v>535.18789625849854</v>
      </c>
      <c r="AD62" s="70">
        <f t="shared" si="9"/>
        <v>5.3094037327232002E-2</v>
      </c>
      <c r="AE62" s="72">
        <f t="shared" si="10"/>
        <v>2.7215150611118974</v>
      </c>
      <c r="AF62" s="1">
        <f>1000*(AD62/A_houseSI)*((H_soffitSI-Geometry!$L$13)/Geometry!$L$14)^0.4</f>
        <v>0.28386623544468609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182</v>
      </c>
      <c r="H63" s="17">
        <f>1-H62-H64</f>
        <v>0.5</v>
      </c>
      <c r="I63" s="1" t="s">
        <v>11</v>
      </c>
      <c r="P63" s="20"/>
      <c r="T63" s="20"/>
      <c r="AA63" s="1" t="s">
        <v>640</v>
      </c>
      <c r="AB63" s="68">
        <v>3</v>
      </c>
      <c r="AC63" s="69">
        <f t="shared" si="8"/>
        <v>535.18789625849854</v>
      </c>
      <c r="AD63" s="70">
        <f t="shared" si="9"/>
        <v>3.18564223963392E-2</v>
      </c>
      <c r="AE63" s="72">
        <f t="shared" si="10"/>
        <v>1.6329090366671382</v>
      </c>
      <c r="AF63" s="1">
        <f>1000*(AD63/A_houseSI)*((H_soffitSI-Geometry!$L$13)/Geometry!$L$14)^0.4</f>
        <v>0.17031974126681163</v>
      </c>
    </row>
    <row r="64" spans="1:37" ht="15" customHeight="1">
      <c r="A64" s="20" t="s">
        <v>183</v>
      </c>
      <c r="G64" s="112" t="s">
        <v>184</v>
      </c>
      <c r="H64" s="21">
        <f>1-B10</f>
        <v>0.5</v>
      </c>
      <c r="I64" s="108" t="s">
        <v>11</v>
      </c>
      <c r="Q64" s="18"/>
      <c r="AA64" s="1" t="s">
        <v>641</v>
      </c>
      <c r="AB64" s="68">
        <v>1.5</v>
      </c>
      <c r="AC64" s="69">
        <f t="shared" si="8"/>
        <v>535.18789625849854</v>
      </c>
      <c r="AD64" s="70">
        <f t="shared" si="9"/>
        <v>1.59282111981696E-2</v>
      </c>
      <c r="AE64" s="72">
        <f t="shared" si="10"/>
        <v>0.81645451833356908</v>
      </c>
      <c r="AF64" s="1">
        <f>1000*(AD64/A_houseSI)*((H_soffitSI-Geometry!$L$13)/Geometry!$L$14)^0.4</f>
        <v>8.5159870633405813E-2</v>
      </c>
    </row>
    <row r="65" spans="1:32" ht="15" customHeight="1">
      <c r="A65" s="99" t="s">
        <v>186</v>
      </c>
      <c r="B65" s="100" t="s">
        <v>187</v>
      </c>
      <c r="C65" s="100" t="s">
        <v>188</v>
      </c>
      <c r="D65" s="100" t="s">
        <v>189</v>
      </c>
      <c r="E65" s="100" t="s">
        <v>190</v>
      </c>
      <c r="G65" s="92" t="s">
        <v>172</v>
      </c>
      <c r="H65" s="1">
        <f>SUM(H62:H64)</f>
        <v>1</v>
      </c>
      <c r="I65" s="1" t="s">
        <v>11</v>
      </c>
      <c r="AA65" s="1" t="s">
        <v>642</v>
      </c>
      <c r="AB65" s="68">
        <v>0.6</v>
      </c>
      <c r="AC65" s="69">
        <f t="shared" si="8"/>
        <v>535.18789625849854</v>
      </c>
      <c r="AD65" s="70">
        <f t="shared" si="9"/>
        <v>6.3712844792678395E-3</v>
      </c>
      <c r="AE65" s="72">
        <f t="shared" si="10"/>
        <v>0.32658180733342757</v>
      </c>
      <c r="AF65" s="1">
        <f>1000*(AD65/A_houseSI)*((H_soffitSI-Geometry!$L$13)/Geometry!$L$14)^0.4</f>
        <v>3.4063948253362321E-2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400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417</v>
      </c>
      <c r="H69" s="22">
        <f>W_houseSI</f>
        <v>14.020799551334415</v>
      </c>
    </row>
    <row r="70" spans="1:32" ht="15" customHeight="1">
      <c r="G70" s="92" t="s">
        <v>418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183</v>
      </c>
      <c r="B71" s="4"/>
      <c r="G71" s="92" t="s">
        <v>419</v>
      </c>
      <c r="H71" s="22">
        <f>H69/(2*H70+2*H69)</f>
        <v>0.23958333333333331</v>
      </c>
      <c r="Q71" s="23"/>
      <c r="S71" s="24"/>
    </row>
    <row r="72" spans="1:32" ht="15" customHeight="1">
      <c r="A72" s="99" t="s">
        <v>186</v>
      </c>
      <c r="B72" s="100" t="s">
        <v>187</v>
      </c>
      <c r="C72" s="100" t="s">
        <v>188</v>
      </c>
      <c r="D72" s="100" t="s">
        <v>189</v>
      </c>
      <c r="E72" s="100" t="s">
        <v>190</v>
      </c>
      <c r="G72" s="113" t="s">
        <v>420</v>
      </c>
      <c r="H72" s="22">
        <f>H70/(2*H69+2*H70)</f>
        <v>0.26041666666666663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192</v>
      </c>
      <c r="R1" s="25"/>
      <c r="S1" s="25"/>
    </row>
    <row r="2" spans="1:19" s="254" customFormat="1" ht="15" customHeight="1">
      <c r="A2" s="245" t="s">
        <v>899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193</v>
      </c>
      <c r="B4" s="426"/>
      <c r="Q4" s="25"/>
      <c r="R4" s="25"/>
      <c r="S4" s="25"/>
    </row>
    <row r="5" spans="1:19" ht="15" customHeight="1">
      <c r="A5" s="96"/>
      <c r="B5" s="96"/>
      <c r="C5" s="427" t="s">
        <v>1096</v>
      </c>
      <c r="D5" s="427" t="s">
        <v>1097</v>
      </c>
      <c r="E5" s="96"/>
      <c r="H5" s="100" t="s">
        <v>194</v>
      </c>
      <c r="I5" s="96"/>
      <c r="J5" s="96"/>
      <c r="K5" s="96"/>
      <c r="L5" s="96"/>
      <c r="M5" s="96"/>
      <c r="N5" s="96"/>
      <c r="Q5" s="25" t="s">
        <v>195</v>
      </c>
      <c r="R5" s="25"/>
      <c r="S5" s="25"/>
    </row>
    <row r="6" spans="1:19" ht="15" customHeight="1">
      <c r="A6" s="87" t="s">
        <v>196</v>
      </c>
      <c r="B6" s="14"/>
      <c r="C6" s="5">
        <v>3</v>
      </c>
      <c r="D6" s="254">
        <v>3</v>
      </c>
      <c r="E6" s="5" t="s">
        <v>130</v>
      </c>
      <c r="H6" s="87" t="s">
        <v>197</v>
      </c>
      <c r="I6" s="5">
        <v>6</v>
      </c>
      <c r="J6" s="5" t="s">
        <v>130</v>
      </c>
      <c r="K6"/>
      <c r="Q6" s="25" t="s">
        <v>196</v>
      </c>
      <c r="R6" s="25">
        <v>4.5</v>
      </c>
      <c r="S6" s="25" t="s">
        <v>130</v>
      </c>
    </row>
    <row r="7" spans="1:19" ht="15" customHeight="1">
      <c r="A7" s="87" t="s">
        <v>198</v>
      </c>
      <c r="B7" s="14"/>
      <c r="C7" s="26">
        <v>0.15</v>
      </c>
      <c r="D7" s="26">
        <v>0.15</v>
      </c>
      <c r="E7" s="5" t="s">
        <v>130</v>
      </c>
      <c r="H7" s="87" t="s">
        <v>200</v>
      </c>
      <c r="I7" s="26">
        <f>C7</f>
        <v>0.15</v>
      </c>
      <c r="J7" s="5" t="s">
        <v>130</v>
      </c>
      <c r="Q7" s="25" t="s">
        <v>198</v>
      </c>
      <c r="R7" s="25">
        <v>0.15</v>
      </c>
      <c r="S7" s="25" t="s">
        <v>130</v>
      </c>
    </row>
    <row r="8" spans="1:19" ht="15" customHeight="1">
      <c r="A8" s="87" t="s">
        <v>201</v>
      </c>
      <c r="C8" s="27">
        <f>PI()*(C7/2)^2</f>
        <v>1.7671458676442587E-2</v>
      </c>
      <c r="D8" s="27">
        <f>PI()*(D7/2)^2</f>
        <v>1.7671458676442587E-2</v>
      </c>
      <c r="E8" s="5" t="s">
        <v>134</v>
      </c>
      <c r="H8" s="87" t="s">
        <v>202</v>
      </c>
      <c r="I8" s="5">
        <v>1.3700000000000002E-2</v>
      </c>
      <c r="Q8" s="25" t="s">
        <v>203</v>
      </c>
      <c r="R8" s="25">
        <v>5.4000000000000006E-2</v>
      </c>
      <c r="S8" s="25"/>
    </row>
    <row r="9" spans="1:19" ht="15" customHeight="1">
      <c r="A9" s="87" t="s">
        <v>204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205</v>
      </c>
      <c r="I9" s="27">
        <f>PI()*(I7/2)^2</f>
        <v>1.7671458676442587E-2</v>
      </c>
      <c r="J9" s="5" t="s">
        <v>134</v>
      </c>
      <c r="L9" s="5" t="s">
        <v>614</v>
      </c>
      <c r="Q9" s="25" t="s">
        <v>201</v>
      </c>
      <c r="R9" s="25">
        <f>PI()*(R7/2)^2</f>
        <v>1.7671458676442587E-2</v>
      </c>
      <c r="S9" s="25" t="s">
        <v>134</v>
      </c>
    </row>
    <row r="10" spans="1:19" ht="15" customHeight="1">
      <c r="A10" s="421" t="s">
        <v>207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1078</v>
      </c>
      <c r="H10" s="87" t="s">
        <v>206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1099</v>
      </c>
      <c r="C11" s="264">
        <v>-99</v>
      </c>
      <c r="D11" s="264">
        <v>-99</v>
      </c>
      <c r="E11" s="5" t="s">
        <v>1098</v>
      </c>
      <c r="H11" s="87" t="s">
        <v>208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209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210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211</v>
      </c>
    </row>
    <row r="16" spans="1:19" ht="15" customHeight="1">
      <c r="A16" s="87" t="s">
        <v>212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213</v>
      </c>
    </row>
    <row r="17" spans="1:16" ht="15" customHeight="1">
      <c r="A17" s="87" t="s">
        <v>214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215</v>
      </c>
    </row>
    <row r="18" spans="1:16" ht="15" customHeight="1">
      <c r="A18" s="87" t="s">
        <v>216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217</v>
      </c>
    </row>
    <row r="19" spans="1:16" ht="15" customHeight="1">
      <c r="A19" s="87" t="s">
        <v>218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220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219</v>
      </c>
    </row>
    <row r="21" spans="1:16" ht="15" customHeight="1">
      <c r="A21" s="87" t="s">
        <v>221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222</v>
      </c>
    </row>
    <row r="24" spans="1:16" ht="15" customHeight="1">
      <c r="A24" s="11" t="s">
        <v>223</v>
      </c>
    </row>
    <row r="25" spans="1:16" ht="15" customHeight="1">
      <c r="A25" s="11" t="s">
        <v>224</v>
      </c>
    </row>
    <row r="28" spans="1:16" ht="15" customHeight="1">
      <c r="A28" s="4" t="s">
        <v>379</v>
      </c>
    </row>
    <row r="29" spans="1:16" ht="15" customHeight="1">
      <c r="A29" s="99"/>
      <c r="B29" s="100" t="s">
        <v>380</v>
      </c>
      <c r="C29" s="100" t="s">
        <v>381</v>
      </c>
      <c r="D29" s="100" t="s">
        <v>378</v>
      </c>
      <c r="E29" s="100"/>
    </row>
    <row r="30" spans="1:16" ht="15" customHeight="1">
      <c r="A30" s="87" t="s">
        <v>376</v>
      </c>
      <c r="C30" s="26" t="e">
        <f>Leakage!D58</f>
        <v>#N/A</v>
      </c>
    </row>
    <row r="31" spans="1:16" ht="15" customHeight="1">
      <c r="A31" s="87" t="s">
        <v>377</v>
      </c>
      <c r="B31" s="5">
        <v>0.1</v>
      </c>
      <c r="C31" s="26">
        <f>PI()*(B31/2)^2</f>
        <v>7.8539816339744835E-3</v>
      </c>
      <c r="D31" s="61" t="e">
        <f>C31/($C$30+C31)</f>
        <v>#N/A</v>
      </c>
    </row>
    <row r="32" spans="1:16" ht="15" customHeight="1">
      <c r="A32" s="87" t="s">
        <v>377</v>
      </c>
      <c r="B32" s="5">
        <v>0.2</v>
      </c>
      <c r="C32" s="26">
        <f>PI()*(B32/2)^2</f>
        <v>3.1415926535897934E-2</v>
      </c>
      <c r="D32" s="61" t="e">
        <f>C32/($C$30+C32)</f>
        <v>#N/A</v>
      </c>
    </row>
    <row r="33" spans="1:4" ht="15" customHeight="1">
      <c r="A33" s="87" t="s">
        <v>377</v>
      </c>
      <c r="B33" s="5">
        <v>0.3</v>
      </c>
      <c r="C33" s="26">
        <f>PI()*(B33/2)^2</f>
        <v>7.0685834705770348E-2</v>
      </c>
      <c r="D33" s="61" t="e">
        <f>C33/($C$30+C33)</f>
        <v>#N/A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Z1" zoomScale="125" zoomScaleNormal="125" zoomScalePageLayoutView="125" workbookViewId="0">
      <selection activeCell="AA10" sqref="AA1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225</v>
      </c>
      <c r="E1" s="275" t="s">
        <v>737</v>
      </c>
      <c r="Y1" s="5">
        <f>1/0.102</f>
        <v>9.8039215686274517</v>
      </c>
    </row>
    <row r="2" spans="1:44" ht="15" customHeight="1">
      <c r="A2" s="11" t="s">
        <v>428</v>
      </c>
      <c r="C2" s="5"/>
      <c r="F2" s="5"/>
      <c r="P2" s="2"/>
      <c r="AA2" s="493" t="s">
        <v>1373</v>
      </c>
    </row>
    <row r="3" spans="1:44" ht="15" customHeight="1">
      <c r="A3" s="11" t="s">
        <v>515</v>
      </c>
      <c r="C3" s="5"/>
      <c r="F3" s="29"/>
      <c r="P3" s="2"/>
      <c r="AC3" s="20" t="s">
        <v>1372</v>
      </c>
    </row>
    <row r="4" spans="1:44" ht="15" customHeight="1">
      <c r="A4" s="11"/>
      <c r="C4" s="5"/>
      <c r="F4" s="29" t="s">
        <v>229</v>
      </c>
      <c r="P4" s="2"/>
      <c r="AC4" s="29" t="s">
        <v>229</v>
      </c>
    </row>
    <row r="5" spans="1:44" s="11" customFormat="1" ht="15" customHeight="1">
      <c r="A5" s="85" t="s">
        <v>230</v>
      </c>
      <c r="B5" s="83" t="s">
        <v>407</v>
      </c>
      <c r="C5" s="84" t="s">
        <v>231</v>
      </c>
      <c r="D5" s="74" t="s">
        <v>232</v>
      </c>
      <c r="E5" s="75" t="s">
        <v>168</v>
      </c>
      <c r="F5" s="223" t="s">
        <v>628</v>
      </c>
      <c r="G5" s="73" t="s">
        <v>577</v>
      </c>
      <c r="H5" s="73" t="s">
        <v>578</v>
      </c>
      <c r="I5" s="73" t="s">
        <v>579</v>
      </c>
      <c r="J5" s="73" t="s">
        <v>580</v>
      </c>
      <c r="K5" s="73" t="s">
        <v>581</v>
      </c>
      <c r="L5" s="73" t="s">
        <v>582</v>
      </c>
      <c r="M5" s="73" t="s">
        <v>583</v>
      </c>
      <c r="N5" s="73" t="s">
        <v>584</v>
      </c>
      <c r="O5" s="73" t="s">
        <v>585</v>
      </c>
      <c r="P5" s="73" t="s">
        <v>586</v>
      </c>
      <c r="Q5" s="73" t="s">
        <v>587</v>
      </c>
      <c r="R5" s="73" t="s">
        <v>588</v>
      </c>
      <c r="S5" s="73">
        <v>7</v>
      </c>
      <c r="T5" s="223">
        <v>8</v>
      </c>
      <c r="U5" s="223" t="s">
        <v>806</v>
      </c>
      <c r="V5" s="223" t="s">
        <v>807</v>
      </c>
      <c r="W5" s="223"/>
      <c r="X5" s="223"/>
      <c r="Y5" s="20" t="s">
        <v>1</v>
      </c>
      <c r="Z5" s="20"/>
      <c r="AA5" s="20" t="s">
        <v>690</v>
      </c>
      <c r="AB5" s="20" t="s">
        <v>1327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233</v>
      </c>
      <c r="B6" s="80">
        <f>IF(B10=1, 1.05, 1.19)</f>
        <v>1.05</v>
      </c>
      <c r="C6" s="81">
        <f>A_wall_net</f>
        <v>121.5132</v>
      </c>
      <c r="D6" s="253" t="s">
        <v>234</v>
      </c>
      <c r="E6" s="501" t="s">
        <v>235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1322</v>
      </c>
      <c r="AB6" s="76" t="s">
        <v>235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236</v>
      </c>
      <c r="B7" s="80">
        <v>1</v>
      </c>
      <c r="C7" s="81">
        <f>A_windowSI</f>
        <v>39.018000000000001</v>
      </c>
      <c r="D7" s="253" t="s">
        <v>237</v>
      </c>
      <c r="E7" s="501" t="s">
        <v>235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1323</v>
      </c>
      <c r="AB7" s="76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238</v>
      </c>
      <c r="B8" s="80">
        <v>1</v>
      </c>
      <c r="C8" s="81">
        <f>RaisedFloorSI</f>
        <v>0</v>
      </c>
      <c r="D8" s="253" t="s">
        <v>239</v>
      </c>
      <c r="E8" s="501" t="s">
        <v>235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1328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877</v>
      </c>
      <c r="B9" s="5">
        <v>1</v>
      </c>
      <c r="C9" s="38">
        <f>A_doors_SI</f>
        <v>3.7159999999999997</v>
      </c>
      <c r="D9" s="253" t="s">
        <v>878</v>
      </c>
      <c r="E9" s="253" t="s">
        <v>235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1324</v>
      </c>
      <c r="AB9" s="76" t="s">
        <v>235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421</v>
      </c>
      <c r="B10" s="118">
        <v>1</v>
      </c>
      <c r="C10" s="82"/>
      <c r="D10" s="253" t="s">
        <v>573</v>
      </c>
      <c r="E10" s="501" t="s">
        <v>241</v>
      </c>
      <c r="F10" s="224">
        <f>IF($B$12=0,0,$B$13*$K$59)</f>
        <v>84.85631728459785</v>
      </c>
      <c r="G10" s="224">
        <f t="shared" ref="G10:V10" si="6">IF($B$12=0,0,$B$13*$K$59)</f>
        <v>84.85631728459785</v>
      </c>
      <c r="H10" s="224">
        <f t="shared" si="6"/>
        <v>84.85631728459785</v>
      </c>
      <c r="I10" s="224">
        <f t="shared" si="6"/>
        <v>84.85631728459785</v>
      </c>
      <c r="J10" s="224">
        <f t="shared" si="6"/>
        <v>84.85631728459785</v>
      </c>
      <c r="K10" s="224">
        <f t="shared" si="6"/>
        <v>84.85631728459785</v>
      </c>
      <c r="L10" s="224">
        <f t="shared" si="6"/>
        <v>84.85631728459785</v>
      </c>
      <c r="M10" s="224">
        <f t="shared" si="6"/>
        <v>84.85631728459785</v>
      </c>
      <c r="N10" s="224">
        <f t="shared" si="6"/>
        <v>84.85631728459785</v>
      </c>
      <c r="O10" s="224">
        <f t="shared" si="6"/>
        <v>84.85631728459785</v>
      </c>
      <c r="P10" s="224">
        <f t="shared" si="6"/>
        <v>84.85631728459785</v>
      </c>
      <c r="Q10" s="224">
        <f t="shared" si="6"/>
        <v>84.85631728459785</v>
      </c>
      <c r="R10" s="224">
        <f t="shared" si="6"/>
        <v>84.85631728459785</v>
      </c>
      <c r="S10" s="224">
        <f t="shared" si="6"/>
        <v>84.85631728459785</v>
      </c>
      <c r="T10" s="224">
        <f t="shared" si="6"/>
        <v>84.85631728459785</v>
      </c>
      <c r="U10" s="224">
        <f t="shared" si="6"/>
        <v>84.85631728459785</v>
      </c>
      <c r="V10" s="224">
        <f t="shared" si="6"/>
        <v>84.85631728459785</v>
      </c>
      <c r="W10" s="224"/>
      <c r="X10" s="224"/>
      <c r="AA10" s="11" t="s">
        <v>1325</v>
      </c>
      <c r="AB10" s="214" t="s">
        <v>235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715</v>
      </c>
      <c r="C11" s="5"/>
      <c r="D11" s="502" t="s">
        <v>240</v>
      </c>
      <c r="E11" s="503" t="s">
        <v>241</v>
      </c>
      <c r="F11" s="504">
        <f>((1/F6)*$B$6*5.6783*$C$6)+(1/F9*$B$9*5.678*$C$9)</f>
        <v>59.949722195230777</v>
      </c>
      <c r="G11" s="504">
        <f t="shared" ref="G11:V11" si="7">((1/G6)*$B$6*5.6783*$C$6)+(1/G9*$B$9*5.678*$C$9)</f>
        <v>59.949722195230777</v>
      </c>
      <c r="H11" s="504">
        <f t="shared" si="7"/>
        <v>59.949722195230777</v>
      </c>
      <c r="I11" s="504">
        <f t="shared" si="7"/>
        <v>40.444280786900002</v>
      </c>
      <c r="J11" s="504">
        <f t="shared" si="7"/>
        <v>40.444280786900002</v>
      </c>
      <c r="K11" s="504">
        <f t="shared" si="7"/>
        <v>40.444280786900002</v>
      </c>
      <c r="L11" s="504">
        <f t="shared" si="7"/>
        <v>40.444280786900002</v>
      </c>
      <c r="M11" s="504">
        <f t="shared" si="7"/>
        <v>40.444280786900002</v>
      </c>
      <c r="N11" s="504">
        <f t="shared" si="7"/>
        <v>40.444280786900002</v>
      </c>
      <c r="O11" s="504">
        <f t="shared" si="7"/>
        <v>40.444280786900002</v>
      </c>
      <c r="P11" s="504">
        <f t="shared" si="7"/>
        <v>40.444280786900002</v>
      </c>
      <c r="Q11" s="504">
        <f t="shared" si="7"/>
        <v>33.199402549520002</v>
      </c>
      <c r="R11" s="504">
        <f t="shared" si="7"/>
        <v>33.199402549520002</v>
      </c>
      <c r="S11" s="504">
        <f t="shared" si="7"/>
        <v>33.199402549520002</v>
      </c>
      <c r="T11" s="504">
        <f t="shared" si="7"/>
        <v>33.199402549520002</v>
      </c>
      <c r="U11" s="504">
        <f t="shared" si="7"/>
        <v>59.949722195230777</v>
      </c>
      <c r="V11" s="504">
        <f t="shared" si="7"/>
        <v>40.444280786900002</v>
      </c>
      <c r="W11" s="229"/>
      <c r="X11" s="229"/>
      <c r="Y11"/>
      <c r="Z11" s="245"/>
      <c r="AA11" s="127" t="s">
        <v>1326</v>
      </c>
      <c r="AB11" s="214" t="s">
        <v>235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524</v>
      </c>
      <c r="B12" s="133">
        <v>1</v>
      </c>
      <c r="C12" s="5"/>
      <c r="D12" s="502" t="s">
        <v>242</v>
      </c>
      <c r="E12" s="503" t="s">
        <v>241</v>
      </c>
      <c r="F12" s="504">
        <f>1/F7*$B$7*5.678*$C$7</f>
        <v>88.617681599999997</v>
      </c>
      <c r="G12" s="504">
        <f t="shared" ref="G12:T12" si="8">1/G7*$B$7*5.678*$C$7</f>
        <v>88.617681599999997</v>
      </c>
      <c r="H12" s="504">
        <f t="shared" si="8"/>
        <v>88.617681599999997</v>
      </c>
      <c r="I12" s="504">
        <f t="shared" si="8"/>
        <v>66.463261200000005</v>
      </c>
      <c r="J12" s="504">
        <f t="shared" si="8"/>
        <v>66.463261200000005</v>
      </c>
      <c r="K12" s="504">
        <f t="shared" si="8"/>
        <v>66.463261200000005</v>
      </c>
      <c r="L12" s="504">
        <f t="shared" si="8"/>
        <v>66.463261200000005</v>
      </c>
      <c r="M12" s="504">
        <f t="shared" si="8"/>
        <v>66.463261200000005</v>
      </c>
      <c r="N12" s="504">
        <f t="shared" si="8"/>
        <v>59.816935080000007</v>
      </c>
      <c r="O12" s="504">
        <f t="shared" si="8"/>
        <v>59.816935080000007</v>
      </c>
      <c r="P12" s="504">
        <f t="shared" si="8"/>
        <v>59.816935080000007</v>
      </c>
      <c r="Q12" s="504">
        <f t="shared" si="8"/>
        <v>59.816935080000007</v>
      </c>
      <c r="R12" s="504">
        <f t="shared" si="8"/>
        <v>59.816935080000007</v>
      </c>
      <c r="S12" s="504">
        <f t="shared" si="8"/>
        <v>59.816935080000007</v>
      </c>
      <c r="T12" s="504">
        <f t="shared" si="8"/>
        <v>59.816935080000007</v>
      </c>
      <c r="U12" s="504">
        <f>G12</f>
        <v>88.617681599999997</v>
      </c>
      <c r="V12" s="504">
        <f>I12</f>
        <v>66.463261200000005</v>
      </c>
      <c r="W12" s="229"/>
      <c r="X12" s="229"/>
      <c r="Y12" s="11" t="s">
        <v>246</v>
      </c>
      <c r="Z12" s="127"/>
      <c r="AA12" s="127" t="s">
        <v>924</v>
      </c>
      <c r="AB12" s="76" t="s">
        <v>241</v>
      </c>
      <c r="AC12" s="539">
        <f>(1/AC6*$B$6*5.678*$C$6) + (1/AC9*$B$9*5.678*$C$9)</f>
        <v>41.166816501080007</v>
      </c>
      <c r="AD12" s="539">
        <f>(1/AD6*$B$6*5.678*$C$6) + (1/AD9*$B$9*5.678*$C$9)</f>
        <v>41.166816501080007</v>
      </c>
      <c r="AE12" s="539">
        <f t="shared" ref="AE12:AR12" si="9">(1/AE6*$B$6*5.678*$C$6) + (1/AE9*$B$9*5.678*$C$9)</f>
        <v>41.166816501080007</v>
      </c>
      <c r="AF12" s="539">
        <f t="shared" si="9"/>
        <v>41.166816501080007</v>
      </c>
      <c r="AG12" s="539">
        <f t="shared" si="9"/>
        <v>41.166816501080007</v>
      </c>
      <c r="AH12" s="539">
        <f t="shared" si="9"/>
        <v>51.309110160200007</v>
      </c>
      <c r="AI12" s="539">
        <f t="shared" si="9"/>
        <v>51.309110160200007</v>
      </c>
      <c r="AJ12" s="539">
        <f t="shared" si="9"/>
        <v>41.166816501080007</v>
      </c>
      <c r="AK12" s="539">
        <f t="shared" si="9"/>
        <v>41.166816501080007</v>
      </c>
      <c r="AL12" s="539">
        <f t="shared" si="9"/>
        <v>41.166816501080007</v>
      </c>
      <c r="AM12" s="539">
        <f t="shared" si="9"/>
        <v>41.166816501080007</v>
      </c>
      <c r="AN12" s="539">
        <f t="shared" si="9"/>
        <v>41.166816501080007</v>
      </c>
      <c r="AO12" s="539">
        <f t="shared" si="9"/>
        <v>41.166816501080007</v>
      </c>
      <c r="AP12" s="539">
        <f t="shared" si="9"/>
        <v>41.166816501080007</v>
      </c>
      <c r="AQ12" s="539">
        <f t="shared" si="9"/>
        <v>41.166816501080007</v>
      </c>
      <c r="AR12" s="539">
        <f t="shared" si="9"/>
        <v>41.166816501080007</v>
      </c>
    </row>
    <row r="13" spans="1:44" ht="15" customHeight="1">
      <c r="A13" s="133" t="s">
        <v>552</v>
      </c>
      <c r="B13" s="149">
        <f>IF(B12=1,Geometry!D11,0)</f>
        <v>58.521598127308863</v>
      </c>
      <c r="C13" s="5" t="s">
        <v>130</v>
      </c>
      <c r="D13" s="502" t="s">
        <v>243</v>
      </c>
      <c r="E13" s="503" t="s">
        <v>241</v>
      </c>
      <c r="F13" s="504">
        <f>IF($B$12=0, 1/F8*$B$8*5.678*$C$8, $B$13*$K$59)</f>
        <v>84.85631728459785</v>
      </c>
      <c r="G13" s="504">
        <f t="shared" ref="G13:V13" si="10">IF($B$12=0, 1/G8*$B$8*5.678*$C$8, $B$13*$K$59)</f>
        <v>84.85631728459785</v>
      </c>
      <c r="H13" s="504">
        <f t="shared" si="10"/>
        <v>84.85631728459785</v>
      </c>
      <c r="I13" s="504">
        <f t="shared" si="10"/>
        <v>84.85631728459785</v>
      </c>
      <c r="J13" s="504">
        <f t="shared" si="10"/>
        <v>84.85631728459785</v>
      </c>
      <c r="K13" s="504">
        <f t="shared" si="10"/>
        <v>84.85631728459785</v>
      </c>
      <c r="L13" s="504">
        <f t="shared" si="10"/>
        <v>84.85631728459785</v>
      </c>
      <c r="M13" s="504">
        <f t="shared" si="10"/>
        <v>84.85631728459785</v>
      </c>
      <c r="N13" s="504">
        <f t="shared" si="10"/>
        <v>84.85631728459785</v>
      </c>
      <c r="O13" s="504">
        <f>IF($B$12=0, 1/O8*$B$8*5.678*$C$8, $B$13*$K$59)</f>
        <v>84.85631728459785</v>
      </c>
      <c r="P13" s="504">
        <f t="shared" si="10"/>
        <v>84.85631728459785</v>
      </c>
      <c r="Q13" s="504">
        <f t="shared" si="10"/>
        <v>84.85631728459785</v>
      </c>
      <c r="R13" s="504">
        <f t="shared" si="10"/>
        <v>84.85631728459785</v>
      </c>
      <c r="S13" s="504">
        <f t="shared" si="10"/>
        <v>84.85631728459785</v>
      </c>
      <c r="T13" s="504">
        <f t="shared" si="10"/>
        <v>84.85631728459785</v>
      </c>
      <c r="U13" s="504">
        <f t="shared" si="10"/>
        <v>84.85631728459785</v>
      </c>
      <c r="V13" s="504">
        <f t="shared" si="10"/>
        <v>84.85631728459785</v>
      </c>
      <c r="W13" s="229"/>
      <c r="X13" s="229"/>
      <c r="Y13" s="11" t="s">
        <v>562</v>
      </c>
      <c r="Z13" s="127"/>
      <c r="AA13" s="238" t="s">
        <v>926</v>
      </c>
      <c r="AB13" s="76" t="s">
        <v>241</v>
      </c>
      <c r="AC13" s="539">
        <f t="shared" ref="AC13:AR13" si="11">1/AC7*$B$7*5.678*$C$7</f>
        <v>70.894145280000004</v>
      </c>
      <c r="AD13" s="539">
        <f t="shared" si="11"/>
        <v>70.894145280000004</v>
      </c>
      <c r="AE13" s="539">
        <f t="shared" si="11"/>
        <v>70.894145280000004</v>
      </c>
      <c r="AF13" s="539">
        <f t="shared" si="11"/>
        <v>70.894145280000004</v>
      </c>
      <c r="AG13" s="539">
        <f t="shared" si="11"/>
        <v>70.894145280000004</v>
      </c>
      <c r="AH13" s="539">
        <f t="shared" si="11"/>
        <v>70.894145280000004</v>
      </c>
      <c r="AI13" s="539">
        <f t="shared" si="11"/>
        <v>70.894145280000004</v>
      </c>
      <c r="AJ13" s="539">
        <f t="shared" si="11"/>
        <v>70.894145280000004</v>
      </c>
      <c r="AK13" s="539">
        <f t="shared" si="11"/>
        <v>70.894145280000004</v>
      </c>
      <c r="AL13" s="539">
        <f t="shared" si="11"/>
        <v>70.894145280000004</v>
      </c>
      <c r="AM13" s="539">
        <f t="shared" si="11"/>
        <v>70.894145280000004</v>
      </c>
      <c r="AN13" s="539">
        <f t="shared" si="11"/>
        <v>70.894145280000004</v>
      </c>
      <c r="AO13" s="539">
        <f t="shared" si="11"/>
        <v>70.894145280000004</v>
      </c>
      <c r="AP13" s="539">
        <f t="shared" si="11"/>
        <v>70.894145280000004</v>
      </c>
      <c r="AQ13" s="539">
        <f t="shared" si="11"/>
        <v>70.894145280000004</v>
      </c>
      <c r="AR13" s="539">
        <f t="shared" si="11"/>
        <v>70.894145280000004</v>
      </c>
    </row>
    <row r="14" spans="1:44" ht="15" customHeight="1">
      <c r="A14" s="80"/>
      <c r="B14" s="80"/>
      <c r="D14" s="253" t="s">
        <v>244</v>
      </c>
      <c r="E14" s="505" t="s">
        <v>241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747</v>
      </c>
      <c r="Z14" s="20"/>
      <c r="AA14" s="127" t="s">
        <v>925</v>
      </c>
      <c r="AB14" s="76" t="s">
        <v>241</v>
      </c>
      <c r="AC14" s="539">
        <f>(1/AC10*$B$8*5.678*$C$8) + IF($B$12=0,0,$B$13*$K$59)</f>
        <v>84.85631728459785</v>
      </c>
      <c r="AD14" s="539">
        <f t="shared" ref="AD14:AQ14" si="13">(1/AD10*$B$8*5.678*$C$8) + IF($B$12=0,0,$B$13*$K$59)</f>
        <v>84.85631728459785</v>
      </c>
      <c r="AE14" s="539">
        <f t="shared" si="13"/>
        <v>84.85631728459785</v>
      </c>
      <c r="AF14" s="539">
        <f t="shared" si="13"/>
        <v>84.85631728459785</v>
      </c>
      <c r="AG14" s="539">
        <f t="shared" si="13"/>
        <v>84.85631728459785</v>
      </c>
      <c r="AH14" s="539">
        <f t="shared" si="13"/>
        <v>84.85631728459785</v>
      </c>
      <c r="AI14" s="539">
        <f t="shared" si="13"/>
        <v>84.85631728459785</v>
      </c>
      <c r="AJ14" s="539">
        <f t="shared" si="13"/>
        <v>84.85631728459785</v>
      </c>
      <c r="AK14" s="539">
        <f t="shared" si="13"/>
        <v>84.85631728459785</v>
      </c>
      <c r="AL14" s="539">
        <f t="shared" si="13"/>
        <v>84.85631728459785</v>
      </c>
      <c r="AM14" s="539">
        <f t="shared" si="13"/>
        <v>84.85631728459785</v>
      </c>
      <c r="AN14" s="539">
        <f t="shared" si="13"/>
        <v>84.85631728459785</v>
      </c>
      <c r="AO14" s="539">
        <f t="shared" si="13"/>
        <v>84.85631728459785</v>
      </c>
      <c r="AP14" s="539">
        <f t="shared" si="13"/>
        <v>84.85631728459785</v>
      </c>
      <c r="AQ14" s="539">
        <f t="shared" si="13"/>
        <v>84.85631728459785</v>
      </c>
      <c r="AR14" s="539">
        <f>(1/AR10*$B$8*5.678*$C$8) + IF($B$12=0,0,$B$13*$K$60)</f>
        <v>49.743358408212529</v>
      </c>
    </row>
    <row r="15" spans="1:44" ht="15" customHeight="1">
      <c r="C15" s="5"/>
      <c r="D15" s="290" t="s">
        <v>245</v>
      </c>
      <c r="E15" s="291" t="s">
        <v>241</v>
      </c>
      <c r="F15" s="292">
        <f>IF($B$12=0,SUM(F11:F14),SUM(F10,F11,F12,F14))</f>
        <v>237.64361067982861</v>
      </c>
      <c r="G15" s="292">
        <f>IF($B$12=0,SUM(G11:G14),SUM(G10,G11,G12,G14))</f>
        <v>237.64361067982861</v>
      </c>
      <c r="H15" s="292">
        <f t="shared" ref="H15:V15" si="14">IF($B$12=0,SUM(H11:H14),SUM(H10,H11,H12,H14))</f>
        <v>237.64361067982861</v>
      </c>
      <c r="I15" s="292">
        <f t="shared" si="14"/>
        <v>195.98374887149785</v>
      </c>
      <c r="J15" s="292">
        <f t="shared" si="14"/>
        <v>195.98374887149785</v>
      </c>
      <c r="K15" s="292">
        <f t="shared" si="14"/>
        <v>195.98374887149785</v>
      </c>
      <c r="L15" s="292">
        <f t="shared" si="14"/>
        <v>195.98374887149785</v>
      </c>
      <c r="M15" s="292">
        <f t="shared" si="14"/>
        <v>195.98374887149785</v>
      </c>
      <c r="N15" s="292">
        <f t="shared" si="14"/>
        <v>189.33742275149785</v>
      </c>
      <c r="O15" s="292">
        <f t="shared" si="14"/>
        <v>189.33742275149785</v>
      </c>
      <c r="P15" s="292">
        <f t="shared" si="14"/>
        <v>189.33742275149785</v>
      </c>
      <c r="Q15" s="292">
        <f t="shared" si="14"/>
        <v>182.09254451411783</v>
      </c>
      <c r="R15" s="292">
        <f t="shared" si="14"/>
        <v>182.09254451411783</v>
      </c>
      <c r="S15" s="292">
        <f t="shared" si="14"/>
        <v>182.09254451411783</v>
      </c>
      <c r="T15" s="292">
        <f t="shared" si="14"/>
        <v>182.09254451411783</v>
      </c>
      <c r="U15" s="292">
        <f t="shared" si="14"/>
        <v>237.64361067982861</v>
      </c>
      <c r="V15" s="292">
        <f t="shared" si="14"/>
        <v>195.98374887149785</v>
      </c>
      <c r="W15" s="292"/>
      <c r="X15" s="292"/>
      <c r="Y15" s="20" t="s">
        <v>747</v>
      </c>
      <c r="Z15" s="20"/>
      <c r="AC15" s="29" t="s">
        <v>229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248</v>
      </c>
      <c r="C16" s="5"/>
      <c r="D16" s="290" t="s">
        <v>247</v>
      </c>
      <c r="E16" s="291" t="s">
        <v>241</v>
      </c>
      <c r="F16" s="292">
        <f>SUM(F11,F12,F14)</f>
        <v>152.78729339523076</v>
      </c>
      <c r="G16" s="292">
        <f t="shared" ref="G16:V16" si="15">SUM(G11,G12,G14)</f>
        <v>152.78729339523076</v>
      </c>
      <c r="H16" s="292">
        <f t="shared" si="15"/>
        <v>152.78729339523076</v>
      </c>
      <c r="I16" s="292">
        <f t="shared" si="15"/>
        <v>111.12743158690002</v>
      </c>
      <c r="J16" s="292">
        <f t="shared" si="15"/>
        <v>111.12743158690002</v>
      </c>
      <c r="K16" s="292">
        <f t="shared" si="15"/>
        <v>111.12743158690002</v>
      </c>
      <c r="L16" s="292">
        <f t="shared" si="15"/>
        <v>111.12743158690002</v>
      </c>
      <c r="M16" s="292">
        <f t="shared" si="15"/>
        <v>111.12743158690002</v>
      </c>
      <c r="N16" s="292">
        <f t="shared" si="15"/>
        <v>104.48110546690002</v>
      </c>
      <c r="O16" s="292">
        <f t="shared" si="15"/>
        <v>104.48110546690002</v>
      </c>
      <c r="P16" s="292">
        <f t="shared" si="15"/>
        <v>104.48110546690002</v>
      </c>
      <c r="Q16" s="292">
        <f t="shared" si="15"/>
        <v>97.236227229520011</v>
      </c>
      <c r="R16" s="292">
        <f t="shared" si="15"/>
        <v>97.236227229520011</v>
      </c>
      <c r="S16" s="292">
        <f t="shared" si="15"/>
        <v>97.236227229520011</v>
      </c>
      <c r="T16" s="292">
        <f t="shared" si="15"/>
        <v>97.236227229520011</v>
      </c>
      <c r="U16" s="292">
        <f t="shared" si="15"/>
        <v>152.78729339523076</v>
      </c>
      <c r="V16" s="292">
        <f t="shared" si="15"/>
        <v>111.12743158690002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226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253</v>
      </c>
      <c r="AB17" s="76" t="s">
        <v>235</v>
      </c>
      <c r="AC17" s="2">
        <v>38</v>
      </c>
      <c r="AD17" s="2">
        <v>38</v>
      </c>
      <c r="AE17" s="2">
        <v>30</v>
      </c>
      <c r="AF17" s="2">
        <v>38</v>
      </c>
      <c r="AG17" s="2">
        <v>30</v>
      </c>
      <c r="AH17" s="214">
        <v>30</v>
      </c>
      <c r="AI17" s="214">
        <v>30</v>
      </c>
      <c r="AJ17" s="214">
        <v>38</v>
      </c>
      <c r="AK17" s="214">
        <v>38</v>
      </c>
      <c r="AL17" s="214">
        <v>38</v>
      </c>
      <c r="AM17" s="214">
        <v>38</v>
      </c>
      <c r="AN17" s="214">
        <v>38</v>
      </c>
      <c r="AO17" s="214">
        <v>38</v>
      </c>
      <c r="AP17" s="214">
        <v>38</v>
      </c>
      <c r="AQ17" s="214">
        <v>38</v>
      </c>
      <c r="AR17" s="214">
        <v>38</v>
      </c>
    </row>
    <row r="18" spans="1:46" ht="15" customHeight="1">
      <c r="A18" s="85" t="s">
        <v>249</v>
      </c>
      <c r="B18" s="83" t="s">
        <v>250</v>
      </c>
      <c r="C18" s="84" t="s">
        <v>251</v>
      </c>
      <c r="D18" s="253"/>
      <c r="E18" s="253"/>
      <c r="F18" s="225" t="s">
        <v>229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254</v>
      </c>
      <c r="AB18" s="499" t="s">
        <v>516</v>
      </c>
      <c r="AC18" s="500">
        <f t="shared" ref="AC18:AR18" si="17">(1/AC17+$B$20)^-1/5.678</f>
        <v>3.8025553171731401</v>
      </c>
      <c r="AD18" s="500">
        <f t="shared" si="17"/>
        <v>3.8025553171731401</v>
      </c>
      <c r="AE18" s="500">
        <f t="shared" si="17"/>
        <v>3.3022190912293063</v>
      </c>
      <c r="AF18" s="500">
        <f t="shared" si="17"/>
        <v>3.8025553171731401</v>
      </c>
      <c r="AG18" s="500">
        <f t="shared" si="17"/>
        <v>3.3022190912293063</v>
      </c>
      <c r="AH18" s="500">
        <f t="shared" si="17"/>
        <v>3.3022190912293063</v>
      </c>
      <c r="AI18" s="500">
        <f t="shared" si="17"/>
        <v>3.3022190912293063</v>
      </c>
      <c r="AJ18" s="500">
        <f t="shared" si="17"/>
        <v>3.8025553171731401</v>
      </c>
      <c r="AK18" s="500">
        <f t="shared" si="17"/>
        <v>3.8025553171731401</v>
      </c>
      <c r="AL18" s="500">
        <f t="shared" si="17"/>
        <v>3.8025553171731401</v>
      </c>
      <c r="AM18" s="500">
        <f t="shared" si="17"/>
        <v>3.8025553171731401</v>
      </c>
      <c r="AN18" s="500">
        <f t="shared" si="17"/>
        <v>3.8025553171731401</v>
      </c>
      <c r="AO18" s="500">
        <f t="shared" si="17"/>
        <v>3.8025553171731401</v>
      </c>
      <c r="AP18" s="500">
        <f t="shared" si="17"/>
        <v>3.8025553171731401</v>
      </c>
      <c r="AQ18" s="500">
        <f t="shared" si="17"/>
        <v>3.8025553171731401</v>
      </c>
      <c r="AR18" s="500">
        <f t="shared" si="17"/>
        <v>3.8025553171731401</v>
      </c>
    </row>
    <row r="19" spans="1:46" ht="15" customHeight="1">
      <c r="A19" s="86" t="s">
        <v>252</v>
      </c>
      <c r="B19" s="80" t="s">
        <v>11</v>
      </c>
      <c r="C19" s="76" t="s">
        <v>11</v>
      </c>
      <c r="D19" s="506" t="s">
        <v>232</v>
      </c>
      <c r="E19" s="507" t="s">
        <v>168</v>
      </c>
      <c r="F19" s="223" t="s">
        <v>628</v>
      </c>
      <c r="G19" s="223" t="s">
        <v>577</v>
      </c>
      <c r="H19" s="223" t="s">
        <v>578</v>
      </c>
      <c r="I19" s="223" t="s">
        <v>579</v>
      </c>
      <c r="J19" s="223" t="s">
        <v>580</v>
      </c>
      <c r="K19" s="223" t="s">
        <v>581</v>
      </c>
      <c r="L19" s="223" t="s">
        <v>582</v>
      </c>
      <c r="M19" s="223" t="s">
        <v>583</v>
      </c>
      <c r="N19" s="223" t="s">
        <v>584</v>
      </c>
      <c r="O19" s="223" t="s">
        <v>585</v>
      </c>
      <c r="P19" s="223" t="s">
        <v>586</v>
      </c>
      <c r="Q19" s="223" t="s">
        <v>587</v>
      </c>
      <c r="R19" s="223" t="s">
        <v>588</v>
      </c>
      <c r="S19" s="223">
        <v>7</v>
      </c>
      <c r="T19" s="223">
        <v>8</v>
      </c>
      <c r="U19" s="223" t="s">
        <v>806</v>
      </c>
      <c r="V19" s="223" t="s">
        <v>807</v>
      </c>
      <c r="W19" s="223"/>
      <c r="X19" s="223"/>
      <c r="AA19" s="498" t="s">
        <v>255</v>
      </c>
      <c r="AB19" s="499" t="s">
        <v>516</v>
      </c>
      <c r="AC19" s="500">
        <f t="shared" ref="AC19:AR19" si="18">(1/AC17+$B$21)^-1/5.678</f>
        <v>5.6239473598527123</v>
      </c>
      <c r="AD19" s="500">
        <f t="shared" si="18"/>
        <v>5.6239473598527123</v>
      </c>
      <c r="AE19" s="500">
        <f t="shared" si="18"/>
        <v>4.5943917791016435</v>
      </c>
      <c r="AF19" s="500">
        <f t="shared" si="18"/>
        <v>5.6239473598527123</v>
      </c>
      <c r="AG19" s="500">
        <f t="shared" si="18"/>
        <v>4.5943917791016435</v>
      </c>
      <c r="AH19" s="500">
        <f t="shared" si="18"/>
        <v>4.5943917791016435</v>
      </c>
      <c r="AI19" s="500">
        <f t="shared" si="18"/>
        <v>4.5943917791016435</v>
      </c>
      <c r="AJ19" s="500">
        <f t="shared" si="18"/>
        <v>5.6239473598527123</v>
      </c>
      <c r="AK19" s="500">
        <f t="shared" si="18"/>
        <v>5.6239473598527123</v>
      </c>
      <c r="AL19" s="500">
        <f t="shared" si="18"/>
        <v>5.6239473598527123</v>
      </c>
      <c r="AM19" s="500">
        <f t="shared" si="18"/>
        <v>5.6239473598527123</v>
      </c>
      <c r="AN19" s="500">
        <f t="shared" si="18"/>
        <v>5.6239473598527123</v>
      </c>
      <c r="AO19" s="500">
        <f t="shared" si="18"/>
        <v>5.6239473598527123</v>
      </c>
      <c r="AP19" s="500">
        <f t="shared" si="18"/>
        <v>5.6239473598527123</v>
      </c>
      <c r="AQ19" s="500">
        <f t="shared" si="18"/>
        <v>5.6239473598527123</v>
      </c>
      <c r="AR19" s="500">
        <f t="shared" si="18"/>
        <v>5.6239473598527123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253</v>
      </c>
      <c r="E20" s="501" t="s">
        <v>235</v>
      </c>
      <c r="F20" s="163">
        <f>F74</f>
        <v>30</v>
      </c>
      <c r="G20" s="163">
        <f t="shared" ref="G20:T20" si="19">G74</f>
        <v>38</v>
      </c>
      <c r="H20" s="163">
        <f t="shared" si="19"/>
        <v>38</v>
      </c>
      <c r="I20" s="163">
        <f t="shared" si="19"/>
        <v>38</v>
      </c>
      <c r="J20" s="163">
        <f t="shared" si="19"/>
        <v>38</v>
      </c>
      <c r="K20" s="163">
        <f t="shared" si="19"/>
        <v>38</v>
      </c>
      <c r="L20" s="163">
        <f t="shared" si="19"/>
        <v>49</v>
      </c>
      <c r="M20" s="163">
        <f t="shared" si="19"/>
        <v>49</v>
      </c>
      <c r="N20" s="163">
        <f t="shared" si="19"/>
        <v>49</v>
      </c>
      <c r="O20" s="163">
        <f t="shared" si="19"/>
        <v>49</v>
      </c>
      <c r="P20" s="163">
        <f t="shared" si="19"/>
        <v>49</v>
      </c>
      <c r="Q20" s="163">
        <f t="shared" si="19"/>
        <v>49</v>
      </c>
      <c r="R20" s="163">
        <f t="shared" si="19"/>
        <v>49</v>
      </c>
      <c r="S20" s="163">
        <f t="shared" si="19"/>
        <v>49</v>
      </c>
      <c r="T20" s="163">
        <f t="shared" si="19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254</v>
      </c>
      <c r="E21" s="509" t="s">
        <v>516</v>
      </c>
      <c r="F21" s="510">
        <f>(1/F20+$B$20)^-1/5.678</f>
        <v>3.3022190912293063</v>
      </c>
      <c r="G21" s="511">
        <f t="shared" ref="G21:T21" si="20">(1/G20+$B$20)^-1/5.678</f>
        <v>3.8025553171731401</v>
      </c>
      <c r="H21" s="511">
        <f t="shared" si="20"/>
        <v>3.8025553171731401</v>
      </c>
      <c r="I21" s="511">
        <f t="shared" si="20"/>
        <v>3.8025553171731401</v>
      </c>
      <c r="J21" s="511">
        <f t="shared" si="20"/>
        <v>3.8025553171731401</v>
      </c>
      <c r="K21" s="511">
        <f t="shared" si="20"/>
        <v>3.8025553171731401</v>
      </c>
      <c r="L21" s="511">
        <f t="shared" si="20"/>
        <v>4.358484457110734</v>
      </c>
      <c r="M21" s="511">
        <f t="shared" si="20"/>
        <v>4.358484457110734</v>
      </c>
      <c r="N21" s="511">
        <f t="shared" si="20"/>
        <v>4.358484457110734</v>
      </c>
      <c r="O21" s="511">
        <f t="shared" si="20"/>
        <v>4.358484457110734</v>
      </c>
      <c r="P21" s="511">
        <f t="shared" si="20"/>
        <v>4.358484457110734</v>
      </c>
      <c r="Q21" s="511">
        <f t="shared" si="20"/>
        <v>4.358484457110734</v>
      </c>
      <c r="R21" s="511">
        <f t="shared" si="20"/>
        <v>4.358484457110734</v>
      </c>
      <c r="S21" s="511">
        <f t="shared" si="20"/>
        <v>4.358484457110734</v>
      </c>
      <c r="T21" s="511">
        <f t="shared" si="20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1356</v>
      </c>
      <c r="AB21" s="76" t="s">
        <v>235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255</v>
      </c>
      <c r="E22" s="509" t="s">
        <v>516</v>
      </c>
      <c r="F22" s="510">
        <f>(1/F20+$B$21)^-1/5.678</f>
        <v>4.5943917791016435</v>
      </c>
      <c r="G22" s="511">
        <f t="shared" ref="G22:T22" si="21">(1/G20+$B$21)^-1/5.678</f>
        <v>5.6239473598527123</v>
      </c>
      <c r="H22" s="511">
        <f t="shared" si="21"/>
        <v>5.6239473598527123</v>
      </c>
      <c r="I22" s="511">
        <f t="shared" si="21"/>
        <v>5.6239473598527123</v>
      </c>
      <c r="J22" s="511">
        <f t="shared" si="21"/>
        <v>5.6239473598527123</v>
      </c>
      <c r="K22" s="511">
        <f t="shared" si="21"/>
        <v>5.6239473598527123</v>
      </c>
      <c r="L22" s="511">
        <f t="shared" si="21"/>
        <v>6.931565642633938</v>
      </c>
      <c r="M22" s="511">
        <f t="shared" si="21"/>
        <v>6.931565642633938</v>
      </c>
      <c r="N22" s="511">
        <f t="shared" si="21"/>
        <v>6.931565642633938</v>
      </c>
      <c r="O22" s="511">
        <f t="shared" si="21"/>
        <v>6.931565642633938</v>
      </c>
      <c r="P22" s="511">
        <f t="shared" si="21"/>
        <v>6.931565642633938</v>
      </c>
      <c r="Q22" s="511">
        <f t="shared" si="21"/>
        <v>6.931565642633938</v>
      </c>
      <c r="R22" s="511">
        <f t="shared" si="21"/>
        <v>6.931565642633938</v>
      </c>
      <c r="S22" s="511">
        <f t="shared" si="21"/>
        <v>6.931565642633938</v>
      </c>
      <c r="T22" s="511">
        <f t="shared" si="21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1357</v>
      </c>
      <c r="AB22" s="76" t="s">
        <v>235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256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1354</v>
      </c>
      <c r="AB23" s="76" t="s">
        <v>235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257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1355</v>
      </c>
      <c r="AB24" s="76" t="s">
        <v>235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1358</v>
      </c>
      <c r="AB25" s="76" t="s">
        <v>235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1362</v>
      </c>
    </row>
    <row r="26" spans="1:46" ht="15" customHeight="1">
      <c r="A26" s="4" t="s">
        <v>258</v>
      </c>
      <c r="D26" s="253"/>
      <c r="E26" s="253"/>
      <c r="F26" s="225" t="s">
        <v>229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555</v>
      </c>
      <c r="D27" s="506" t="s">
        <v>232</v>
      </c>
      <c r="E27" s="507"/>
      <c r="F27" s="223" t="s">
        <v>628</v>
      </c>
      <c r="G27" s="223" t="s">
        <v>577</v>
      </c>
      <c r="H27" s="223" t="s">
        <v>578</v>
      </c>
      <c r="I27" s="223" t="s">
        <v>579</v>
      </c>
      <c r="J27" s="223" t="s">
        <v>580</v>
      </c>
      <c r="K27" s="223" t="s">
        <v>581</v>
      </c>
      <c r="L27" s="223" t="s">
        <v>582</v>
      </c>
      <c r="M27" s="223" t="s">
        <v>583</v>
      </c>
      <c r="N27" s="223" t="s">
        <v>584</v>
      </c>
      <c r="O27" s="223" t="s">
        <v>585</v>
      </c>
      <c r="P27" s="223" t="s">
        <v>586</v>
      </c>
      <c r="Q27" s="223" t="s">
        <v>587</v>
      </c>
      <c r="R27" s="223" t="s">
        <v>588</v>
      </c>
      <c r="S27" s="223">
        <v>7</v>
      </c>
      <c r="T27" s="223">
        <v>8</v>
      </c>
      <c r="U27" s="223" t="s">
        <v>806</v>
      </c>
      <c r="V27" s="223" t="s">
        <v>807</v>
      </c>
      <c r="W27" s="223"/>
      <c r="X27" s="506"/>
      <c r="AA27" s="254" t="s">
        <v>1359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553</v>
      </c>
      <c r="B28" s="152">
        <v>25.6</v>
      </c>
      <c r="C28" s="5"/>
      <c r="D28" s="253" t="s">
        <v>259</v>
      </c>
      <c r="E28" s="513" t="s">
        <v>11</v>
      </c>
      <c r="F28" s="514">
        <f>F85</f>
        <v>0.25</v>
      </c>
      <c r="G28" s="514">
        <f t="shared" ref="G28:M28" si="22">G85</f>
        <v>0.25</v>
      </c>
      <c r="H28" s="514">
        <f t="shared" si="22"/>
        <v>0.25</v>
      </c>
      <c r="I28" s="514">
        <f t="shared" si="22"/>
        <v>0.27</v>
      </c>
      <c r="J28" s="514">
        <f t="shared" si="22"/>
        <v>0.27</v>
      </c>
      <c r="K28" s="514">
        <f t="shared" si="22"/>
        <v>0.27</v>
      </c>
      <c r="L28" s="514">
        <f t="shared" si="22"/>
        <v>0.27</v>
      </c>
      <c r="M28" s="514">
        <f t="shared" si="22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1360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554</v>
      </c>
      <c r="B29" s="38">
        <v>20.7</v>
      </c>
      <c r="D29" s="154" t="s">
        <v>556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1361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557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558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249</v>
      </c>
      <c r="B32" s="214" t="s">
        <v>688</v>
      </c>
      <c r="C32" s="214" t="s">
        <v>251</v>
      </c>
      <c r="D32" s="154" t="s">
        <v>559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717</v>
      </c>
      <c r="D33" s="154" t="s">
        <v>560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558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229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561</v>
      </c>
      <c r="E35" s="76"/>
      <c r="F35" s="228">
        <f t="shared" ref="F35:T35" si="23">$B$13*$K$59*F31</f>
        <v>1049.3897904195267</v>
      </c>
      <c r="G35" s="160">
        <f t="shared" si="23"/>
        <v>1759.9827198725532</v>
      </c>
      <c r="H35" s="160">
        <f t="shared" si="23"/>
        <v>1382.8435319410073</v>
      </c>
      <c r="I35" s="160">
        <f t="shared" si="23"/>
        <v>2278.5491032784289</v>
      </c>
      <c r="J35" s="160">
        <f t="shared" si="23"/>
        <v>2042.8371108212127</v>
      </c>
      <c r="K35" s="160">
        <f t="shared" si="23"/>
        <v>1382.8435319410073</v>
      </c>
      <c r="L35" s="160">
        <f t="shared" si="23"/>
        <v>2467.1186972442024</v>
      </c>
      <c r="M35" s="160">
        <f t="shared" si="23"/>
        <v>2325.6915017698725</v>
      </c>
      <c r="N35" s="160">
        <f t="shared" si="23"/>
        <v>2089.9795093126559</v>
      </c>
      <c r="O35" s="160">
        <f t="shared" si="23"/>
        <v>3221.3970731072941</v>
      </c>
      <c r="P35" s="160">
        <f t="shared" si="23"/>
        <v>2844.257885175748</v>
      </c>
      <c r="Q35" s="160">
        <f t="shared" si="23"/>
        <v>3457.1090655645103</v>
      </c>
      <c r="R35" s="160">
        <f t="shared" si="23"/>
        <v>3739.9634565131701</v>
      </c>
      <c r="S35" s="160">
        <f t="shared" si="23"/>
        <v>3975.6754489703858</v>
      </c>
      <c r="T35" s="228">
        <f t="shared" si="23"/>
        <v>5480.7752486151921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232</v>
      </c>
      <c r="E39" s="75" t="s">
        <v>168</v>
      </c>
      <c r="F39" s="223" t="s">
        <v>628</v>
      </c>
      <c r="G39" s="258" t="s">
        <v>577</v>
      </c>
      <c r="H39" s="258" t="s">
        <v>578</v>
      </c>
      <c r="I39" s="258" t="s">
        <v>579</v>
      </c>
      <c r="J39" s="258" t="s">
        <v>580</v>
      </c>
      <c r="K39" s="258" t="s">
        <v>581</v>
      </c>
      <c r="L39" s="258" t="s">
        <v>582</v>
      </c>
      <c r="M39" s="258" t="s">
        <v>583</v>
      </c>
      <c r="N39" s="258" t="s">
        <v>584</v>
      </c>
      <c r="O39" s="258" t="s">
        <v>585</v>
      </c>
      <c r="P39" s="258" t="s">
        <v>586</v>
      </c>
      <c r="Q39" s="258" t="s">
        <v>587</v>
      </c>
      <c r="R39" s="258" t="s">
        <v>588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234</v>
      </c>
      <c r="E40" s="76" t="s">
        <v>235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237</v>
      </c>
      <c r="E41" s="76" t="s">
        <v>235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239</v>
      </c>
      <c r="E42" s="76" t="s">
        <v>235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573</v>
      </c>
      <c r="E43" s="76" t="s">
        <v>241</v>
      </c>
      <c r="F43" s="224">
        <f t="shared" ref="F43:T43" si="24">$B$13*$K$59</f>
        <v>84.85631728459785</v>
      </c>
      <c r="G43" s="128">
        <f t="shared" si="24"/>
        <v>84.85631728459785</v>
      </c>
      <c r="H43" s="128">
        <f t="shared" si="24"/>
        <v>84.85631728459785</v>
      </c>
      <c r="I43" s="128">
        <f t="shared" si="24"/>
        <v>84.85631728459785</v>
      </c>
      <c r="J43" s="128">
        <f t="shared" si="24"/>
        <v>84.85631728459785</v>
      </c>
      <c r="K43" s="128">
        <f t="shared" si="24"/>
        <v>84.85631728459785</v>
      </c>
      <c r="L43" s="128">
        <f t="shared" si="24"/>
        <v>84.85631728459785</v>
      </c>
      <c r="M43" s="128">
        <f t="shared" si="24"/>
        <v>84.85631728459785</v>
      </c>
      <c r="N43" s="128">
        <f t="shared" si="24"/>
        <v>84.85631728459785</v>
      </c>
      <c r="O43" s="128">
        <f t="shared" si="24"/>
        <v>84.85631728459785</v>
      </c>
      <c r="P43" s="128">
        <f t="shared" si="24"/>
        <v>84.85631728459785</v>
      </c>
      <c r="Q43" s="128">
        <f t="shared" si="24"/>
        <v>84.85631728459785</v>
      </c>
      <c r="R43" s="128">
        <f t="shared" si="24"/>
        <v>84.85631728459785</v>
      </c>
      <c r="S43" s="128">
        <f t="shared" si="24"/>
        <v>84.85631728459785</v>
      </c>
      <c r="T43" s="224">
        <f t="shared" si="24"/>
        <v>84.85631728459785</v>
      </c>
      <c r="U43" s="224"/>
      <c r="V43" s="224"/>
      <c r="W43" s="224"/>
    </row>
    <row r="44" spans="1:44" ht="15" customHeight="1">
      <c r="D44" s="214" t="s">
        <v>240</v>
      </c>
      <c r="E44" s="77" t="s">
        <v>241</v>
      </c>
      <c r="F44" s="229">
        <f>(1/F40)*$B$6*5.6783*$C$6</f>
        <v>55.729832595230775</v>
      </c>
      <c r="G44" s="33">
        <f>1/G40*$B$6*5.678*$C$6</f>
        <v>55.726888236923081</v>
      </c>
      <c r="H44" s="33">
        <f>1/H40*$B$6*5.678*$C$6</f>
        <v>55.726888236923081</v>
      </c>
      <c r="I44" s="33">
        <f t="shared" ref="I44:T44" si="25">1/I40*$B$6*5.678*$C$6</f>
        <v>55.726888236923081</v>
      </c>
      <c r="J44" s="33">
        <f t="shared" si="25"/>
        <v>55.726888236923081</v>
      </c>
      <c r="K44" s="33">
        <f t="shared" si="25"/>
        <v>55.726888236923081</v>
      </c>
      <c r="L44" s="33">
        <f t="shared" si="25"/>
        <v>55.726888236923081</v>
      </c>
      <c r="M44" s="33">
        <f t="shared" si="25"/>
        <v>55.726888236923081</v>
      </c>
      <c r="N44" s="33">
        <f t="shared" si="25"/>
        <v>36.222477353999999</v>
      </c>
      <c r="O44" s="33">
        <f t="shared" si="25"/>
        <v>36.222477353999999</v>
      </c>
      <c r="P44" s="33">
        <f t="shared" si="25"/>
        <v>36.222477353999999</v>
      </c>
      <c r="Q44" s="33">
        <f t="shared" si="25"/>
        <v>36.222477353999999</v>
      </c>
      <c r="R44" s="33">
        <f t="shared" si="25"/>
        <v>36.222477353999999</v>
      </c>
      <c r="S44" s="33">
        <f t="shared" si="25"/>
        <v>34.497597479999996</v>
      </c>
      <c r="T44" s="229">
        <f t="shared" si="25"/>
        <v>34.497597479999996</v>
      </c>
      <c r="U44" s="229"/>
      <c r="V44" s="229"/>
      <c r="W44" s="229"/>
    </row>
    <row r="45" spans="1:44" ht="15" customHeight="1">
      <c r="D45" s="214" t="s">
        <v>242</v>
      </c>
      <c r="E45" s="77" t="s">
        <v>241</v>
      </c>
      <c r="F45" s="229">
        <f t="shared" ref="F45:T45" si="26">1/F41*$B$7*5.678*$C$7</f>
        <v>147.696136</v>
      </c>
      <c r="G45" s="33">
        <f t="shared" si="26"/>
        <v>144.00373260000001</v>
      </c>
      <c r="H45" s="33">
        <f t="shared" si="26"/>
        <v>144.00373260000001</v>
      </c>
      <c r="I45" s="33">
        <f t="shared" si="26"/>
        <v>110.772102</v>
      </c>
      <c r="J45" s="33">
        <f t="shared" si="26"/>
        <v>110.772102</v>
      </c>
      <c r="K45" s="33">
        <f t="shared" si="26"/>
        <v>110.772102</v>
      </c>
      <c r="L45" s="33">
        <f t="shared" si="26"/>
        <v>77.540471400000001</v>
      </c>
      <c r="M45" s="33">
        <f t="shared" si="26"/>
        <v>77.540471400000001</v>
      </c>
      <c r="N45" s="33">
        <f t="shared" si="26"/>
        <v>77.540471400000001</v>
      </c>
      <c r="O45" s="33">
        <f t="shared" si="26"/>
        <v>77.540471400000001</v>
      </c>
      <c r="P45" s="33">
        <f t="shared" si="26"/>
        <v>77.540471400000001</v>
      </c>
      <c r="Q45" s="33">
        <f t="shared" si="26"/>
        <v>77.540471400000001</v>
      </c>
      <c r="R45" s="33">
        <f t="shared" si="26"/>
        <v>77.540471400000001</v>
      </c>
      <c r="S45" s="33">
        <f t="shared" si="26"/>
        <v>77.540471400000001</v>
      </c>
      <c r="T45" s="229">
        <f t="shared" si="26"/>
        <v>76.394553103448288</v>
      </c>
      <c r="U45" s="229"/>
      <c r="V45" s="229"/>
      <c r="W45" s="229"/>
    </row>
    <row r="46" spans="1:44" ht="15" customHeight="1">
      <c r="D46" s="214" t="s">
        <v>243</v>
      </c>
      <c r="E46" s="77" t="s">
        <v>241</v>
      </c>
      <c r="F46" s="229">
        <f t="shared" ref="F46:T46" si="27">1/F42*$B$8*5.678*$C$8</f>
        <v>0</v>
      </c>
      <c r="G46" s="33">
        <f t="shared" si="27"/>
        <v>0</v>
      </c>
      <c r="H46" s="33">
        <f t="shared" si="27"/>
        <v>0</v>
      </c>
      <c r="I46" s="33">
        <f t="shared" si="27"/>
        <v>0</v>
      </c>
      <c r="J46" s="33">
        <f t="shared" si="27"/>
        <v>0</v>
      </c>
      <c r="K46" s="33">
        <f t="shared" si="27"/>
        <v>0</v>
      </c>
      <c r="L46" s="33">
        <f t="shared" si="27"/>
        <v>0</v>
      </c>
      <c r="M46" s="33">
        <f t="shared" si="27"/>
        <v>0</v>
      </c>
      <c r="N46" s="33">
        <f t="shared" si="27"/>
        <v>0</v>
      </c>
      <c r="O46" s="33">
        <f t="shared" si="27"/>
        <v>0</v>
      </c>
      <c r="P46" s="33">
        <f t="shared" si="27"/>
        <v>0</v>
      </c>
      <c r="Q46" s="33">
        <f t="shared" si="27"/>
        <v>0</v>
      </c>
      <c r="R46" s="33">
        <f t="shared" si="27"/>
        <v>0</v>
      </c>
      <c r="S46" s="33">
        <f t="shared" si="27"/>
        <v>0</v>
      </c>
      <c r="T46" s="229">
        <f t="shared" si="27"/>
        <v>0</v>
      </c>
      <c r="U46" s="229"/>
      <c r="V46" s="229"/>
      <c r="W46" s="229"/>
    </row>
    <row r="47" spans="1:44" ht="15" customHeight="1">
      <c r="D47" s="214" t="s">
        <v>244</v>
      </c>
      <c r="E47" s="77" t="s">
        <v>241</v>
      </c>
      <c r="F47" s="229">
        <f>20*5.678*0.3048^2</f>
        <v>10.550069222400001</v>
      </c>
      <c r="G47" s="33">
        <f t="shared" ref="G47:T47" si="28">20*5.678*0.3048^2</f>
        <v>10.550069222400001</v>
      </c>
      <c r="H47" s="33">
        <f t="shared" si="28"/>
        <v>10.550069222400001</v>
      </c>
      <c r="I47" s="33">
        <f t="shared" si="28"/>
        <v>10.550069222400001</v>
      </c>
      <c r="J47" s="33">
        <f t="shared" si="28"/>
        <v>10.550069222400001</v>
      </c>
      <c r="K47" s="33">
        <f t="shared" si="28"/>
        <v>10.550069222400001</v>
      </c>
      <c r="L47" s="33">
        <f t="shared" si="28"/>
        <v>10.550069222400001</v>
      </c>
      <c r="M47" s="33">
        <f t="shared" si="28"/>
        <v>10.550069222400001</v>
      </c>
      <c r="N47" s="33">
        <f t="shared" si="28"/>
        <v>10.550069222400001</v>
      </c>
      <c r="O47" s="33">
        <f t="shared" si="28"/>
        <v>10.550069222400001</v>
      </c>
      <c r="P47" s="33">
        <f t="shared" si="28"/>
        <v>10.550069222400001</v>
      </c>
      <c r="Q47" s="33">
        <f t="shared" si="28"/>
        <v>10.550069222400001</v>
      </c>
      <c r="R47" s="33">
        <f t="shared" si="28"/>
        <v>10.550069222400001</v>
      </c>
      <c r="S47" s="33">
        <f t="shared" si="28"/>
        <v>10.550069222400001</v>
      </c>
      <c r="T47" s="229">
        <f t="shared" si="28"/>
        <v>10.550069222400001</v>
      </c>
      <c r="U47" s="229"/>
      <c r="V47" s="229"/>
      <c r="W47" s="229"/>
    </row>
    <row r="48" spans="1:44" ht="15" customHeight="1">
      <c r="D48" s="34" t="s">
        <v>245</v>
      </c>
      <c r="E48" s="78" t="s">
        <v>241</v>
      </c>
      <c r="F48" s="249">
        <f>IF($B$12=0,SUM(F44:F47),SUM(F43,F44,F45,F47))</f>
        <v>298.83235510222858</v>
      </c>
      <c r="G48" s="249">
        <f t="shared" ref="G48:T48" si="29">IF($B$12=0,SUM(G44:G47),SUM(G43,G44,G45,G47))</f>
        <v>295.13700734392091</v>
      </c>
      <c r="H48" s="249">
        <f t="shared" si="29"/>
        <v>295.13700734392091</v>
      </c>
      <c r="I48" s="249">
        <f t="shared" si="29"/>
        <v>261.90537674392095</v>
      </c>
      <c r="J48" s="249">
        <f t="shared" si="29"/>
        <v>261.90537674392095</v>
      </c>
      <c r="K48" s="249">
        <f t="shared" si="29"/>
        <v>261.90537674392095</v>
      </c>
      <c r="L48" s="249">
        <f t="shared" si="29"/>
        <v>228.67374614392094</v>
      </c>
      <c r="M48" s="249">
        <f t="shared" si="29"/>
        <v>228.67374614392094</v>
      </c>
      <c r="N48" s="249">
        <f t="shared" si="29"/>
        <v>209.16933526099785</v>
      </c>
      <c r="O48" s="249">
        <f t="shared" si="29"/>
        <v>209.16933526099785</v>
      </c>
      <c r="P48" s="249">
        <f t="shared" si="29"/>
        <v>209.16933526099785</v>
      </c>
      <c r="Q48" s="249">
        <f t="shared" si="29"/>
        <v>209.16933526099785</v>
      </c>
      <c r="R48" s="249">
        <f t="shared" si="29"/>
        <v>209.16933526099785</v>
      </c>
      <c r="S48" s="249">
        <f t="shared" si="29"/>
        <v>207.44445538699784</v>
      </c>
      <c r="T48" s="249">
        <f t="shared" si="29"/>
        <v>206.29853709044613</v>
      </c>
      <c r="U48" s="249"/>
      <c r="V48" s="249"/>
      <c r="W48" s="249"/>
    </row>
    <row r="49" spans="2:24" ht="15" customHeight="1">
      <c r="D49" s="34" t="s">
        <v>247</v>
      </c>
      <c r="E49" s="78" t="s">
        <v>241</v>
      </c>
      <c r="F49" s="249">
        <f>SUM(F44,F45,F47)</f>
        <v>213.97603781763075</v>
      </c>
      <c r="G49" s="249">
        <f t="shared" ref="G49:T49" si="30">SUM(G44,G45,G47)</f>
        <v>210.28069005932309</v>
      </c>
      <c r="H49" s="249">
        <f t="shared" si="30"/>
        <v>210.28069005932309</v>
      </c>
      <c r="I49" s="249">
        <f t="shared" si="30"/>
        <v>177.04905945932308</v>
      </c>
      <c r="J49" s="249">
        <f t="shared" si="30"/>
        <v>177.04905945932308</v>
      </c>
      <c r="K49" s="249">
        <f t="shared" si="30"/>
        <v>177.04905945932308</v>
      </c>
      <c r="L49" s="249">
        <f t="shared" si="30"/>
        <v>143.81742885932309</v>
      </c>
      <c r="M49" s="249">
        <f t="shared" si="30"/>
        <v>143.81742885932309</v>
      </c>
      <c r="N49" s="249">
        <f t="shared" si="30"/>
        <v>124.3130179764</v>
      </c>
      <c r="O49" s="249">
        <f t="shared" si="30"/>
        <v>124.3130179764</v>
      </c>
      <c r="P49" s="249">
        <f t="shared" si="30"/>
        <v>124.3130179764</v>
      </c>
      <c r="Q49" s="249">
        <f t="shared" si="30"/>
        <v>124.3130179764</v>
      </c>
      <c r="R49" s="249">
        <f t="shared" si="30"/>
        <v>124.3130179764</v>
      </c>
      <c r="S49" s="249">
        <f t="shared" si="30"/>
        <v>122.58813810239999</v>
      </c>
      <c r="T49" s="249">
        <f t="shared" si="30"/>
        <v>121.44221980584828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22" t="s">
        <v>550</v>
      </c>
      <c r="E56" s="523"/>
      <c r="F56" s="524"/>
      <c r="G56" s="528" t="s">
        <v>544</v>
      </c>
      <c r="H56" s="523"/>
      <c r="I56" s="529"/>
      <c r="J56" s="530"/>
      <c r="K56" s="146" t="s">
        <v>542</v>
      </c>
      <c r="L56" s="147"/>
      <c r="M56" s="2" t="s">
        <v>1367</v>
      </c>
      <c r="N56" s="173" t="s">
        <v>567</v>
      </c>
      <c r="O56" s="74"/>
      <c r="P56" s="100"/>
      <c r="Q56" s="99"/>
      <c r="R56" s="176" t="s">
        <v>568</v>
      </c>
      <c r="S56" s="175"/>
      <c r="T56" s="175"/>
      <c r="U56" s="175"/>
      <c r="V56" s="175"/>
      <c r="W56" s="175"/>
      <c r="X56" s="100" t="s">
        <v>572</v>
      </c>
    </row>
    <row r="57" spans="2:24" ht="15" customHeight="1">
      <c r="D57" s="525" t="s">
        <v>543</v>
      </c>
      <c r="E57" s="526"/>
      <c r="F57" s="527"/>
      <c r="G57" s="531" t="s">
        <v>545</v>
      </c>
      <c r="H57" s="526"/>
      <c r="I57" s="532"/>
      <c r="J57" s="527"/>
      <c r="K57" s="533">
        <v>1.17</v>
      </c>
      <c r="L57" s="533"/>
      <c r="M57" s="2">
        <v>0.68</v>
      </c>
      <c r="N57" s="154" t="s">
        <v>569</v>
      </c>
      <c r="Q57" s="87"/>
      <c r="R57" s="5">
        <v>0.1</v>
      </c>
      <c r="S57" s="14" t="s">
        <v>571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25"/>
      <c r="E58" s="526"/>
      <c r="F58" s="527"/>
      <c r="G58" s="531" t="s">
        <v>1321</v>
      </c>
      <c r="H58" s="526"/>
      <c r="I58" s="532"/>
      <c r="J58" s="527"/>
      <c r="K58" s="533">
        <v>0.86</v>
      </c>
      <c r="L58" s="533"/>
      <c r="M58" s="2">
        <v>0.5</v>
      </c>
      <c r="N58" s="174" t="s">
        <v>570</v>
      </c>
      <c r="S58" s="14"/>
      <c r="T58" s="14"/>
      <c r="U58" s="14"/>
      <c r="V58" s="14"/>
      <c r="W58" s="14"/>
    </row>
    <row r="59" spans="2:24" ht="15" customHeight="1">
      <c r="D59" s="525" t="s">
        <v>546</v>
      </c>
      <c r="E59" s="526"/>
      <c r="F59" s="527"/>
      <c r="G59" s="531" t="s">
        <v>545</v>
      </c>
      <c r="H59" s="526"/>
      <c r="I59" s="532"/>
      <c r="J59" s="527"/>
      <c r="K59" s="533">
        <v>1.45</v>
      </c>
      <c r="L59" s="533"/>
      <c r="M59" s="2">
        <v>0.84</v>
      </c>
      <c r="S59" s="14"/>
      <c r="T59" s="14"/>
      <c r="U59" s="14"/>
      <c r="V59" s="14"/>
      <c r="W59" s="14"/>
    </row>
    <row r="60" spans="2:24" ht="15" customHeight="1">
      <c r="D60" s="525"/>
      <c r="E60" s="526"/>
      <c r="F60" s="527"/>
      <c r="G60" s="531" t="s">
        <v>1321</v>
      </c>
      <c r="H60" s="526"/>
      <c r="I60" s="532"/>
      <c r="J60" s="527"/>
      <c r="K60" s="533">
        <v>0.85</v>
      </c>
      <c r="L60" s="533"/>
      <c r="M60" s="2">
        <v>0.49</v>
      </c>
      <c r="S60" s="14"/>
      <c r="T60" s="14"/>
      <c r="U60" s="14"/>
      <c r="V60" s="14"/>
      <c r="W60" s="14"/>
    </row>
    <row r="61" spans="2:24" ht="15" customHeight="1">
      <c r="D61" s="525" t="s">
        <v>547</v>
      </c>
      <c r="E61" s="526"/>
      <c r="F61" s="527"/>
      <c r="G61" s="531" t="s">
        <v>545</v>
      </c>
      <c r="H61" s="526"/>
      <c r="I61" s="532"/>
      <c r="J61" s="527"/>
      <c r="K61" s="533">
        <v>2.0699999999999998</v>
      </c>
      <c r="L61" s="533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25"/>
      <c r="E62" s="526"/>
      <c r="F62" s="527"/>
      <c r="G62" s="531" t="s">
        <v>1321</v>
      </c>
      <c r="H62" s="526"/>
      <c r="I62" s="532"/>
      <c r="J62" s="527"/>
      <c r="K62" s="533">
        <v>0.92</v>
      </c>
      <c r="L62" s="533"/>
      <c r="M62" s="2">
        <v>0.53</v>
      </c>
      <c r="S62" s="14"/>
      <c r="T62" s="14"/>
      <c r="U62" s="14"/>
      <c r="V62" s="14"/>
      <c r="W62" s="14"/>
    </row>
    <row r="63" spans="2:24" ht="15" customHeight="1">
      <c r="D63" s="525" t="s">
        <v>548</v>
      </c>
      <c r="E63" s="526"/>
      <c r="F63" s="527"/>
      <c r="G63" s="531" t="s">
        <v>545</v>
      </c>
      <c r="H63" s="526"/>
      <c r="I63" s="532"/>
      <c r="J63" s="527"/>
      <c r="K63" s="533">
        <v>3.67</v>
      </c>
      <c r="L63" s="533"/>
      <c r="M63" s="2">
        <v>2.12</v>
      </c>
      <c r="S63" s="14"/>
      <c r="T63" s="14"/>
      <c r="U63" s="14"/>
      <c r="V63" s="14"/>
      <c r="W63" s="14"/>
    </row>
    <row r="64" spans="2:24" ht="15" customHeight="1">
      <c r="D64" s="525" t="s">
        <v>549</v>
      </c>
      <c r="E64" s="526"/>
      <c r="F64" s="527"/>
      <c r="G64" s="531" t="s">
        <v>1321</v>
      </c>
      <c r="H64" s="526"/>
      <c r="I64" s="532"/>
      <c r="J64" s="527"/>
      <c r="K64" s="533">
        <v>1.24</v>
      </c>
      <c r="L64" s="533"/>
      <c r="M64" s="2">
        <v>0.72</v>
      </c>
    </row>
    <row r="65" spans="4:25" ht="15" customHeight="1">
      <c r="D65" s="148" t="s">
        <v>551</v>
      </c>
    </row>
    <row r="66" spans="4:25" ht="15" customHeight="1">
      <c r="D66" s="2" t="s">
        <v>1368</v>
      </c>
      <c r="E66" s="214" t="s">
        <v>1369</v>
      </c>
    </row>
    <row r="69" spans="4:25" ht="15" customHeight="1">
      <c r="Y69" s="254" t="s">
        <v>676</v>
      </c>
    </row>
    <row r="71" spans="4:25" ht="15" customHeight="1">
      <c r="D71" s="268" t="s">
        <v>643</v>
      </c>
      <c r="F71" s="223" t="s">
        <v>628</v>
      </c>
      <c r="G71" s="258" t="s">
        <v>577</v>
      </c>
      <c r="H71" s="258" t="s">
        <v>578</v>
      </c>
      <c r="I71" s="258" t="s">
        <v>579</v>
      </c>
      <c r="J71" s="258" t="s">
        <v>580</v>
      </c>
      <c r="K71" s="258" t="s">
        <v>581</v>
      </c>
      <c r="L71" s="258" t="s">
        <v>582</v>
      </c>
      <c r="M71" s="258" t="s">
        <v>583</v>
      </c>
      <c r="N71" s="258" t="s">
        <v>584</v>
      </c>
      <c r="O71" s="258" t="s">
        <v>585</v>
      </c>
      <c r="P71" s="258" t="s">
        <v>586</v>
      </c>
      <c r="Q71" s="258" t="s">
        <v>587</v>
      </c>
      <c r="R71" s="258" t="s">
        <v>588</v>
      </c>
      <c r="S71" s="258">
        <v>7</v>
      </c>
      <c r="T71" s="223">
        <v>8</v>
      </c>
      <c r="U71" s="286"/>
      <c r="V71" s="286"/>
      <c r="W71" s="286"/>
      <c r="Y71" s="254" t="s">
        <v>668</v>
      </c>
    </row>
    <row r="72" spans="4:25" ht="15" customHeight="1">
      <c r="E72" s="214" t="s">
        <v>644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645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646</v>
      </c>
      <c r="O73" s="214" t="s">
        <v>646</v>
      </c>
      <c r="P73" s="214" t="s">
        <v>646</v>
      </c>
      <c r="Q73" s="214" t="s">
        <v>646</v>
      </c>
      <c r="R73" s="214" t="s">
        <v>646</v>
      </c>
      <c r="S73" s="214" t="s">
        <v>646</v>
      </c>
      <c r="T73" s="214" t="s">
        <v>646</v>
      </c>
      <c r="U73" s="214"/>
      <c r="V73" s="214"/>
      <c r="W73" s="214"/>
    </row>
    <row r="74" spans="4:25" ht="15" customHeight="1">
      <c r="E74" s="214" t="s">
        <v>252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647</v>
      </c>
      <c r="F75" s="2">
        <v>13</v>
      </c>
      <c r="G75" s="2">
        <v>13</v>
      </c>
      <c r="H75" s="2">
        <v>13</v>
      </c>
      <c r="I75" s="214" t="s">
        <v>648</v>
      </c>
      <c r="J75" s="214" t="s">
        <v>648</v>
      </c>
      <c r="K75" s="214" t="s">
        <v>648</v>
      </c>
      <c r="L75" s="214" t="s">
        <v>648</v>
      </c>
      <c r="M75" s="214" t="s">
        <v>648</v>
      </c>
      <c r="N75" s="214" t="s">
        <v>648</v>
      </c>
      <c r="O75" s="214" t="s">
        <v>648</v>
      </c>
      <c r="P75" s="214" t="s">
        <v>648</v>
      </c>
      <c r="Q75" s="254" t="s">
        <v>649</v>
      </c>
      <c r="R75" s="254" t="s">
        <v>649</v>
      </c>
      <c r="S75" s="254" t="s">
        <v>649</v>
      </c>
      <c r="T75" s="254" t="s">
        <v>649</v>
      </c>
    </row>
    <row r="76" spans="4:25" ht="15" customHeight="1">
      <c r="E76" s="214" t="s">
        <v>238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650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651</v>
      </c>
      <c r="M77" s="214" t="s">
        <v>651</v>
      </c>
      <c r="N77" s="214" t="s">
        <v>651</v>
      </c>
      <c r="O77" s="214" t="s">
        <v>651</v>
      </c>
      <c r="P77" s="214" t="s">
        <v>651</v>
      </c>
      <c r="Q77" s="254" t="s">
        <v>652</v>
      </c>
      <c r="R77" s="254" t="s">
        <v>652</v>
      </c>
      <c r="S77" s="254" t="s">
        <v>652</v>
      </c>
      <c r="T77" s="254" t="s">
        <v>652</v>
      </c>
    </row>
    <row r="78" spans="4:25" ht="15" customHeight="1">
      <c r="E78" s="214" t="s">
        <v>653</v>
      </c>
      <c r="F78" s="2">
        <v>0</v>
      </c>
      <c r="G78" s="2">
        <v>0</v>
      </c>
      <c r="H78" s="2">
        <v>0</v>
      </c>
      <c r="I78" s="267" t="s">
        <v>654</v>
      </c>
      <c r="J78" s="267" t="s">
        <v>655</v>
      </c>
      <c r="K78" s="267" t="s">
        <v>656</v>
      </c>
      <c r="L78" s="214" t="s">
        <v>657</v>
      </c>
      <c r="M78" s="214" t="s">
        <v>658</v>
      </c>
      <c r="N78" s="214" t="s">
        <v>659</v>
      </c>
      <c r="O78" s="214" t="s">
        <v>660</v>
      </c>
      <c r="P78" s="214" t="s">
        <v>661</v>
      </c>
      <c r="Q78" s="214" t="s">
        <v>662</v>
      </c>
      <c r="R78" s="214" t="s">
        <v>663</v>
      </c>
      <c r="S78" s="214" t="s">
        <v>664</v>
      </c>
      <c r="T78" s="214" t="s">
        <v>665</v>
      </c>
      <c r="U78" s="214"/>
      <c r="V78" s="214"/>
      <c r="W78" s="214"/>
    </row>
    <row r="79" spans="4:25" ht="15" customHeight="1">
      <c r="E79" s="214" t="s">
        <v>666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667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673</v>
      </c>
      <c r="E82" s="214" t="s">
        <v>672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675</v>
      </c>
    </row>
    <row r="83" spans="4:28" ht="15" customHeight="1">
      <c r="E83" s="214" t="s">
        <v>667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644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645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646</v>
      </c>
      <c r="O85" s="214" t="s">
        <v>646</v>
      </c>
      <c r="P85" s="214" t="s">
        <v>646</v>
      </c>
      <c r="Q85" s="214" t="s">
        <v>646</v>
      </c>
      <c r="R85" s="214" t="s">
        <v>646</v>
      </c>
      <c r="S85" s="214" t="s">
        <v>646</v>
      </c>
      <c r="T85" s="214" t="s">
        <v>646</v>
      </c>
      <c r="U85" s="214"/>
      <c r="V85" s="214"/>
      <c r="W85" s="214"/>
    </row>
    <row r="86" spans="4:28" ht="15" customHeight="1">
      <c r="E86" s="214" t="s">
        <v>674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677</v>
      </c>
    </row>
    <row r="89" spans="4:28" ht="15" customHeight="1">
      <c r="F89" s="2">
        <f>1/F84</f>
        <v>2.5</v>
      </c>
      <c r="G89" s="214">
        <f t="shared" ref="G89:T89" si="31">1/G84</f>
        <v>2.5</v>
      </c>
      <c r="H89" s="214">
        <f t="shared" si="31"/>
        <v>2.5</v>
      </c>
      <c r="I89" s="214">
        <f t="shared" si="31"/>
        <v>3.3333333333333335</v>
      </c>
      <c r="J89" s="214">
        <f t="shared" si="31"/>
        <v>3.3333333333333335</v>
      </c>
      <c r="K89" s="214">
        <f t="shared" si="31"/>
        <v>3.3333333333333335</v>
      </c>
      <c r="L89" s="214">
        <f t="shared" si="31"/>
        <v>3.3333333333333335</v>
      </c>
      <c r="M89" s="214">
        <f t="shared" si="31"/>
        <v>3.3333333333333335</v>
      </c>
      <c r="N89" s="214">
        <f t="shared" si="31"/>
        <v>3.7037037037037033</v>
      </c>
      <c r="O89" s="214">
        <f t="shared" si="31"/>
        <v>3.7037037037037033</v>
      </c>
      <c r="P89" s="214">
        <f t="shared" si="31"/>
        <v>3.7037037037037033</v>
      </c>
      <c r="Q89" s="214">
        <f t="shared" si="31"/>
        <v>3.7037037037037033</v>
      </c>
      <c r="R89" s="214">
        <f t="shared" si="31"/>
        <v>3.7037037037037033</v>
      </c>
      <c r="S89" s="214">
        <f t="shared" si="31"/>
        <v>3.7037037037037033</v>
      </c>
      <c r="T89" s="214">
        <f t="shared" si="31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678</v>
      </c>
    </row>
    <row r="93" spans="4:28" ht="15" customHeight="1">
      <c r="D93" s="268" t="s">
        <v>680</v>
      </c>
      <c r="Y93" s="214" t="s">
        <v>679</v>
      </c>
      <c r="Z93" s="214"/>
    </row>
    <row r="94" spans="4:28" ht="15" customHeight="1">
      <c r="E94" s="214" t="s">
        <v>681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682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683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691</v>
      </c>
      <c r="E101" s="268" t="s">
        <v>690</v>
      </c>
      <c r="F101" s="214" t="s">
        <v>689</v>
      </c>
      <c r="G101" s="214" t="s">
        <v>688</v>
      </c>
      <c r="Y101" s="254" t="s">
        <v>679</v>
      </c>
    </row>
    <row r="102" spans="1:44" ht="15" customHeight="1">
      <c r="E102" s="214" t="s">
        <v>684</v>
      </c>
      <c r="F102" s="2">
        <v>16</v>
      </c>
      <c r="G102" s="2">
        <v>0.23</v>
      </c>
    </row>
    <row r="103" spans="1:44" ht="15" customHeight="1">
      <c r="E103" s="214" t="s">
        <v>685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686</v>
      </c>
      <c r="F104" s="214">
        <v>16</v>
      </c>
      <c r="G104" s="2">
        <v>0.13</v>
      </c>
    </row>
    <row r="105" spans="1:44" ht="15" customHeight="1">
      <c r="E105" s="214" t="s">
        <v>687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700</v>
      </c>
      <c r="E107" s="268" t="s">
        <v>692</v>
      </c>
      <c r="F107" s="214" t="s">
        <v>370</v>
      </c>
      <c r="G107" s="214" t="s">
        <v>698</v>
      </c>
      <c r="H107" s="214" t="s">
        <v>699</v>
      </c>
      <c r="I107" s="2"/>
      <c r="J107" s="230" t="s">
        <v>708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693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694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695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696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697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707</v>
      </c>
      <c r="E114" s="271" t="s">
        <v>701</v>
      </c>
      <c r="F114" s="214" t="s">
        <v>702</v>
      </c>
      <c r="G114" s="214" t="s">
        <v>703</v>
      </c>
      <c r="H114" s="214" t="s">
        <v>704</v>
      </c>
      <c r="I114" s="214" t="s">
        <v>698</v>
      </c>
      <c r="J114" s="214" t="s">
        <v>699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705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706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628</v>
      </c>
      <c r="G119" s="258" t="s">
        <v>577</v>
      </c>
      <c r="H119" s="258" t="s">
        <v>578</v>
      </c>
      <c r="I119" s="258" t="s">
        <v>579</v>
      </c>
      <c r="J119" s="258" t="s">
        <v>580</v>
      </c>
      <c r="K119" s="258" t="s">
        <v>581</v>
      </c>
      <c r="L119" s="258" t="s">
        <v>582</v>
      </c>
      <c r="M119" s="258" t="s">
        <v>583</v>
      </c>
      <c r="N119" s="258" t="s">
        <v>584</v>
      </c>
      <c r="O119" s="258" t="s">
        <v>585</v>
      </c>
      <c r="P119" s="258" t="s">
        <v>586</v>
      </c>
      <c r="Q119" s="258" t="s">
        <v>587</v>
      </c>
      <c r="R119" s="258" t="s">
        <v>588</v>
      </c>
      <c r="S119" s="258">
        <v>7</v>
      </c>
      <c r="T119" s="223">
        <v>8</v>
      </c>
      <c r="U119" s="286"/>
      <c r="V119" s="286"/>
      <c r="W119" s="286"/>
      <c r="Y119" s="254" t="s">
        <v>709</v>
      </c>
    </row>
    <row r="120" spans="1:44" ht="15" customHeight="1">
      <c r="E120" s="269" t="s">
        <v>710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734</v>
      </c>
      <c r="B122" s="5">
        <v>0</v>
      </c>
      <c r="E122" s="274" t="s">
        <v>733</v>
      </c>
    </row>
    <row r="123" spans="1:44" ht="15" customHeight="1">
      <c r="B123" s="254" t="s">
        <v>728</v>
      </c>
      <c r="C123" s="5"/>
      <c r="D123" s="254" t="s">
        <v>688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235</v>
      </c>
      <c r="C124" s="254"/>
      <c r="D124" s="76" t="s">
        <v>235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731</v>
      </c>
      <c r="B125" s="5">
        <v>0.17</v>
      </c>
      <c r="C125" s="254" t="s">
        <v>727</v>
      </c>
      <c r="D125" s="5">
        <f>B125</f>
        <v>0.17</v>
      </c>
      <c r="E125" s="269"/>
    </row>
    <row r="126" spans="1:44" ht="15" customHeight="1">
      <c r="A126" s="254" t="s">
        <v>718</v>
      </c>
      <c r="B126" s="5">
        <v>0.67</v>
      </c>
      <c r="C126" s="254" t="s">
        <v>724</v>
      </c>
      <c r="D126" s="254">
        <f>B126</f>
        <v>0.67</v>
      </c>
      <c r="E126" s="76"/>
    </row>
    <row r="127" spans="1:44" ht="15" customHeight="1">
      <c r="A127" s="254" t="s">
        <v>729</v>
      </c>
      <c r="B127" s="254">
        <v>5</v>
      </c>
      <c r="C127" s="254" t="s">
        <v>729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719</v>
      </c>
      <c r="B128" s="5">
        <v>0.79</v>
      </c>
      <c r="C128" s="254" t="s">
        <v>722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720</v>
      </c>
      <c r="B129" s="5">
        <v>20</v>
      </c>
      <c r="C129" s="254" t="s">
        <v>725</v>
      </c>
      <c r="D129" s="5">
        <f>0.95*5.5</f>
        <v>5.2249999999999996</v>
      </c>
      <c r="E129" s="269"/>
    </row>
    <row r="130" spans="1:44" ht="15" customHeight="1">
      <c r="A130" s="254" t="s">
        <v>721</v>
      </c>
      <c r="B130" s="5">
        <v>0.55000000000000004</v>
      </c>
      <c r="C130" s="254" t="s">
        <v>723</v>
      </c>
      <c r="D130" s="254">
        <v>0.55000000000000004</v>
      </c>
      <c r="E130" s="269"/>
    </row>
    <row r="131" spans="1:44" ht="15" customHeight="1">
      <c r="A131" s="254" t="s">
        <v>730</v>
      </c>
      <c r="B131" s="5">
        <v>0.68</v>
      </c>
      <c r="C131" s="254" t="s">
        <v>726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360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732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688</v>
      </c>
      <c r="B136" s="5">
        <v>0.23</v>
      </c>
      <c r="E136" s="269"/>
    </row>
    <row r="137" spans="1:44" ht="15" customHeight="1">
      <c r="A137" s="254" t="s">
        <v>740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735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736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744</v>
      </c>
      <c r="B144" s="254" t="s">
        <v>745</v>
      </c>
      <c r="C144" s="254" t="s">
        <v>746</v>
      </c>
      <c r="E144" s="269"/>
    </row>
    <row r="145" spans="1:5" ht="15" customHeight="1">
      <c r="A145" s="254" t="s">
        <v>741</v>
      </c>
      <c r="B145" s="254">
        <v>8.5736552962920293E-2</v>
      </c>
      <c r="E145" s="269"/>
    </row>
    <row r="146" spans="1:5" ht="15" customHeight="1">
      <c r="A146" s="254" t="s">
        <v>738</v>
      </c>
      <c r="B146" s="5">
        <v>5.7476006036368224E-2</v>
      </c>
      <c r="E146" s="269"/>
    </row>
    <row r="147" spans="1:5" ht="15" customHeight="1">
      <c r="A147" s="254" t="s">
        <v>739</v>
      </c>
      <c r="B147" s="5">
        <v>6.2131032322258431E-2</v>
      </c>
      <c r="E147" s="269"/>
    </row>
    <row r="148" spans="1:5" ht="15" customHeight="1">
      <c r="A148" s="254" t="s">
        <v>742</v>
      </c>
      <c r="B148" s="5">
        <v>3.5893754486719311E-2</v>
      </c>
      <c r="E148" s="269"/>
    </row>
    <row r="149" spans="1:5" ht="15" customHeight="1">
      <c r="A149" s="254" t="s">
        <v>743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S5" sqref="S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1334</v>
      </c>
      <c r="H1" s="165" t="s">
        <v>1336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810</v>
      </c>
      <c r="S1" s="324" t="s">
        <v>818</v>
      </c>
      <c r="T1" s="316" t="s">
        <v>433</v>
      </c>
      <c r="U1" s="317" t="s">
        <v>434</v>
      </c>
      <c r="V1" s="318" t="s">
        <v>435</v>
      </c>
    </row>
    <row r="2" spans="1:22" ht="15" customHeight="1" thickBot="1">
      <c r="A2" s="11" t="s">
        <v>422</v>
      </c>
      <c r="F2" s="517" t="s">
        <v>1335</v>
      </c>
      <c r="G2" s="215" t="s">
        <v>766</v>
      </c>
      <c r="H2" s="77" t="s">
        <v>564</v>
      </c>
      <c r="I2" s="44">
        <f>L2*0.25</f>
        <v>10.815875</v>
      </c>
      <c r="J2" s="44">
        <f>L2*0.5</f>
        <v>21.63175</v>
      </c>
      <c r="K2" s="44">
        <f>L2*0.75</f>
        <v>32.447625000000002</v>
      </c>
      <c r="L2" s="490">
        <f>IF(Age="existing",0.15*A_houseSI+3.5*(Nbedrooms+1)+(65/4),0.15*A_houseSI+3.5*(Nbedrooms+1))</f>
        <v>43.263500000000001</v>
      </c>
      <c r="M2" s="251">
        <f>1.25*L2</f>
        <v>54.079374999999999</v>
      </c>
      <c r="N2" s="44">
        <f>L2*2</f>
        <v>86.527000000000001</v>
      </c>
      <c r="O2" s="44">
        <f>L2*3</f>
        <v>129.79050000000001</v>
      </c>
      <c r="R2" s="325" t="s">
        <v>808</v>
      </c>
      <c r="S2" s="294">
        <v>13</v>
      </c>
      <c r="T2" s="319" t="s">
        <v>436</v>
      </c>
      <c r="U2" s="130" t="s">
        <v>437</v>
      </c>
      <c r="V2" s="320" t="s">
        <v>438</v>
      </c>
    </row>
    <row r="3" spans="1:22" ht="15" customHeight="1" thickBot="1">
      <c r="A3" s="11" t="s">
        <v>260</v>
      </c>
      <c r="B3" s="40"/>
      <c r="C3" s="200"/>
      <c r="F3" s="517" t="s">
        <v>1335</v>
      </c>
      <c r="G3" s="215" t="s">
        <v>767</v>
      </c>
      <c r="H3" s="2" t="s">
        <v>596</v>
      </c>
      <c r="I3" s="189">
        <f>L3*0.25</f>
        <v>23.25</v>
      </c>
      <c r="J3" s="44">
        <f>L3*0.5</f>
        <v>46.5</v>
      </c>
      <c r="K3" s="44">
        <f>L3*0.75</f>
        <v>69.75</v>
      </c>
      <c r="L3" s="289">
        <f>IF(Age="existing",0.03*A_houseFT+7.5*(Nbedrooms+1)+(130/4), 0.03*A_houseFT+7.5*(Nbedrooms+1))</f>
        <v>93</v>
      </c>
      <c r="M3" s="251">
        <f>1.25*L3</f>
        <v>116.25</v>
      </c>
      <c r="N3" s="44">
        <f>L3*2</f>
        <v>186</v>
      </c>
      <c r="O3" s="44">
        <f>L3*3</f>
        <v>279</v>
      </c>
      <c r="R3" s="455" t="s">
        <v>809</v>
      </c>
      <c r="S3" s="456">
        <v>17</v>
      </c>
      <c r="T3" s="319" t="s">
        <v>439</v>
      </c>
      <c r="U3" s="130" t="s">
        <v>440</v>
      </c>
      <c r="V3" s="320" t="s">
        <v>441</v>
      </c>
    </row>
    <row r="4" spans="1:22" ht="15" customHeight="1" thickBot="1">
      <c r="A4" s="11"/>
      <c r="B4" s="40"/>
      <c r="C4" s="200"/>
      <c r="F4" s="518">
        <v>2010</v>
      </c>
      <c r="G4" s="215" t="s">
        <v>766</v>
      </c>
      <c r="H4" s="77" t="s">
        <v>564</v>
      </c>
      <c r="I4" s="251">
        <f>L4*0.25</f>
        <v>5.938625</v>
      </c>
      <c r="J4" s="251">
        <f>L4*0.5</f>
        <v>11.87725</v>
      </c>
      <c r="K4" s="251">
        <f>L4*0.75</f>
        <v>17.815874999999998</v>
      </c>
      <c r="L4" s="490">
        <f>0.05*A_houseSI+3.5*(Nbedrooms+1)</f>
        <v>23.7545</v>
      </c>
      <c r="M4" s="251">
        <f>1.25*L4</f>
        <v>29.693125000000002</v>
      </c>
      <c r="N4" s="251">
        <f>L4*2</f>
        <v>47.509</v>
      </c>
      <c r="O4" s="251">
        <f>L4*3</f>
        <v>71.263499999999993</v>
      </c>
      <c r="R4" s="326" t="s">
        <v>1171</v>
      </c>
      <c r="S4" s="296">
        <v>1</v>
      </c>
      <c r="T4" s="319" t="s">
        <v>442</v>
      </c>
      <c r="U4" s="130" t="s">
        <v>440</v>
      </c>
      <c r="V4" s="320" t="s">
        <v>441</v>
      </c>
    </row>
    <row r="5" spans="1:22" ht="15" customHeight="1">
      <c r="A5" s="11" t="s">
        <v>514</v>
      </c>
      <c r="B5" s="288">
        <f>Nbedrooms</f>
        <v>3</v>
      </c>
      <c r="C5" s="200"/>
      <c r="F5" s="518">
        <v>2010</v>
      </c>
      <c r="G5" s="215" t="s">
        <v>767</v>
      </c>
      <c r="H5" s="214" t="s">
        <v>596</v>
      </c>
      <c r="I5" s="189">
        <f>L5*0.25</f>
        <v>12.75</v>
      </c>
      <c r="J5" s="251">
        <f>L5*0.5</f>
        <v>25.5</v>
      </c>
      <c r="K5" s="251">
        <f>L5*0.75</f>
        <v>38.25</v>
      </c>
      <c r="L5" s="289">
        <f>0.01*A_houseFT+7.5*(Nbedrooms+1)</f>
        <v>51</v>
      </c>
      <c r="M5" s="251">
        <f>1.25*L5</f>
        <v>63.75</v>
      </c>
      <c r="N5" s="251">
        <f>L5*2</f>
        <v>102</v>
      </c>
      <c r="O5" s="251">
        <f>L5*3</f>
        <v>153</v>
      </c>
      <c r="T5" s="319" t="s">
        <v>443</v>
      </c>
      <c r="U5" s="130">
        <v>3</v>
      </c>
      <c r="V5" s="320" t="s">
        <v>441</v>
      </c>
    </row>
    <row r="6" spans="1:22" ht="15" customHeight="1">
      <c r="A6" s="127" t="s">
        <v>802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1400</v>
      </c>
      <c r="L6" s="215">
        <f>Qtot</f>
        <v>43.263500000000001</v>
      </c>
      <c r="M6" s="215"/>
      <c r="N6" s="215"/>
      <c r="O6" s="215"/>
      <c r="P6" s="215"/>
      <c r="Q6" s="215"/>
      <c r="T6" s="319" t="s">
        <v>444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445</v>
      </c>
      <c r="U7" s="130" t="s">
        <v>446</v>
      </c>
      <c r="V7" s="320" t="s">
        <v>447</v>
      </c>
    </row>
    <row r="8" spans="1:22" ht="15" customHeight="1">
      <c r="A8" s="1" t="s">
        <v>792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448</v>
      </c>
      <c r="U8" s="130">
        <v>7</v>
      </c>
      <c r="V8" s="320" t="s">
        <v>449</v>
      </c>
    </row>
    <row r="9" spans="1:22" ht="15" customHeight="1">
      <c r="A9" s="127" t="s">
        <v>774</v>
      </c>
      <c r="B9" s="200">
        <f>IF(ASHRAEver="None", (Leakage!B6*A_houseSI*Weather!B44)/1.44, IF((Leakage!B6*A_houseSI*Weather!B44)/1.44&gt;0.66666*Aeq,0.66666*Aeq,(Leakage!B6*A_houseSI*Weather!B44)/1.44))</f>
        <v>4.470244293217613</v>
      </c>
      <c r="C9" s="200">
        <f>IF(ASHRAEver="None", (Leakage!C6*A_houseSI*Weather!C44)/1.44, IF((Leakage!C6*A_houseSI*Weather!C44)/1.44&gt;0.66666*Aeq,0.66666*Aeq,(Leakage!C6*A_houseSI*Weather!C44)/1.44))</f>
        <v>3.9114637565654111</v>
      </c>
      <c r="D9" s="200">
        <f>IF(ASHRAEver="None", (Leakage!D6*A_houseSI*Weather!D44)/1.44, IF((Leakage!D6*A_houseSI*Weather!D44)/1.44&gt;0.66666*Aeq,0.66666*Aeq,(Leakage!D6*A_houseSI*Weather!D44)/1.44))</f>
        <v>4.3105927113169837</v>
      </c>
      <c r="E9" s="200">
        <f>IF(ASHRAEver="None", (Leakage!E6*A_houseSI*Weather!E44)/1.44, IF((Leakage!E6*A_houseSI*Weather!E44)/1.44&gt;0.66666*Aeq,0.66666*Aeq,(Leakage!E6*A_houseSI*Weather!E44)/1.44))</f>
        <v>3.831637965615097</v>
      </c>
      <c r="F9" s="200">
        <f>IF(ASHRAEver="None", (Leakage!F6*A_houseSI*Weather!F44)/1.44, IF((Leakage!F6*A_houseSI*Weather!F44)/1.44&gt;0.66666*Aeq,0.66666*Aeq,(Leakage!F6*A_houseSI*Weather!F44)/1.44))</f>
        <v>4.1509411294163545</v>
      </c>
      <c r="G9" s="200">
        <f>IF(ASHRAEver="None", (Leakage!G6*A_houseSI*Weather!G44)/1.44, IF((Leakage!G6*A_houseSI*Weather!G44)/1.44&gt;0.66666*Aeq,0.66666*Aeq,(Leakage!G6*A_houseSI*Weather!G44)/1.44))</f>
        <v>3.3526832199132097</v>
      </c>
      <c r="H9" s="200">
        <f>IF(ASHRAEver="None", (Leakage!H6*A_houseSI*Weather!H44)/1.44, IF((Leakage!H6*A_houseSI*Weather!H44)/1.44&gt;0.66666*Aeq,0.66666*Aeq,(Leakage!H6*A_houseSI*Weather!H44)/1.44))</f>
        <v>3.0333800561119522</v>
      </c>
      <c r="I9" s="200">
        <f>IF(ASHRAEver="None", (Leakage!I6*A_houseSI*Weather!I44)/1.44, IF((Leakage!I6*A_houseSI*Weather!I44)/1.44&gt;0.66666*Aeq,0.66666*Aeq,(Leakage!I6*A_houseSI*Weather!I44)/1.44))</f>
        <v>2.7140768923106937</v>
      </c>
      <c r="J9" s="200">
        <f>IF(ASHRAEver="None", (Leakage!J6*A_houseSI*Weather!J44)/1.44, IF((Leakage!J6*A_houseSI*Weather!J44)/1.44&gt;0.66666*Aeq,0.66666*Aeq,(Leakage!J6*A_houseSI*Weather!J44)/1.44))</f>
        <v>3.1132058470622663</v>
      </c>
      <c r="K9" s="200">
        <f>IF(ASHRAEver="None", (Leakage!K6*A_houseSI*Weather!K44)/1.44, IF((Leakage!K6*A_houseSI*Weather!K44)/1.44&gt;0.66666*Aeq,0.66666*Aeq,(Leakage!K6*A_houseSI*Weather!K44)/1.44))</f>
        <v>3.3526832199132097</v>
      </c>
      <c r="L9" s="200">
        <f>IF(ASHRAEver="None", (Leakage!L6*A_houseSI*Weather!L44)/1.44, IF((Leakage!L6*A_houseSI*Weather!L44)/1.44&gt;0.66666*Aeq,0.66666*Aeq,(Leakage!L6*A_houseSI*Weather!L44)/1.44))</f>
        <v>3.9912895475157257</v>
      </c>
      <c r="M9" s="200">
        <f>IF(ASHRAEver="None", (Leakage!M6*A_houseSI*Weather!M44)/1.44, IF((Leakage!M6*A_houseSI*Weather!M44)/1.44&gt;0.66666*Aeq,0.66666*Aeq,(Leakage!M6*A_houseSI*Weather!M44)/1.44))</f>
        <v>4.0711153384660408</v>
      </c>
      <c r="N9" s="200">
        <f>IF(ASHRAEver="None", (Leakage!N6*A_houseSI*Weather!N44)/1.44, IF((Leakage!N6*A_houseSI*Weather!N44)/1.44&gt;0.66666*Aeq,0.66666*Aeq,(Leakage!N6*A_houseSI*Weather!N44)/1.44))</f>
        <v>3.5921605927641531</v>
      </c>
      <c r="O9" s="200">
        <f>IF(ASHRAEver="None", (Leakage!O6*A_houseSI*Weather!O44)/1.44, IF((Leakage!O6*A_houseSI*Weather!O44)/1.44&gt;0.66666*Aeq,0.66666*Aeq,(Leakage!O6*A_houseSI*Weather!O44)/1.44))</f>
        <v>4.5500700841679267</v>
      </c>
      <c r="P9" s="200">
        <f>IF(ASHRAEver="None", (Leakage!P6*A_houseSI*Weather!P44)/1.44, IF((Leakage!P6*A_houseSI*Weather!P44)/1.44&gt;0.66666*Aeq,0.66666*Aeq,(Leakage!P6*A_houseSI*Weather!P44)/1.44))</f>
        <v>3.6719863837144677</v>
      </c>
      <c r="Q9" s="200">
        <f>IF(ASHRAEver="None", (Leakage!Q6*A_houseSI*Weather!Q44)/1.44, IF((Leakage!Q6*A_houseSI*Weather!Q44)/1.44&gt;0.66666*Aeq,0.66666*Aeq,(Leakage!Q6*A_houseSI*Weather!Q44)/1.44))</f>
        <v>3.5123348018138385</v>
      </c>
      <c r="R9" s="200"/>
      <c r="T9" s="319" t="s">
        <v>450</v>
      </c>
      <c r="U9" s="130">
        <v>8</v>
      </c>
      <c r="V9" s="320" t="s">
        <v>451</v>
      </c>
    </row>
    <row r="10" spans="1:22" ht="15" customHeight="1">
      <c r="A10" s="1" t="s">
        <v>773</v>
      </c>
      <c r="B10" s="283">
        <f>IF(ASHRAEver="2013Inf",Aeq-B9,IF(ASHRAEver="2016InfPhi",Aeq-(B9/Aeq)*B9,IF(ASHRAEver="None",0,IF(ASHRAEver="2010noInf",$L$4,Aeq))))</f>
        <v>38.793255706782389</v>
      </c>
      <c r="C10" s="283">
        <f>IF(ASHRAEver="2013Inf",Aeq-C9,IF(ASHRAEver="2016InfPhi",Aeq-(C9/Aeq)*C9,IF(ASHRAEver="None",0,IF(ASHRAEver="2010noInf",$L$4,Aeq))))</f>
        <v>39.35203624343459</v>
      </c>
      <c r="D10" s="283">
        <f>IF(ASHRAEver="2013Inf",Aeq-D9,IF(ASHRAEver="2016InfPhi",Aeq-(D9/Aeq)*D9,IF(ASHRAEver="None",0,IF(ASHRAEver="2010noInf",$L$4,Aeq))))</f>
        <v>38.952907288683015</v>
      </c>
      <c r="E10" s="283">
        <f>IF(ASHRAEver="2013Inf",Aeq-E9,IF(ASHRAEver="2016InfPhi",Aeq-(E9/Aeq)*E9,IF(ASHRAEver="None",0,IF(ASHRAEver="2010noInf",$L$4,Aeq))))</f>
        <v>39.431862034384906</v>
      </c>
      <c r="F10" s="283">
        <f>IF(ASHRAEver="2013Inf",Aeq-F9,IF(ASHRAEver="2016InfPhi",Aeq-(F9/Aeq)*F9,IF(ASHRAEver="None",0,IF(ASHRAEver="2010noInf",$L$4,Aeq))))</f>
        <v>39.112558870583648</v>
      </c>
      <c r="G10" s="283">
        <f>IF(ASHRAEver="2013Inf",Aeq-G9,IF(ASHRAEver="2016InfPhi",Aeq-(G9/Aeq)*G9,IF(ASHRAEver="None",0,IF(ASHRAEver="2010noInf",$L$4,Aeq))))</f>
        <v>39.91081678008679</v>
      </c>
      <c r="H10" s="283">
        <f>IF(ASHRAEver="2013Inf",Aeq-H9,IF(ASHRAEver="2016InfPhi",Aeq-(H9/Aeq)*H9,IF(ASHRAEver="None",0,IF(ASHRAEver="2010noInf",$L$4,Aeq))))</f>
        <v>40.230119943888049</v>
      </c>
      <c r="I10" s="283">
        <f>IF(ASHRAEver="2013Inf",Aeq-I9,IF(ASHRAEver="2016InfPhi",Aeq-(I9/Aeq)*I9,IF(ASHRAEver="None",0,IF(ASHRAEver="2010noInf",$L$4,Aeq))))</f>
        <v>40.549423107689307</v>
      </c>
      <c r="J10" s="283">
        <f>IF(ASHRAEver="2013Inf",Aeq-J9,IF(ASHRAEver="2016InfPhi",Aeq-(J9/Aeq)*J9,IF(ASHRAEver="None",0,IF(ASHRAEver="2010noInf",$L$4,Aeq))))</f>
        <v>40.150294152937732</v>
      </c>
      <c r="K10" s="283">
        <f>IF(ASHRAEver="2013Inf",Aeq-K9,IF(ASHRAEver="2016InfPhi",Aeq-(K9/Aeq)*K9,IF(ASHRAEver="None",0,IF(ASHRAEver="2010noInf",$L$4,Aeq))))</f>
        <v>39.91081678008679</v>
      </c>
      <c r="L10" s="283">
        <f>IF(ASHRAEver="2013Inf",Aeq-L9,IF(ASHRAEver="2016InfPhi",Aeq-(L9/Aeq)*L9,IF(ASHRAEver="None",0,IF(ASHRAEver="2010noInf",$L$4,Aeq))))</f>
        <v>39.272210452484273</v>
      </c>
      <c r="M10" s="283">
        <f>IF(ASHRAEver="2013Inf",Aeq-M9,IF(ASHRAEver="2016InfPhi",Aeq-(M9/Aeq)*M9,IF(ASHRAEver="None",0,IF(ASHRAEver="2010noInf",$L$4,Aeq))))</f>
        <v>39.192384661533957</v>
      </c>
      <c r="N10" s="283">
        <f>IF(ASHRAEver="2013Inf",Aeq-N9,IF(ASHRAEver="2016InfPhi",Aeq-(N9/Aeq)*N9,IF(ASHRAEver="None",0,IF(ASHRAEver="2010noInf",$L$4,Aeq))))</f>
        <v>39.671339407235848</v>
      </c>
      <c r="O10" s="283">
        <f>IF(ASHRAEver="2013Inf",Aeq-O9,IF(ASHRAEver="2016InfPhi",Aeq-(O9/Aeq)*O9,IF(ASHRAEver="None",0,IF(ASHRAEver="2010noInf",$L$4,Aeq))))</f>
        <v>38.713429915832073</v>
      </c>
      <c r="P10" s="283">
        <f>IF(ASHRAEver="2013Inf",Aeq-P9,IF(ASHRAEver="2016InfPhi",Aeq-(P9/Aeq)*P9,IF(ASHRAEver="None",0,IF(ASHRAEver="2010noInf",$L$4,Aeq))))</f>
        <v>39.591513616285532</v>
      </c>
      <c r="Q10" s="283">
        <f>IF(ASHRAEver="2013Inf",Aeq-Q9,IF(ASHRAEver="2016InfPhi",Aeq-(Q9/Aeq)*Q9,IF(ASHRAEver="None",0,IF(ASHRAEver="2010noInf",$L$4,Aeq))))</f>
        <v>39.751165198186165</v>
      </c>
      <c r="R10" s="283"/>
      <c r="T10" s="319" t="s">
        <v>452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453</v>
      </c>
      <c r="U11" s="130">
        <v>5</v>
      </c>
      <c r="V11" s="320" t="s">
        <v>454</v>
      </c>
    </row>
    <row r="12" spans="1:22" ht="15" customHeight="1">
      <c r="A12" s="80" t="s">
        <v>894</v>
      </c>
      <c r="B12" s="327">
        <f t="shared" ref="B12:Q12" si="0">IF(VentSystem="CFIS",0,0.4361*B13*-1000)</f>
        <v>16.917738813727798</v>
      </c>
      <c r="C12" s="327">
        <f t="shared" si="0"/>
        <v>17.161423005761822</v>
      </c>
      <c r="D12" s="327">
        <f t="shared" si="0"/>
        <v>16.987362868594666</v>
      </c>
      <c r="E12" s="327">
        <f t="shared" si="0"/>
        <v>17.196235033195261</v>
      </c>
      <c r="F12" s="327">
        <f t="shared" si="0"/>
        <v>17.056986923461526</v>
      </c>
      <c r="G12" s="327">
        <f t="shared" si="0"/>
        <v>17.40510719779585</v>
      </c>
      <c r="H12" s="327">
        <f t="shared" si="0"/>
        <v>17.544355307529575</v>
      </c>
      <c r="I12" s="327">
        <f t="shared" si="0"/>
        <v>17.683603417263306</v>
      </c>
      <c r="J12" s="327">
        <f t="shared" si="0"/>
        <v>17.509543280096146</v>
      </c>
      <c r="K12" s="327">
        <f t="shared" si="0"/>
        <v>17.40510719779585</v>
      </c>
      <c r="L12" s="327">
        <f t="shared" si="0"/>
        <v>17.12661097832839</v>
      </c>
      <c r="M12" s="327">
        <f t="shared" si="0"/>
        <v>17.091798950894958</v>
      </c>
      <c r="N12" s="327">
        <f t="shared" si="0"/>
        <v>17.300671115495554</v>
      </c>
      <c r="O12" s="327">
        <f t="shared" si="0"/>
        <v>16.882926786294366</v>
      </c>
      <c r="P12" s="327">
        <f t="shared" si="0"/>
        <v>17.265859088062118</v>
      </c>
      <c r="Q12" s="327">
        <f t="shared" si="0"/>
        <v>17.335483142928986</v>
      </c>
      <c r="R12" s="327"/>
      <c r="T12" s="319" t="s">
        <v>455</v>
      </c>
      <c r="U12" s="130" t="s">
        <v>456</v>
      </c>
      <c r="V12" s="320" t="s">
        <v>441</v>
      </c>
    </row>
    <row r="13" spans="1:22" ht="15" customHeight="1">
      <c r="A13" s="80" t="s">
        <v>895</v>
      </c>
      <c r="B13" s="327">
        <f>B10/-1000</f>
        <v>-3.8793255706782388E-2</v>
      </c>
      <c r="C13" s="327">
        <f t="shared" ref="C13:Q13" si="1">C10/-1000</f>
        <v>-3.9352036243434592E-2</v>
      </c>
      <c r="D13" s="327">
        <f t="shared" si="1"/>
        <v>-3.8952907288683017E-2</v>
      </c>
      <c r="E13" s="327">
        <f t="shared" si="1"/>
        <v>-3.943186203438491E-2</v>
      </c>
      <c r="F13" s="327">
        <f t="shared" si="1"/>
        <v>-3.9112558870583645E-2</v>
      </c>
      <c r="G13" s="327">
        <f t="shared" si="1"/>
        <v>-3.9910816780086789E-2</v>
      </c>
      <c r="H13" s="327">
        <f t="shared" si="1"/>
        <v>-4.0230119943888046E-2</v>
      </c>
      <c r="I13" s="327">
        <f t="shared" si="1"/>
        <v>-4.054942310768931E-2</v>
      </c>
      <c r="J13" s="327">
        <f t="shared" si="1"/>
        <v>-4.0150294152937735E-2</v>
      </c>
      <c r="K13" s="327">
        <f t="shared" si="1"/>
        <v>-3.9910816780086789E-2</v>
      </c>
      <c r="L13" s="327">
        <f t="shared" si="1"/>
        <v>-3.9272210452484274E-2</v>
      </c>
      <c r="M13" s="327">
        <f t="shared" si="1"/>
        <v>-3.9192384661533956E-2</v>
      </c>
      <c r="N13" s="327">
        <f t="shared" si="1"/>
        <v>-3.9671339407235849E-2</v>
      </c>
      <c r="O13" s="327">
        <f t="shared" si="1"/>
        <v>-3.871342991583207E-2</v>
      </c>
      <c r="P13" s="327">
        <f t="shared" si="1"/>
        <v>-3.9591513616285531E-2</v>
      </c>
      <c r="Q13" s="327">
        <f t="shared" si="1"/>
        <v>-3.9751165198186167E-2</v>
      </c>
      <c r="R13" s="327"/>
      <c r="T13" s="319" t="s">
        <v>457</v>
      </c>
      <c r="U13" s="130" t="s">
        <v>458</v>
      </c>
      <c r="V13" s="320" t="s">
        <v>441</v>
      </c>
    </row>
    <row r="14" spans="1:22" ht="15" customHeight="1">
      <c r="A14" s="80" t="s">
        <v>896</v>
      </c>
      <c r="B14" s="328">
        <f t="shared" ref="B14:Q14" si="2">VLOOKUP(VentSystem,$R$2:$S$4,2,FALSE)</f>
        <v>1</v>
      </c>
      <c r="C14" s="328">
        <f t="shared" si="2"/>
        <v>1</v>
      </c>
      <c r="D14" s="328">
        <f t="shared" si="2"/>
        <v>1</v>
      </c>
      <c r="E14" s="328">
        <f t="shared" si="2"/>
        <v>1</v>
      </c>
      <c r="F14" s="328">
        <f t="shared" si="2"/>
        <v>1</v>
      </c>
      <c r="G14" s="328">
        <f t="shared" si="2"/>
        <v>1</v>
      </c>
      <c r="H14" s="328">
        <f t="shared" si="2"/>
        <v>1</v>
      </c>
      <c r="I14" s="328">
        <f t="shared" si="2"/>
        <v>1</v>
      </c>
      <c r="J14" s="328">
        <f t="shared" si="2"/>
        <v>1</v>
      </c>
      <c r="K14" s="328">
        <f t="shared" si="2"/>
        <v>1</v>
      </c>
      <c r="L14" s="328">
        <f t="shared" si="2"/>
        <v>1</v>
      </c>
      <c r="M14" s="328">
        <f t="shared" si="2"/>
        <v>1</v>
      </c>
      <c r="N14" s="328">
        <f t="shared" si="2"/>
        <v>1</v>
      </c>
      <c r="O14" s="328">
        <f t="shared" si="2"/>
        <v>1</v>
      </c>
      <c r="P14" s="328">
        <f t="shared" si="2"/>
        <v>1</v>
      </c>
      <c r="Q14" s="328">
        <f t="shared" si="2"/>
        <v>1</v>
      </c>
      <c r="R14" s="328"/>
      <c r="T14" s="319" t="s">
        <v>459</v>
      </c>
      <c r="U14" s="130" t="s">
        <v>460</v>
      </c>
      <c r="V14" s="320" t="s">
        <v>447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461</v>
      </c>
      <c r="U15" s="130">
        <v>7</v>
      </c>
      <c r="V15" s="320" t="s">
        <v>447</v>
      </c>
    </row>
    <row r="16" spans="1:22" ht="15" customHeight="1">
      <c r="T16" s="319" t="s">
        <v>462</v>
      </c>
      <c r="U16" s="130" t="s">
        <v>463</v>
      </c>
      <c r="V16" s="320" t="s">
        <v>447</v>
      </c>
    </row>
    <row r="17" spans="2:22" ht="15" customHeight="1">
      <c r="T17" s="319" t="s">
        <v>464</v>
      </c>
      <c r="U17" s="130">
        <v>4</v>
      </c>
      <c r="V17" s="320" t="s">
        <v>465</v>
      </c>
    </row>
    <row r="18" spans="2:22" ht="15" customHeight="1">
      <c r="B18" s="7">
        <f>IF(ASHRAEver="2010noInf",1,0)</f>
        <v>0</v>
      </c>
      <c r="T18" s="319" t="s">
        <v>466</v>
      </c>
      <c r="U18" s="130">
        <v>4</v>
      </c>
      <c r="V18" s="320" t="s">
        <v>465</v>
      </c>
    </row>
    <row r="19" spans="2:22" ht="15" customHeight="1">
      <c r="T19" s="319" t="s">
        <v>467</v>
      </c>
      <c r="U19" s="130">
        <v>6</v>
      </c>
      <c r="V19" s="320" t="s">
        <v>441</v>
      </c>
    </row>
    <row r="20" spans="2:22" ht="15" customHeight="1">
      <c r="T20" s="319" t="s">
        <v>474</v>
      </c>
      <c r="U20" s="130"/>
      <c r="V20" s="320"/>
    </row>
    <row r="21" spans="2:22" ht="15" customHeight="1">
      <c r="T21" s="319" t="s">
        <v>468</v>
      </c>
      <c r="U21" s="130" t="s">
        <v>469</v>
      </c>
      <c r="V21" s="320" t="s">
        <v>470</v>
      </c>
    </row>
    <row r="22" spans="2:22" ht="15" customHeight="1">
      <c r="T22" s="319" t="s">
        <v>471</v>
      </c>
      <c r="U22" s="130" t="s">
        <v>371</v>
      </c>
      <c r="V22" s="320" t="s">
        <v>472</v>
      </c>
    </row>
    <row r="23" spans="2:22" ht="15" customHeight="1" thickBot="1">
      <c r="T23" s="321" t="s">
        <v>473</v>
      </c>
      <c r="U23" s="322"/>
      <c r="V23" s="323"/>
    </row>
    <row r="48" spans="1:1" ht="15" customHeight="1">
      <c r="A48" s="493" t="s">
        <v>1333</v>
      </c>
    </row>
    <row r="50" spans="1:18" ht="15" customHeight="1">
      <c r="A50" s="84" t="s">
        <v>261</v>
      </c>
      <c r="B50" s="217" t="s">
        <v>626</v>
      </c>
      <c r="C50" s="217" t="s">
        <v>627</v>
      </c>
      <c r="D50" s="88" t="s">
        <v>126</v>
      </c>
      <c r="E50" s="88" t="s">
        <v>263</v>
      </c>
      <c r="F50" s="88" t="s">
        <v>126</v>
      </c>
      <c r="G50" s="88" t="s">
        <v>264</v>
      </c>
      <c r="H50" s="88" t="s">
        <v>502</v>
      </c>
      <c r="I50" s="88" t="s">
        <v>265</v>
      </c>
      <c r="J50" s="88"/>
      <c r="K50" s="88" t="s">
        <v>394</v>
      </c>
      <c r="L50" s="88" t="s">
        <v>395</v>
      </c>
      <c r="M50" s="88" t="s">
        <v>266</v>
      </c>
      <c r="N50" s="88"/>
      <c r="O50" s="88" t="s">
        <v>267</v>
      </c>
      <c r="P50" s="88" t="s">
        <v>268</v>
      </c>
      <c r="Q50" s="88" t="s">
        <v>269</v>
      </c>
      <c r="R50" s="88" t="s">
        <v>0</v>
      </c>
    </row>
    <row r="51" spans="1:18" ht="15" customHeight="1">
      <c r="A51" s="92" t="s">
        <v>270</v>
      </c>
      <c r="B51" s="215">
        <v>50</v>
      </c>
      <c r="C51" s="400">
        <f>E51/1000*-1</f>
        <v>-2.3596035865974516E-2</v>
      </c>
      <c r="D51" s="7" t="s">
        <v>271</v>
      </c>
      <c r="E51" s="44">
        <f>B51/2.119</f>
        <v>23.596035865974514</v>
      </c>
      <c r="F51" s="7" t="s">
        <v>185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0.15872131958021529</v>
      </c>
      <c r="L51" s="39">
        <f>E51*10^-3*3600/V_houseSI+10/100*A_houseSI*3600/1000/V_houseSI</f>
        <v>0.28995074478021532</v>
      </c>
      <c r="M51" s="41">
        <v>31</v>
      </c>
      <c r="N51" s="42">
        <v>0.25</v>
      </c>
      <c r="O51" s="43">
        <f t="shared" ref="O51:O57" si="3">$H$53*(1+N51)</f>
        <v>41.293062765455403</v>
      </c>
      <c r="P51" s="43">
        <f t="shared" ref="P51:P57" si="4">O51*10^-3/(0.3048^3)*60</f>
        <v>87.495044968294053</v>
      </c>
      <c r="Q51" s="43">
        <f t="shared" ref="Q51:Q57" si="5">$F$84</f>
        <v>16.2</v>
      </c>
    </row>
    <row r="52" spans="1:18" ht="15" customHeight="1">
      <c r="A52" s="92" t="s">
        <v>272</v>
      </c>
      <c r="B52" s="215">
        <v>100</v>
      </c>
      <c r="C52" s="400">
        <f>E52/1000*-1</f>
        <v>-4.7192071731949031E-2</v>
      </c>
      <c r="D52" s="7" t="s">
        <v>271</v>
      </c>
      <c r="E52" s="44">
        <f>B52/2.119</f>
        <v>47.192071731949028</v>
      </c>
      <c r="F52" s="7" t="s">
        <v>185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0.31744263916043058</v>
      </c>
      <c r="L52" s="39">
        <f>E52*10^-3*3600/V_houseSI+10/100*A_houseSI*3600/1000/V_houseSI</f>
        <v>0.44867206436043061</v>
      </c>
      <c r="M52" s="41">
        <v>32</v>
      </c>
      <c r="N52" s="42">
        <v>0.25</v>
      </c>
      <c r="O52" s="43">
        <f t="shared" si="3"/>
        <v>41.293062765455403</v>
      </c>
      <c r="P52" s="43">
        <f t="shared" si="4"/>
        <v>87.495044968294053</v>
      </c>
      <c r="Q52" s="43">
        <f t="shared" si="5"/>
        <v>16.2</v>
      </c>
    </row>
    <row r="53" spans="1:18" ht="15" customHeight="1">
      <c r="A53" s="92" t="s">
        <v>273</v>
      </c>
      <c r="B53" s="214">
        <v>70</v>
      </c>
      <c r="C53" s="401">
        <f>E53/1000*-1</f>
        <v>-3.303445021236432E-2</v>
      </c>
      <c r="D53" s="2" t="s">
        <v>271</v>
      </c>
      <c r="E53" s="44">
        <f>B53/2.119</f>
        <v>33.03445021236432</v>
      </c>
      <c r="F53" s="7" t="s">
        <v>185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0.2222098474123014</v>
      </c>
      <c r="L53" s="39">
        <f>E53*10^-3*3600/V_houseSI+10/100*A_houseSI*3600/1000/V_houseSI</f>
        <v>0.3534392726123014</v>
      </c>
      <c r="M53" s="41">
        <v>33</v>
      </c>
      <c r="N53" s="42">
        <v>0.25</v>
      </c>
      <c r="O53" s="43">
        <f t="shared" si="3"/>
        <v>41.293062765455403</v>
      </c>
      <c r="P53" s="43">
        <f t="shared" si="4"/>
        <v>87.495044968294053</v>
      </c>
      <c r="Q53" s="43">
        <f t="shared" si="5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271</v>
      </c>
      <c r="E54" s="44">
        <f>B54/2.119</f>
        <v>70.788107597923542</v>
      </c>
      <c r="F54" s="7" t="s">
        <v>185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0.47616395874064593</v>
      </c>
      <c r="L54" s="39">
        <f>E54*10^-3*3600/V_houseSI+10/100*A_houseSI*3600/1000/V_houseSI</f>
        <v>0.6073933839406459</v>
      </c>
      <c r="M54" s="41">
        <v>34</v>
      </c>
      <c r="N54" s="42">
        <v>0.25</v>
      </c>
      <c r="O54" s="43">
        <f t="shared" si="3"/>
        <v>41.293062765455403</v>
      </c>
      <c r="P54" s="43">
        <f t="shared" si="4"/>
        <v>87.495044968294053</v>
      </c>
      <c r="Q54" s="43">
        <f t="shared" si="5"/>
        <v>16.2</v>
      </c>
    </row>
    <row r="55" spans="1:18" ht="15" customHeight="1">
      <c r="M55" s="41">
        <v>35</v>
      </c>
      <c r="N55" s="42">
        <v>0.25</v>
      </c>
      <c r="O55" s="43">
        <f t="shared" si="3"/>
        <v>41.293062765455403</v>
      </c>
      <c r="P55" s="43">
        <f t="shared" si="4"/>
        <v>87.495044968294053</v>
      </c>
      <c r="Q55" s="43">
        <f t="shared" si="5"/>
        <v>16.2</v>
      </c>
    </row>
    <row r="56" spans="1:18" ht="15" customHeight="1">
      <c r="A56" s="4" t="s">
        <v>274</v>
      </c>
      <c r="M56" s="41">
        <v>36</v>
      </c>
      <c r="N56" s="42">
        <v>0.25</v>
      </c>
      <c r="O56" s="43">
        <f t="shared" si="3"/>
        <v>41.293062765455403</v>
      </c>
      <c r="P56" s="43">
        <f t="shared" si="4"/>
        <v>87.495044968294053</v>
      </c>
      <c r="Q56" s="41">
        <f t="shared" si="5"/>
        <v>16.2</v>
      </c>
    </row>
    <row r="57" spans="1:18" ht="15" customHeight="1">
      <c r="A57" s="89" t="s">
        <v>275</v>
      </c>
      <c r="B57" s="212" t="s">
        <v>626</v>
      </c>
      <c r="C57" s="213" t="s">
        <v>627</v>
      </c>
      <c r="D57" s="30" t="s">
        <v>276</v>
      </c>
      <c r="E57" s="30" t="s">
        <v>277</v>
      </c>
      <c r="F57" s="30" t="s">
        <v>31</v>
      </c>
      <c r="G57" s="74" t="s">
        <v>278</v>
      </c>
      <c r="H57" s="204" t="s">
        <v>185</v>
      </c>
      <c r="M57" s="41">
        <v>37</v>
      </c>
      <c r="N57" s="42">
        <v>0.25</v>
      </c>
      <c r="O57" s="43">
        <f t="shared" si="3"/>
        <v>41.293062765455403</v>
      </c>
      <c r="P57" s="43">
        <f t="shared" si="4"/>
        <v>87.495044968294053</v>
      </c>
      <c r="Q57" s="41">
        <f t="shared" si="5"/>
        <v>16.2</v>
      </c>
    </row>
    <row r="58" spans="1:18" ht="15" customHeight="1">
      <c r="A58" s="90" t="s">
        <v>279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425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280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281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282</v>
      </c>
      <c r="B62" s="210" t="s">
        <v>626</v>
      </c>
      <c r="C62" s="211" t="s">
        <v>627</v>
      </c>
      <c r="D62" s="30" t="s">
        <v>276</v>
      </c>
      <c r="E62" s="30" t="s">
        <v>277</v>
      </c>
      <c r="F62" s="30" t="s">
        <v>31</v>
      </c>
      <c r="G62" s="30" t="s">
        <v>278</v>
      </c>
      <c r="H62" s="204" t="s">
        <v>185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283</v>
      </c>
      <c r="B63" s="45">
        <v>50</v>
      </c>
      <c r="C63" s="202">
        <f t="shared" ref="C63:C68" si="6">H63/1000*-1</f>
        <v>-2.3596035865974516E-2</v>
      </c>
      <c r="D63" s="45" t="s">
        <v>284</v>
      </c>
      <c r="E63" s="45">
        <v>0.25</v>
      </c>
      <c r="F63" s="45">
        <v>10.199999999999999</v>
      </c>
      <c r="G63" s="45" t="s">
        <v>285</v>
      </c>
      <c r="H63" s="203">
        <f t="shared" ref="H63:H68" si="7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286</v>
      </c>
      <c r="B64" s="46">
        <v>50</v>
      </c>
      <c r="C64" s="202">
        <f t="shared" si="6"/>
        <v>-2.3596035865974516E-2</v>
      </c>
      <c r="D64" s="46" t="s">
        <v>284</v>
      </c>
      <c r="E64" s="46">
        <v>0.25</v>
      </c>
      <c r="F64" s="46">
        <v>10.199999999999999</v>
      </c>
      <c r="G64" s="46" t="s">
        <v>287</v>
      </c>
      <c r="H64" s="203">
        <f t="shared" si="7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288</v>
      </c>
      <c r="B65" s="7">
        <v>50</v>
      </c>
      <c r="C65" s="202">
        <f t="shared" si="6"/>
        <v>-2.3596035865974516E-2</v>
      </c>
      <c r="D65" s="7" t="s">
        <v>284</v>
      </c>
      <c r="E65" s="7">
        <v>0.25</v>
      </c>
      <c r="F65" s="7">
        <v>11.2</v>
      </c>
      <c r="G65" s="7" t="s">
        <v>285</v>
      </c>
      <c r="H65" s="203">
        <f t="shared" si="7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289</v>
      </c>
      <c r="B66" s="7">
        <v>50</v>
      </c>
      <c r="C66" s="202">
        <f t="shared" si="6"/>
        <v>-2.3596035865974516E-2</v>
      </c>
      <c r="D66" s="2" t="s">
        <v>284</v>
      </c>
      <c r="E66" s="7">
        <v>0.1</v>
      </c>
      <c r="F66" s="7">
        <v>19.7</v>
      </c>
      <c r="G66" s="2" t="s">
        <v>290</v>
      </c>
      <c r="H66" s="203">
        <f t="shared" si="7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291</v>
      </c>
      <c r="B67" s="47">
        <v>50</v>
      </c>
      <c r="C67" s="202">
        <f t="shared" si="6"/>
        <v>-2.3596035865974516E-2</v>
      </c>
      <c r="D67" s="2" t="s">
        <v>284</v>
      </c>
      <c r="E67" s="7">
        <v>0.25</v>
      </c>
      <c r="F67" s="7">
        <v>11.8</v>
      </c>
      <c r="G67" s="2" t="s">
        <v>292</v>
      </c>
      <c r="H67" s="203">
        <f t="shared" si="7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424</v>
      </c>
      <c r="B68" s="7">
        <v>50</v>
      </c>
      <c r="C68" s="202">
        <f t="shared" si="6"/>
        <v>-2.3596035865974516E-2</v>
      </c>
      <c r="F68" s="7">
        <v>55</v>
      </c>
      <c r="G68" s="7" t="s">
        <v>423</v>
      </c>
      <c r="H68" s="203">
        <f t="shared" si="7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293</v>
      </c>
      <c r="B70" s="209" t="s">
        <v>626</v>
      </c>
      <c r="C70" s="216" t="s">
        <v>627</v>
      </c>
      <c r="D70" s="30" t="s">
        <v>276</v>
      </c>
      <c r="E70" s="30" t="s">
        <v>277</v>
      </c>
      <c r="F70" s="30" t="s">
        <v>31</v>
      </c>
      <c r="G70" s="30" t="s">
        <v>278</v>
      </c>
      <c r="H70" s="204" t="s">
        <v>185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294</v>
      </c>
      <c r="B71" s="48">
        <v>70</v>
      </c>
      <c r="C71" s="202">
        <f t="shared" ref="C71:C76" si="8">H71/1000*-1</f>
        <v>-3.303445021236432E-2</v>
      </c>
      <c r="D71" s="48">
        <v>0.60000000000000009</v>
      </c>
      <c r="E71" s="48" t="s">
        <v>295</v>
      </c>
      <c r="F71" s="48">
        <v>19.399999999999999</v>
      </c>
      <c r="G71" s="48" t="s">
        <v>296</v>
      </c>
      <c r="H71" s="203">
        <f t="shared" ref="H71:H76" si="9">B71/2.119</f>
        <v>33.03445021236432</v>
      </c>
    </row>
    <row r="72" spans="1:17" ht="15" customHeight="1">
      <c r="A72" s="91" t="s">
        <v>297</v>
      </c>
      <c r="B72" s="49">
        <v>72</v>
      </c>
      <c r="C72" s="202">
        <f t="shared" si="8"/>
        <v>-3.3978291647003306E-2</v>
      </c>
      <c r="D72" s="49">
        <v>0.64</v>
      </c>
      <c r="E72" s="49" t="s">
        <v>295</v>
      </c>
      <c r="F72" s="49">
        <v>20</v>
      </c>
      <c r="G72" s="49" t="s">
        <v>298</v>
      </c>
      <c r="H72" s="203">
        <f t="shared" si="9"/>
        <v>33.978291647003303</v>
      </c>
    </row>
    <row r="73" spans="1:17" ht="15" customHeight="1">
      <c r="A73" s="91" t="s">
        <v>299</v>
      </c>
      <c r="B73" s="49">
        <v>68</v>
      </c>
      <c r="C73" s="202">
        <f t="shared" si="8"/>
        <v>-3.2090608777725335E-2</v>
      </c>
      <c r="D73" s="49">
        <v>0.9</v>
      </c>
      <c r="E73" s="49" t="s">
        <v>295</v>
      </c>
      <c r="F73" s="49">
        <v>28.3</v>
      </c>
      <c r="G73" s="49" t="s">
        <v>300</v>
      </c>
      <c r="H73" s="203">
        <f t="shared" si="9"/>
        <v>32.090608777725336</v>
      </c>
    </row>
    <row r="74" spans="1:17" ht="15" customHeight="1">
      <c r="A74" s="91" t="s">
        <v>301</v>
      </c>
      <c r="B74" s="49">
        <v>70</v>
      </c>
      <c r="C74" s="202">
        <f t="shared" si="8"/>
        <v>-3.303445021236432E-2</v>
      </c>
      <c r="D74" s="49">
        <v>0.25</v>
      </c>
      <c r="E74" s="49" t="s">
        <v>295</v>
      </c>
      <c r="F74" s="49">
        <v>24.5</v>
      </c>
      <c r="G74" s="49" t="s">
        <v>302</v>
      </c>
      <c r="H74" s="203">
        <f t="shared" si="9"/>
        <v>33.03445021236432</v>
      </c>
    </row>
    <row r="75" spans="1:17" ht="15" customHeight="1">
      <c r="A75" s="92" t="s">
        <v>303</v>
      </c>
      <c r="B75" s="2">
        <v>70</v>
      </c>
      <c r="C75" s="202">
        <f t="shared" si="8"/>
        <v>-3.303445021236432E-2</v>
      </c>
      <c r="D75" s="2">
        <v>0.30000000000000004</v>
      </c>
      <c r="E75" s="2">
        <v>0.25</v>
      </c>
      <c r="F75" s="2">
        <v>14</v>
      </c>
      <c r="G75" s="2" t="s">
        <v>304</v>
      </c>
      <c r="H75" s="203">
        <f t="shared" si="9"/>
        <v>33.03445021236432</v>
      </c>
      <c r="J75" s="7">
        <f>F75/H75</f>
        <v>0.42380000000000007</v>
      </c>
    </row>
    <row r="76" spans="1:17" ht="15" customHeight="1">
      <c r="A76" s="92" t="s">
        <v>303</v>
      </c>
      <c r="B76" s="7">
        <v>60</v>
      </c>
      <c r="C76" s="202">
        <f t="shared" si="8"/>
        <v>-2.8315243039169418E-2</v>
      </c>
      <c r="D76" s="7">
        <v>0.30000000000000004</v>
      </c>
      <c r="E76" s="7">
        <v>0.25</v>
      </c>
      <c r="F76" s="7">
        <v>11.8</v>
      </c>
      <c r="G76" s="2" t="s">
        <v>304</v>
      </c>
      <c r="H76" s="203">
        <f t="shared" si="9"/>
        <v>28.315243039169417</v>
      </c>
      <c r="J76" s="215">
        <f>F76/H76</f>
        <v>0.41673666666666676</v>
      </c>
    </row>
    <row r="78" spans="1:17" ht="15" customHeight="1">
      <c r="A78" s="89" t="s">
        <v>305</v>
      </c>
      <c r="B78" s="206" t="s">
        <v>626</v>
      </c>
      <c r="C78" s="207" t="s">
        <v>627</v>
      </c>
      <c r="D78" s="30" t="s">
        <v>276</v>
      </c>
      <c r="E78" s="30" t="s">
        <v>277</v>
      </c>
      <c r="F78" s="30" t="s">
        <v>31</v>
      </c>
      <c r="G78" s="30" t="s">
        <v>278</v>
      </c>
      <c r="H78" s="204" t="s">
        <v>185</v>
      </c>
    </row>
    <row r="79" spans="1:17" ht="15" customHeight="1">
      <c r="A79" s="90" t="s">
        <v>306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307</v>
      </c>
      <c r="H79" s="203">
        <f>B79/2.119</f>
        <v>39.16941953751769</v>
      </c>
    </row>
    <row r="80" spans="1:17" ht="15" customHeight="1">
      <c r="A80" s="91" t="s">
        <v>308</v>
      </c>
      <c r="B80" s="49">
        <v>80</v>
      </c>
      <c r="C80" s="198">
        <f t="shared" ref="C80:C86" si="10">H80/1000*-1</f>
        <v>-3.7753657385559219E-2</v>
      </c>
      <c r="D80" s="49">
        <v>0.7</v>
      </c>
      <c r="E80" s="49" t="s">
        <v>295</v>
      </c>
      <c r="F80" s="49">
        <v>23.6</v>
      </c>
      <c r="G80" s="49" t="s">
        <v>309</v>
      </c>
      <c r="H80" s="203">
        <f t="shared" ref="H80:H86" si="11">B80/2.119</f>
        <v>37.753657385559222</v>
      </c>
    </row>
    <row r="81" spans="1:10" ht="15" customHeight="1">
      <c r="A81" s="91" t="s">
        <v>310</v>
      </c>
      <c r="B81" s="49">
        <v>80</v>
      </c>
      <c r="C81" s="198">
        <f t="shared" si="10"/>
        <v>-3.7753657385559219E-2</v>
      </c>
      <c r="D81" s="49">
        <v>1</v>
      </c>
      <c r="E81" s="49" t="s">
        <v>295</v>
      </c>
      <c r="F81" s="49">
        <v>27.2</v>
      </c>
      <c r="G81" s="49" t="s">
        <v>311</v>
      </c>
      <c r="H81" s="203">
        <f t="shared" si="11"/>
        <v>37.753657385559222</v>
      </c>
    </row>
    <row r="82" spans="1:10" ht="15" customHeight="1">
      <c r="A82" s="92" t="s">
        <v>312</v>
      </c>
      <c r="B82" s="7">
        <v>83</v>
      </c>
      <c r="C82" s="198">
        <f t="shared" si="10"/>
        <v>-3.9169419537517687E-2</v>
      </c>
      <c r="D82" s="7">
        <v>0.7</v>
      </c>
      <c r="E82" s="2" t="s">
        <v>313</v>
      </c>
      <c r="F82" s="7">
        <v>24.11</v>
      </c>
      <c r="G82" s="2" t="s">
        <v>314</v>
      </c>
      <c r="H82" s="203">
        <f t="shared" si="11"/>
        <v>39.16941953751769</v>
      </c>
    </row>
    <row r="83" spans="1:10" ht="15" customHeight="1">
      <c r="A83" s="92" t="s">
        <v>315</v>
      </c>
      <c r="B83" s="7">
        <v>80</v>
      </c>
      <c r="C83" s="198">
        <f t="shared" si="10"/>
        <v>-3.7753657385559219E-2</v>
      </c>
      <c r="D83" s="7">
        <v>0.8</v>
      </c>
      <c r="E83" s="2" t="s">
        <v>313</v>
      </c>
      <c r="F83" s="7">
        <v>28.6</v>
      </c>
      <c r="G83" s="2" t="s">
        <v>316</v>
      </c>
      <c r="H83" s="203">
        <f t="shared" si="11"/>
        <v>37.753657385559222</v>
      </c>
    </row>
    <row r="84" spans="1:10" ht="15" customHeight="1">
      <c r="A84" s="92" t="s">
        <v>303</v>
      </c>
      <c r="B84" s="7">
        <v>80</v>
      </c>
      <c r="C84" s="198">
        <f t="shared" si="10"/>
        <v>-3.7753657385559219E-2</v>
      </c>
      <c r="D84" s="7">
        <v>0.30000000000000004</v>
      </c>
      <c r="E84" s="7">
        <v>0.25</v>
      </c>
      <c r="F84" s="7">
        <v>16.2</v>
      </c>
      <c r="G84" s="2" t="s">
        <v>317</v>
      </c>
      <c r="H84" s="203">
        <f t="shared" si="11"/>
        <v>37.753657385559222</v>
      </c>
      <c r="J84" s="215">
        <f>F84/H84</f>
        <v>0.42909750000000002</v>
      </c>
    </row>
    <row r="85" spans="1:10" ht="15" customHeight="1">
      <c r="A85" s="64" t="s">
        <v>599</v>
      </c>
      <c r="B85" s="192">
        <v>100</v>
      </c>
      <c r="C85" s="205">
        <f t="shared" si="10"/>
        <v>-4.7192071731949031E-2</v>
      </c>
      <c r="D85" s="192">
        <v>0.9</v>
      </c>
      <c r="E85" s="192">
        <v>0.25</v>
      </c>
      <c r="F85" s="192">
        <v>27.3</v>
      </c>
      <c r="G85" s="192" t="s">
        <v>600</v>
      </c>
      <c r="H85" s="203">
        <f t="shared" si="11"/>
        <v>47.192071731949028</v>
      </c>
    </row>
    <row r="86" spans="1:10" ht="15" customHeight="1">
      <c r="A86" s="64" t="s">
        <v>597</v>
      </c>
      <c r="B86" s="192">
        <v>150</v>
      </c>
      <c r="C86" s="205">
        <f t="shared" si="10"/>
        <v>-7.0788107597923547E-2</v>
      </c>
      <c r="D86" s="192">
        <v>0.6</v>
      </c>
      <c r="E86" s="192">
        <v>0.25</v>
      </c>
      <c r="F86" s="192">
        <v>31.4</v>
      </c>
      <c r="G86" s="192" t="s">
        <v>598</v>
      </c>
      <c r="H86" s="203">
        <f t="shared" si="11"/>
        <v>70.788107597923542</v>
      </c>
      <c r="J86" s="215">
        <f>F86/H86</f>
        <v>0.44357733333333338</v>
      </c>
    </row>
    <row r="88" spans="1:10" ht="15" customHeight="1">
      <c r="A88" s="89" t="s">
        <v>601</v>
      </c>
      <c r="B88" s="208" t="s">
        <v>626</v>
      </c>
      <c r="C88" s="216" t="s">
        <v>627</v>
      </c>
      <c r="D88" s="30" t="s">
        <v>602</v>
      </c>
      <c r="E88" s="30" t="s">
        <v>603</v>
      </c>
      <c r="F88" s="30" t="s">
        <v>31</v>
      </c>
      <c r="G88" s="30" t="s">
        <v>278</v>
      </c>
      <c r="H88" s="74" t="s">
        <v>185</v>
      </c>
      <c r="J88" s="7">
        <f>AVERAGE(J63:J65,J75:J76,J84,J86)</f>
        <v>0.43605992857142867</v>
      </c>
    </row>
    <row r="89" spans="1:10" ht="15" customHeight="1">
      <c r="A89" s="90" t="s">
        <v>604</v>
      </c>
      <c r="B89" s="193">
        <v>89</v>
      </c>
      <c r="C89" s="198">
        <f t="shared" ref="C89:C94" si="12">H89/1000*-1</f>
        <v>-4.2000943841434636E-2</v>
      </c>
      <c r="D89" s="51">
        <v>73</v>
      </c>
      <c r="E89" s="45">
        <v>84</v>
      </c>
      <c r="F89" s="45">
        <v>89</v>
      </c>
      <c r="G89" s="51" t="s">
        <v>605</v>
      </c>
      <c r="H89" s="44">
        <f>B89/2.119</f>
        <v>42.000943841434633</v>
      </c>
    </row>
    <row r="90" spans="1:10" ht="15" customHeight="1">
      <c r="A90" s="92" t="s">
        <v>606</v>
      </c>
      <c r="B90" s="7">
        <v>114</v>
      </c>
      <c r="C90" s="198">
        <f t="shared" si="12"/>
        <v>-5.3798961774421887E-2</v>
      </c>
      <c r="D90" s="7">
        <v>78</v>
      </c>
      <c r="E90" s="7">
        <v>86</v>
      </c>
      <c r="F90" s="7">
        <v>98</v>
      </c>
      <c r="G90" s="117" t="s">
        <v>607</v>
      </c>
      <c r="H90" s="44">
        <f>B90/2.119</f>
        <v>53.79896177442189</v>
      </c>
    </row>
    <row r="91" spans="1:10" ht="15" customHeight="1">
      <c r="A91" s="1" t="s">
        <v>608</v>
      </c>
      <c r="B91" s="7">
        <v>155</v>
      </c>
      <c r="C91" s="198">
        <f t="shared" si="12"/>
        <v>-7.3147711184520986E-2</v>
      </c>
      <c r="D91" s="7">
        <v>75</v>
      </c>
      <c r="E91" s="7">
        <v>82</v>
      </c>
      <c r="F91" s="7">
        <v>123</v>
      </c>
      <c r="G91" s="117" t="s">
        <v>609</v>
      </c>
      <c r="H91" s="44">
        <f>B91/2.119</f>
        <v>73.147711184520986</v>
      </c>
    </row>
    <row r="92" spans="1:10" ht="15" customHeight="1">
      <c r="A92" s="110" t="s">
        <v>610</v>
      </c>
      <c r="B92" s="194">
        <f>H92*2.119</f>
        <v>84.76</v>
      </c>
      <c r="C92" s="218">
        <f t="shared" si="12"/>
        <v>-0.04</v>
      </c>
      <c r="D92" s="192">
        <v>68</v>
      </c>
      <c r="E92" s="192">
        <v>75</v>
      </c>
      <c r="F92" s="192">
        <v>64</v>
      </c>
      <c r="G92" s="192" t="s">
        <v>611</v>
      </c>
      <c r="H92" s="194">
        <v>40</v>
      </c>
      <c r="I92" s="195">
        <v>1200</v>
      </c>
    </row>
    <row r="93" spans="1:10" ht="15" customHeight="1">
      <c r="A93" s="110" t="s">
        <v>612</v>
      </c>
      <c r="B93" s="194">
        <f>H93*2.119</f>
        <v>118.66400000000002</v>
      </c>
      <c r="C93" s="218">
        <f t="shared" si="12"/>
        <v>-5.6000000000000001E-2</v>
      </c>
      <c r="D93" s="192">
        <v>65</v>
      </c>
      <c r="E93" s="192">
        <v>75</v>
      </c>
      <c r="F93" s="192">
        <v>114</v>
      </c>
      <c r="G93" s="192" t="s">
        <v>611</v>
      </c>
      <c r="H93" s="194">
        <v>56</v>
      </c>
      <c r="I93" s="195">
        <v>2100</v>
      </c>
    </row>
    <row r="94" spans="1:10" ht="15" customHeight="1">
      <c r="A94" s="110" t="s">
        <v>613</v>
      </c>
      <c r="B94" s="194">
        <f>H94*2.119</f>
        <v>137.73500000000001</v>
      </c>
      <c r="C94" s="218">
        <f t="shared" si="12"/>
        <v>-6.5000000000000002E-2</v>
      </c>
      <c r="D94" s="192">
        <v>64</v>
      </c>
      <c r="E94" s="192">
        <v>72</v>
      </c>
      <c r="F94" s="192">
        <v>124</v>
      </c>
      <c r="G94" s="192" t="s">
        <v>611</v>
      </c>
      <c r="H94" s="194">
        <v>65</v>
      </c>
      <c r="I94" s="195">
        <v>2700</v>
      </c>
    </row>
    <row r="97" spans="1:19" ht="15" customHeight="1">
      <c r="A97" s="1" t="s">
        <v>830</v>
      </c>
    </row>
    <row r="98" spans="1:19" ht="15" customHeight="1">
      <c r="A98" s="64" t="s">
        <v>769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774</v>
      </c>
      <c r="B99" s="64"/>
      <c r="C99" s="64" t="s">
        <v>566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771</v>
      </c>
      <c r="B100" s="64" t="s">
        <v>770</v>
      </c>
      <c r="C100" s="64" t="s">
        <v>628</v>
      </c>
      <c r="D100" s="64" t="s">
        <v>577</v>
      </c>
      <c r="E100" s="64" t="s">
        <v>578</v>
      </c>
      <c r="F100" s="64" t="s">
        <v>579</v>
      </c>
      <c r="G100" s="64" t="s">
        <v>580</v>
      </c>
      <c r="H100" s="64" t="s">
        <v>581</v>
      </c>
      <c r="I100" s="64" t="s">
        <v>582</v>
      </c>
      <c r="J100" s="64" t="s">
        <v>583</v>
      </c>
      <c r="K100" s="64" t="s">
        <v>584</v>
      </c>
      <c r="L100" s="64" t="s">
        <v>585</v>
      </c>
      <c r="M100" s="64" t="s">
        <v>586</v>
      </c>
      <c r="N100" s="64" t="s">
        <v>587</v>
      </c>
      <c r="O100" s="64" t="s">
        <v>588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0.56773247088937218</v>
      </c>
      <c r="C101" s="64">
        <f>($B$101*A_houseSI*Weather!B25)/1.44</f>
        <v>31.535528038736892</v>
      </c>
      <c r="D101" s="64">
        <f>($B$101*A_houseSI*Weather!C25)/1.44</f>
        <v>32.304687259193891</v>
      </c>
      <c r="E101" s="64">
        <f>($B$101*A_houseSI*Weather!D25)/1.44</f>
        <v>33.073846479650889</v>
      </c>
      <c r="F101" s="64">
        <f>($B$101*A_houseSI*Weather!E25)/1.44</f>
        <v>35.381324141021885</v>
      </c>
      <c r="G101" s="64">
        <f>($B$101*A_houseSI*Weather!F25)/1.44</f>
        <v>36.919642581935875</v>
      </c>
      <c r="H101" s="64">
        <f>($B$101*A_houseSI*Weather!G25)/1.44</f>
        <v>46.149553227419851</v>
      </c>
      <c r="I101" s="64">
        <f>($B$101*A_houseSI*Weather!H25)/1.44</f>
        <v>38.457961022849872</v>
      </c>
      <c r="J101" s="64">
        <f>($B$101*A_houseSI*Weather!I25)/1.44</f>
        <v>41.53459790467786</v>
      </c>
      <c r="K101" s="64">
        <f>($B$101*A_houseSI*Weather!J25)/1.44</f>
        <v>42.303757125134858</v>
      </c>
      <c r="L101" s="64">
        <f>($B$101*A_houseSI*Weather!K25)/1.44</f>
        <v>46.149553227419851</v>
      </c>
      <c r="M101" s="64">
        <f>($B$101*A_houseSI*Weather!L25)/1.44</f>
        <v>43.072916345591864</v>
      </c>
      <c r="N101" s="64">
        <f>($B$101*A_houseSI*Weather!M25)/1.44</f>
        <v>46.918712447876842</v>
      </c>
      <c r="O101" s="64">
        <f>($B$101*A_houseSI*Weather!N25)/1.44</f>
        <v>48.45703088879084</v>
      </c>
      <c r="P101" s="64">
        <f>($B$101*A_houseSI*Weather!O25)/1.44</f>
        <v>53.841145431989816</v>
      </c>
      <c r="Q101" s="64">
        <f>($B$101*A_houseSI*Weather!P25)/1.44</f>
        <v>53.841145431989816</v>
      </c>
    </row>
    <row r="102" spans="1:19" ht="15" customHeight="1">
      <c r="A102" s="64">
        <v>7</v>
      </c>
      <c r="B102" s="64">
        <f>Leakage!AF61</f>
        <v>0.39741272962256041</v>
      </c>
      <c r="C102" s="64">
        <f>($B$102*A_houseSI*Weather!B25)/1.44</f>
        <v>22.07486962711582</v>
      </c>
      <c r="D102" s="64">
        <f>($B$102*A_houseSI*Weather!C25)/1.44</f>
        <v>22.613281081435716</v>
      </c>
      <c r="E102" s="64">
        <f>($B$102*A_houseSI*Weather!D25)/1.44</f>
        <v>23.151692535755618</v>
      </c>
      <c r="F102" s="64">
        <f>($B$102*A_houseSI*Weather!E25)/1.44</f>
        <v>24.766926898715308</v>
      </c>
      <c r="G102" s="64">
        <f>($B$102*A_houseSI*Weather!F25)/1.44</f>
        <v>25.843749807355106</v>
      </c>
      <c r="H102" s="64">
        <f>($B$102*A_houseSI*Weather!G25)/1.44</f>
        <v>32.304687259193884</v>
      </c>
      <c r="I102" s="64">
        <f>($B$102*A_houseSI*Weather!H25)/1.44</f>
        <v>26.920572715994901</v>
      </c>
      <c r="J102" s="64">
        <f>($B$102*A_houseSI*Weather!I25)/1.44</f>
        <v>29.074218533274493</v>
      </c>
      <c r="K102" s="64">
        <f>($B$102*A_houseSI*Weather!J25)/1.44</f>
        <v>29.612629987594396</v>
      </c>
      <c r="L102" s="64">
        <f>($B$102*A_houseSI*Weather!K25)/1.44</f>
        <v>32.304687259193884</v>
      </c>
      <c r="M102" s="64">
        <f>($B$102*A_houseSI*Weather!L25)/1.44</f>
        <v>30.151041441914291</v>
      </c>
      <c r="N102" s="64">
        <f>($B$102*A_houseSI*Weather!M25)/1.44</f>
        <v>32.843098713513783</v>
      </c>
      <c r="O102" s="64">
        <f>($B$102*A_houseSI*Weather!N25)/1.44</f>
        <v>33.919921622153574</v>
      </c>
      <c r="P102" s="64">
        <f>($B$102*A_houseSI*Weather!O25)/1.44</f>
        <v>37.688801802392859</v>
      </c>
      <c r="Q102" s="64">
        <f>($B$102*A_houseSI*Weather!P25)/1.44</f>
        <v>37.688801802392859</v>
      </c>
    </row>
    <row r="103" spans="1:19" ht="15" customHeight="1">
      <c r="A103" s="64">
        <v>5</v>
      </c>
      <c r="B103" s="64">
        <f>Leakage!AF62</f>
        <v>0.28386623544468609</v>
      </c>
      <c r="C103" s="64">
        <f>($B$103*A_houseSI*Weather!B25)/1.44</f>
        <v>15.767764019368446</v>
      </c>
      <c r="D103" s="64">
        <f>($B$103*A_houseSI*Weather!C25)/1.44</f>
        <v>16.152343629596945</v>
      </c>
      <c r="E103" s="64">
        <f>($B$103*A_houseSI*Weather!D25)/1.44</f>
        <v>16.536923239825445</v>
      </c>
      <c r="F103" s="64">
        <f>($B$103*A_houseSI*Weather!E25)/1.44</f>
        <v>17.690662070510943</v>
      </c>
      <c r="G103" s="64">
        <f>($B$103*A_houseSI*Weather!F25)/1.44</f>
        <v>18.459821290967938</v>
      </c>
      <c r="H103" s="64">
        <f>($B$103*A_houseSI*Weather!G25)/1.44</f>
        <v>23.074776613709925</v>
      </c>
      <c r="I103" s="64">
        <f>($B$103*A_houseSI*Weather!H25)/1.44</f>
        <v>19.228980511424936</v>
      </c>
      <c r="J103" s="64">
        <f>($B$103*A_houseSI*Weather!I25)/1.44</f>
        <v>20.76729895233893</v>
      </c>
      <c r="K103" s="64">
        <f>($B$103*A_houseSI*Weather!J25)/1.44</f>
        <v>21.151878562567429</v>
      </c>
      <c r="L103" s="64">
        <f>($B$103*A_houseSI*Weather!K25)/1.44</f>
        <v>23.074776613709925</v>
      </c>
      <c r="M103" s="64">
        <f>($B$103*A_houseSI*Weather!L25)/1.44</f>
        <v>21.536458172795932</v>
      </c>
      <c r="N103" s="64">
        <f>($B$103*A_houseSI*Weather!M25)/1.44</f>
        <v>23.459356223938421</v>
      </c>
      <c r="O103" s="64">
        <f>($B$103*A_houseSI*Weather!N25)/1.44</f>
        <v>24.22851544439542</v>
      </c>
      <c r="P103" s="64">
        <f>($B$103*A_houseSI*Weather!O25)/1.44</f>
        <v>26.920572715994908</v>
      </c>
      <c r="Q103" s="64">
        <f>($B$103*A_houseSI*Weather!P25)/1.44</f>
        <v>26.920572715994908</v>
      </c>
    </row>
    <row r="104" spans="1:19" ht="15" customHeight="1">
      <c r="A104" s="64">
        <v>3</v>
      </c>
      <c r="B104" s="64">
        <f>Leakage!AF63</f>
        <v>0.17031974126681163</v>
      </c>
      <c r="C104" s="64">
        <f>($B$104*A_houseSI*Weather!B25)/1.44</f>
        <v>9.4606584116210666</v>
      </c>
      <c r="D104" s="64">
        <f>($B$104*A_houseSI*Weather!C25)/1.44</f>
        <v>9.6914061777581662</v>
      </c>
      <c r="E104" s="64">
        <f>($B$104*A_houseSI*Weather!D25)/1.44</f>
        <v>9.9221539438952657</v>
      </c>
      <c r="F104" s="64">
        <f>($B$104*A_houseSI*Weather!E25)/1.44</f>
        <v>10.614397242306563</v>
      </c>
      <c r="G104" s="64">
        <f>($B$104*A_houseSI*Weather!F25)/1.44</f>
        <v>11.075892774580762</v>
      </c>
      <c r="H104" s="64">
        <f>($B$104*A_houseSI*Weather!G25)/1.44</f>
        <v>13.844865968225951</v>
      </c>
      <c r="I104" s="64">
        <f>($B$104*A_houseSI*Weather!H25)/1.44</f>
        <v>11.537388306854959</v>
      </c>
      <c r="J104" s="64">
        <f>($B$104*A_houseSI*Weather!I25)/1.44</f>
        <v>12.460379371403356</v>
      </c>
      <c r="K104" s="64">
        <f>($B$104*A_houseSI*Weather!J25)/1.44</f>
        <v>12.691127137540457</v>
      </c>
      <c r="L104" s="64">
        <f>($B$104*A_houseSI*Weather!K25)/1.44</f>
        <v>13.844865968225951</v>
      </c>
      <c r="M104" s="64">
        <f>($B$104*A_houseSI*Weather!L25)/1.44</f>
        <v>12.921874903677555</v>
      </c>
      <c r="N104" s="64">
        <f>($B$104*A_houseSI*Weather!M25)/1.44</f>
        <v>14.075613734363051</v>
      </c>
      <c r="O104" s="64">
        <f>($B$104*A_houseSI*Weather!N25)/1.44</f>
        <v>14.53710926663725</v>
      </c>
      <c r="P104" s="64">
        <f>($B$104*A_houseSI*Weather!O25)/1.44</f>
        <v>16.152343629596942</v>
      </c>
      <c r="Q104" s="64">
        <f>($B$104*A_houseSI*Weather!P25)/1.44</f>
        <v>16.152343629596942</v>
      </c>
    </row>
    <row r="105" spans="1:19" ht="15" customHeight="1">
      <c r="A105" s="64">
        <v>1.5</v>
      </c>
      <c r="B105" s="64">
        <f>Leakage!AF64</f>
        <v>8.5159870633405813E-2</v>
      </c>
      <c r="C105" s="64">
        <f>($B$105*A_houseSI*Weather!B25)/1.44</f>
        <v>4.7303292058105333</v>
      </c>
      <c r="D105" s="64">
        <f>($B$105*A_houseSI*Weather!C25)/1.44</f>
        <v>4.8457030888790831</v>
      </c>
      <c r="E105" s="64">
        <f>($B$105*A_houseSI*Weather!D25)/1.44</f>
        <v>4.9610769719476329</v>
      </c>
      <c r="F105" s="64">
        <f>($B$105*A_houseSI*Weather!E25)/1.44</f>
        <v>5.3071986211532813</v>
      </c>
      <c r="G105" s="64">
        <f>($B$105*A_houseSI*Weather!F25)/1.44</f>
        <v>5.5379463872903809</v>
      </c>
      <c r="H105" s="64">
        <f>($B$105*A_houseSI*Weather!G25)/1.44</f>
        <v>6.9224329841129757</v>
      </c>
      <c r="I105" s="64">
        <f>($B$105*A_houseSI*Weather!H25)/1.44</f>
        <v>5.7686941534274796</v>
      </c>
      <c r="J105" s="64">
        <f>($B$105*A_houseSI*Weather!I25)/1.44</f>
        <v>6.2301896857016779</v>
      </c>
      <c r="K105" s="64">
        <f>($B$105*A_houseSI*Weather!J25)/1.44</f>
        <v>6.3455635687702285</v>
      </c>
      <c r="L105" s="64">
        <f>($B$105*A_houseSI*Weather!K25)/1.44</f>
        <v>6.9224329841129757</v>
      </c>
      <c r="M105" s="64">
        <f>($B$105*A_houseSI*Weather!L25)/1.44</f>
        <v>6.4609374518387774</v>
      </c>
      <c r="N105" s="64">
        <f>($B$105*A_houseSI*Weather!M25)/1.44</f>
        <v>7.0378068671815255</v>
      </c>
      <c r="O105" s="64">
        <f>($B$105*A_houseSI*Weather!N25)/1.44</f>
        <v>7.2685546333186251</v>
      </c>
      <c r="P105" s="64">
        <f>($B$105*A_houseSI*Weather!O25)/1.44</f>
        <v>8.0761718147984709</v>
      </c>
      <c r="Q105" s="64">
        <f>($B$105*A_houseSI*Weather!P25)/1.44</f>
        <v>8.0761718147984709</v>
      </c>
    </row>
    <row r="106" spans="1:19" ht="15" customHeight="1">
      <c r="A106" s="64">
        <v>0.6</v>
      </c>
      <c r="B106" s="64">
        <f>Leakage!AF65</f>
        <v>3.4063948253362321E-2</v>
      </c>
      <c r="C106" s="64">
        <f>($B$106*A_houseSI*Weather!B25)/1.44</f>
        <v>1.8921316823242129</v>
      </c>
      <c r="D106" s="64">
        <f>($B$106*A_houseSI*Weather!C25)/1.44</f>
        <v>1.9382812355516326</v>
      </c>
      <c r="E106" s="64">
        <f>($B$106*A_houseSI*Weather!D25)/1.44</f>
        <v>1.9844307887790527</v>
      </c>
      <c r="F106" s="64">
        <f>($B$106*A_houseSI*Weather!E25)/1.44</f>
        <v>2.1228794484613123</v>
      </c>
      <c r="G106" s="64">
        <f>($B$106*A_houseSI*Weather!F25)/1.44</f>
        <v>2.2151785549161516</v>
      </c>
      <c r="H106" s="64">
        <f>($B$106*A_houseSI*Weather!G25)/1.44</f>
        <v>2.7689731936451896</v>
      </c>
      <c r="I106" s="64">
        <f>($B$106*A_houseSI*Weather!H25)/1.44</f>
        <v>2.3074776613709913</v>
      </c>
      <c r="J106" s="64">
        <f>($B$106*A_houseSI*Weather!I25)/1.44</f>
        <v>2.4920758742806708</v>
      </c>
      <c r="K106" s="64">
        <f>($B$106*A_houseSI*Weather!J25)/1.44</f>
        <v>2.5382254275080909</v>
      </c>
      <c r="L106" s="64">
        <f>($B$106*A_houseSI*Weather!K25)/1.44</f>
        <v>2.7689731936451896</v>
      </c>
      <c r="M106" s="64">
        <f>($B$106*A_houseSI*Weather!L25)/1.44</f>
        <v>2.5843749807355105</v>
      </c>
      <c r="N106" s="64">
        <f>($B$106*A_houseSI*Weather!M25)/1.44</f>
        <v>2.8151227468726097</v>
      </c>
      <c r="O106" s="64">
        <f>($B$106*A_houseSI*Weather!N25)/1.44</f>
        <v>2.907421853327449</v>
      </c>
      <c r="P106" s="64">
        <f>($B$106*A_houseSI*Weather!O25)/1.44</f>
        <v>3.2304687259193874</v>
      </c>
      <c r="Q106" s="64">
        <f>($B$106*A_houseSI*Weather!P25)/1.44</f>
        <v>3.2304687259193874</v>
      </c>
    </row>
    <row r="107" spans="1:19" ht="15" customHeight="1">
      <c r="A107" s="64" t="s">
        <v>782</v>
      </c>
      <c r="B107" s="64" t="s">
        <v>646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772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773</v>
      </c>
      <c r="B110" s="280"/>
      <c r="C110" s="280" t="s">
        <v>566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771</v>
      </c>
      <c r="B111" s="280" t="s">
        <v>770</v>
      </c>
      <c r="C111" s="280" t="s">
        <v>628</v>
      </c>
      <c r="D111" s="280" t="s">
        <v>577</v>
      </c>
      <c r="E111" s="280" t="s">
        <v>578</v>
      </c>
      <c r="F111" s="280" t="s">
        <v>579</v>
      </c>
      <c r="G111" s="280" t="s">
        <v>580</v>
      </c>
      <c r="H111" s="280" t="s">
        <v>581</v>
      </c>
      <c r="I111" s="280" t="s">
        <v>582</v>
      </c>
      <c r="J111" s="280" t="s">
        <v>583</v>
      </c>
      <c r="K111" s="280" t="s">
        <v>584</v>
      </c>
      <c r="L111" s="280" t="s">
        <v>585</v>
      </c>
      <c r="M111" s="280" t="s">
        <v>586</v>
      </c>
      <c r="N111" s="280" t="s">
        <v>587</v>
      </c>
      <c r="O111" s="280" t="s">
        <v>588</v>
      </c>
      <c r="P111" s="280">
        <v>7</v>
      </c>
      <c r="Q111" s="280">
        <v>8</v>
      </c>
      <c r="R111" s="1" t="s">
        <v>776</v>
      </c>
      <c r="S111" s="1" t="s">
        <v>775</v>
      </c>
    </row>
    <row r="112" spans="1:19" ht="15" customHeight="1">
      <c r="A112" s="280">
        <v>10</v>
      </c>
      <c r="B112" s="280">
        <f>Leakage!AF60</f>
        <v>0.56773247088937218</v>
      </c>
      <c r="C112" s="280">
        <f>IF(Age="existing",IF(Fans!$L$2-Fans!C101&lt;=0,0,Fans!$L$2-Fans!C101),IF(C101&lt;(2/3)*Fans!$L$2,Fans!$L$2-Fans!C101,(1/3)*Fans!$L$2))</f>
        <v>14.421166666666666</v>
      </c>
      <c r="D112" s="280">
        <f>IF(Age="existing",IF(Fans!$L$2-Fans!D101&lt;=0,0,Fans!$L$2-Fans!D101),IF(D101&lt;(2/3)*Fans!$L$2,Fans!$L$2-Fans!D101,(1/3)*Fans!$L$2))</f>
        <v>14.421166666666666</v>
      </c>
      <c r="E112" s="280">
        <f>IF(Age="existing",IF(Fans!$L$2-Fans!E101&lt;=0,0,Fans!$L$2-Fans!E101),IF(E101&lt;(2/3)*Fans!$L$2,Fans!$L$2-Fans!E101,(1/3)*Fans!$L$2))</f>
        <v>14.421166666666666</v>
      </c>
      <c r="F112" s="280">
        <f>IF(Age="existing",IF(Fans!$L$2-Fans!F101&lt;=0,0,Fans!$L$2-Fans!F101),IF(F101&lt;(2/3)*Fans!$L$2,Fans!$L$2-Fans!F101,(1/3)*Fans!$L$2))</f>
        <v>14.421166666666666</v>
      </c>
      <c r="G112" s="280">
        <f>IF(Age="existing",IF(Fans!$L$2-Fans!G101&lt;=0,0,Fans!$L$2-Fans!G101),IF(G101&lt;(2/3)*Fans!$L$2,Fans!$L$2-Fans!G101,(1/3)*Fans!$L$2))</f>
        <v>14.421166666666666</v>
      </c>
      <c r="H112" s="280">
        <f>IF(Age="existing",IF(Fans!$L$2-Fans!H101&lt;=0,0,Fans!$L$2-Fans!H101),IF(H101&lt;(2/3)*Fans!$L$2,Fans!$L$2-Fans!H101,(1/3)*Fans!$L$2))</f>
        <v>14.421166666666666</v>
      </c>
      <c r="I112" s="280">
        <f>IF(Age="existing",IF(Fans!$L$2-Fans!I101&lt;=0,0,Fans!$L$2-Fans!I101),IF(I101&lt;(2/3)*Fans!$L$2,Fans!$L$2-Fans!I101,(1/3)*Fans!$L$2))</f>
        <v>14.421166666666666</v>
      </c>
      <c r="J112" s="280">
        <f>IF(Age="existing",IF(Fans!$L$2-Fans!J101&lt;=0,0,Fans!$L$2-Fans!J101),IF(J101&lt;(2/3)*Fans!$L$2,Fans!$L$2-Fans!J101,(1/3)*Fans!$L$2))</f>
        <v>14.421166666666666</v>
      </c>
      <c r="K112" s="280">
        <f>IF(Age="existing",IF(Fans!$L$2-Fans!K101&lt;=0,0,Fans!$L$2-Fans!K101),IF(K101&lt;(2/3)*Fans!$L$2,Fans!$L$2-Fans!K101,(1/3)*Fans!$L$2))</f>
        <v>14.421166666666666</v>
      </c>
      <c r="L112" s="280">
        <f>IF(Age="existing",IF(Fans!$L$2-Fans!L101&lt;=0,0,Fans!$L$2-Fans!L101),IF(L101&lt;(2/3)*Fans!$L$2,Fans!$L$2-Fans!L101,(1/3)*Fans!$L$2))</f>
        <v>14.421166666666666</v>
      </c>
      <c r="M112" s="280">
        <f>IF(Age="existing",IF(Fans!$L$2-Fans!M101&lt;=0,0,Fans!$L$2-Fans!M101),IF(M101&lt;(2/3)*Fans!$L$2,Fans!$L$2-Fans!M101,(1/3)*Fans!$L$2))</f>
        <v>14.421166666666666</v>
      </c>
      <c r="N112" s="280">
        <f>IF(Age="existing",IF(Fans!$L$2-Fans!N101&lt;=0,0,Fans!$L$2-Fans!N101),IF(N101&lt;(2/3)*Fans!$L$2,Fans!$L$2-Fans!N101,(1/3)*Fans!$L$2))</f>
        <v>14.421166666666666</v>
      </c>
      <c r="O112" s="280">
        <f>IF(Age="existing",IF(Fans!$L$2-Fans!O101&lt;=0,0,Fans!$L$2-Fans!O101),IF(O101&lt;(2/3)*Fans!$L$2,Fans!$L$2-Fans!O101,(1/3)*Fans!$L$2))</f>
        <v>14.421166666666666</v>
      </c>
      <c r="P112" s="280">
        <f>IF(Age="existing",IF(Fans!$L$2-Fans!P101&lt;=0,0,Fans!$L$2-Fans!P101),IF(P101&lt;(2/3)*Fans!$L$2,Fans!$L$2-Fans!P101,(1/3)*Fans!$L$2))</f>
        <v>14.421166666666666</v>
      </c>
      <c r="Q112" s="280">
        <f>IF(Age="existing",IF(Fans!$L$2-Fans!Q101&lt;=0,0,Fans!$L$2-Fans!Q101),IF(Q101&lt;(2/3)*Fans!$L$2,Fans!$L$2-Fans!Q101,(1/3)*Fans!$L$2))</f>
        <v>14.421166666666666</v>
      </c>
      <c r="R112" s="90" t="s">
        <v>283</v>
      </c>
      <c r="S112" s="1">
        <v>50</v>
      </c>
    </row>
    <row r="113" spans="1:19" ht="15" customHeight="1">
      <c r="A113" s="280">
        <v>7</v>
      </c>
      <c r="B113" s="280">
        <f>Leakage!AF61</f>
        <v>0.39741272962256041</v>
      </c>
      <c r="C113" s="280">
        <f>IF(Age="existing",IF(Fans!$L$2-Fans!C102&lt;=0,0,Fans!$L$2-Fans!C102),IF(C102&lt;(2/3)*Fans!$L$2,Fans!$L$2-Fans!C102,(1/3)*Fans!$L$2))</f>
        <v>21.18863037288418</v>
      </c>
      <c r="D113" s="280">
        <f>IF(Age="existing",IF(Fans!$L$2-Fans!D102&lt;=0,0,Fans!$L$2-Fans!D102),IF(D102&lt;(2/3)*Fans!$L$2,Fans!$L$2-Fans!D102,(1/3)*Fans!$L$2))</f>
        <v>20.650218918564285</v>
      </c>
      <c r="E113" s="280">
        <f>IF(Age="existing",IF(Fans!$L$2-Fans!E102&lt;=0,0,Fans!$L$2-Fans!E102),IF(E102&lt;(2/3)*Fans!$L$2,Fans!$L$2-Fans!E102,(1/3)*Fans!$L$2))</f>
        <v>20.111807464244382</v>
      </c>
      <c r="F113" s="280">
        <f>IF(Age="existing",IF(Fans!$L$2-Fans!F102&lt;=0,0,Fans!$L$2-Fans!F102),IF(F102&lt;(2/3)*Fans!$L$2,Fans!$L$2-Fans!F102,(1/3)*Fans!$L$2))</f>
        <v>18.496573101284692</v>
      </c>
      <c r="G113" s="280">
        <f>IF(Age="existing",IF(Fans!$L$2-Fans!G102&lt;=0,0,Fans!$L$2-Fans!G102),IF(G102&lt;(2/3)*Fans!$L$2,Fans!$L$2-Fans!G102,(1/3)*Fans!$L$2))</f>
        <v>17.419750192644894</v>
      </c>
      <c r="H113" s="280">
        <f>IF(Age="existing",IF(Fans!$L$2-Fans!H102&lt;=0,0,Fans!$L$2-Fans!H102),IF(H102&lt;(2/3)*Fans!$L$2,Fans!$L$2-Fans!H102,(1/3)*Fans!$L$2))</f>
        <v>14.421166666666666</v>
      </c>
      <c r="I113" s="280">
        <f>IF(Age="existing",IF(Fans!$L$2-Fans!I102&lt;=0,0,Fans!$L$2-Fans!I102),IF(I102&lt;(2/3)*Fans!$L$2,Fans!$L$2-Fans!I102,(1/3)*Fans!$L$2))</f>
        <v>16.3429272840051</v>
      </c>
      <c r="J113" s="280">
        <f>IF(Age="existing",IF(Fans!$L$2-Fans!J102&lt;=0,0,Fans!$L$2-Fans!J102),IF(J102&lt;(2/3)*Fans!$L$2,Fans!$L$2-Fans!J102,(1/3)*Fans!$L$2))</f>
        <v>14.421166666666666</v>
      </c>
      <c r="K113" s="280">
        <f>IF(Age="existing",IF(Fans!$L$2-Fans!K102&lt;=0,0,Fans!$L$2-Fans!K102),IF(K102&lt;(2/3)*Fans!$L$2,Fans!$L$2-Fans!K102,(1/3)*Fans!$L$2))</f>
        <v>14.421166666666666</v>
      </c>
      <c r="L113" s="280">
        <f>IF(Age="existing",IF(Fans!$L$2-Fans!L102&lt;=0,0,Fans!$L$2-Fans!L102),IF(L102&lt;(2/3)*Fans!$L$2,Fans!$L$2-Fans!L102,(1/3)*Fans!$L$2))</f>
        <v>14.421166666666666</v>
      </c>
      <c r="M113" s="280">
        <f>IF(Age="existing",IF(Fans!$L$2-Fans!M102&lt;=0,0,Fans!$L$2-Fans!M102),IF(M102&lt;(2/3)*Fans!$L$2,Fans!$L$2-Fans!M102,(1/3)*Fans!$L$2))</f>
        <v>14.421166666666666</v>
      </c>
      <c r="N113" s="280">
        <f>IF(Age="existing",IF(Fans!$L$2-Fans!N102&lt;=0,0,Fans!$L$2-Fans!N102),IF(N102&lt;(2/3)*Fans!$L$2,Fans!$L$2-Fans!N102,(1/3)*Fans!$L$2))</f>
        <v>14.421166666666666</v>
      </c>
      <c r="O113" s="280">
        <f>IF(Age="existing",IF(Fans!$L$2-Fans!O102&lt;=0,0,Fans!$L$2-Fans!O102),IF(O102&lt;(2/3)*Fans!$L$2,Fans!$L$2-Fans!O102,(1/3)*Fans!$L$2))</f>
        <v>14.421166666666666</v>
      </c>
      <c r="P113" s="280">
        <f>IF(Age="existing",IF(Fans!$L$2-Fans!P102&lt;=0,0,Fans!$L$2-Fans!P102),IF(P102&lt;(2/3)*Fans!$L$2,Fans!$L$2-Fans!P102,(1/3)*Fans!$L$2))</f>
        <v>14.421166666666666</v>
      </c>
      <c r="Q113" s="280">
        <f>IF(Age="existing",IF(Fans!$L$2-Fans!Q102&lt;=0,0,Fans!$L$2-Fans!Q102),IF(Q102&lt;(2/3)*Fans!$L$2,Fans!$L$2-Fans!Q102,(1/3)*Fans!$L$2))</f>
        <v>14.421166666666666</v>
      </c>
      <c r="R113" s="90" t="s">
        <v>283</v>
      </c>
      <c r="S113" s="1">
        <v>50</v>
      </c>
    </row>
    <row r="114" spans="1:19" ht="15" customHeight="1">
      <c r="A114" s="280">
        <v>5</v>
      </c>
      <c r="B114" s="280">
        <f>Leakage!AF62</f>
        <v>0.28386623544468609</v>
      </c>
      <c r="C114" s="280">
        <f>IF(Age="existing",IF(Fans!$L$2-Fans!C103&lt;=0,0,Fans!$L$2-Fans!C103),IF(C103&lt;(2/3)*Fans!$L$2,Fans!$L$2-Fans!C103,(1/3)*Fans!$L$2))</f>
        <v>27.495735980631554</v>
      </c>
      <c r="D114" s="280">
        <f>IF(Age="existing",IF(Fans!$L$2-Fans!D103&lt;=0,0,Fans!$L$2-Fans!D103),IF(D103&lt;(2/3)*Fans!$L$2,Fans!$L$2-Fans!D103,(1/3)*Fans!$L$2))</f>
        <v>27.111156370403055</v>
      </c>
      <c r="E114" s="280">
        <f>IF(Age="existing",IF(Fans!$L$2-Fans!E103&lt;=0,0,Fans!$L$2-Fans!E103),IF(E103&lt;(2/3)*Fans!$L$2,Fans!$L$2-Fans!E103,(1/3)*Fans!$L$2))</f>
        <v>26.726576760174556</v>
      </c>
      <c r="F114" s="280">
        <f>IF(Age="existing",IF(Fans!$L$2-Fans!F103&lt;=0,0,Fans!$L$2-Fans!F103),IF(F103&lt;(2/3)*Fans!$L$2,Fans!$L$2-Fans!F103,(1/3)*Fans!$L$2))</f>
        <v>25.572837929489058</v>
      </c>
      <c r="G114" s="280">
        <f>IF(Age="existing",IF(Fans!$L$2-Fans!G103&lt;=0,0,Fans!$L$2-Fans!G103),IF(G103&lt;(2/3)*Fans!$L$2,Fans!$L$2-Fans!G103,(1/3)*Fans!$L$2))</f>
        <v>24.803678709032063</v>
      </c>
      <c r="H114" s="280">
        <f>IF(Age="existing",IF(Fans!$L$2-Fans!H103&lt;=0,0,Fans!$L$2-Fans!H103),IF(H103&lt;(2/3)*Fans!$L$2,Fans!$L$2-Fans!H103,(1/3)*Fans!$L$2))</f>
        <v>20.188723386290075</v>
      </c>
      <c r="I114" s="280">
        <f>IF(Age="existing",IF(Fans!$L$2-Fans!I103&lt;=0,0,Fans!$L$2-Fans!I103),IF(I103&lt;(2/3)*Fans!$L$2,Fans!$L$2-Fans!I103,(1/3)*Fans!$L$2))</f>
        <v>24.034519488575064</v>
      </c>
      <c r="J114" s="280">
        <f>IF(Age="existing",IF(Fans!$L$2-Fans!J103&lt;=0,0,Fans!$L$2-Fans!J103),IF(J103&lt;(2/3)*Fans!$L$2,Fans!$L$2-Fans!J103,(1/3)*Fans!$L$2))</f>
        <v>22.496201047661071</v>
      </c>
      <c r="K114" s="280">
        <f>IF(Age="existing",IF(Fans!$L$2-Fans!K103&lt;=0,0,Fans!$L$2-Fans!K103),IF(K103&lt;(2/3)*Fans!$L$2,Fans!$L$2-Fans!K103,(1/3)*Fans!$L$2))</f>
        <v>22.111621437432571</v>
      </c>
      <c r="L114" s="280">
        <f>IF(Age="existing",IF(Fans!$L$2-Fans!L103&lt;=0,0,Fans!$L$2-Fans!L103),IF(L103&lt;(2/3)*Fans!$L$2,Fans!$L$2-Fans!L103,(1/3)*Fans!$L$2))</f>
        <v>20.188723386290075</v>
      </c>
      <c r="M114" s="280">
        <f>IF(Age="existing",IF(Fans!$L$2-Fans!M103&lt;=0,0,Fans!$L$2-Fans!M103),IF(M103&lt;(2/3)*Fans!$L$2,Fans!$L$2-Fans!M103,(1/3)*Fans!$L$2))</f>
        <v>21.727041827204069</v>
      </c>
      <c r="N114" s="280">
        <f>IF(Age="existing",IF(Fans!$L$2-Fans!N103&lt;=0,0,Fans!$L$2-Fans!N103),IF(N103&lt;(2/3)*Fans!$L$2,Fans!$L$2-Fans!N103,(1/3)*Fans!$L$2))</f>
        <v>19.804143776061579</v>
      </c>
      <c r="O114" s="280">
        <f>IF(Age="existing",IF(Fans!$L$2-Fans!O103&lt;=0,0,Fans!$L$2-Fans!O103),IF(O103&lt;(2/3)*Fans!$L$2,Fans!$L$2-Fans!O103,(1/3)*Fans!$L$2))</f>
        <v>19.034984555604581</v>
      </c>
      <c r="P114" s="280">
        <f>IF(Age="existing",IF(Fans!$L$2-Fans!P103&lt;=0,0,Fans!$L$2-Fans!P103),IF(P103&lt;(2/3)*Fans!$L$2,Fans!$L$2-Fans!P103,(1/3)*Fans!$L$2))</f>
        <v>16.342927284005093</v>
      </c>
      <c r="Q114" s="280">
        <f>IF(Age="existing",IF(Fans!$L$2-Fans!Q103&lt;=0,0,Fans!$L$2-Fans!Q103),IF(Q103&lt;(2/3)*Fans!$L$2,Fans!$L$2-Fans!Q103,(1/3)*Fans!$L$2))</f>
        <v>16.342927284005093</v>
      </c>
      <c r="R114" s="90" t="s">
        <v>283</v>
      </c>
      <c r="S114" s="1">
        <v>50</v>
      </c>
    </row>
    <row r="115" spans="1:19" ht="15" customHeight="1">
      <c r="A115" s="280">
        <v>3</v>
      </c>
      <c r="B115" s="280">
        <f>Leakage!AF63</f>
        <v>0.17031974126681163</v>
      </c>
      <c r="C115" s="280">
        <f>IF(Age="existing",IF(Fans!$L$2-Fans!C104&lt;=0,0,Fans!$L$2-Fans!C104),IF(C104&lt;(2/3)*Fans!$L$2,Fans!$L$2-Fans!C104,(1/3)*Fans!$L$2))</f>
        <v>33.802841588378932</v>
      </c>
      <c r="D115" s="280">
        <f>IF(Age="existing",IF(Fans!$L$2-Fans!D104&lt;=0,0,Fans!$L$2-Fans!D104),IF(D104&lt;(2/3)*Fans!$L$2,Fans!$L$2-Fans!D104,(1/3)*Fans!$L$2))</f>
        <v>33.572093822241833</v>
      </c>
      <c r="E115" s="280">
        <f>IF(Age="existing",IF(Fans!$L$2-Fans!E104&lt;=0,0,Fans!$L$2-Fans!E104),IF(E104&lt;(2/3)*Fans!$L$2,Fans!$L$2-Fans!E104,(1/3)*Fans!$L$2))</f>
        <v>33.341346056104733</v>
      </c>
      <c r="F115" s="280">
        <f>IF(Age="existing",IF(Fans!$L$2-Fans!F104&lt;=0,0,Fans!$L$2-Fans!F104),IF(F104&lt;(2/3)*Fans!$L$2,Fans!$L$2-Fans!F104,(1/3)*Fans!$L$2))</f>
        <v>32.649102757693441</v>
      </c>
      <c r="G115" s="280">
        <f>IF(Age="existing",IF(Fans!$L$2-Fans!G104&lt;=0,0,Fans!$L$2-Fans!G104),IF(G104&lt;(2/3)*Fans!$L$2,Fans!$L$2-Fans!G104,(1/3)*Fans!$L$2))</f>
        <v>32.187607225419242</v>
      </c>
      <c r="H115" s="280">
        <f>IF(Age="existing",IF(Fans!$L$2-Fans!H104&lt;=0,0,Fans!$L$2-Fans!H104),IF(H104&lt;(2/3)*Fans!$L$2,Fans!$L$2-Fans!H104,(1/3)*Fans!$L$2))</f>
        <v>29.418634031774047</v>
      </c>
      <c r="I115" s="280">
        <f>IF(Age="existing",IF(Fans!$L$2-Fans!I104&lt;=0,0,Fans!$L$2-Fans!I104),IF(I104&lt;(2/3)*Fans!$L$2,Fans!$L$2-Fans!I104,(1/3)*Fans!$L$2))</f>
        <v>31.726111693145043</v>
      </c>
      <c r="J115" s="280">
        <f>IF(Age="existing",IF(Fans!$L$2-Fans!J104&lt;=0,0,Fans!$L$2-Fans!J104),IF(J104&lt;(2/3)*Fans!$L$2,Fans!$L$2-Fans!J104,(1/3)*Fans!$L$2))</f>
        <v>30.803120628596645</v>
      </c>
      <c r="K115" s="280">
        <f>IF(Age="existing",IF(Fans!$L$2-Fans!K104&lt;=0,0,Fans!$L$2-Fans!K104),IF(K104&lt;(2/3)*Fans!$L$2,Fans!$L$2-Fans!K104,(1/3)*Fans!$L$2))</f>
        <v>30.572372862459545</v>
      </c>
      <c r="L115" s="280">
        <f>IF(Age="existing",IF(Fans!$L$2-Fans!L104&lt;=0,0,Fans!$L$2-Fans!L104),IF(L104&lt;(2/3)*Fans!$L$2,Fans!$L$2-Fans!L104,(1/3)*Fans!$L$2))</f>
        <v>29.418634031774047</v>
      </c>
      <c r="M115" s="280">
        <f>IF(Age="existing",IF(Fans!$L$2-Fans!M104&lt;=0,0,Fans!$L$2-Fans!M104),IF(M104&lt;(2/3)*Fans!$L$2,Fans!$L$2-Fans!M104,(1/3)*Fans!$L$2))</f>
        <v>30.341625096322446</v>
      </c>
      <c r="N115" s="280">
        <f>IF(Age="existing",IF(Fans!$L$2-Fans!N104&lt;=0,0,Fans!$L$2-Fans!N104),IF(N104&lt;(2/3)*Fans!$L$2,Fans!$L$2-Fans!N104,(1/3)*Fans!$L$2))</f>
        <v>29.187886265636948</v>
      </c>
      <c r="O115" s="280">
        <f>IF(Age="existing",IF(Fans!$L$2-Fans!O104&lt;=0,0,Fans!$L$2-Fans!O104),IF(O104&lt;(2/3)*Fans!$L$2,Fans!$L$2-Fans!O104,(1/3)*Fans!$L$2))</f>
        <v>28.726390733362749</v>
      </c>
      <c r="P115" s="280">
        <f>IF(Age="existing",IF(Fans!$L$2-Fans!P104&lt;=0,0,Fans!$L$2-Fans!P104),IF(P104&lt;(2/3)*Fans!$L$2,Fans!$L$2-Fans!P104,(1/3)*Fans!$L$2))</f>
        <v>27.111156370403059</v>
      </c>
      <c r="Q115" s="280">
        <f>IF(Age="existing",IF(Fans!$L$2-Fans!Q104&lt;=0,0,Fans!$L$2-Fans!Q104),IF(Q104&lt;(2/3)*Fans!$L$2,Fans!$L$2-Fans!Q104,(1/3)*Fans!$L$2))</f>
        <v>27.111156370403059</v>
      </c>
      <c r="R115" s="92" t="s">
        <v>303</v>
      </c>
      <c r="S115" s="1">
        <v>70</v>
      </c>
    </row>
    <row r="116" spans="1:19" ht="15" customHeight="1">
      <c r="A116" s="280">
        <v>1.5</v>
      </c>
      <c r="B116" s="280">
        <f>Leakage!AF64</f>
        <v>8.5159870633405813E-2</v>
      </c>
      <c r="C116" s="280">
        <f>IF(Age="existing",IF(Fans!$L$2-Fans!C105&lt;=0,0,Fans!$L$2-Fans!C105),IF(C105&lt;(2/3)*Fans!$L$2,Fans!$L$2-Fans!C105,(1/3)*Fans!$L$2))</f>
        <v>38.533170794189466</v>
      </c>
      <c r="D116" s="280">
        <f>IF(Age="existing",IF(Fans!$L$2-Fans!D105&lt;=0,0,Fans!$L$2-Fans!D105),IF(D105&lt;(2/3)*Fans!$L$2,Fans!$L$2-Fans!D105,(1/3)*Fans!$L$2))</f>
        <v>38.417796911120917</v>
      </c>
      <c r="E116" s="280">
        <f>IF(Age="existing",IF(Fans!$L$2-Fans!E105&lt;=0,0,Fans!$L$2-Fans!E105),IF(E105&lt;(2/3)*Fans!$L$2,Fans!$L$2-Fans!E105,(1/3)*Fans!$L$2))</f>
        <v>38.302423028052367</v>
      </c>
      <c r="F116" s="280">
        <f>IF(Age="existing",IF(Fans!$L$2-Fans!F105&lt;=0,0,Fans!$L$2-Fans!F105),IF(F105&lt;(2/3)*Fans!$L$2,Fans!$L$2-Fans!F105,(1/3)*Fans!$L$2))</f>
        <v>37.956301378846717</v>
      </c>
      <c r="G116" s="280">
        <f>IF(Age="existing",IF(Fans!$L$2-Fans!G105&lt;=0,0,Fans!$L$2-Fans!G105),IF(G105&lt;(2/3)*Fans!$L$2,Fans!$L$2-Fans!G105,(1/3)*Fans!$L$2))</f>
        <v>37.725553612709618</v>
      </c>
      <c r="H116" s="280">
        <f>IF(Age="existing",IF(Fans!$L$2-Fans!H105&lt;=0,0,Fans!$L$2-Fans!H105),IF(H105&lt;(2/3)*Fans!$L$2,Fans!$L$2-Fans!H105,(1/3)*Fans!$L$2))</f>
        <v>36.341067015887027</v>
      </c>
      <c r="I116" s="280">
        <f>IF(Age="existing",IF(Fans!$L$2-Fans!I105&lt;=0,0,Fans!$L$2-Fans!I105),IF(I105&lt;(2/3)*Fans!$L$2,Fans!$L$2-Fans!I105,(1/3)*Fans!$L$2))</f>
        <v>37.494805846572518</v>
      </c>
      <c r="J116" s="280">
        <f>IF(Age="existing",IF(Fans!$L$2-Fans!J105&lt;=0,0,Fans!$L$2-Fans!J105),IF(J105&lt;(2/3)*Fans!$L$2,Fans!$L$2-Fans!J105,(1/3)*Fans!$L$2))</f>
        <v>37.033310314298319</v>
      </c>
      <c r="K116" s="280">
        <f>IF(Age="existing",IF(Fans!$L$2-Fans!K105&lt;=0,0,Fans!$L$2-Fans!K105),IF(K105&lt;(2/3)*Fans!$L$2,Fans!$L$2-Fans!K105,(1/3)*Fans!$L$2))</f>
        <v>36.917936431229769</v>
      </c>
      <c r="L116" s="280">
        <f>IF(Age="existing",IF(Fans!$L$2-Fans!L105&lt;=0,0,Fans!$L$2-Fans!L105),IF(L105&lt;(2/3)*Fans!$L$2,Fans!$L$2-Fans!L105,(1/3)*Fans!$L$2))</f>
        <v>36.341067015887027</v>
      </c>
      <c r="M116" s="280">
        <f>IF(Age="existing",IF(Fans!$L$2-Fans!M105&lt;=0,0,Fans!$L$2-Fans!M105),IF(M105&lt;(2/3)*Fans!$L$2,Fans!$L$2-Fans!M105,(1/3)*Fans!$L$2))</f>
        <v>36.80256254816122</v>
      </c>
      <c r="N116" s="280">
        <f>IF(Age="existing",IF(Fans!$L$2-Fans!N105&lt;=0,0,Fans!$L$2-Fans!N105),IF(N105&lt;(2/3)*Fans!$L$2,Fans!$L$2-Fans!N105,(1/3)*Fans!$L$2))</f>
        <v>36.225693132818478</v>
      </c>
      <c r="O116" s="280">
        <f>IF(Age="existing",IF(Fans!$L$2-Fans!O105&lt;=0,0,Fans!$L$2-Fans!O105),IF(O105&lt;(2/3)*Fans!$L$2,Fans!$L$2-Fans!O105,(1/3)*Fans!$L$2))</f>
        <v>35.994945366681378</v>
      </c>
      <c r="P116" s="280">
        <f>IF(Age="existing",IF(Fans!$L$2-Fans!P105&lt;=0,0,Fans!$L$2-Fans!P105),IF(P105&lt;(2/3)*Fans!$L$2,Fans!$L$2-Fans!P105,(1/3)*Fans!$L$2))</f>
        <v>35.18732818520153</v>
      </c>
      <c r="Q116" s="280">
        <f>IF(Age="existing",IF(Fans!$L$2-Fans!Q105&lt;=0,0,Fans!$L$2-Fans!Q105),IF(Q105&lt;(2/3)*Fans!$L$2,Fans!$L$2-Fans!Q105,(1/3)*Fans!$L$2))</f>
        <v>35.18732818520153</v>
      </c>
      <c r="R116" s="92" t="s">
        <v>303</v>
      </c>
      <c r="S116" s="1">
        <v>80</v>
      </c>
    </row>
    <row r="117" spans="1:19" ht="15" customHeight="1">
      <c r="A117" s="280">
        <v>0.6</v>
      </c>
      <c r="B117" s="280">
        <f>Leakage!AF65</f>
        <v>3.4063948253362321E-2</v>
      </c>
      <c r="C117" s="280">
        <f>IF(Age="existing",IF(Fans!$L$2-Fans!C106&lt;=0,0,Fans!$L$2-Fans!C106),IF(C106&lt;(2/3)*Fans!$L$2,Fans!$L$2-Fans!C106,(1/3)*Fans!$L$2))</f>
        <v>41.371368317675788</v>
      </c>
      <c r="D117" s="280">
        <f>IF(Age="existing",IF(Fans!$L$2-Fans!D106&lt;=0,0,Fans!$L$2-Fans!D106),IF(D106&lt;(2/3)*Fans!$L$2,Fans!$L$2-Fans!D106,(1/3)*Fans!$L$2))</f>
        <v>41.325218764448366</v>
      </c>
      <c r="E117" s="280">
        <f>IF(Age="existing",IF(Fans!$L$2-Fans!E106&lt;=0,0,Fans!$L$2-Fans!E106),IF(E106&lt;(2/3)*Fans!$L$2,Fans!$L$2-Fans!E106,(1/3)*Fans!$L$2))</f>
        <v>41.27906921122095</v>
      </c>
      <c r="F117" s="280">
        <f>IF(Age="existing",IF(Fans!$L$2-Fans!F106&lt;=0,0,Fans!$L$2-Fans!F106),IF(F106&lt;(2/3)*Fans!$L$2,Fans!$L$2-Fans!F106,(1/3)*Fans!$L$2))</f>
        <v>41.140620551538689</v>
      </c>
      <c r="G117" s="280">
        <f>IF(Age="existing",IF(Fans!$L$2-Fans!G106&lt;=0,0,Fans!$L$2-Fans!G106),IF(G106&lt;(2/3)*Fans!$L$2,Fans!$L$2-Fans!G106,(1/3)*Fans!$L$2))</f>
        <v>41.04832144508385</v>
      </c>
      <c r="H117" s="280">
        <f>IF(Age="existing",IF(Fans!$L$2-Fans!H106&lt;=0,0,Fans!$L$2-Fans!H106),IF(H106&lt;(2/3)*Fans!$L$2,Fans!$L$2-Fans!H106,(1/3)*Fans!$L$2))</f>
        <v>40.494526806354813</v>
      </c>
      <c r="I117" s="280">
        <f>IF(Age="existing",IF(Fans!$L$2-Fans!I106&lt;=0,0,Fans!$L$2-Fans!I106),IF(I106&lt;(2/3)*Fans!$L$2,Fans!$L$2-Fans!I106,(1/3)*Fans!$L$2))</f>
        <v>40.956022338629012</v>
      </c>
      <c r="J117" s="280">
        <f>IF(Age="existing",IF(Fans!$L$2-Fans!J106&lt;=0,0,Fans!$L$2-Fans!J106),IF(J106&lt;(2/3)*Fans!$L$2,Fans!$L$2-Fans!J106,(1/3)*Fans!$L$2))</f>
        <v>40.771424125719328</v>
      </c>
      <c r="K117" s="280">
        <f>IF(Age="existing",IF(Fans!$L$2-Fans!K106&lt;=0,0,Fans!$L$2-Fans!K106),IF(K106&lt;(2/3)*Fans!$L$2,Fans!$L$2-Fans!K106,(1/3)*Fans!$L$2))</f>
        <v>40.725274572491912</v>
      </c>
      <c r="L117" s="280">
        <f>IF(Age="existing",IF(Fans!$L$2-Fans!L106&lt;=0,0,Fans!$L$2-Fans!L106),IF(L106&lt;(2/3)*Fans!$L$2,Fans!$L$2-Fans!L106,(1/3)*Fans!$L$2))</f>
        <v>40.494526806354813</v>
      </c>
      <c r="M117" s="280">
        <f>IF(Age="existing",IF(Fans!$L$2-Fans!M106&lt;=0,0,Fans!$L$2-Fans!M106),IF(M106&lt;(2/3)*Fans!$L$2,Fans!$L$2-Fans!M106,(1/3)*Fans!$L$2))</f>
        <v>40.67912501926449</v>
      </c>
      <c r="N117" s="280">
        <f>IF(Age="existing",IF(Fans!$L$2-Fans!N106&lt;=0,0,Fans!$L$2-Fans!N106),IF(N106&lt;(2/3)*Fans!$L$2,Fans!$L$2-Fans!N106,(1/3)*Fans!$L$2))</f>
        <v>40.44837725312739</v>
      </c>
      <c r="O117" s="280">
        <f>IF(Age="existing",IF(Fans!$L$2-Fans!O106&lt;=0,0,Fans!$L$2-Fans!O106),IF(O106&lt;(2/3)*Fans!$L$2,Fans!$L$2-Fans!O106,(1/3)*Fans!$L$2))</f>
        <v>40.356078146672552</v>
      </c>
      <c r="P117" s="280">
        <f>IF(Age="existing",IF(Fans!$L$2-Fans!P106&lt;=0,0,Fans!$L$2-Fans!P106),IF(P106&lt;(2/3)*Fans!$L$2,Fans!$L$2-Fans!P106,(1/3)*Fans!$L$2))</f>
        <v>40.033031274080614</v>
      </c>
      <c r="Q117" s="280">
        <f>IF(Age="existing",IF(Fans!$L$2-Fans!Q106&lt;=0,0,Fans!$L$2-Fans!Q106),IF(Q106&lt;(2/3)*Fans!$L$2,Fans!$L$2-Fans!Q106,(1/3)*Fans!$L$2))</f>
        <v>40.033031274080614</v>
      </c>
      <c r="R117" s="110" t="s">
        <v>610</v>
      </c>
      <c r="S117" s="1">
        <v>84.5</v>
      </c>
    </row>
    <row r="118" spans="1:19" ht="15" customHeight="1">
      <c r="A118" s="280" t="s">
        <v>782</v>
      </c>
      <c r="B118" s="280" t="s">
        <v>646</v>
      </c>
      <c r="C118" s="281">
        <f>$L$2</f>
        <v>43.263500000000001</v>
      </c>
      <c r="D118" s="281">
        <f t="shared" ref="D118:Q118" si="13">$L$2</f>
        <v>43.263500000000001</v>
      </c>
      <c r="E118" s="281">
        <f t="shared" si="13"/>
        <v>43.263500000000001</v>
      </c>
      <c r="F118" s="281">
        <f t="shared" si="13"/>
        <v>43.263500000000001</v>
      </c>
      <c r="G118" s="281">
        <f t="shared" si="13"/>
        <v>43.263500000000001</v>
      </c>
      <c r="H118" s="281">
        <f t="shared" si="13"/>
        <v>43.263500000000001</v>
      </c>
      <c r="I118" s="281">
        <f t="shared" si="13"/>
        <v>43.263500000000001</v>
      </c>
      <c r="J118" s="281">
        <f t="shared" si="13"/>
        <v>43.263500000000001</v>
      </c>
      <c r="K118" s="281">
        <f t="shared" si="13"/>
        <v>43.263500000000001</v>
      </c>
      <c r="L118" s="281">
        <f t="shared" si="13"/>
        <v>43.263500000000001</v>
      </c>
      <c r="M118" s="281">
        <f t="shared" si="13"/>
        <v>43.263500000000001</v>
      </c>
      <c r="N118" s="281">
        <f t="shared" si="13"/>
        <v>43.263500000000001</v>
      </c>
      <c r="O118" s="281">
        <f t="shared" si="13"/>
        <v>43.263500000000001</v>
      </c>
      <c r="P118" s="281">
        <f t="shared" si="13"/>
        <v>43.263500000000001</v>
      </c>
      <c r="Q118" s="281">
        <f t="shared" si="13"/>
        <v>43.263500000000001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783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773</v>
      </c>
      <c r="B121" s="64"/>
      <c r="C121" s="64" t="s">
        <v>566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771</v>
      </c>
      <c r="B122" s="64" t="s">
        <v>770</v>
      </c>
      <c r="C122" s="64" t="s">
        <v>628</v>
      </c>
      <c r="D122" s="64" t="s">
        <v>577</v>
      </c>
      <c r="E122" s="64" t="s">
        <v>578</v>
      </c>
      <c r="F122" s="64" t="s">
        <v>579</v>
      </c>
      <c r="G122" s="64" t="s">
        <v>580</v>
      </c>
      <c r="H122" s="64" t="s">
        <v>581</v>
      </c>
      <c r="I122" s="64" t="s">
        <v>582</v>
      </c>
      <c r="J122" s="64" t="s">
        <v>583</v>
      </c>
      <c r="K122" s="64" t="s">
        <v>584</v>
      </c>
      <c r="L122" s="64" t="s">
        <v>585</v>
      </c>
      <c r="M122" s="64" t="s">
        <v>586</v>
      </c>
      <c r="N122" s="64" t="s">
        <v>587</v>
      </c>
      <c r="O122" s="64" t="s">
        <v>588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0.56773247088937218</v>
      </c>
      <c r="C123" s="192">
        <f>1.1*C112</f>
        <v>15.863283333333333</v>
      </c>
      <c r="D123" s="192">
        <f t="shared" ref="D123:Q123" si="14">1.1*D112</f>
        <v>15.863283333333333</v>
      </c>
      <c r="E123" s="192">
        <f t="shared" si="14"/>
        <v>15.863283333333333</v>
      </c>
      <c r="F123" s="192">
        <f t="shared" si="14"/>
        <v>15.863283333333333</v>
      </c>
      <c r="G123" s="192">
        <f t="shared" si="14"/>
        <v>15.863283333333333</v>
      </c>
      <c r="H123" s="192">
        <f t="shared" si="14"/>
        <v>15.863283333333333</v>
      </c>
      <c r="I123" s="192">
        <f t="shared" si="14"/>
        <v>15.863283333333333</v>
      </c>
      <c r="J123" s="192">
        <f t="shared" si="14"/>
        <v>15.863283333333333</v>
      </c>
      <c r="K123" s="192">
        <f t="shared" si="14"/>
        <v>15.863283333333333</v>
      </c>
      <c r="L123" s="192">
        <f t="shared" si="14"/>
        <v>15.863283333333333</v>
      </c>
      <c r="M123" s="192">
        <f t="shared" si="14"/>
        <v>15.863283333333333</v>
      </c>
      <c r="N123" s="192">
        <f t="shared" si="14"/>
        <v>15.863283333333333</v>
      </c>
      <c r="O123" s="192">
        <f t="shared" si="14"/>
        <v>15.863283333333333</v>
      </c>
      <c r="P123" s="192">
        <f t="shared" si="14"/>
        <v>15.863283333333333</v>
      </c>
      <c r="Q123" s="192">
        <f t="shared" si="14"/>
        <v>15.863283333333333</v>
      </c>
    </row>
    <row r="124" spans="1:19" ht="15" customHeight="1">
      <c r="A124" s="64">
        <v>7</v>
      </c>
      <c r="B124" s="192">
        <f>Leakage!AF61</f>
        <v>0.39741272962256041</v>
      </c>
      <c r="C124" s="192">
        <f t="shared" ref="C124:Q124" si="15">1.1*C113</f>
        <v>23.307493410172601</v>
      </c>
      <c r="D124" s="192">
        <f t="shared" si="15"/>
        <v>22.715240810420717</v>
      </c>
      <c r="E124" s="192">
        <f t="shared" si="15"/>
        <v>22.122988210668822</v>
      </c>
      <c r="F124" s="192">
        <f t="shared" si="15"/>
        <v>20.346230411413163</v>
      </c>
      <c r="G124" s="192">
        <f t="shared" si="15"/>
        <v>19.161725211909385</v>
      </c>
      <c r="H124" s="192">
        <f t="shared" si="15"/>
        <v>15.863283333333333</v>
      </c>
      <c r="I124" s="192">
        <f t="shared" si="15"/>
        <v>17.97722001240561</v>
      </c>
      <c r="J124" s="192">
        <f t="shared" si="15"/>
        <v>15.863283333333333</v>
      </c>
      <c r="K124" s="192">
        <f t="shared" si="15"/>
        <v>15.863283333333333</v>
      </c>
      <c r="L124" s="192">
        <f t="shared" si="15"/>
        <v>15.863283333333333</v>
      </c>
      <c r="M124" s="192">
        <f t="shared" si="15"/>
        <v>15.863283333333333</v>
      </c>
      <c r="N124" s="192">
        <f t="shared" si="15"/>
        <v>15.863283333333333</v>
      </c>
      <c r="O124" s="192">
        <f t="shared" si="15"/>
        <v>15.863283333333333</v>
      </c>
      <c r="P124" s="192">
        <f t="shared" si="15"/>
        <v>15.863283333333333</v>
      </c>
      <c r="Q124" s="192">
        <f t="shared" si="15"/>
        <v>15.863283333333333</v>
      </c>
    </row>
    <row r="125" spans="1:19" ht="15" customHeight="1">
      <c r="A125" s="64">
        <v>5</v>
      </c>
      <c r="B125" s="192">
        <f>Leakage!AF62</f>
        <v>0.28386623544468609</v>
      </c>
      <c r="C125" s="192">
        <f t="shared" ref="C125:Q125" si="16">1.1*C114</f>
        <v>30.245309578694712</v>
      </c>
      <c r="D125" s="192">
        <f t="shared" si="16"/>
        <v>29.822272007443363</v>
      </c>
      <c r="E125" s="192">
        <f t="shared" si="16"/>
        <v>29.399234436192014</v>
      </c>
      <c r="F125" s="192">
        <f t="shared" si="16"/>
        <v>28.130121722437966</v>
      </c>
      <c r="G125" s="192">
        <f t="shared" si="16"/>
        <v>27.284046579935271</v>
      </c>
      <c r="H125" s="192">
        <f t="shared" si="16"/>
        <v>22.207595724919084</v>
      </c>
      <c r="I125" s="192">
        <f t="shared" si="16"/>
        <v>26.437971437432573</v>
      </c>
      <c r="J125" s="192">
        <f t="shared" si="16"/>
        <v>24.74582115242718</v>
      </c>
      <c r="K125" s="192">
        <f t="shared" si="16"/>
        <v>24.32278358117583</v>
      </c>
      <c r="L125" s="192">
        <f t="shared" si="16"/>
        <v>22.207595724919084</v>
      </c>
      <c r="M125" s="192">
        <f t="shared" si="16"/>
        <v>23.899746009924478</v>
      </c>
      <c r="N125" s="192">
        <f t="shared" si="16"/>
        <v>21.784558153667739</v>
      </c>
      <c r="O125" s="192">
        <f t="shared" si="16"/>
        <v>20.93848301116504</v>
      </c>
      <c r="P125" s="192">
        <f t="shared" si="16"/>
        <v>17.977220012405603</v>
      </c>
      <c r="Q125" s="192">
        <f t="shared" si="16"/>
        <v>17.977220012405603</v>
      </c>
    </row>
    <row r="126" spans="1:19" ht="15" customHeight="1">
      <c r="A126" s="64">
        <v>3</v>
      </c>
      <c r="B126" s="192">
        <f>Leakage!AF63</f>
        <v>0.17031974126681163</v>
      </c>
      <c r="C126" s="192">
        <f t="shared" ref="C126:Q126" si="17">1.1*C115</f>
        <v>37.183125747216828</v>
      </c>
      <c r="D126" s="192">
        <f t="shared" si="17"/>
        <v>36.929303204466017</v>
      </c>
      <c r="E126" s="192">
        <f t="shared" si="17"/>
        <v>36.675480661715213</v>
      </c>
      <c r="F126" s="192">
        <f t="shared" si="17"/>
        <v>35.914013033462787</v>
      </c>
      <c r="G126" s="192">
        <f t="shared" si="17"/>
        <v>35.406367947961172</v>
      </c>
      <c r="H126" s="192">
        <f t="shared" si="17"/>
        <v>32.360497434951455</v>
      </c>
      <c r="I126" s="192">
        <f t="shared" si="17"/>
        <v>34.89872286245955</v>
      </c>
      <c r="J126" s="192">
        <f t="shared" si="17"/>
        <v>33.883432691456314</v>
      </c>
      <c r="K126" s="192">
        <f t="shared" si="17"/>
        <v>33.629610148705503</v>
      </c>
      <c r="L126" s="192">
        <f t="shared" si="17"/>
        <v>32.360497434951455</v>
      </c>
      <c r="M126" s="192">
        <f t="shared" si="17"/>
        <v>33.375787605954692</v>
      </c>
      <c r="N126" s="192">
        <f t="shared" si="17"/>
        <v>32.106674892200644</v>
      </c>
      <c r="O126" s="192">
        <f t="shared" si="17"/>
        <v>31.599029806699026</v>
      </c>
      <c r="P126" s="192">
        <f t="shared" si="17"/>
        <v>29.822272007443367</v>
      </c>
      <c r="Q126" s="192">
        <f t="shared" si="17"/>
        <v>29.822272007443367</v>
      </c>
    </row>
    <row r="127" spans="1:19" ht="15" customHeight="1">
      <c r="A127" s="64">
        <v>1.5</v>
      </c>
      <c r="B127" s="192">
        <f>Leakage!AF64</f>
        <v>8.5159870633405813E-2</v>
      </c>
      <c r="C127" s="192">
        <f t="shared" ref="C127:Q127" si="18">1.1*C116</f>
        <v>42.386487873608417</v>
      </c>
      <c r="D127" s="192">
        <f t="shared" si="18"/>
        <v>42.259576602233011</v>
      </c>
      <c r="E127" s="192">
        <f t="shared" si="18"/>
        <v>42.132665330857606</v>
      </c>
      <c r="F127" s="192">
        <f t="shared" si="18"/>
        <v>41.751931516731389</v>
      </c>
      <c r="G127" s="192">
        <f t="shared" si="18"/>
        <v>41.498108973980585</v>
      </c>
      <c r="H127" s="192">
        <f t="shared" si="18"/>
        <v>39.975173717475734</v>
      </c>
      <c r="I127" s="192">
        <f t="shared" si="18"/>
        <v>41.244286431229774</v>
      </c>
      <c r="J127" s="192">
        <f t="shared" si="18"/>
        <v>40.736641345728152</v>
      </c>
      <c r="K127" s="192">
        <f t="shared" si="18"/>
        <v>40.609730074352747</v>
      </c>
      <c r="L127" s="192">
        <f t="shared" si="18"/>
        <v>39.975173717475734</v>
      </c>
      <c r="M127" s="192">
        <f t="shared" si="18"/>
        <v>40.482818802977341</v>
      </c>
      <c r="N127" s="192">
        <f t="shared" si="18"/>
        <v>39.848262446100328</v>
      </c>
      <c r="O127" s="192">
        <f t="shared" si="18"/>
        <v>39.594439903349517</v>
      </c>
      <c r="P127" s="192">
        <f t="shared" si="18"/>
        <v>38.706061003721686</v>
      </c>
      <c r="Q127" s="192">
        <f t="shared" si="18"/>
        <v>38.706061003721686</v>
      </c>
    </row>
    <row r="128" spans="1:19" ht="15" customHeight="1">
      <c r="A128" s="64">
        <v>0.6</v>
      </c>
      <c r="B128" s="192">
        <f>Leakage!AF65</f>
        <v>3.4063948253362321E-2</v>
      </c>
      <c r="C128" s="192">
        <f t="shared" ref="C128:Q128" si="19">1.1*C117</f>
        <v>45.508505149443373</v>
      </c>
      <c r="D128" s="192">
        <f t="shared" si="19"/>
        <v>45.457740640893206</v>
      </c>
      <c r="E128" s="192">
        <f t="shared" si="19"/>
        <v>45.406976132343047</v>
      </c>
      <c r="F128" s="192">
        <f t="shared" si="19"/>
        <v>45.254682606692562</v>
      </c>
      <c r="G128" s="192">
        <f t="shared" si="19"/>
        <v>45.153153589592236</v>
      </c>
      <c r="H128" s="192">
        <f t="shared" si="19"/>
        <v>44.543979486990295</v>
      </c>
      <c r="I128" s="192">
        <f t="shared" si="19"/>
        <v>45.051624572491917</v>
      </c>
      <c r="J128" s="192">
        <f t="shared" si="19"/>
        <v>44.848566538291266</v>
      </c>
      <c r="K128" s="192">
        <f t="shared" si="19"/>
        <v>44.797802029741106</v>
      </c>
      <c r="L128" s="192">
        <f t="shared" si="19"/>
        <v>44.543979486990295</v>
      </c>
      <c r="M128" s="192">
        <f t="shared" si="19"/>
        <v>44.74703752119094</v>
      </c>
      <c r="N128" s="192">
        <f t="shared" si="19"/>
        <v>44.493214978440136</v>
      </c>
      <c r="O128" s="192">
        <f t="shared" si="19"/>
        <v>44.39168596133981</v>
      </c>
      <c r="P128" s="192">
        <f t="shared" si="19"/>
        <v>44.036334401488681</v>
      </c>
      <c r="Q128" s="192">
        <f t="shared" si="19"/>
        <v>44.036334401488681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778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779</v>
      </c>
      <c r="B131" s="282"/>
      <c r="C131" s="280" t="s">
        <v>566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771</v>
      </c>
      <c r="B132" s="282"/>
      <c r="C132" s="280" t="s">
        <v>628</v>
      </c>
      <c r="D132" s="280" t="s">
        <v>577</v>
      </c>
      <c r="E132" s="280" t="s">
        <v>578</v>
      </c>
      <c r="F132" s="280" t="s">
        <v>579</v>
      </c>
      <c r="G132" s="280" t="s">
        <v>580</v>
      </c>
      <c r="H132" s="280" t="s">
        <v>581</v>
      </c>
      <c r="I132" s="280" t="s">
        <v>582</v>
      </c>
      <c r="J132" s="280" t="s">
        <v>583</v>
      </c>
      <c r="K132" s="280" t="s">
        <v>584</v>
      </c>
      <c r="L132" s="280" t="s">
        <v>585</v>
      </c>
      <c r="M132" s="280" t="s">
        <v>586</v>
      </c>
      <c r="N132" s="280" t="s">
        <v>587</v>
      </c>
      <c r="O132" s="280" t="s">
        <v>588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0.56773247088937218</v>
      </c>
      <c r="C133" s="282">
        <f>C112*0.4361</f>
        <v>6.289070783333333</v>
      </c>
      <c r="D133" s="282">
        <f t="shared" ref="D133:Q133" si="20">D112*0.4361</f>
        <v>6.289070783333333</v>
      </c>
      <c r="E133" s="282">
        <f t="shared" si="20"/>
        <v>6.289070783333333</v>
      </c>
      <c r="F133" s="282">
        <f t="shared" si="20"/>
        <v>6.289070783333333</v>
      </c>
      <c r="G133" s="282">
        <f t="shared" si="20"/>
        <v>6.289070783333333</v>
      </c>
      <c r="H133" s="282">
        <f t="shared" si="20"/>
        <v>6.289070783333333</v>
      </c>
      <c r="I133" s="282">
        <f t="shared" si="20"/>
        <v>6.289070783333333</v>
      </c>
      <c r="J133" s="282">
        <f t="shared" si="20"/>
        <v>6.289070783333333</v>
      </c>
      <c r="K133" s="282">
        <f t="shared" si="20"/>
        <v>6.289070783333333</v>
      </c>
      <c r="L133" s="282">
        <f t="shared" si="20"/>
        <v>6.289070783333333</v>
      </c>
      <c r="M133" s="282">
        <f t="shared" si="20"/>
        <v>6.289070783333333</v>
      </c>
      <c r="N133" s="282">
        <f t="shared" si="20"/>
        <v>6.289070783333333</v>
      </c>
      <c r="O133" s="282">
        <f t="shared" si="20"/>
        <v>6.289070783333333</v>
      </c>
      <c r="P133" s="282">
        <f t="shared" si="20"/>
        <v>6.289070783333333</v>
      </c>
      <c r="Q133" s="282">
        <f t="shared" si="20"/>
        <v>6.289070783333333</v>
      </c>
    </row>
    <row r="134" spans="1:17" ht="15" customHeight="1">
      <c r="A134" s="280">
        <v>7</v>
      </c>
      <c r="B134" s="282">
        <f>Leakage!AF61</f>
        <v>0.39741272962256041</v>
      </c>
      <c r="C134" s="282">
        <f t="shared" ref="C134:Q134" si="21">C113*0.4361</f>
        <v>9.2403617056147915</v>
      </c>
      <c r="D134" s="282">
        <f t="shared" si="21"/>
        <v>9.005560470385884</v>
      </c>
      <c r="E134" s="282">
        <f t="shared" si="21"/>
        <v>8.7707592351569748</v>
      </c>
      <c r="F134" s="282">
        <f t="shared" si="21"/>
        <v>8.066355529470254</v>
      </c>
      <c r="G134" s="282">
        <f t="shared" si="21"/>
        <v>7.5967530590124381</v>
      </c>
      <c r="H134" s="282">
        <f t="shared" si="21"/>
        <v>6.289070783333333</v>
      </c>
      <c r="I134" s="282">
        <f t="shared" si="21"/>
        <v>7.127150588554624</v>
      </c>
      <c r="J134" s="282">
        <f t="shared" si="21"/>
        <v>6.289070783333333</v>
      </c>
      <c r="K134" s="282">
        <f t="shared" si="21"/>
        <v>6.289070783333333</v>
      </c>
      <c r="L134" s="282">
        <f t="shared" si="21"/>
        <v>6.289070783333333</v>
      </c>
      <c r="M134" s="282">
        <f t="shared" si="21"/>
        <v>6.289070783333333</v>
      </c>
      <c r="N134" s="282">
        <f t="shared" si="21"/>
        <v>6.289070783333333</v>
      </c>
      <c r="O134" s="282">
        <f t="shared" si="21"/>
        <v>6.289070783333333</v>
      </c>
      <c r="P134" s="282">
        <f t="shared" si="21"/>
        <v>6.289070783333333</v>
      </c>
      <c r="Q134" s="282">
        <f t="shared" si="21"/>
        <v>6.289070783333333</v>
      </c>
    </row>
    <row r="135" spans="1:17" ht="15" customHeight="1">
      <c r="A135" s="280">
        <v>5</v>
      </c>
      <c r="B135" s="282">
        <f>Leakage!AF62</f>
        <v>0.28386623544468609</v>
      </c>
      <c r="C135" s="282">
        <f t="shared" ref="C135:Q135" si="22">C114*0.4361</f>
        <v>11.99089046115342</v>
      </c>
      <c r="D135" s="282">
        <f t="shared" si="22"/>
        <v>11.823175293132772</v>
      </c>
      <c r="E135" s="282">
        <f t="shared" si="22"/>
        <v>11.655460125112123</v>
      </c>
      <c r="F135" s="282">
        <f t="shared" si="22"/>
        <v>11.152314621050177</v>
      </c>
      <c r="G135" s="282">
        <f t="shared" si="22"/>
        <v>10.816884285008882</v>
      </c>
      <c r="H135" s="282">
        <f t="shared" si="22"/>
        <v>8.8043022687611021</v>
      </c>
      <c r="I135" s="282">
        <f t="shared" si="22"/>
        <v>10.481453948967586</v>
      </c>
      <c r="J135" s="282">
        <f t="shared" si="22"/>
        <v>9.8105932768849922</v>
      </c>
      <c r="K135" s="282">
        <f t="shared" si="22"/>
        <v>9.6428781088643447</v>
      </c>
      <c r="L135" s="282">
        <f t="shared" si="22"/>
        <v>8.8043022687611021</v>
      </c>
      <c r="M135" s="282">
        <f t="shared" si="22"/>
        <v>9.4751629408436937</v>
      </c>
      <c r="N135" s="282">
        <f t="shared" si="22"/>
        <v>8.6365871007404547</v>
      </c>
      <c r="O135" s="282">
        <f t="shared" si="22"/>
        <v>8.301156764699158</v>
      </c>
      <c r="P135" s="282">
        <f t="shared" si="22"/>
        <v>7.1271505885546205</v>
      </c>
      <c r="Q135" s="282">
        <f t="shared" si="22"/>
        <v>7.1271505885546205</v>
      </c>
    </row>
    <row r="136" spans="1:17" ht="15" customHeight="1">
      <c r="A136" s="280">
        <v>3</v>
      </c>
      <c r="B136" s="282">
        <f>Leakage!AF63</f>
        <v>0.17031974126681163</v>
      </c>
      <c r="C136" s="282">
        <f t="shared" ref="C136:Q136" si="23">C115*0.4361</f>
        <v>14.741419216692051</v>
      </c>
      <c r="D136" s="282">
        <f t="shared" si="23"/>
        <v>14.640790115879662</v>
      </c>
      <c r="E136" s="282">
        <f t="shared" si="23"/>
        <v>14.540161015067273</v>
      </c>
      <c r="F136" s="282">
        <f t="shared" si="23"/>
        <v>14.238273712630109</v>
      </c>
      <c r="G136" s="282">
        <f t="shared" si="23"/>
        <v>14.037015511005331</v>
      </c>
      <c r="H136" s="282">
        <f t="shared" si="23"/>
        <v>12.829466301256662</v>
      </c>
      <c r="I136" s="282">
        <f t="shared" si="23"/>
        <v>13.835757309380552</v>
      </c>
      <c r="J136" s="282">
        <f t="shared" si="23"/>
        <v>13.433240906130996</v>
      </c>
      <c r="K136" s="282">
        <f t="shared" si="23"/>
        <v>13.332611805318606</v>
      </c>
      <c r="L136" s="282">
        <f t="shared" si="23"/>
        <v>12.829466301256662</v>
      </c>
      <c r="M136" s="282">
        <f t="shared" si="23"/>
        <v>13.231982704506219</v>
      </c>
      <c r="N136" s="282">
        <f t="shared" si="23"/>
        <v>12.728837200444273</v>
      </c>
      <c r="O136" s="282">
        <f t="shared" si="23"/>
        <v>12.527578998819495</v>
      </c>
      <c r="P136" s="282">
        <f t="shared" si="23"/>
        <v>11.823175293132774</v>
      </c>
      <c r="Q136" s="282">
        <f t="shared" si="23"/>
        <v>11.823175293132774</v>
      </c>
    </row>
    <row r="137" spans="1:17" ht="15" customHeight="1">
      <c r="A137" s="280">
        <v>1.5</v>
      </c>
      <c r="B137" s="282">
        <f>Leakage!AF64</f>
        <v>8.5159870633405813E-2</v>
      </c>
      <c r="C137" s="282">
        <f t="shared" ref="C137:Q137" si="24">C116*0.4361</f>
        <v>16.804315783346027</v>
      </c>
      <c r="D137" s="282">
        <f t="shared" si="24"/>
        <v>16.754001232939832</v>
      </c>
      <c r="E137" s="282">
        <f t="shared" si="24"/>
        <v>16.703686682533636</v>
      </c>
      <c r="F137" s="282">
        <f t="shared" si="24"/>
        <v>16.552743031315053</v>
      </c>
      <c r="G137" s="282">
        <f t="shared" si="24"/>
        <v>16.452113930502662</v>
      </c>
      <c r="H137" s="282">
        <f t="shared" si="24"/>
        <v>15.848339325628332</v>
      </c>
      <c r="I137" s="282">
        <f t="shared" si="24"/>
        <v>16.351484829690275</v>
      </c>
      <c r="J137" s="282">
        <f t="shared" si="24"/>
        <v>16.150226628065496</v>
      </c>
      <c r="K137" s="282">
        <f t="shared" si="24"/>
        <v>16.099912077659301</v>
      </c>
      <c r="L137" s="282">
        <f t="shared" si="24"/>
        <v>15.848339325628332</v>
      </c>
      <c r="M137" s="282">
        <f t="shared" si="24"/>
        <v>16.049597527253109</v>
      </c>
      <c r="N137" s="282">
        <f t="shared" si="24"/>
        <v>15.798024775222137</v>
      </c>
      <c r="O137" s="282">
        <f t="shared" si="24"/>
        <v>15.697395674409748</v>
      </c>
      <c r="P137" s="282">
        <f t="shared" si="24"/>
        <v>15.345193821566387</v>
      </c>
      <c r="Q137" s="282">
        <f t="shared" si="24"/>
        <v>15.345193821566387</v>
      </c>
    </row>
    <row r="138" spans="1:17" ht="15" customHeight="1">
      <c r="A138" s="280">
        <v>0.6</v>
      </c>
      <c r="B138" s="282">
        <f>Leakage!AF65</f>
        <v>3.4063948253362321E-2</v>
      </c>
      <c r="C138" s="282">
        <f t="shared" ref="C138:Q138" si="25">C117*0.4361</f>
        <v>18.042053723338412</v>
      </c>
      <c r="D138" s="282">
        <f t="shared" si="25"/>
        <v>18.021927903175932</v>
      </c>
      <c r="E138" s="282">
        <f t="shared" si="25"/>
        <v>18.001802083013455</v>
      </c>
      <c r="F138" s="282">
        <f t="shared" si="25"/>
        <v>17.941424622526021</v>
      </c>
      <c r="G138" s="282">
        <f t="shared" si="25"/>
        <v>17.901172982201068</v>
      </c>
      <c r="H138" s="282">
        <f t="shared" si="25"/>
        <v>17.659663140251332</v>
      </c>
      <c r="I138" s="282">
        <f t="shared" si="25"/>
        <v>17.860921341876111</v>
      </c>
      <c r="J138" s="282">
        <f t="shared" si="25"/>
        <v>17.7804180612262</v>
      </c>
      <c r="K138" s="282">
        <f t="shared" si="25"/>
        <v>17.760292241063723</v>
      </c>
      <c r="L138" s="282">
        <f t="shared" si="25"/>
        <v>17.659663140251332</v>
      </c>
      <c r="M138" s="282">
        <f t="shared" si="25"/>
        <v>17.740166420901243</v>
      </c>
      <c r="N138" s="282">
        <f t="shared" si="25"/>
        <v>17.639537320088856</v>
      </c>
      <c r="O138" s="282">
        <f t="shared" si="25"/>
        <v>17.599285679763899</v>
      </c>
      <c r="P138" s="282">
        <f t="shared" si="25"/>
        <v>17.458404938626554</v>
      </c>
      <c r="Q138" s="282">
        <f t="shared" si="25"/>
        <v>17.458404938626554</v>
      </c>
    </row>
    <row r="139" spans="1:17" ht="15" customHeight="1">
      <c r="A139" s="280" t="s">
        <v>782</v>
      </c>
      <c r="B139" s="282" t="s">
        <v>646</v>
      </c>
      <c r="C139" s="282">
        <f t="shared" ref="C139:Q139" si="26">C118*0.4361</f>
        <v>18.867212349999999</v>
      </c>
      <c r="D139" s="282">
        <f t="shared" si="26"/>
        <v>18.867212349999999</v>
      </c>
      <c r="E139" s="282">
        <f t="shared" si="26"/>
        <v>18.867212349999999</v>
      </c>
      <c r="F139" s="282">
        <f t="shared" si="26"/>
        <v>18.867212349999999</v>
      </c>
      <c r="G139" s="282">
        <f t="shared" si="26"/>
        <v>18.867212349999999</v>
      </c>
      <c r="H139" s="282">
        <f t="shared" si="26"/>
        <v>18.867212349999999</v>
      </c>
      <c r="I139" s="282">
        <f t="shared" si="26"/>
        <v>18.867212349999999</v>
      </c>
      <c r="J139" s="282">
        <f t="shared" si="26"/>
        <v>18.867212349999999</v>
      </c>
      <c r="K139" s="282">
        <f t="shared" si="26"/>
        <v>18.867212349999999</v>
      </c>
      <c r="L139" s="282">
        <f t="shared" si="26"/>
        <v>18.867212349999999</v>
      </c>
      <c r="M139" s="282">
        <f t="shared" si="26"/>
        <v>18.867212349999999</v>
      </c>
      <c r="N139" s="282">
        <f t="shared" si="26"/>
        <v>18.867212349999999</v>
      </c>
      <c r="O139" s="282">
        <f t="shared" si="26"/>
        <v>18.867212349999999</v>
      </c>
      <c r="P139" s="282">
        <f t="shared" si="26"/>
        <v>18.867212349999999</v>
      </c>
      <c r="Q139" s="282">
        <f t="shared" si="26"/>
        <v>18.867212349999999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784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779</v>
      </c>
      <c r="B143" s="192"/>
      <c r="C143" s="64" t="s">
        <v>566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771</v>
      </c>
      <c r="B144" s="192"/>
      <c r="C144" s="64" t="s">
        <v>628</v>
      </c>
      <c r="D144" s="64" t="s">
        <v>577</v>
      </c>
      <c r="E144" s="64" t="s">
        <v>578</v>
      </c>
      <c r="F144" s="64" t="s">
        <v>579</v>
      </c>
      <c r="G144" s="64" t="s">
        <v>580</v>
      </c>
      <c r="H144" s="64" t="s">
        <v>581</v>
      </c>
      <c r="I144" s="64" t="s">
        <v>582</v>
      </c>
      <c r="J144" s="64" t="s">
        <v>583</v>
      </c>
      <c r="K144" s="64" t="s">
        <v>584</v>
      </c>
      <c r="L144" s="64" t="s">
        <v>585</v>
      </c>
      <c r="M144" s="64" t="s">
        <v>586</v>
      </c>
      <c r="N144" s="64" t="s">
        <v>587</v>
      </c>
      <c r="O144" s="64" t="s">
        <v>588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0.56773247088937218</v>
      </c>
      <c r="C145" s="192">
        <f>C133*1.1</f>
        <v>6.9179778616666665</v>
      </c>
      <c r="D145" s="192">
        <f t="shared" ref="D145:Q145" si="27">D133*1.1</f>
        <v>6.9179778616666665</v>
      </c>
      <c r="E145" s="192">
        <f t="shared" si="27"/>
        <v>6.9179778616666665</v>
      </c>
      <c r="F145" s="192">
        <f t="shared" si="27"/>
        <v>6.9179778616666665</v>
      </c>
      <c r="G145" s="192">
        <f t="shared" si="27"/>
        <v>6.9179778616666665</v>
      </c>
      <c r="H145" s="192">
        <f t="shared" si="27"/>
        <v>6.9179778616666665</v>
      </c>
      <c r="I145" s="192">
        <f t="shared" si="27"/>
        <v>6.9179778616666665</v>
      </c>
      <c r="J145" s="192">
        <f t="shared" si="27"/>
        <v>6.9179778616666665</v>
      </c>
      <c r="K145" s="192">
        <f t="shared" si="27"/>
        <v>6.9179778616666665</v>
      </c>
      <c r="L145" s="192">
        <f t="shared" si="27"/>
        <v>6.9179778616666665</v>
      </c>
      <c r="M145" s="192">
        <f t="shared" si="27"/>
        <v>6.9179778616666665</v>
      </c>
      <c r="N145" s="192">
        <f t="shared" si="27"/>
        <v>6.9179778616666665</v>
      </c>
      <c r="O145" s="192">
        <f t="shared" si="27"/>
        <v>6.9179778616666665</v>
      </c>
      <c r="P145" s="192">
        <f t="shared" si="27"/>
        <v>6.9179778616666665</v>
      </c>
      <c r="Q145" s="192">
        <f t="shared" si="27"/>
        <v>6.9179778616666665</v>
      </c>
    </row>
    <row r="146" spans="1:17" ht="15" customHeight="1">
      <c r="A146" s="64">
        <v>7</v>
      </c>
      <c r="B146" s="192">
        <f>Leakage!AF61</f>
        <v>0.39741272962256041</v>
      </c>
      <c r="C146" s="192">
        <f t="shared" ref="C146:Q146" si="28">C134*1.1</f>
        <v>10.164397876176272</v>
      </c>
      <c r="D146" s="192">
        <f t="shared" si="28"/>
        <v>9.9061165174244739</v>
      </c>
      <c r="E146" s="192">
        <f t="shared" si="28"/>
        <v>9.6478351586726738</v>
      </c>
      <c r="F146" s="192">
        <f t="shared" si="28"/>
        <v>8.8729910824172809</v>
      </c>
      <c r="G146" s="192">
        <f t="shared" si="28"/>
        <v>8.3564283649136826</v>
      </c>
      <c r="H146" s="192">
        <f t="shared" si="28"/>
        <v>6.9179778616666665</v>
      </c>
      <c r="I146" s="192">
        <f t="shared" si="28"/>
        <v>7.839865647410087</v>
      </c>
      <c r="J146" s="192">
        <f t="shared" si="28"/>
        <v>6.9179778616666665</v>
      </c>
      <c r="K146" s="192">
        <f t="shared" si="28"/>
        <v>6.9179778616666665</v>
      </c>
      <c r="L146" s="192">
        <f t="shared" si="28"/>
        <v>6.9179778616666665</v>
      </c>
      <c r="M146" s="192">
        <f t="shared" si="28"/>
        <v>6.9179778616666665</v>
      </c>
      <c r="N146" s="192">
        <f t="shared" si="28"/>
        <v>6.9179778616666665</v>
      </c>
      <c r="O146" s="192">
        <f t="shared" si="28"/>
        <v>6.9179778616666665</v>
      </c>
      <c r="P146" s="192">
        <f t="shared" si="28"/>
        <v>6.9179778616666665</v>
      </c>
      <c r="Q146" s="192">
        <f t="shared" si="28"/>
        <v>6.9179778616666665</v>
      </c>
    </row>
    <row r="147" spans="1:17" ht="15" customHeight="1">
      <c r="A147" s="64">
        <v>5</v>
      </c>
      <c r="B147" s="192">
        <f>Leakage!AF62</f>
        <v>0.28386623544468609</v>
      </c>
      <c r="C147" s="192">
        <f t="shared" ref="C147:Q147" si="29">C135*1.1</f>
        <v>13.189979507268763</v>
      </c>
      <c r="D147" s="192">
        <f t="shared" si="29"/>
        <v>13.005492822446051</v>
      </c>
      <c r="E147" s="192">
        <f t="shared" si="29"/>
        <v>12.821006137623336</v>
      </c>
      <c r="F147" s="192">
        <f t="shared" si="29"/>
        <v>12.267546083155196</v>
      </c>
      <c r="G147" s="192">
        <f t="shared" si="29"/>
        <v>11.898572713509772</v>
      </c>
      <c r="H147" s="192">
        <f t="shared" si="29"/>
        <v>9.6847324956372134</v>
      </c>
      <c r="I147" s="192">
        <f t="shared" si="29"/>
        <v>11.529599343864344</v>
      </c>
      <c r="J147" s="192">
        <f t="shared" si="29"/>
        <v>10.791652604573493</v>
      </c>
      <c r="K147" s="192">
        <f t="shared" si="29"/>
        <v>10.607165919750781</v>
      </c>
      <c r="L147" s="192">
        <f t="shared" si="29"/>
        <v>9.6847324956372134</v>
      </c>
      <c r="M147" s="192">
        <f t="shared" si="29"/>
        <v>10.422679234928063</v>
      </c>
      <c r="N147" s="192">
        <f t="shared" si="29"/>
        <v>9.5002458108145014</v>
      </c>
      <c r="O147" s="192">
        <f t="shared" si="29"/>
        <v>9.1312724411690738</v>
      </c>
      <c r="P147" s="192">
        <f t="shared" si="29"/>
        <v>7.8398656474100834</v>
      </c>
      <c r="Q147" s="192">
        <f t="shared" si="29"/>
        <v>7.8398656474100834</v>
      </c>
    </row>
    <row r="148" spans="1:17" ht="15" customHeight="1">
      <c r="A148" s="64">
        <v>3</v>
      </c>
      <c r="B148" s="192">
        <f>Leakage!AF63</f>
        <v>0.17031974126681163</v>
      </c>
      <c r="C148" s="192">
        <f t="shared" ref="C148:Q148" si="30">C136*1.1</f>
        <v>16.215561138361259</v>
      </c>
      <c r="D148" s="192">
        <f t="shared" si="30"/>
        <v>16.10486912746763</v>
      </c>
      <c r="E148" s="192">
        <f t="shared" si="30"/>
        <v>15.994177116574003</v>
      </c>
      <c r="F148" s="192">
        <f t="shared" si="30"/>
        <v>15.662101083893122</v>
      </c>
      <c r="G148" s="192">
        <f t="shared" si="30"/>
        <v>15.440717062105865</v>
      </c>
      <c r="H148" s="192">
        <f t="shared" si="30"/>
        <v>14.11241293138233</v>
      </c>
      <c r="I148" s="192">
        <f t="shared" si="30"/>
        <v>15.21933304031861</v>
      </c>
      <c r="J148" s="192">
        <f t="shared" si="30"/>
        <v>14.776564996744096</v>
      </c>
      <c r="K148" s="192">
        <f t="shared" si="30"/>
        <v>14.665872985850468</v>
      </c>
      <c r="L148" s="192">
        <f t="shared" si="30"/>
        <v>14.11241293138233</v>
      </c>
      <c r="M148" s="192">
        <f t="shared" si="30"/>
        <v>14.555180974956842</v>
      </c>
      <c r="N148" s="192">
        <f t="shared" si="30"/>
        <v>14.001720920488701</v>
      </c>
      <c r="O148" s="192">
        <f t="shared" si="30"/>
        <v>13.780336898701446</v>
      </c>
      <c r="P148" s="192">
        <f t="shared" si="30"/>
        <v>13.005492822446053</v>
      </c>
      <c r="Q148" s="192">
        <f t="shared" si="30"/>
        <v>13.005492822446053</v>
      </c>
    </row>
    <row r="149" spans="1:17" ht="15" customHeight="1">
      <c r="A149" s="64">
        <v>1.5</v>
      </c>
      <c r="B149" s="192">
        <f>Leakage!AF64</f>
        <v>8.5159870633405813E-2</v>
      </c>
      <c r="C149" s="192">
        <f t="shared" ref="C149:Q149" si="31">C137*1.1</f>
        <v>18.484747361680633</v>
      </c>
      <c r="D149" s="192">
        <f t="shared" si="31"/>
        <v>18.429401356233818</v>
      </c>
      <c r="E149" s="192">
        <f t="shared" si="31"/>
        <v>18.374055350787</v>
      </c>
      <c r="F149" s="192">
        <f t="shared" si="31"/>
        <v>18.208017334446559</v>
      </c>
      <c r="G149" s="192">
        <f t="shared" si="31"/>
        <v>18.09732532355293</v>
      </c>
      <c r="H149" s="192">
        <f t="shared" si="31"/>
        <v>17.433173258191168</v>
      </c>
      <c r="I149" s="192">
        <f t="shared" si="31"/>
        <v>17.986633312659304</v>
      </c>
      <c r="J149" s="192">
        <f t="shared" si="31"/>
        <v>17.765249290872049</v>
      </c>
      <c r="K149" s="192">
        <f t="shared" si="31"/>
        <v>17.709903285425234</v>
      </c>
      <c r="L149" s="192">
        <f t="shared" si="31"/>
        <v>17.433173258191168</v>
      </c>
      <c r="M149" s="192">
        <f t="shared" si="31"/>
        <v>17.654557279978423</v>
      </c>
      <c r="N149" s="192">
        <f t="shared" si="31"/>
        <v>17.377827252744353</v>
      </c>
      <c r="O149" s="192">
        <f t="shared" si="31"/>
        <v>17.267135241850724</v>
      </c>
      <c r="P149" s="192">
        <f t="shared" si="31"/>
        <v>16.879713203723025</v>
      </c>
      <c r="Q149" s="192">
        <f t="shared" si="31"/>
        <v>16.879713203723025</v>
      </c>
    </row>
    <row r="150" spans="1:17" ht="15" customHeight="1">
      <c r="A150" s="64">
        <v>0.6</v>
      </c>
      <c r="B150" s="192">
        <f>Leakage!AF65</f>
        <v>3.4063948253362321E-2</v>
      </c>
      <c r="C150" s="192">
        <f t="shared" ref="C150:Q150" si="32">C138*1.1</f>
        <v>19.846259095672256</v>
      </c>
      <c r="D150" s="192">
        <f t="shared" si="32"/>
        <v>19.824120693493526</v>
      </c>
      <c r="E150" s="192">
        <f t="shared" si="32"/>
        <v>19.801982291314804</v>
      </c>
      <c r="F150" s="192">
        <f t="shared" si="32"/>
        <v>19.735567084778626</v>
      </c>
      <c r="G150" s="192">
        <f t="shared" si="32"/>
        <v>19.691290280421175</v>
      </c>
      <c r="H150" s="192">
        <f t="shared" si="32"/>
        <v>19.425629454276468</v>
      </c>
      <c r="I150" s="192">
        <f t="shared" si="32"/>
        <v>19.647013476063723</v>
      </c>
      <c r="J150" s="192">
        <f t="shared" si="32"/>
        <v>19.558459867348823</v>
      </c>
      <c r="K150" s="192">
        <f t="shared" si="32"/>
        <v>19.536321465170097</v>
      </c>
      <c r="L150" s="192">
        <f t="shared" si="32"/>
        <v>19.425629454276468</v>
      </c>
      <c r="M150" s="192">
        <f t="shared" si="32"/>
        <v>19.514183062991368</v>
      </c>
      <c r="N150" s="192">
        <f t="shared" si="32"/>
        <v>19.403491052097742</v>
      </c>
      <c r="O150" s="192">
        <f t="shared" si="32"/>
        <v>19.35921424774029</v>
      </c>
      <c r="P150" s="192">
        <f t="shared" si="32"/>
        <v>19.204245432489213</v>
      </c>
      <c r="Q150" s="192">
        <f t="shared" si="32"/>
        <v>19.204245432489213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topLeftCell="A46" workbookViewId="0">
      <selection activeCell="A59" sqref="A57:A59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318</v>
      </c>
      <c r="B1" s="4"/>
      <c r="C1" s="4"/>
      <c r="D1" s="4"/>
      <c r="E1" s="4"/>
      <c r="G1" s="5" t="s">
        <v>519</v>
      </c>
      <c r="O1" s="534" t="s">
        <v>506</v>
      </c>
      <c r="P1" s="141" t="s">
        <v>525</v>
      </c>
      <c r="Q1" s="141" t="s">
        <v>527</v>
      </c>
      <c r="R1" s="136" t="s">
        <v>528</v>
      </c>
    </row>
    <row r="2" spans="1:19" ht="15" customHeight="1">
      <c r="A2" s="11" t="s">
        <v>481</v>
      </c>
      <c r="G2" s="52" t="s">
        <v>518</v>
      </c>
      <c r="O2" s="535"/>
      <c r="P2" s="142" t="s">
        <v>526</v>
      </c>
      <c r="Q2" s="142" t="s">
        <v>526</v>
      </c>
      <c r="R2" s="140" t="s">
        <v>529</v>
      </c>
    </row>
    <row r="3" spans="1:19" ht="15" customHeight="1">
      <c r="G3" s="5" t="s">
        <v>520</v>
      </c>
      <c r="O3" s="138">
        <v>2</v>
      </c>
      <c r="P3" s="143">
        <v>7.8</v>
      </c>
      <c r="Q3" s="143">
        <v>3.2</v>
      </c>
      <c r="R3" s="137" t="s">
        <v>530</v>
      </c>
    </row>
    <row r="4" spans="1:19" ht="15" customHeight="1">
      <c r="A4" s="99" t="s">
        <v>426</v>
      </c>
      <c r="B4" s="100" t="s">
        <v>262</v>
      </c>
      <c r="C4" s="100" t="s">
        <v>126</v>
      </c>
      <c r="D4" s="100" t="s">
        <v>319</v>
      </c>
      <c r="E4" s="100" t="s">
        <v>126</v>
      </c>
      <c r="G4" s="5" t="s">
        <v>397</v>
      </c>
      <c r="O4" s="138">
        <v>3</v>
      </c>
      <c r="P4" s="143">
        <v>12.1</v>
      </c>
      <c r="Q4" s="143">
        <v>3.6</v>
      </c>
      <c r="R4" s="137" t="s">
        <v>531</v>
      </c>
    </row>
    <row r="5" spans="1:19" ht="15" customHeight="1">
      <c r="A5" s="76" t="s">
        <v>320</v>
      </c>
      <c r="B5" s="287">
        <f>SUM(A40:A43,A45,A47:A51)+SUM(B40:B41)*A_houseFT+SUM(C40:C43,C45,C47:C51)*Nbedrooms</f>
        <v>63441</v>
      </c>
      <c r="C5" s="5" t="s">
        <v>321</v>
      </c>
      <c r="D5" s="435">
        <f>B5/24/3412</f>
        <v>0.77472889800703404</v>
      </c>
      <c r="E5" s="5" t="s">
        <v>488</v>
      </c>
      <c r="O5" s="138">
        <v>4</v>
      </c>
      <c r="P5" s="143">
        <v>13.8</v>
      </c>
      <c r="Q5" s="143">
        <v>4</v>
      </c>
      <c r="R5" s="137" t="s">
        <v>532</v>
      </c>
    </row>
    <row r="6" spans="1:19" ht="15" customHeight="1">
      <c r="D6" s="265">
        <f>1000*D5</f>
        <v>774.72889800703399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533</v>
      </c>
    </row>
    <row r="7" spans="1:19" ht="15" customHeight="1">
      <c r="O7" s="135" t="s">
        <v>541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34" t="s">
        <v>534</v>
      </c>
      <c r="P9" s="536" t="s">
        <v>506</v>
      </c>
      <c r="Q9" s="141" t="s">
        <v>426</v>
      </c>
      <c r="R9" s="136" t="s">
        <v>536</v>
      </c>
      <c r="S9" s="136" t="s">
        <v>536</v>
      </c>
    </row>
    <row r="10" spans="1:19" ht="15" customHeight="1">
      <c r="A10" s="101" t="s">
        <v>427</v>
      </c>
      <c r="B10" s="102" t="s">
        <v>262</v>
      </c>
      <c r="C10" s="102" t="s">
        <v>126</v>
      </c>
      <c r="D10" s="102" t="s">
        <v>127</v>
      </c>
      <c r="E10" s="102" t="s">
        <v>126</v>
      </c>
      <c r="G10" s="5" t="s">
        <v>513</v>
      </c>
      <c r="O10" s="535"/>
      <c r="P10" s="537"/>
      <c r="Q10" s="142" t="s">
        <v>535</v>
      </c>
      <c r="R10" s="140" t="s">
        <v>526</v>
      </c>
      <c r="S10" s="140" t="s">
        <v>535</v>
      </c>
    </row>
    <row r="11" spans="1:19" ht="15" customHeight="1">
      <c r="A11" s="97" t="s">
        <v>320</v>
      </c>
      <c r="B11" s="63"/>
      <c r="C11" s="63"/>
      <c r="D11" s="63">
        <f>VLOOKUP(OccDensity,A29:F37,6,FALSE)</f>
        <v>6.5</v>
      </c>
      <c r="E11" s="63" t="s">
        <v>322</v>
      </c>
      <c r="G11" s="5" t="s">
        <v>507</v>
      </c>
      <c r="O11" s="138" t="s">
        <v>537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323</v>
      </c>
      <c r="G12" s="5" t="s">
        <v>508</v>
      </c>
      <c r="O12" s="138" t="s">
        <v>538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509</v>
      </c>
      <c r="O13" s="144" t="s">
        <v>539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510</v>
      </c>
      <c r="O14" s="134" t="s">
        <v>540</v>
      </c>
    </row>
    <row r="15" spans="1:19" ht="15" customHeight="1">
      <c r="A15" s="4" t="s">
        <v>482</v>
      </c>
      <c r="G15" s="5" t="s">
        <v>511</v>
      </c>
    </row>
    <row r="16" spans="1:19" ht="15" customHeight="1">
      <c r="A16" s="11" t="s">
        <v>483</v>
      </c>
      <c r="G16" s="5" t="s">
        <v>512</v>
      </c>
      <c r="Q16" s="254" t="s">
        <v>711</v>
      </c>
      <c r="R16" s="254" t="s">
        <v>712</v>
      </c>
      <c r="S16" s="254" t="s">
        <v>713</v>
      </c>
    </row>
    <row r="17" spans="1:18" ht="15" customHeight="1">
      <c r="P17" s="254" t="s">
        <v>321</v>
      </c>
      <c r="Q17" s="272">
        <v>43316</v>
      </c>
      <c r="R17" s="272">
        <v>4687</v>
      </c>
    </row>
    <row r="18" spans="1:18" ht="15" customHeight="1">
      <c r="A18" s="99" t="s">
        <v>484</v>
      </c>
      <c r="B18" s="74" t="s">
        <v>31</v>
      </c>
      <c r="C18" s="74" t="s">
        <v>488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485</v>
      </c>
      <c r="B19" s="12">
        <f>136+2.2*A_houseSI+22*B22</f>
        <v>653.19800000000009</v>
      </c>
      <c r="C19" s="14">
        <f>B19/1000</f>
        <v>0.65319800000000006</v>
      </c>
      <c r="Q19" s="254" t="s">
        <v>714</v>
      </c>
    </row>
    <row r="20" spans="1:18" ht="15" customHeight="1">
      <c r="A20" s="87" t="s">
        <v>486</v>
      </c>
      <c r="B20" s="12">
        <f>20+0.22*A_houseSI+12*'Internal gains'!B22</f>
        <v>110.91980000000001</v>
      </c>
      <c r="C20" s="14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998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997</v>
      </c>
      <c r="B23" s="332">
        <f>Noccupants-1</f>
        <v>3</v>
      </c>
      <c r="F23" s="254"/>
      <c r="G23" s="254"/>
      <c r="H23" s="254"/>
    </row>
    <row r="24" spans="1:18" ht="15" customHeight="1">
      <c r="A24" s="245" t="s">
        <v>831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793</v>
      </c>
      <c r="B28" s="254" t="s">
        <v>799</v>
      </c>
      <c r="C28" s="254" t="s">
        <v>800</v>
      </c>
      <c r="D28" s="254" t="s">
        <v>797</v>
      </c>
      <c r="E28" s="254" t="s">
        <v>798</v>
      </c>
      <c r="F28" s="254" t="s">
        <v>427</v>
      </c>
      <c r="G28" s="254" t="s">
        <v>801</v>
      </c>
      <c r="H28" s="254" t="s">
        <v>811</v>
      </c>
      <c r="O28" s="254"/>
    </row>
    <row r="29" spans="1:18" ht="15" customHeight="1">
      <c r="A29" s="254" t="s">
        <v>795</v>
      </c>
      <c r="B29" s="254" t="s">
        <v>790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794</v>
      </c>
      <c r="B30" s="254" t="s">
        <v>790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796</v>
      </c>
      <c r="B31" s="254" t="s">
        <v>790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795</v>
      </c>
      <c r="B32" s="254" t="s">
        <v>794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794</v>
      </c>
      <c r="B33" s="254" t="s">
        <v>794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796</v>
      </c>
      <c r="B34" s="254" t="s">
        <v>794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795</v>
      </c>
      <c r="B35" s="254" t="s">
        <v>791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794</v>
      </c>
      <c r="B36" s="254" t="s">
        <v>791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796</v>
      </c>
      <c r="B37" s="254" t="s">
        <v>791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812</v>
      </c>
      <c r="B39" s="254" t="s">
        <v>813</v>
      </c>
      <c r="C39" s="254" t="s">
        <v>203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819</v>
      </c>
      <c r="E40" s="254" t="s">
        <v>814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820</v>
      </c>
      <c r="E41" s="5" t="s">
        <v>879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821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822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823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824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825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826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827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828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829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487</v>
      </c>
    </row>
    <row r="54" spans="1:8" ht="15" customHeight="1">
      <c r="F54" s="5" t="s">
        <v>1352</v>
      </c>
      <c r="G54" s="5" t="s">
        <v>1353</v>
      </c>
    </row>
    <row r="55" spans="1:8" ht="15" customHeight="1">
      <c r="A55" s="5" t="s">
        <v>1342</v>
      </c>
      <c r="B55" s="5" t="s">
        <v>1339</v>
      </c>
      <c r="C55" s="5">
        <v>454</v>
      </c>
      <c r="D55" s="5">
        <v>37</v>
      </c>
      <c r="E55" s="5" t="s">
        <v>1338</v>
      </c>
      <c r="F55" s="5">
        <f t="shared" ref="F55:F66" si="1">C55+D55*Nbedrooms</f>
        <v>565</v>
      </c>
      <c r="G55" s="5">
        <f>3412*F55</f>
        <v>1927780</v>
      </c>
      <c r="H55" s="5">
        <f>G55/8760</f>
        <v>220.0662100456621</v>
      </c>
    </row>
    <row r="56" spans="1:8" ht="15" customHeight="1">
      <c r="A56" s="5" t="s">
        <v>1343</v>
      </c>
      <c r="B56" s="254" t="s">
        <v>1339</v>
      </c>
      <c r="C56" s="5">
        <v>0</v>
      </c>
      <c r="D56" s="5">
        <v>71</v>
      </c>
      <c r="E56" s="254" t="s">
        <v>1338</v>
      </c>
      <c r="F56" s="254">
        <f t="shared" si="1"/>
        <v>213</v>
      </c>
      <c r="G56" s="254">
        <f t="shared" ref="G56:G69" si="2">3412*F56</f>
        <v>726756</v>
      </c>
      <c r="H56" s="254">
        <f t="shared" ref="H56:H69" si="3">G56/8760</f>
        <v>82.963013698630135</v>
      </c>
    </row>
    <row r="57" spans="1:8" ht="15" customHeight="1">
      <c r="A57" s="5" t="s">
        <v>1344</v>
      </c>
      <c r="B57" s="254" t="s">
        <v>1339</v>
      </c>
      <c r="C57" s="5">
        <v>138</v>
      </c>
      <c r="D57" s="5">
        <v>16</v>
      </c>
      <c r="E57" s="254" t="s">
        <v>1338</v>
      </c>
      <c r="F57" s="254">
        <f t="shared" si="1"/>
        <v>186</v>
      </c>
      <c r="G57" s="254">
        <f t="shared" si="2"/>
        <v>634632</v>
      </c>
      <c r="H57" s="254">
        <f t="shared" si="3"/>
        <v>72.446575342465749</v>
      </c>
    </row>
    <row r="58" spans="1:8" ht="15" customHeight="1">
      <c r="A58" s="5" t="s">
        <v>1344</v>
      </c>
      <c r="B58" s="5" t="s">
        <v>1340</v>
      </c>
      <c r="C58" s="5">
        <v>6</v>
      </c>
      <c r="D58" s="5">
        <v>0.95</v>
      </c>
      <c r="E58" s="254" t="s">
        <v>1338</v>
      </c>
      <c r="F58" s="254">
        <f t="shared" si="1"/>
        <v>8.85</v>
      </c>
      <c r="G58" s="254">
        <f>100000*F58</f>
        <v>885000</v>
      </c>
      <c r="H58" s="254">
        <f t="shared" si="3"/>
        <v>101.02739726027397</v>
      </c>
    </row>
    <row r="59" spans="1:8" ht="15" customHeight="1">
      <c r="A59" s="5" t="s">
        <v>1344</v>
      </c>
      <c r="B59" s="5" t="s">
        <v>1340</v>
      </c>
      <c r="C59" s="5">
        <v>41</v>
      </c>
      <c r="D59" s="5">
        <v>4.79</v>
      </c>
      <c r="E59" s="254" t="s">
        <v>1338</v>
      </c>
      <c r="F59" s="254">
        <f t="shared" si="1"/>
        <v>55.370000000000005</v>
      </c>
      <c r="G59" s="254">
        <f>3412*F59</f>
        <v>188922.44</v>
      </c>
      <c r="H59" s="254">
        <f t="shared" si="3"/>
        <v>21.566488584474886</v>
      </c>
    </row>
    <row r="60" spans="1:8" ht="15" customHeight="1">
      <c r="A60" s="5" t="s">
        <v>1345</v>
      </c>
      <c r="B60" s="5" t="s">
        <v>1339</v>
      </c>
      <c r="C60" s="5">
        <v>84</v>
      </c>
      <c r="D60" s="5">
        <v>5.68</v>
      </c>
      <c r="E60" s="254" t="s">
        <v>1338</v>
      </c>
      <c r="F60" s="254">
        <f t="shared" si="1"/>
        <v>101.03999999999999</v>
      </c>
      <c r="G60" s="254">
        <f t="shared" si="2"/>
        <v>344748.48</v>
      </c>
      <c r="H60" s="254">
        <f t="shared" si="3"/>
        <v>39.354849315068492</v>
      </c>
    </row>
    <row r="61" spans="1:8" ht="15" customHeight="1">
      <c r="A61" s="5" t="s">
        <v>1345</v>
      </c>
      <c r="B61" s="5" t="s">
        <v>1340</v>
      </c>
      <c r="C61" s="5">
        <v>5</v>
      </c>
      <c r="D61" s="5">
        <v>0.3</v>
      </c>
      <c r="E61" s="254" t="s">
        <v>1338</v>
      </c>
      <c r="F61" s="254">
        <f t="shared" si="1"/>
        <v>5.9</v>
      </c>
      <c r="G61" s="254">
        <f>100000*F61</f>
        <v>590000</v>
      </c>
      <c r="H61" s="254">
        <f t="shared" si="3"/>
        <v>67.351598173515981</v>
      </c>
    </row>
    <row r="62" spans="1:8" ht="15" customHeight="1">
      <c r="A62" s="5" t="s">
        <v>1345</v>
      </c>
      <c r="B62" s="5" t="s">
        <v>1340</v>
      </c>
      <c r="C62" s="5">
        <v>0</v>
      </c>
      <c r="D62" s="5">
        <v>0</v>
      </c>
      <c r="E62" s="254" t="s">
        <v>1338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1346</v>
      </c>
      <c r="B63" s="254" t="s">
        <v>1339</v>
      </c>
      <c r="C63" s="5">
        <v>265</v>
      </c>
      <c r="D63" s="5">
        <v>31.8</v>
      </c>
      <c r="E63" s="254" t="s">
        <v>1338</v>
      </c>
      <c r="F63" s="254">
        <f t="shared" si="1"/>
        <v>360.4</v>
      </c>
      <c r="G63" s="254">
        <f t="shared" si="2"/>
        <v>1229684.7999999998</v>
      </c>
      <c r="H63" s="254">
        <f t="shared" si="3"/>
        <v>140.37497716894975</v>
      </c>
    </row>
    <row r="64" spans="1:8" ht="15" customHeight="1">
      <c r="A64" s="5" t="s">
        <v>1347</v>
      </c>
      <c r="B64" s="254" t="s">
        <v>1339</v>
      </c>
      <c r="C64" s="5">
        <v>76</v>
      </c>
      <c r="D64" s="5">
        <v>59.4</v>
      </c>
      <c r="E64" s="254" t="s">
        <v>1338</v>
      </c>
      <c r="F64" s="254">
        <f t="shared" si="1"/>
        <v>254.2</v>
      </c>
      <c r="G64" s="254">
        <f t="shared" si="2"/>
        <v>867330.39999999991</v>
      </c>
      <c r="H64" s="254">
        <f t="shared" si="3"/>
        <v>99.01031963470318</v>
      </c>
    </row>
    <row r="65" spans="1:8" ht="15" customHeight="1">
      <c r="A65" s="5" t="s">
        <v>1348</v>
      </c>
      <c r="B65" s="254" t="s">
        <v>1339</v>
      </c>
      <c r="C65" s="5">
        <v>79</v>
      </c>
      <c r="D65" s="5">
        <v>55.4</v>
      </c>
      <c r="E65" s="254" t="s">
        <v>1338</v>
      </c>
      <c r="F65" s="254">
        <f t="shared" si="1"/>
        <v>245.2</v>
      </c>
      <c r="G65" s="254">
        <f t="shared" si="2"/>
        <v>836622.39999999991</v>
      </c>
      <c r="H65" s="254">
        <f t="shared" si="3"/>
        <v>95.504840182648394</v>
      </c>
    </row>
    <row r="66" spans="1:8" ht="15" customHeight="1">
      <c r="A66" s="5" t="s">
        <v>819</v>
      </c>
      <c r="B66" s="254" t="s">
        <v>1339</v>
      </c>
      <c r="C66" s="5">
        <v>672</v>
      </c>
      <c r="D66" s="5">
        <v>235</v>
      </c>
      <c r="E66" s="254" t="s">
        <v>1338</v>
      </c>
      <c r="F66" s="254">
        <f t="shared" si="1"/>
        <v>1377</v>
      </c>
      <c r="G66" s="254">
        <f t="shared" si="2"/>
        <v>4698324</v>
      </c>
      <c r="H66" s="254">
        <f t="shared" si="3"/>
        <v>536.33835616438353</v>
      </c>
    </row>
    <row r="67" spans="1:8" ht="15" customHeight="1">
      <c r="A67" s="5" t="s">
        <v>1349</v>
      </c>
      <c r="B67" s="254" t="s">
        <v>1339</v>
      </c>
      <c r="C67" s="5">
        <v>100</v>
      </c>
      <c r="D67" s="5">
        <v>0.17749999999999999</v>
      </c>
      <c r="E67" s="5" t="s">
        <v>1341</v>
      </c>
      <c r="F67" s="254">
        <f>C67+D67*A_houseFT</f>
        <v>472.75</v>
      </c>
      <c r="G67" s="254">
        <f t="shared" si="2"/>
        <v>1613023</v>
      </c>
      <c r="H67" s="254">
        <f t="shared" si="3"/>
        <v>184.13504566210045</v>
      </c>
    </row>
    <row r="68" spans="1:8" ht="15" customHeight="1">
      <c r="A68" s="5" t="s">
        <v>1350</v>
      </c>
      <c r="B68" s="254" t="s">
        <v>1339</v>
      </c>
      <c r="C68" s="5">
        <v>8</v>
      </c>
      <c r="D68" s="5">
        <v>5.3199999999999997E-2</v>
      </c>
      <c r="E68" s="5" t="s">
        <v>1341</v>
      </c>
      <c r="F68" s="254">
        <f>C68+D68*A_houseFT</f>
        <v>119.72</v>
      </c>
      <c r="G68" s="254">
        <f t="shared" si="2"/>
        <v>408484.64</v>
      </c>
      <c r="H68" s="254">
        <f t="shared" si="3"/>
        <v>46.63066666666667</v>
      </c>
    </row>
    <row r="69" spans="1:8" ht="15" customHeight="1">
      <c r="A69" s="5" t="s">
        <v>1351</v>
      </c>
      <c r="B69" s="254" t="s">
        <v>1339</v>
      </c>
      <c r="C69" s="5">
        <v>20</v>
      </c>
      <c r="D69" s="5">
        <v>6.3E-3</v>
      </c>
      <c r="E69" s="5" t="s">
        <v>1341</v>
      </c>
      <c r="F69" s="254">
        <f>C69+D69*A_houseFT</f>
        <v>33.230000000000004</v>
      </c>
      <c r="G69" s="254">
        <f t="shared" si="2"/>
        <v>113380.76000000001</v>
      </c>
      <c r="H69" s="254">
        <f t="shared" si="3"/>
        <v>12.943009132420093</v>
      </c>
    </row>
    <row r="71" spans="1:8" ht="15" customHeight="1">
      <c r="H71" s="5">
        <f>SUM(H55:H56,H58:H59,H61:H69)</f>
        <v>1607.9119223744292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F24" sqref="F24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324</v>
      </c>
      <c r="G1" s="4"/>
    </row>
    <row r="2" spans="1:12" ht="15" customHeight="1">
      <c r="A2" s="127" t="s">
        <v>498</v>
      </c>
    </row>
    <row r="3" spans="1:12" ht="15" customHeight="1">
      <c r="A3" s="11" t="s">
        <v>325</v>
      </c>
    </row>
    <row r="4" spans="1:12" ht="15" customHeight="1">
      <c r="A4" s="11" t="s">
        <v>326</v>
      </c>
    </row>
    <row r="5" spans="1:12" ht="15" customHeight="1">
      <c r="A5" s="11" t="s">
        <v>327</v>
      </c>
    </row>
    <row r="6" spans="1:12" ht="15" customHeight="1">
      <c r="A6" s="11" t="s">
        <v>1112</v>
      </c>
    </row>
    <row r="7" spans="1:12" ht="15" customHeight="1">
      <c r="A7" s="11"/>
    </row>
    <row r="9" spans="1:12" ht="15" customHeight="1">
      <c r="A9" s="107"/>
      <c r="B9" s="100" t="s">
        <v>262</v>
      </c>
      <c r="C9" s="100" t="s">
        <v>126</v>
      </c>
      <c r="D9" s="100" t="s">
        <v>263</v>
      </c>
      <c r="E9" s="100" t="s">
        <v>126</v>
      </c>
      <c r="F9" s="100" t="s">
        <v>1</v>
      </c>
    </row>
    <row r="10" spans="1:12" ht="15" customHeight="1">
      <c r="A10" s="92" t="s">
        <v>1380</v>
      </c>
      <c r="B10" s="15"/>
      <c r="C10" s="1" t="s">
        <v>133</v>
      </c>
      <c r="D10" s="408">
        <f>A_ceilingSI/300</f>
        <v>0.65029999999999999</v>
      </c>
      <c r="E10" s="1" t="s">
        <v>134</v>
      </c>
      <c r="F10" s="11" t="s">
        <v>328</v>
      </c>
      <c r="G10" s="1" t="s">
        <v>716</v>
      </c>
      <c r="L10" s="1" t="s">
        <v>1378</v>
      </c>
    </row>
    <row r="11" spans="1:12" ht="15" customHeight="1">
      <c r="A11" s="109" t="s">
        <v>1381</v>
      </c>
      <c r="D11" s="22">
        <f>0.003*A_ceilingSI</f>
        <v>0.58527000000000007</v>
      </c>
      <c r="E11" s="1" t="s">
        <v>134</v>
      </c>
      <c r="F11" s="11" t="s">
        <v>1111</v>
      </c>
      <c r="L11" s="1" t="s">
        <v>1379</v>
      </c>
    </row>
    <row r="12" spans="1:12" ht="15" customHeight="1">
      <c r="A12" s="92" t="s">
        <v>329</v>
      </c>
      <c r="D12" s="1">
        <v>0.6</v>
      </c>
      <c r="F12" t="s">
        <v>1383</v>
      </c>
    </row>
    <row r="13" spans="1:12" ht="15" customHeight="1">
      <c r="A13" s="92" t="s">
        <v>1082</v>
      </c>
      <c r="D13" s="395">
        <v>0.65</v>
      </c>
      <c r="F13" s="245"/>
    </row>
    <row r="14" spans="1:12" ht="15" customHeight="1">
      <c r="A14" s="404" t="s">
        <v>330</v>
      </c>
      <c r="B14" s="405"/>
      <c r="C14" s="405"/>
      <c r="D14" s="406">
        <f>D11*D12/(SQRT(1.2/2)*4^(D13-0.5))</f>
        <v>0.36823315582877392</v>
      </c>
      <c r="E14" s="405" t="s">
        <v>1058</v>
      </c>
    </row>
    <row r="17" spans="1:7" ht="15" customHeight="1">
      <c r="A17" s="99" t="s">
        <v>331</v>
      </c>
      <c r="B17" s="108"/>
      <c r="C17" s="108"/>
      <c r="D17" s="108"/>
      <c r="E17" s="108"/>
      <c r="F17" s="1" t="s">
        <v>1</v>
      </c>
      <c r="G17" s="1" t="s">
        <v>1382</v>
      </c>
    </row>
    <row r="18" spans="1:7" ht="15" customHeight="1">
      <c r="A18" s="92" t="s">
        <v>73</v>
      </c>
      <c r="C18" s="2"/>
      <c r="D18" s="407">
        <f>(1-$D$22)*Geometry!D43</f>
        <v>0.23437499999999997</v>
      </c>
      <c r="E18" s="1" t="s">
        <v>11</v>
      </c>
      <c r="F18" s="5" t="s">
        <v>332</v>
      </c>
    </row>
    <row r="19" spans="1:7" ht="15" customHeight="1">
      <c r="A19" s="92" t="s">
        <v>333</v>
      </c>
      <c r="C19" s="2"/>
      <c r="D19" s="407">
        <f>(1-$D$22)*Geometry!D44</f>
        <v>0.23437499999999997</v>
      </c>
      <c r="E19" s="1" t="s">
        <v>11</v>
      </c>
      <c r="F19" s="5" t="s">
        <v>334</v>
      </c>
    </row>
    <row r="20" spans="1:7" ht="15" customHeight="1">
      <c r="A20" s="92" t="s">
        <v>335</v>
      </c>
      <c r="C20" s="2"/>
      <c r="D20" s="407">
        <f>(1-$D$22)*Geometry!D45</f>
        <v>0.21562499999999998</v>
      </c>
      <c r="E20" s="1" t="s">
        <v>11</v>
      </c>
      <c r="F20" s="5" t="s">
        <v>336</v>
      </c>
    </row>
    <row r="21" spans="1:7" ht="15" customHeight="1">
      <c r="A21" s="92" t="s">
        <v>337</v>
      </c>
      <c r="C21" s="2"/>
      <c r="D21" s="407">
        <f>(1-$D$22)*Geometry!D46</f>
        <v>0.21562499999999998</v>
      </c>
      <c r="E21" s="1" t="s">
        <v>11</v>
      </c>
      <c r="F21" s="5" t="s">
        <v>338</v>
      </c>
    </row>
    <row r="22" spans="1:7" ht="15" customHeight="1">
      <c r="A22" s="92" t="s">
        <v>339</v>
      </c>
      <c r="C22" s="2"/>
      <c r="D22" s="407">
        <v>0.1</v>
      </c>
      <c r="E22" s="1" t="s">
        <v>11</v>
      </c>
      <c r="F22" s="5" t="s">
        <v>340</v>
      </c>
    </row>
    <row r="23" spans="1:7" ht="15" customHeight="1">
      <c r="A23" s="92" t="s">
        <v>341</v>
      </c>
      <c r="D23" s="1">
        <f>SUM(D18:D22)</f>
        <v>0.99999999999999989</v>
      </c>
    </row>
    <row r="25" spans="1:7" ht="15" customHeight="1">
      <c r="A25" s="99" t="s">
        <v>505</v>
      </c>
      <c r="B25" s="100"/>
      <c r="C25" s="100"/>
    </row>
    <row r="26" spans="1:7" ht="15" customHeight="1">
      <c r="A26" s="92" t="s">
        <v>401</v>
      </c>
      <c r="B26" s="11"/>
      <c r="C26" s="15">
        <f>W_houseSI/2</f>
        <v>7.0103997756672074</v>
      </c>
    </row>
    <row r="27" spans="1:7" ht="15" customHeight="1">
      <c r="A27" s="92" t="s">
        <v>402</v>
      </c>
      <c r="C27" s="15">
        <f>L_houseSI</f>
        <v>15.239999512320015</v>
      </c>
    </row>
    <row r="28" spans="1:7" ht="15" customHeight="1">
      <c r="A28" s="92" t="s">
        <v>403</v>
      </c>
      <c r="C28" s="22" t="e">
        <f>C26*Geometry!#REF!</f>
        <v>#REF!</v>
      </c>
    </row>
    <row r="29" spans="1:7" ht="15" customHeight="1">
      <c r="A29" s="92" t="s">
        <v>404</v>
      </c>
      <c r="C29" s="22" t="e">
        <f>SQRT(C26^2+Geometry!#REF!^2)*Attic!C27</f>
        <v>#REF!</v>
      </c>
    </row>
    <row r="30" spans="1:7" ht="15" customHeight="1">
      <c r="A30" s="92" t="s">
        <v>405</v>
      </c>
      <c r="B30" s="17"/>
      <c r="C30" s="131" t="e">
        <f>C28/(C28*2+C29*2)</f>
        <v>#REF!</v>
      </c>
    </row>
    <row r="31" spans="1:7" ht="15" customHeight="1">
      <c r="A31" s="92" t="s">
        <v>406</v>
      </c>
      <c r="C31" s="22" t="e">
        <f>C29/(2*(C28+C29))</f>
        <v>#REF!</v>
      </c>
    </row>
    <row r="34" spans="1:4" ht="15" customHeight="1">
      <c r="A34" s="1" t="s">
        <v>1103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1104</v>
      </c>
      <c r="B35" s="1" t="e">
        <f>1*B34*SQRT(2/1.20411)*4^(0.5-0.65)</f>
        <v>#REF!</v>
      </c>
    </row>
    <row r="36" spans="1:4" ht="15" customHeight="1">
      <c r="A36" s="1" t="s">
        <v>1109</v>
      </c>
      <c r="B36" s="1" t="e">
        <f>B35*Leakage!H63</f>
        <v>#REF!</v>
      </c>
    </row>
    <row r="37" spans="1:4" ht="15" customHeight="1">
      <c r="A37" s="1" t="s">
        <v>1105</v>
      </c>
      <c r="B37" s="1">
        <f>Leakage!B4</f>
        <v>1.1135023106541913E-2</v>
      </c>
    </row>
    <row r="38" spans="1:4" ht="15" customHeight="1">
      <c r="A38" s="1" t="s">
        <v>1110</v>
      </c>
      <c r="B38" s="1">
        <f>B37*Leakage!H63</f>
        <v>5.5675115532709566E-3</v>
      </c>
    </row>
    <row r="39" spans="1:4" ht="15" customHeight="1">
      <c r="A39" s="1" t="s">
        <v>1106</v>
      </c>
      <c r="B39" s="1">
        <f>D14 * SQRT(1.20411 / 2) * 4^(D13 - 0.5)</f>
        <v>0.35176285088619824</v>
      </c>
    </row>
    <row r="40" spans="1:4" ht="15" customHeight="1">
      <c r="A40" s="1" t="s">
        <v>1107</v>
      </c>
      <c r="B40" s="1">
        <f>B38 * SQRT(1.20411 / 2) * 4^(D13 - 0.5)</f>
        <v>5.31848831459137E-3</v>
      </c>
    </row>
    <row r="41" spans="1:4" ht="15" customHeight="1">
      <c r="A41" s="1" t="s">
        <v>1108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98</v>
      </c>
      <c r="G1" s="4" t="s">
        <v>342</v>
      </c>
    </row>
    <row r="2" spans="1:43" ht="15" customHeight="1">
      <c r="A2" s="11" t="s">
        <v>565</v>
      </c>
      <c r="G2" s="11" t="s">
        <v>343</v>
      </c>
    </row>
    <row r="4" spans="1:43" ht="15" customHeight="1">
      <c r="A4" s="99" t="s">
        <v>1100</v>
      </c>
      <c r="B4" s="100" t="s">
        <v>262</v>
      </c>
      <c r="C4" s="100" t="s">
        <v>126</v>
      </c>
      <c r="D4" s="100" t="s">
        <v>263</v>
      </c>
      <c r="E4" s="100" t="s">
        <v>126</v>
      </c>
      <c r="G4" s="5" t="s">
        <v>346</v>
      </c>
      <c r="P4" s="14"/>
    </row>
    <row r="5" spans="1:43" ht="15" customHeight="1">
      <c r="A5" s="103" t="s">
        <v>345</v>
      </c>
      <c r="B5" s="5">
        <v>1</v>
      </c>
      <c r="C5" s="5" t="s">
        <v>11</v>
      </c>
      <c r="G5" s="254" t="s">
        <v>360</v>
      </c>
      <c r="H5" s="96"/>
      <c r="I5" s="96"/>
      <c r="J5" s="99" t="s">
        <v>344</v>
      </c>
      <c r="K5" s="96"/>
      <c r="P5" s="14"/>
    </row>
    <row r="6" spans="1:43" ht="15" customHeight="1">
      <c r="A6" s="87" t="s">
        <v>347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130</v>
      </c>
      <c r="P6" s="14"/>
    </row>
    <row r="7" spans="1:43" ht="15" customHeight="1">
      <c r="A7" s="87" t="s">
        <v>348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130</v>
      </c>
      <c r="P7" s="14"/>
    </row>
    <row r="8" spans="1:43" ht="15" customHeight="1">
      <c r="A8" s="87" t="s">
        <v>349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130</v>
      </c>
      <c r="P8" s="14"/>
    </row>
    <row r="9" spans="1:43" ht="15" customHeight="1">
      <c r="A9" s="87" t="s">
        <v>350</v>
      </c>
      <c r="B9" s="5">
        <f>0.27*A_houseFT*IF(Stories=1,B5,B6)</f>
        <v>567</v>
      </c>
      <c r="C9" s="5" t="s">
        <v>491</v>
      </c>
      <c r="D9" s="14">
        <f>B9*0.3048^2</f>
        <v>52.67602368</v>
      </c>
      <c r="E9" s="5" t="s">
        <v>490</v>
      </c>
      <c r="G9" s="87">
        <v>1</v>
      </c>
      <c r="J9" s="14">
        <f>J6/4</f>
        <v>6.2500000000000003E-3</v>
      </c>
      <c r="K9" s="5" t="s">
        <v>130</v>
      </c>
      <c r="P9" s="14"/>
    </row>
    <row r="10" spans="1:43" ht="15" customHeight="1">
      <c r="A10" s="87" t="s">
        <v>351</v>
      </c>
      <c r="B10" s="5">
        <f>A_houseFT*IF(Stories=1,B7,B8)</f>
        <v>105</v>
      </c>
      <c r="C10" s="123" t="s">
        <v>491</v>
      </c>
      <c r="D10" s="14">
        <f>B10*0.3048^2</f>
        <v>9.7548192</v>
      </c>
      <c r="E10" s="123" t="s">
        <v>490</v>
      </c>
      <c r="P10" s="14"/>
    </row>
    <row r="11" spans="1:43" ht="15" customHeight="1">
      <c r="A11" s="20" t="s">
        <v>352</v>
      </c>
      <c r="G11" s="4" t="s">
        <v>227</v>
      </c>
      <c r="P11" s="14"/>
      <c r="Z11" s="4" t="s">
        <v>228</v>
      </c>
      <c r="AI11" s="14"/>
    </row>
    <row r="12" spans="1:43" ht="15" customHeight="1">
      <c r="A12" s="409" t="s">
        <v>353</v>
      </c>
      <c r="B12" s="410">
        <f>D12/(0.3048/12)</f>
        <v>9.8425196850393686</v>
      </c>
      <c r="C12" s="411" t="s">
        <v>199</v>
      </c>
      <c r="D12" s="415">
        <v>0.25</v>
      </c>
      <c r="E12" s="411" t="s">
        <v>130</v>
      </c>
      <c r="F12"/>
      <c r="G12" s="100" t="s">
        <v>354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354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355</v>
      </c>
      <c r="B13" s="410">
        <f>D13/(0.3048/12)</f>
        <v>17.716535433070867</v>
      </c>
      <c r="C13" s="411" t="s">
        <v>199</v>
      </c>
      <c r="D13" s="415">
        <v>0.45</v>
      </c>
      <c r="E13" s="411" t="s">
        <v>130</v>
      </c>
      <c r="F13"/>
      <c r="G13" s="5" t="s">
        <v>15</v>
      </c>
      <c r="H13" s="76" t="s">
        <v>517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356</v>
      </c>
      <c r="B14" s="413">
        <f>D14/(0.3048/12)</f>
        <v>30.921187535332606</v>
      </c>
      <c r="C14" s="414" t="s">
        <v>199</v>
      </c>
      <c r="D14" s="413">
        <f>PI()*D12</f>
        <v>0.78539816339744828</v>
      </c>
      <c r="E14" s="414" t="s">
        <v>130</v>
      </c>
      <c r="F14"/>
      <c r="G14" s="53" t="s">
        <v>344</v>
      </c>
      <c r="H14" s="79" t="s">
        <v>130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344</v>
      </c>
      <c r="AA14" s="79" t="s">
        <v>130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357</v>
      </c>
      <c r="B15" s="413">
        <f>D15/(0.3048/12)</f>
        <v>55.658137563598693</v>
      </c>
      <c r="C15" s="414" t="s">
        <v>199</v>
      </c>
      <c r="D15" s="413">
        <f>PI()*D13</f>
        <v>1.4137166941154069</v>
      </c>
      <c r="E15" s="414" t="s">
        <v>130</v>
      </c>
      <c r="G15" s="5" t="s">
        <v>358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358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359</v>
      </c>
      <c r="B16" s="410">
        <f>D16/0.3048</f>
        <v>220.04329530440239</v>
      </c>
      <c r="C16" s="411" t="s">
        <v>129</v>
      </c>
      <c r="D16" s="416">
        <f>D9/D14</f>
        <v>67.069196408781849</v>
      </c>
      <c r="E16" s="411" t="s">
        <v>130</v>
      </c>
      <c r="G16" s="53" t="s">
        <v>360</v>
      </c>
      <c r="H16" s="79" t="s">
        <v>516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360</v>
      </c>
      <c r="AA16" s="79" t="s">
        <v>516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361</v>
      </c>
      <c r="B17" s="410">
        <f>D17/0.3048</f>
        <v>22.638199105391191</v>
      </c>
      <c r="C17" s="411" t="s">
        <v>129</v>
      </c>
      <c r="D17" s="416">
        <f>D10/D15</f>
        <v>6.9001230873232355</v>
      </c>
      <c r="E17" s="411" t="s">
        <v>130</v>
      </c>
    </row>
    <row r="18" spans="1:6" ht="15" customHeight="1">
      <c r="A18" s="245" t="s">
        <v>1118</v>
      </c>
      <c r="D18" s="264">
        <v>2.5000000000000001E-2</v>
      </c>
      <c r="F18" s="257" t="s">
        <v>1120</v>
      </c>
    </row>
    <row r="19" spans="1:6" ht="15" customHeight="1">
      <c r="A19" s="245" t="s">
        <v>1119</v>
      </c>
      <c r="D19" s="264">
        <v>2.5000000000000001E-2</v>
      </c>
      <c r="F19" s="257" t="s">
        <v>1122</v>
      </c>
    </row>
    <row r="20" spans="1:6" ht="15" customHeight="1">
      <c r="A20" s="245" t="s">
        <v>109</v>
      </c>
      <c r="D20" s="264">
        <v>0.6</v>
      </c>
      <c r="F20" s="254" t="s">
        <v>110</v>
      </c>
    </row>
    <row r="21" spans="1:6" ht="15" customHeight="1">
      <c r="A21" s="245" t="s">
        <v>111</v>
      </c>
      <c r="D21" s="264">
        <v>0.6</v>
      </c>
      <c r="F21" s="254" t="s">
        <v>112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362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363</v>
      </c>
      <c r="H2" s="245"/>
      <c r="J2" s="5" t="s">
        <v>631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364</v>
      </c>
      <c r="H3" s="245"/>
      <c r="J3" s="5" t="s">
        <v>632</v>
      </c>
      <c r="N3" s="5" t="s">
        <v>634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365</v>
      </c>
      <c r="H4" s="245"/>
      <c r="I4" s="55"/>
      <c r="J4" s="55" t="s">
        <v>633</v>
      </c>
      <c r="K4" s="55"/>
      <c r="L4" s="55"/>
      <c r="M4" s="55"/>
      <c r="N4" s="55" t="s">
        <v>635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636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628</v>
      </c>
      <c r="D8" s="258" t="s">
        <v>577</v>
      </c>
      <c r="E8" s="258" t="s">
        <v>578</v>
      </c>
      <c r="F8" s="258" t="s">
        <v>579</v>
      </c>
      <c r="G8" s="258" t="s">
        <v>580</v>
      </c>
      <c r="H8" s="258" t="s">
        <v>581</v>
      </c>
      <c r="I8" s="258" t="s">
        <v>582</v>
      </c>
      <c r="J8" s="258" t="s">
        <v>583</v>
      </c>
      <c r="K8" s="258" t="s">
        <v>584</v>
      </c>
      <c r="L8" s="258" t="s">
        <v>585</v>
      </c>
      <c r="M8" s="258" t="s">
        <v>586</v>
      </c>
      <c r="N8" s="258" t="s">
        <v>587</v>
      </c>
      <c r="O8" s="258" t="s">
        <v>588</v>
      </c>
      <c r="P8" s="258">
        <v>7</v>
      </c>
      <c r="Q8" s="223">
        <v>8</v>
      </c>
      <c r="R8" s="254" t="s">
        <v>806</v>
      </c>
      <c r="S8" s="254" t="s">
        <v>807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366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367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364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368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369</v>
      </c>
      <c r="C13" s="223" t="s">
        <v>628</v>
      </c>
      <c r="D13" s="258" t="s">
        <v>577</v>
      </c>
      <c r="E13" s="258" t="s">
        <v>578</v>
      </c>
      <c r="F13" s="258" t="s">
        <v>579</v>
      </c>
      <c r="G13" s="258" t="s">
        <v>580</v>
      </c>
      <c r="H13" s="258" t="s">
        <v>581</v>
      </c>
      <c r="I13" s="258" t="s">
        <v>582</v>
      </c>
      <c r="J13" s="258" t="s">
        <v>583</v>
      </c>
      <c r="K13" s="258" t="s">
        <v>584</v>
      </c>
      <c r="L13" s="258" t="s">
        <v>585</v>
      </c>
      <c r="M13" s="258" t="s">
        <v>586</v>
      </c>
      <c r="N13" s="258" t="s">
        <v>587</v>
      </c>
      <c r="O13" s="258" t="s">
        <v>588</v>
      </c>
      <c r="P13" s="258">
        <v>7</v>
      </c>
      <c r="Q13" s="223">
        <v>8</v>
      </c>
      <c r="R13" s="254" t="s">
        <v>806</v>
      </c>
      <c r="S13" s="254" t="s">
        <v>807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370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354</v>
      </c>
      <c r="B16" s="99"/>
      <c r="C16" s="223" t="s">
        <v>628</v>
      </c>
      <c r="D16" s="255" t="s">
        <v>577</v>
      </c>
      <c r="E16" s="255" t="s">
        <v>578</v>
      </c>
      <c r="F16" s="255" t="s">
        <v>579</v>
      </c>
      <c r="G16" s="255" t="s">
        <v>580</v>
      </c>
      <c r="H16" s="255" t="s">
        <v>581</v>
      </c>
      <c r="I16" s="255" t="s">
        <v>582</v>
      </c>
      <c r="J16" s="255" t="s">
        <v>583</v>
      </c>
      <c r="K16" s="255" t="s">
        <v>584</v>
      </c>
      <c r="L16" s="255" t="s">
        <v>585</v>
      </c>
      <c r="M16" s="255" t="s">
        <v>586</v>
      </c>
      <c r="N16" s="255" t="s">
        <v>587</v>
      </c>
      <c r="O16" s="255" t="s">
        <v>588</v>
      </c>
      <c r="P16" s="255">
        <v>7</v>
      </c>
      <c r="Q16" s="223">
        <v>8</v>
      </c>
      <c r="R16" s="254" t="s">
        <v>806</v>
      </c>
      <c r="S16" s="254" t="s">
        <v>807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1276</v>
      </c>
    </row>
    <row r="19" spans="1:20" ht="15" customHeight="1">
      <c r="A19" s="5" t="s">
        <v>1275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1182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1254</v>
      </c>
      <c r="B22" s="80">
        <v>70</v>
      </c>
      <c r="C22" s="80" t="s">
        <v>1255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1246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1247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1256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1210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240</v>
      </c>
      <c r="B29" s="80">
        <f>(1/UA!AC6)*UA!$B$6*UA!$C$6*10.7639+(1/UA!AC9*UA!$B$9*UA!$C$9*10.7639)</f>
        <v>78.040770717853988</v>
      </c>
      <c r="C29" s="80">
        <f>(1/UA!AD6)*UA!$B$6*UA!$C$6*10.7639+(1/UA!AD9*UA!$B$9*UA!$C$9*10.7639)</f>
        <v>78.040770717853988</v>
      </c>
      <c r="D29" s="80">
        <f>(1/UA!AE6)*UA!$B$6*UA!$C$6*10.7639+(1/UA!AE9*UA!$B$9*UA!$C$9*10.7639)</f>
        <v>78.040770717853988</v>
      </c>
      <c r="E29" s="80">
        <f>(1/UA!AF6)*UA!$B$6*UA!$C$6*10.7639+(1/UA!AF9*UA!$B$9*UA!$C$9*10.7639)</f>
        <v>78.040770717853988</v>
      </c>
      <c r="F29" s="80">
        <f>(1/UA!AG6)*UA!$B$6*UA!$C$6*10.7639+(1/UA!AG9*UA!$B$9*UA!$C$9*10.7639)</f>
        <v>78.040770717853988</v>
      </c>
      <c r="G29" s="80">
        <f>(1/UA!AH6)*UA!$B$6*UA!$C$6*10.7639+(1/UA!AH9*UA!$B$9*UA!$C$9*10.7639)</f>
        <v>97.267722940010003</v>
      </c>
      <c r="H29" s="80">
        <f>(1/UA!AI6)*UA!$B$6*UA!$C$6*10.7639+(1/UA!AI9*UA!$B$9*UA!$C$9*10.7639)</f>
        <v>97.267722940010003</v>
      </c>
      <c r="I29" s="80">
        <f>(1/UA!AJ6)*UA!$B$6*UA!$C$6*10.7639+(1/UA!AJ9*UA!$B$9*UA!$C$9*10.7639)</f>
        <v>78.040770717853988</v>
      </c>
      <c r="J29" s="80">
        <f>(1/UA!AK6)*UA!$B$6*UA!$C$6*10.7639+(1/UA!AK9*UA!$B$9*UA!$C$9*10.7639)</f>
        <v>78.040770717853988</v>
      </c>
      <c r="K29" s="80">
        <f>(1/UA!AL6)*UA!$B$6*UA!$C$6*10.7639+(1/UA!AL9*UA!$B$9*UA!$C$9*10.7639)</f>
        <v>78.040770717853988</v>
      </c>
      <c r="L29" s="80">
        <f>(1/UA!AM6)*UA!$B$6*UA!$C$6*10.7639+(1/UA!AM9*UA!$B$9*UA!$C$9*10.7639)</f>
        <v>78.040770717853988</v>
      </c>
      <c r="M29" s="80">
        <f>(1/UA!AN6)*UA!$B$6*UA!$C$6*10.7639+(1/UA!AN9*UA!$B$9*UA!$C$9*10.7639)</f>
        <v>78.040770717853988</v>
      </c>
      <c r="N29" s="80">
        <f>(1/UA!AO6)*UA!$B$6*UA!$C$6*10.7639+(1/UA!AO9*UA!$B$9*UA!$C$9*10.7639)</f>
        <v>78.040770717853988</v>
      </c>
      <c r="O29" s="80">
        <f>(1/UA!AP6)*UA!$B$6*UA!$C$6*10.7639+(1/UA!AP9*UA!$B$9*UA!$C$9*10.7639)</f>
        <v>78.040770717853988</v>
      </c>
      <c r="P29" s="80">
        <f>(1/UA!AQ6)*UA!$B$6*UA!$C$6*10.7639+(1/UA!AQ9*UA!$B$9*UA!$C$9*10.7639)</f>
        <v>78.040770717853988</v>
      </c>
      <c r="Q29" s="80">
        <f>(1/UA!AR6)*UA!$B$6*UA!$C$6*10.7639+(1/UA!AR9*UA!$B$9*UA!$C$9*10.7639)</f>
        <v>78.040770717853988</v>
      </c>
      <c r="R29" s="80"/>
    </row>
    <row r="30" spans="1:20" ht="15" customHeight="1">
      <c r="A30" s="461" t="s">
        <v>242</v>
      </c>
      <c r="B30" s="80">
        <f>(1/UA!AC7)*UA!$B$7*UA!$C$7*10.7639</f>
        <v>134.39547206400002</v>
      </c>
      <c r="C30" s="80">
        <f>(1/UA!AD7)*UA!$B$7*UA!$C$7*10.7639</f>
        <v>134.39547206400002</v>
      </c>
      <c r="D30" s="80">
        <f>(1/UA!AE7)*UA!$B$7*UA!$C$7*10.7639</f>
        <v>134.39547206400002</v>
      </c>
      <c r="E30" s="80">
        <f>(1/UA!AF7)*UA!$B$7*UA!$C$7*10.7639</f>
        <v>134.39547206400002</v>
      </c>
      <c r="F30" s="80">
        <f>(1/UA!AG7)*UA!$B$7*UA!$C$7*10.7639</f>
        <v>134.39547206400002</v>
      </c>
      <c r="G30" s="80">
        <f>(1/UA!AH7)*UA!$B$7*UA!$C$7*10.7639</f>
        <v>134.39547206400002</v>
      </c>
      <c r="H30" s="80">
        <f>(1/UA!AI7)*UA!$B$7*UA!$C$7*10.7639</f>
        <v>134.39547206400002</v>
      </c>
      <c r="I30" s="80">
        <f>(1/UA!AJ7)*UA!$B$7*UA!$C$7*10.7639</f>
        <v>134.39547206400002</v>
      </c>
      <c r="J30" s="80">
        <f>(1/UA!AK7)*UA!$B$7*UA!$C$7*10.7639</f>
        <v>134.39547206400002</v>
      </c>
      <c r="K30" s="80">
        <f>(1/UA!AL7)*UA!$B$7*UA!$C$7*10.7639</f>
        <v>134.39547206400002</v>
      </c>
      <c r="L30" s="80">
        <f>(1/UA!AM7)*UA!$B$7*UA!$C$7*10.7639</f>
        <v>134.39547206400002</v>
      </c>
      <c r="M30" s="80">
        <f>(1/UA!AN7)*UA!$B$7*UA!$C$7*10.7639</f>
        <v>134.39547206400002</v>
      </c>
      <c r="N30" s="80">
        <f>(1/UA!AO7)*UA!$B$7*UA!$C$7*10.7639</f>
        <v>134.39547206400002</v>
      </c>
      <c r="O30" s="80">
        <f>(1/UA!AP7)*UA!$B$7*UA!$C$7*10.7639</f>
        <v>134.39547206400002</v>
      </c>
      <c r="P30" s="80">
        <f>(1/UA!AQ7)*UA!$B$7*UA!$C$7*10.7639</f>
        <v>134.39547206400002</v>
      </c>
      <c r="Q30" s="80">
        <f>(1/UA!AR7)*UA!$B$7*UA!$C$7*10.7639</f>
        <v>134.39547206400002</v>
      </c>
      <c r="R30" s="201"/>
    </row>
    <row r="31" spans="1:20" ht="15" customHeight="1">
      <c r="A31" s="461" t="s">
        <v>243</v>
      </c>
      <c r="B31" s="80">
        <f>(1/UA!AC10)*UA!$B$8*UA!$C$8*10.7639+(Geometry!$B$11*UA!$M$59)</f>
        <v>161.28</v>
      </c>
      <c r="C31" s="80">
        <f>(1/UA!AD10)*UA!$B$8*UA!$C$8*10.7639+(Geometry!$B$11*UA!$M$59)</f>
        <v>161.28</v>
      </c>
      <c r="D31" s="80">
        <f>(1/UA!AE10)*UA!$B$8*UA!$C$8*10.7639+(Geometry!$B$11*UA!$M$59)</f>
        <v>161.28</v>
      </c>
      <c r="E31" s="80">
        <f>(1/UA!AF10)*UA!$B$8*UA!$C$8*10.7639+(Geometry!$B$11*UA!$M$59)</f>
        <v>161.28</v>
      </c>
      <c r="F31" s="80">
        <f>(1/UA!AG10)*UA!$B$8*UA!$C$8*10.7639+(Geometry!$B$11*UA!$M$59)</f>
        <v>161.28</v>
      </c>
      <c r="G31" s="80">
        <f>(1/UA!AH10)*UA!$B$8*UA!$C$8*10.7639+(Geometry!$B$11*UA!$M$59)</f>
        <v>161.28</v>
      </c>
      <c r="H31" s="80">
        <f>(1/UA!AI10)*UA!$B$8*UA!$C$8*10.7639+(Geometry!$B$11*UA!$M$59)</f>
        <v>161.28</v>
      </c>
      <c r="I31" s="80">
        <f>(1/UA!AJ10)*UA!$B$8*UA!$C$8*10.7639+(Geometry!$B$11*UA!$M$59)</f>
        <v>161.28</v>
      </c>
      <c r="J31" s="80">
        <f>(1/UA!AK10)*UA!$B$8*UA!$C$8*10.7639+(Geometry!$B$11*UA!$M$59)</f>
        <v>161.28</v>
      </c>
      <c r="K31" s="80">
        <f>(1/UA!AL10)*UA!$B$8*UA!$C$8*10.7639+(Geometry!$B$11*UA!$M$59)</f>
        <v>161.28</v>
      </c>
      <c r="L31" s="80">
        <f>(1/UA!AM10)*UA!$B$8*UA!$C$8*10.7639+(Geometry!$B$11*UA!$M$59)</f>
        <v>161.28</v>
      </c>
      <c r="M31" s="80">
        <f>(1/UA!AN10)*UA!$B$8*UA!$C$8*10.7639+(Geometry!$B$11*UA!$M$59)</f>
        <v>161.28</v>
      </c>
      <c r="N31" s="80">
        <f>(1/UA!AO10)*UA!$B$8*UA!$C$8*10.7639+(Geometry!$B$11*UA!$M$59)</f>
        <v>161.28</v>
      </c>
      <c r="O31" s="80">
        <f>(1/UA!AP10)*UA!$B$8*UA!$C$8*10.7639+(Geometry!$B$11*UA!$M$59)</f>
        <v>161.28</v>
      </c>
      <c r="P31" s="80">
        <f>(1/UA!AQ10)*UA!$B$8*UA!$C$8*10.7639+(Geometry!$B$11*UA!$M$59)</f>
        <v>161.28</v>
      </c>
      <c r="Q31" s="80">
        <f>(1/UA!AR10)*UA!$B$8*UA!$C$8*10.7639+(Geometry!$B$11*UA!$M$60)</f>
        <v>94.08</v>
      </c>
      <c r="R31" s="201"/>
    </row>
    <row r="32" spans="1:20" ht="15" customHeight="1">
      <c r="A32" s="462" t="s">
        <v>1183</v>
      </c>
      <c r="B32" s="80">
        <f>(1/UA!AC17+UA!$B$20)*planareaSI*10.7639</f>
        <v>97.259881098947361</v>
      </c>
      <c r="C32" s="80">
        <f>(1/UA!AD17+UA!$B$20)*planareaSI*10.7639</f>
        <v>97.259881098947361</v>
      </c>
      <c r="D32" s="80">
        <f>(1/UA!AE17+UA!$B$20)*planareaSI*10.7639</f>
        <v>111.99622672</v>
      </c>
      <c r="E32" s="80">
        <f>(1/UA!AF17+UA!$B$20)*planareaSI*10.7639</f>
        <v>97.259881098947361</v>
      </c>
      <c r="F32" s="80">
        <f>(1/UA!AG17+UA!$B$20)*planareaSI*10.7639</f>
        <v>111.99622672</v>
      </c>
      <c r="G32" s="80">
        <f>(1/UA!AH17+UA!$B$20)*planareaSI*10.7639</f>
        <v>111.99622672</v>
      </c>
      <c r="H32" s="80">
        <f>(1/UA!AI17+UA!$B$20)*planareaSI*10.7639</f>
        <v>111.99622672</v>
      </c>
      <c r="I32" s="80">
        <f>(1/UA!AJ17+UA!$B$20)*planareaSI*10.7639</f>
        <v>97.259881098947361</v>
      </c>
      <c r="J32" s="80">
        <f>(1/UA!AK17+UA!$B$20)*planareaSI*10.7639</f>
        <v>97.259881098947361</v>
      </c>
      <c r="K32" s="80">
        <f>(1/UA!AL17+UA!$B$20)*planareaSI*10.7639</f>
        <v>97.259881098947361</v>
      </c>
      <c r="L32" s="80">
        <f>(1/UA!AM17+UA!$B$20)*planareaSI*10.7639</f>
        <v>97.259881098947361</v>
      </c>
      <c r="M32" s="80">
        <f>(1/UA!AN17+UA!$B$20)*planareaSI*10.7639</f>
        <v>97.259881098947361</v>
      </c>
      <c r="N32" s="80">
        <f>(1/UA!AO17+UA!$B$20)*planareaSI*10.7639</f>
        <v>97.259881098947361</v>
      </c>
      <c r="O32" s="80">
        <f>(1/UA!AP17+UA!$B$20)*planareaSI*10.7639</f>
        <v>97.259881098947361</v>
      </c>
      <c r="P32" s="80">
        <f>(1/UA!AQ17+UA!$B$20)*planareaSI*10.7639</f>
        <v>97.259881098947361</v>
      </c>
      <c r="Q32" s="80">
        <f>(1/UA!AR17+UA!$B$20)*planareaSI*10.7639</f>
        <v>97.259881098947361</v>
      </c>
      <c r="R32" s="80"/>
    </row>
    <row r="33" spans="1:18" ht="15" customHeight="1">
      <c r="A33" s="462" t="s">
        <v>1196</v>
      </c>
      <c r="B33" s="80">
        <f>SUM(B29:B32)</f>
        <v>470.97612388080137</v>
      </c>
      <c r="C33" s="80">
        <f t="shared" ref="C33:M33" si="0">SUM(C29:C32)</f>
        <v>470.97612388080137</v>
      </c>
      <c r="D33" s="80">
        <f t="shared" si="0"/>
        <v>485.712469501854</v>
      </c>
      <c r="E33" s="80">
        <f t="shared" si="0"/>
        <v>470.97612388080137</v>
      </c>
      <c r="F33" s="80">
        <f t="shared" si="0"/>
        <v>485.712469501854</v>
      </c>
      <c r="G33" s="80">
        <f t="shared" si="0"/>
        <v>504.93942172401</v>
      </c>
      <c r="H33" s="80">
        <f t="shared" si="0"/>
        <v>504.93942172401</v>
      </c>
      <c r="I33" s="80">
        <f t="shared" si="0"/>
        <v>470.97612388080137</v>
      </c>
      <c r="J33" s="80">
        <f t="shared" si="0"/>
        <v>470.97612388080137</v>
      </c>
      <c r="K33" s="80">
        <f t="shared" si="0"/>
        <v>470.97612388080137</v>
      </c>
      <c r="L33" s="80">
        <f t="shared" si="0"/>
        <v>470.97612388080137</v>
      </c>
      <c r="M33" s="80">
        <f t="shared" si="0"/>
        <v>470.97612388080137</v>
      </c>
      <c r="N33" s="80">
        <f t="shared" ref="N33" si="1">SUM(N29:N32)</f>
        <v>470.97612388080137</v>
      </c>
      <c r="O33" s="80">
        <f t="shared" ref="O33" si="2">SUM(O29:O32)</f>
        <v>470.97612388080137</v>
      </c>
      <c r="P33" s="80">
        <f t="shared" ref="P33" si="3">SUM(P29:P32)</f>
        <v>470.97612388080137</v>
      </c>
      <c r="Q33" s="80">
        <f t="shared" ref="Q33" si="4">SUM(Q29:Q32)</f>
        <v>403.77612388080132</v>
      </c>
      <c r="R33" s="201"/>
    </row>
    <row r="34" spans="1:18" s="254" customFormat="1" ht="15" customHeight="1">
      <c r="A34" s="463" t="s">
        <v>1233</v>
      </c>
      <c r="B34" s="472">
        <f>B33*B23</f>
        <v>17426.11658358965</v>
      </c>
      <c r="C34" s="472">
        <f t="shared" ref="C34:M34" si="5">C33*C23</f>
        <v>19310.021079112856</v>
      </c>
      <c r="D34" s="472">
        <f t="shared" si="5"/>
        <v>16514.223963063036</v>
      </c>
      <c r="E34" s="472">
        <f t="shared" si="5"/>
        <v>15071.235964185644</v>
      </c>
      <c r="F34" s="472">
        <f t="shared" si="5"/>
        <v>16999.936432564889</v>
      </c>
      <c r="G34" s="472">
        <f t="shared" si="5"/>
        <v>12623.485543100251</v>
      </c>
      <c r="H34" s="472">
        <f t="shared" si="5"/>
        <v>13128.42496482426</v>
      </c>
      <c r="I34" s="472">
        <f t="shared" si="5"/>
        <v>15542.212088066444</v>
      </c>
      <c r="J34" s="472">
        <f t="shared" si="5"/>
        <v>13658.30759254324</v>
      </c>
      <c r="K34" s="472">
        <f t="shared" si="5"/>
        <v>16484.164335828049</v>
      </c>
      <c r="L34" s="472">
        <f t="shared" si="5"/>
        <v>17897.092707470452</v>
      </c>
      <c r="M34" s="472">
        <f t="shared" si="5"/>
        <v>17897.092707470452</v>
      </c>
      <c r="N34" s="472">
        <f t="shared" ref="N34" si="6">N33*N23</f>
        <v>17897.092707470452</v>
      </c>
      <c r="O34" s="472">
        <f t="shared" ref="O34" si="7">O33*O23</f>
        <v>21664.901698516864</v>
      </c>
      <c r="P34" s="472">
        <f t="shared" ref="P34" si="8">P33*P23</f>
        <v>16484.164335828049</v>
      </c>
      <c r="Q34" s="472">
        <f t="shared" ref="Q34" si="9">Q33*Q23</f>
        <v>18573.701698516859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1184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1258</v>
      </c>
      <c r="B38" s="80">
        <f>Fans!B10*2.11888</f>
        <v>82.198253651987059</v>
      </c>
      <c r="C38" s="80">
        <f>Fans!C10*2.11888</f>
        <v>83.382242555488673</v>
      </c>
      <c r="D38" s="80">
        <f>Fans!D10*2.11888</f>
        <v>82.536536195844661</v>
      </c>
      <c r="E38" s="80">
        <f>Fans!E10*2.11888</f>
        <v>83.551383827417482</v>
      </c>
      <c r="F38" s="80">
        <f>Fans!F10*2.11888</f>
        <v>82.874818739702278</v>
      </c>
      <c r="G38" s="80">
        <f>Fans!G10*2.11888</f>
        <v>84.566231458990288</v>
      </c>
      <c r="H38" s="80">
        <f>Fans!H10*2.11888</f>
        <v>85.242796546705506</v>
      </c>
      <c r="I38" s="80">
        <f>Fans!I10*2.11888</f>
        <v>85.91936163442071</v>
      </c>
      <c r="J38" s="80">
        <f>Fans!J10*2.11888</f>
        <v>85.073655274776698</v>
      </c>
      <c r="K38" s="80">
        <f>Fans!K10*2.11888</f>
        <v>84.566231458990288</v>
      </c>
      <c r="L38" s="80">
        <f>Fans!L10*2.11888</f>
        <v>83.213101283559865</v>
      </c>
      <c r="M38" s="80">
        <f>Fans!M10*2.11888</f>
        <v>83.043960011631071</v>
      </c>
      <c r="N38" s="80">
        <f>Fans!N10*2.11888</f>
        <v>84.058807643203892</v>
      </c>
      <c r="O38" s="80">
        <f>Fans!O10*2.11888</f>
        <v>82.029112380058251</v>
      </c>
      <c r="P38" s="80">
        <f>Fans!P10*2.11888</f>
        <v>83.889666371275084</v>
      </c>
      <c r="Q38" s="80">
        <f>Fans!Q10*2.11888</f>
        <v>84.2279489151327</v>
      </c>
      <c r="R38" s="80"/>
    </row>
    <row r="39" spans="1:18" ht="15" customHeight="1">
      <c r="A39" s="459" t="s">
        <v>1257</v>
      </c>
      <c r="B39" s="80">
        <f>2.11888*Fans!B9</f>
        <v>9.4719112280129352</v>
      </c>
      <c r="C39" s="80">
        <f>2.11888*Fans!C9</f>
        <v>8.2879223245113174</v>
      </c>
      <c r="D39" s="80">
        <f>2.11888*Fans!D9</f>
        <v>9.1336286841553296</v>
      </c>
      <c r="E39" s="80">
        <f>2.11888*Fans!E9</f>
        <v>8.1187810525825164</v>
      </c>
      <c r="F39" s="80">
        <f>2.11888*Fans!F9</f>
        <v>8.795346140297724</v>
      </c>
      <c r="G39" s="80">
        <f>2.11888*Fans!G9</f>
        <v>7.1039334210097014</v>
      </c>
      <c r="H39" s="80">
        <f>2.11888*Fans!H9</f>
        <v>6.4273683332944929</v>
      </c>
      <c r="I39" s="80">
        <f>2.11888*Fans!I9</f>
        <v>5.7508032455792826</v>
      </c>
      <c r="J39" s="80">
        <f>2.11888*Fans!J9</f>
        <v>6.5965096052232948</v>
      </c>
      <c r="K39" s="80">
        <f>2.11888*Fans!K9</f>
        <v>7.1039334210097014</v>
      </c>
      <c r="L39" s="80">
        <f>2.11888*Fans!L9</f>
        <v>8.4570635964401202</v>
      </c>
      <c r="M39" s="80">
        <f>2.11888*Fans!M9</f>
        <v>8.6262048683689247</v>
      </c>
      <c r="N39" s="80">
        <f>2.11888*Fans!N9</f>
        <v>7.611357236796108</v>
      </c>
      <c r="O39" s="80">
        <f>2.11888*Fans!O9</f>
        <v>9.6410524999417362</v>
      </c>
      <c r="P39" s="80">
        <f>2.11888*Fans!P9</f>
        <v>7.7804985087249108</v>
      </c>
      <c r="Q39" s="80">
        <f>2.11888*Fans!Q9</f>
        <v>7.4422159648673061</v>
      </c>
      <c r="R39" s="201"/>
    </row>
    <row r="40" spans="1:18" ht="15" customHeight="1">
      <c r="A40" s="459" t="s">
        <v>1197</v>
      </c>
      <c r="B40" s="80">
        <f>B39/(B39+B38)</f>
        <v>0.10332599750869932</v>
      </c>
      <c r="C40" s="80">
        <f>C39/(C39+C38)</f>
        <v>9.0410247820111894E-2</v>
      </c>
      <c r="D40" s="80">
        <f t="shared" ref="D40:Q40" si="10">D39/(D39+D38)</f>
        <v>9.9635783311960061E-2</v>
      </c>
      <c r="E40" s="80">
        <f t="shared" si="10"/>
        <v>8.8565140721742278E-2</v>
      </c>
      <c r="F40" s="80">
        <f t="shared" si="10"/>
        <v>9.5945569115220772E-2</v>
      </c>
      <c r="G40" s="80">
        <f t="shared" si="10"/>
        <v>7.7494498131524495E-2</v>
      </c>
      <c r="H40" s="80">
        <f t="shared" si="10"/>
        <v>7.0114069738045973E-2</v>
      </c>
      <c r="I40" s="80">
        <f t="shared" si="10"/>
        <v>6.2733641344567451E-2</v>
      </c>
      <c r="J40" s="80">
        <f t="shared" si="10"/>
        <v>7.1959176836415603E-2</v>
      </c>
      <c r="K40" s="80">
        <f t="shared" si="10"/>
        <v>7.7494498131524495E-2</v>
      </c>
      <c r="L40" s="80">
        <f t="shared" si="10"/>
        <v>9.2255354918481539E-2</v>
      </c>
      <c r="M40" s="80">
        <f t="shared" si="10"/>
        <v>9.4100462016851169E-2</v>
      </c>
      <c r="N40" s="80">
        <f t="shared" si="10"/>
        <v>8.3029819426633372E-2</v>
      </c>
      <c r="O40" s="80">
        <f t="shared" si="10"/>
        <v>0.10517110460706894</v>
      </c>
      <c r="P40" s="80">
        <f t="shared" si="10"/>
        <v>8.4874926525003017E-2</v>
      </c>
      <c r="Q40" s="80">
        <f t="shared" si="10"/>
        <v>8.1184712328263742E-2</v>
      </c>
      <c r="R40" s="80"/>
    </row>
    <row r="41" spans="1:18" ht="15" customHeight="1">
      <c r="A41" s="459" t="s">
        <v>1198</v>
      </c>
      <c r="B41" s="80">
        <f>(B38)+(HVAC!B40*HVAC!B39)</f>
        <v>83.176948327935349</v>
      </c>
      <c r="C41" s="80">
        <f>(C38)+(HVAC!C40*HVAC!C39)</f>
        <v>84.131555666761585</v>
      </c>
      <c r="D41" s="80">
        <f>(D38)+(HVAC!D40*HVAC!D39)</f>
        <v>83.446572444271069</v>
      </c>
      <c r="E41" s="80">
        <f>(E38)+(HVAC!E40*HVAC!E39)</f>
        <v>84.27042481382847</v>
      </c>
      <c r="F41" s="80">
        <f>(F38)+(HVAC!F40*HVAC!F39)</f>
        <v>83.718693230698506</v>
      </c>
      <c r="G41" s="80">
        <f>(G38)+(HVAC!G40*HVAC!G39)</f>
        <v>85.116747214211202</v>
      </c>
      <c r="H41" s="80">
        <f>(H38)+(HVAC!H40*HVAC!H39)</f>
        <v>85.693445498258228</v>
      </c>
      <c r="I41" s="80">
        <f>(I38)+(HVAC!I40*HVAC!I39)</f>
        <v>86.280130462672062</v>
      </c>
      <c r="J41" s="80">
        <f>(J38)+(HVAC!J40*HVAC!J39)</f>
        <v>85.548334675962082</v>
      </c>
      <c r="K41" s="80">
        <f>(K38)+(HVAC!K40*HVAC!K39)</f>
        <v>85.116747214211202</v>
      </c>
      <c r="L41" s="80">
        <f>(L38)+(HVAC!L40*HVAC!L39)</f>
        <v>83.993310687217615</v>
      </c>
      <c r="M41" s="80">
        <f>(M38)+(HVAC!M40*HVAC!M39)</f>
        <v>83.855689875196603</v>
      </c>
      <c r="N41" s="80">
        <f>(N38)+(HVAC!N40*HVAC!N39)</f>
        <v>84.690777260166669</v>
      </c>
      <c r="O41" s="80">
        <f>(O38)+(HVAC!O40*HVAC!O39)</f>
        <v>83.043072521051869</v>
      </c>
      <c r="P41" s="80">
        <f>(P38)+(HVAC!P40*HVAC!P39)</f>
        <v>84.550035610531012</v>
      </c>
      <c r="Q41" s="80">
        <f>(Q38)+(HVAC!Q40*HVAC!Q39)</f>
        <v>84.83214307732527</v>
      </c>
      <c r="R41" s="80"/>
    </row>
    <row r="42" spans="1:18" ht="15" customHeight="1">
      <c r="A42" s="459" t="s">
        <v>1199</v>
      </c>
      <c r="B42" s="80">
        <f t="shared" ref="B42:Q42" si="11">B41*60/(V_houseSI*35.3147)</f>
        <v>0.26405380421566776</v>
      </c>
      <c r="C42" s="80">
        <f t="shared" si="11"/>
        <v>0.26708430370400504</v>
      </c>
      <c r="D42" s="80">
        <f t="shared" si="11"/>
        <v>0.26490975379133669</v>
      </c>
      <c r="E42" s="80">
        <f t="shared" si="11"/>
        <v>0.26752515813913802</v>
      </c>
      <c r="F42" s="80">
        <f t="shared" si="11"/>
        <v>0.26577362930380477</v>
      </c>
      <c r="G42" s="80">
        <f t="shared" si="11"/>
        <v>0.27021189591813077</v>
      </c>
      <c r="H42" s="80">
        <f t="shared" si="11"/>
        <v>0.27204268412145471</v>
      </c>
      <c r="I42" s="80">
        <f t="shared" si="11"/>
        <v>0.27390517607197479</v>
      </c>
      <c r="J42" s="80">
        <f t="shared" si="11"/>
        <v>0.27158201484432409</v>
      </c>
      <c r="K42" s="80">
        <f t="shared" si="11"/>
        <v>0.27021189591813077</v>
      </c>
      <c r="L42" s="80">
        <f t="shared" si="11"/>
        <v>0.26664543075307179</v>
      </c>
      <c r="M42" s="80">
        <f t="shared" si="11"/>
        <v>0.26620853928633842</v>
      </c>
      <c r="N42" s="80">
        <f t="shared" si="11"/>
        <v>0.26885961034973543</v>
      </c>
      <c r="O42" s="80">
        <f t="shared" si="11"/>
        <v>0.26362880165413288</v>
      </c>
      <c r="P42" s="80">
        <f t="shared" si="11"/>
        <v>0.26841281146200319</v>
      </c>
      <c r="Q42" s="80">
        <f t="shared" si="11"/>
        <v>0.26930839072166751</v>
      </c>
      <c r="R42" s="201"/>
    </row>
    <row r="43" spans="1:18" s="254" customFormat="1" ht="15" customHeight="1">
      <c r="A43" s="459" t="s">
        <v>1200</v>
      </c>
      <c r="B43" s="470">
        <f>1.1*B41*B23</f>
        <v>3385.3017969469693</v>
      </c>
      <c r="C43" s="470">
        <f t="shared" ref="C43:Q43" si="12">1.1*C41*C23</f>
        <v>3794.3331605709477</v>
      </c>
      <c r="D43" s="470">
        <f t="shared" si="12"/>
        <v>3120.9018094157382</v>
      </c>
      <c r="E43" s="470">
        <f t="shared" si="12"/>
        <v>2966.3189534467624</v>
      </c>
      <c r="F43" s="470">
        <f t="shared" si="12"/>
        <v>3223.1696893818926</v>
      </c>
      <c r="G43" s="470">
        <f t="shared" si="12"/>
        <v>2340.7105483908081</v>
      </c>
      <c r="H43" s="470">
        <f t="shared" si="12"/>
        <v>2450.8325412501854</v>
      </c>
      <c r="I43" s="470">
        <f t="shared" si="12"/>
        <v>3131.9687357949961</v>
      </c>
      <c r="J43" s="470">
        <f t="shared" si="12"/>
        <v>2728.9918761631907</v>
      </c>
      <c r="K43" s="470">
        <f t="shared" si="12"/>
        <v>3276.9947677471318</v>
      </c>
      <c r="L43" s="470">
        <f t="shared" si="12"/>
        <v>3510.9203867256965</v>
      </c>
      <c r="M43" s="470">
        <f t="shared" si="12"/>
        <v>3505.1678367832183</v>
      </c>
      <c r="N43" s="470">
        <f t="shared" si="12"/>
        <v>3540.0744894749673</v>
      </c>
      <c r="O43" s="470">
        <f t="shared" si="12"/>
        <v>4201.9794695652245</v>
      </c>
      <c r="P43" s="470">
        <f t="shared" si="12"/>
        <v>3255.1763710054443</v>
      </c>
      <c r="Q43" s="470">
        <f t="shared" si="12"/>
        <v>4292.5064397126589</v>
      </c>
      <c r="R43" s="471"/>
    </row>
    <row r="44" spans="1:18" ht="15" customHeight="1">
      <c r="A44" s="459" t="s">
        <v>1184</v>
      </c>
      <c r="B44" s="80">
        <f>2.11888*Fans!B9</f>
        <v>9.4719112280129352</v>
      </c>
      <c r="C44" s="80">
        <f>2.11888*Fans!C9</f>
        <v>8.2879223245113174</v>
      </c>
      <c r="D44" s="80">
        <f>2.11888*Fans!D9</f>
        <v>9.1336286841553296</v>
      </c>
      <c r="E44" s="80">
        <f>2.11888*Fans!E9</f>
        <v>8.1187810525825164</v>
      </c>
      <c r="F44" s="80">
        <f>2.11888*Fans!F9</f>
        <v>8.795346140297724</v>
      </c>
      <c r="G44" s="80">
        <f>2.11888*Fans!G9</f>
        <v>7.1039334210097014</v>
      </c>
      <c r="H44" s="80">
        <f>2.11888*Fans!H9</f>
        <v>6.4273683332944929</v>
      </c>
      <c r="I44" s="80">
        <f>2.11888*Fans!I9</f>
        <v>5.7508032455792826</v>
      </c>
      <c r="J44" s="80">
        <f>2.11888*Fans!J9</f>
        <v>6.5965096052232948</v>
      </c>
      <c r="K44" s="80">
        <f>2.11888*Fans!K9</f>
        <v>7.1039334210097014</v>
      </c>
      <c r="L44" s="80">
        <f>2.11888*Fans!L9</f>
        <v>8.4570635964401202</v>
      </c>
      <c r="M44" s="80">
        <f>2.11888*Fans!M9</f>
        <v>8.6262048683689247</v>
      </c>
      <c r="N44" s="80">
        <f>2.11888*Fans!N9</f>
        <v>7.611357236796108</v>
      </c>
      <c r="O44" s="80">
        <f>2.11888*Fans!O9</f>
        <v>9.6410524999417362</v>
      </c>
      <c r="P44" s="80">
        <f>2.11888*Fans!P9</f>
        <v>7.7804985087249108</v>
      </c>
      <c r="Q44" s="80">
        <f>2.11888*Fans!Q9</f>
        <v>7.4422159648673061</v>
      </c>
      <c r="R44" s="80"/>
    </row>
    <row r="45" spans="1:18" ht="15" customHeight="1">
      <c r="A45" s="459" t="s">
        <v>1197</v>
      </c>
      <c r="B45" s="80">
        <f>B44/(B44+B38)</f>
        <v>0.10332599750869932</v>
      </c>
      <c r="C45" s="80">
        <f t="shared" ref="C45:Q45" si="13">C44/(C44+C38)</f>
        <v>9.0410247820111894E-2</v>
      </c>
      <c r="D45" s="80">
        <f t="shared" si="13"/>
        <v>9.9635783311960061E-2</v>
      </c>
      <c r="E45" s="80">
        <f t="shared" si="13"/>
        <v>8.8565140721742278E-2</v>
      </c>
      <c r="F45" s="80">
        <f t="shared" si="13"/>
        <v>9.5945569115220772E-2</v>
      </c>
      <c r="G45" s="80">
        <f t="shared" si="13"/>
        <v>7.7494498131524495E-2</v>
      </c>
      <c r="H45" s="80">
        <f t="shared" si="13"/>
        <v>7.0114069738045973E-2</v>
      </c>
      <c r="I45" s="80">
        <f t="shared" si="13"/>
        <v>6.2733641344567451E-2</v>
      </c>
      <c r="J45" s="80">
        <f t="shared" si="13"/>
        <v>7.1959176836415603E-2</v>
      </c>
      <c r="K45" s="80">
        <f t="shared" si="13"/>
        <v>7.7494498131524495E-2</v>
      </c>
      <c r="L45" s="80">
        <f t="shared" si="13"/>
        <v>9.2255354918481539E-2</v>
      </c>
      <c r="M45" s="80">
        <f t="shared" si="13"/>
        <v>9.4100462016851169E-2</v>
      </c>
      <c r="N45" s="80">
        <f t="shared" si="13"/>
        <v>8.3029819426633372E-2</v>
      </c>
      <c r="O45" s="80">
        <f t="shared" si="13"/>
        <v>0.10517110460706894</v>
      </c>
      <c r="P45" s="80">
        <f t="shared" si="13"/>
        <v>8.4874926525003017E-2</v>
      </c>
      <c r="Q45" s="80">
        <f t="shared" si="13"/>
        <v>8.1184712328263742E-2</v>
      </c>
      <c r="R45" s="80"/>
    </row>
    <row r="46" spans="1:18" ht="15" customHeight="1">
      <c r="A46" s="459" t="s">
        <v>1198</v>
      </c>
      <c r="B46" s="80">
        <f>(B38)+(HVAC!B45*HVAC!B44)</f>
        <v>83.176948327935349</v>
      </c>
      <c r="C46" s="80">
        <f>(C38)+(HVAC!C45*HVAC!C44)</f>
        <v>84.131555666761585</v>
      </c>
      <c r="D46" s="80">
        <f>(D38)+(HVAC!D45*HVAC!D44)</f>
        <v>83.446572444271069</v>
      </c>
      <c r="E46" s="80">
        <f>(E38)+(HVAC!E45*HVAC!E44)</f>
        <v>84.27042481382847</v>
      </c>
      <c r="F46" s="80">
        <f>(F38)+(HVAC!F45*HVAC!F44)</f>
        <v>83.718693230698506</v>
      </c>
      <c r="G46" s="80">
        <f>(G38)+(HVAC!G45*HVAC!G44)</f>
        <v>85.116747214211202</v>
      </c>
      <c r="H46" s="80">
        <f>(H38)+(HVAC!H45*HVAC!H44)</f>
        <v>85.693445498258228</v>
      </c>
      <c r="I46" s="80">
        <f>(I38)+(HVAC!I45*HVAC!I44)</f>
        <v>86.280130462672062</v>
      </c>
      <c r="J46" s="80">
        <f>(J38)+(HVAC!J45*HVAC!J44)</f>
        <v>85.548334675962082</v>
      </c>
      <c r="K46" s="80">
        <f>(K38)+(HVAC!K45*HVAC!K44)</f>
        <v>85.116747214211202</v>
      </c>
      <c r="L46" s="80">
        <f>(L38)+(HVAC!L45*HVAC!L44)</f>
        <v>83.993310687217615</v>
      </c>
      <c r="M46" s="80">
        <f>(M38)+(HVAC!M45*HVAC!M44)</f>
        <v>83.855689875196603</v>
      </c>
      <c r="N46" s="80">
        <f>(N38)+(HVAC!N45*HVAC!N44)</f>
        <v>84.690777260166669</v>
      </c>
      <c r="O46" s="80">
        <f>(O38)+(HVAC!O45*HVAC!O44)</f>
        <v>83.043072521051869</v>
      </c>
      <c r="P46" s="80">
        <f>(P38)+(HVAC!P45*HVAC!P44)</f>
        <v>84.550035610531012</v>
      </c>
      <c r="Q46" s="80">
        <f>(Q38)+(HVAC!Q45*HVAC!Q44)</f>
        <v>84.83214307732527</v>
      </c>
      <c r="R46" s="80"/>
    </row>
    <row r="47" spans="1:18" ht="15" customHeight="1">
      <c r="A47" s="459" t="s">
        <v>1199</v>
      </c>
      <c r="B47" s="80">
        <f t="shared" ref="B47:Q47" si="14">B46*60/(V_houseSI*35.3147)</f>
        <v>0.26405380421566776</v>
      </c>
      <c r="C47" s="80">
        <f t="shared" si="14"/>
        <v>0.26708430370400504</v>
      </c>
      <c r="D47" s="80">
        <f t="shared" si="14"/>
        <v>0.26490975379133669</v>
      </c>
      <c r="E47" s="80">
        <f t="shared" si="14"/>
        <v>0.26752515813913802</v>
      </c>
      <c r="F47" s="80">
        <f t="shared" si="14"/>
        <v>0.26577362930380477</v>
      </c>
      <c r="G47" s="80">
        <f t="shared" si="14"/>
        <v>0.27021189591813077</v>
      </c>
      <c r="H47" s="80">
        <f t="shared" si="14"/>
        <v>0.27204268412145471</v>
      </c>
      <c r="I47" s="80">
        <f t="shared" si="14"/>
        <v>0.27390517607197479</v>
      </c>
      <c r="J47" s="80">
        <f t="shared" si="14"/>
        <v>0.27158201484432409</v>
      </c>
      <c r="K47" s="80">
        <f t="shared" si="14"/>
        <v>0.27021189591813077</v>
      </c>
      <c r="L47" s="80">
        <f t="shared" si="14"/>
        <v>0.26664543075307179</v>
      </c>
      <c r="M47" s="80">
        <f t="shared" si="14"/>
        <v>0.26620853928633842</v>
      </c>
      <c r="N47" s="80">
        <f t="shared" si="14"/>
        <v>0.26885961034973543</v>
      </c>
      <c r="O47" s="80">
        <f t="shared" si="14"/>
        <v>0.26362880165413288</v>
      </c>
      <c r="P47" s="80">
        <f t="shared" si="14"/>
        <v>0.26841281146200319</v>
      </c>
      <c r="Q47" s="80">
        <f t="shared" si="14"/>
        <v>0.26930839072166751</v>
      </c>
      <c r="R47" s="201"/>
    </row>
    <row r="48" spans="1:18" ht="15" customHeight="1">
      <c r="A48" s="459" t="s">
        <v>1201</v>
      </c>
      <c r="B48" s="470">
        <f t="shared" ref="B48:Q48" si="15">1.1*B46*B24</f>
        <v>-548.96785896437336</v>
      </c>
      <c r="C48" s="470">
        <f t="shared" si="15"/>
        <v>1943.4389359021927</v>
      </c>
      <c r="D48" s="470">
        <f t="shared" si="15"/>
        <v>458.95614844349092</v>
      </c>
      <c r="E48" s="470">
        <f t="shared" si="15"/>
        <v>1297.7645421329585</v>
      </c>
      <c r="F48" s="470">
        <f t="shared" si="15"/>
        <v>644.63393787637858</v>
      </c>
      <c r="G48" s="470">
        <f t="shared" si="15"/>
        <v>561.77053161379399</v>
      </c>
      <c r="H48" s="470">
        <f t="shared" si="15"/>
        <v>659.83953033658838</v>
      </c>
      <c r="I48" s="470">
        <f t="shared" si="15"/>
        <v>1518.5302961430284</v>
      </c>
      <c r="J48" s="470">
        <f t="shared" si="15"/>
        <v>1882.0633628711657</v>
      </c>
      <c r="K48" s="470">
        <f t="shared" si="15"/>
        <v>2247.082126455176</v>
      </c>
      <c r="L48" s="470">
        <f t="shared" si="15"/>
        <v>2494.6013274103634</v>
      </c>
      <c r="M48" s="470">
        <f t="shared" si="15"/>
        <v>2029.3076949797578</v>
      </c>
      <c r="N48" s="470">
        <f t="shared" si="15"/>
        <v>2422.1562296407669</v>
      </c>
      <c r="O48" s="470">
        <f t="shared" si="15"/>
        <v>2100.9897347826122</v>
      </c>
      <c r="P48" s="470">
        <f t="shared" si="15"/>
        <v>3255.1763710054443</v>
      </c>
      <c r="Q48" s="470">
        <f t="shared" si="15"/>
        <v>559.89214431034679</v>
      </c>
      <c r="R48" s="471"/>
    </row>
    <row r="49" spans="1:21" ht="15" customHeight="1">
      <c r="A49" s="460" t="s">
        <v>1202</v>
      </c>
      <c r="B49" s="472">
        <f>0.68*B46*Weather!B31</f>
        <v>2771.4559182868061</v>
      </c>
      <c r="C49" s="472">
        <f>0.68*C46*Weather!C31</f>
        <v>2402.7972298427107</v>
      </c>
      <c r="D49" s="472">
        <f>0.68*D46*Weather!D31</f>
        <v>0</v>
      </c>
      <c r="E49" s="472">
        <f>0.68*E46*Weather!E31</f>
        <v>1891.0283328223111</v>
      </c>
      <c r="F49" s="472">
        <f>0.68*F46*Weather!F31</f>
        <v>0</v>
      </c>
      <c r="G49" s="472">
        <f>0.68*G46*Weather!G31</f>
        <v>0</v>
      </c>
      <c r="H49" s="472">
        <f>0.68*H46*Weather!H31</f>
        <v>2039.5040028585461</v>
      </c>
      <c r="I49" s="472">
        <f>0.68*I46*Weather!I31</f>
        <v>0</v>
      </c>
      <c r="J49" s="472">
        <f>0.68*J46*Weather!J31</f>
        <v>0</v>
      </c>
      <c r="K49" s="472">
        <f>0.68*K46*Weather!K31</f>
        <v>1331.2259264302634</v>
      </c>
      <c r="L49" s="472">
        <f>0.68*L46*Weather!L31</f>
        <v>0</v>
      </c>
      <c r="M49" s="472">
        <f>0.68*M46*Weather!M31</f>
        <v>855.3280367270055</v>
      </c>
      <c r="N49" s="472">
        <f>0.68*N46*Weather!N31</f>
        <v>0</v>
      </c>
      <c r="O49" s="472">
        <f>0.68*O46*Weather!O31</f>
        <v>564.69289314315279</v>
      </c>
      <c r="P49" s="472">
        <f>0.68*P46*Weather!P31</f>
        <v>0</v>
      </c>
      <c r="Q49" s="472">
        <f>0.68*Q46*Weather!Q31</f>
        <v>2134.3767198255041</v>
      </c>
      <c r="R49" s="473"/>
    </row>
    <row r="51" spans="1:21" s="254" customFormat="1" ht="15" customHeight="1">
      <c r="A51" s="458" t="s">
        <v>1234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1203</v>
      </c>
      <c r="B53" s="469" t="s">
        <v>1204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1205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1206</v>
      </c>
      <c r="B55" s="80" t="s">
        <v>212</v>
      </c>
      <c r="C55" s="80" t="s">
        <v>1194</v>
      </c>
      <c r="D55" s="80" t="s">
        <v>212</v>
      </c>
      <c r="E55" s="80" t="s">
        <v>1194</v>
      </c>
      <c r="F55" s="80" t="s">
        <v>1195</v>
      </c>
      <c r="G55" s="80" t="s">
        <v>212</v>
      </c>
      <c r="H55" s="80" t="s">
        <v>1194</v>
      </c>
      <c r="I55" s="80" t="s">
        <v>1195</v>
      </c>
      <c r="J55" s="80" t="s">
        <v>1194</v>
      </c>
      <c r="K55" s="80" t="s">
        <v>1195</v>
      </c>
      <c r="L55" s="80" t="s">
        <v>1195</v>
      </c>
      <c r="M55" s="80" t="s">
        <v>1195</v>
      </c>
      <c r="N55" s="80"/>
      <c r="O55" s="80"/>
      <c r="P55" s="80"/>
      <c r="Q55" s="80"/>
      <c r="R55" s="201"/>
    </row>
    <row r="56" spans="1:21" ht="15" customHeight="1">
      <c r="A56" s="459" t="s">
        <v>1207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1208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1209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1211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212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1194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1195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1208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212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1194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1195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1209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212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1194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1195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1211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1208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1209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1211</v>
      </c>
      <c r="B80" s="470">
        <f>B29*B76</f>
        <v>124.86523314856649</v>
      </c>
      <c r="C80" s="470">
        <f t="shared" ref="C80:Q80" si="25">C29*C76</f>
        <v>1529.5991060699382</v>
      </c>
      <c r="D80" s="470">
        <f t="shared" si="25"/>
        <v>671.15062817354442</v>
      </c>
      <c r="E80" s="470">
        <f t="shared" si="25"/>
        <v>983.3137110449602</v>
      </c>
      <c r="F80" s="470">
        <f t="shared" si="25"/>
        <v>827.23216960925242</v>
      </c>
      <c r="G80" s="470">
        <f t="shared" si="25"/>
        <v>1322.8410319841362</v>
      </c>
      <c r="H80" s="470">
        <f t="shared" si="25"/>
        <v>1420.1087549241463</v>
      </c>
      <c r="I80" s="470">
        <f t="shared" si="25"/>
        <v>1139.3952524806682</v>
      </c>
      <c r="J80" s="470">
        <f t="shared" si="25"/>
        <v>1841.7621889413542</v>
      </c>
      <c r="K80" s="470">
        <f t="shared" si="25"/>
        <v>1763.7214182235002</v>
      </c>
      <c r="L80" s="470">
        <f t="shared" si="25"/>
        <v>1997.8437303770622</v>
      </c>
      <c r="M80" s="470">
        <f t="shared" si="25"/>
        <v>1607.6398767877922</v>
      </c>
      <c r="N80" s="470">
        <f t="shared" si="25"/>
        <v>1919.8029596592082</v>
      </c>
      <c r="O80" s="470">
        <f t="shared" si="25"/>
        <v>1685.6806475056462</v>
      </c>
      <c r="P80" s="470">
        <f t="shared" si="25"/>
        <v>2622.169896119894</v>
      </c>
      <c r="Q80" s="470">
        <f t="shared" si="25"/>
        <v>749.19139889139842</v>
      </c>
      <c r="R80" s="471"/>
    </row>
    <row r="81" spans="1:18" ht="15" customHeight="1">
      <c r="A81" s="459" t="s">
        <v>1208</v>
      </c>
      <c r="B81" s="470">
        <f t="shared" ref="B81:Q81" si="26">B32*B77</f>
        <v>2139.7173841768417</v>
      </c>
      <c r="C81" s="470">
        <f t="shared" si="26"/>
        <v>3890.3952439578943</v>
      </c>
      <c r="D81" s="470">
        <f t="shared" si="26"/>
        <v>3247.8905748799998</v>
      </c>
      <c r="E81" s="470">
        <f t="shared" si="26"/>
        <v>3209.5760762652631</v>
      </c>
      <c r="F81" s="470">
        <f t="shared" si="26"/>
        <v>3471.88302832</v>
      </c>
      <c r="G81" s="470">
        <f t="shared" si="26"/>
        <v>3807.8717084800001</v>
      </c>
      <c r="H81" s="470">
        <f t="shared" si="26"/>
        <v>3919.8679351999999</v>
      </c>
      <c r="I81" s="470">
        <f t="shared" si="26"/>
        <v>3404.0958384631576</v>
      </c>
      <c r="J81" s="470">
        <f t="shared" si="26"/>
        <v>4279.4347683536835</v>
      </c>
      <c r="K81" s="470">
        <f t="shared" si="26"/>
        <v>4182.1748872547369</v>
      </c>
      <c r="L81" s="470">
        <f t="shared" si="26"/>
        <v>4473.9545305515785</v>
      </c>
      <c r="M81" s="470">
        <f t="shared" si="26"/>
        <v>3987.6551250568418</v>
      </c>
      <c r="N81" s="470">
        <f t="shared" si="26"/>
        <v>4376.694649452631</v>
      </c>
      <c r="O81" s="470">
        <f t="shared" si="26"/>
        <v>4084.9150061557893</v>
      </c>
      <c r="P81" s="470">
        <f t="shared" si="26"/>
        <v>5252.0335793431577</v>
      </c>
      <c r="Q81" s="470">
        <f t="shared" si="26"/>
        <v>2917.796432968421</v>
      </c>
      <c r="R81" s="471"/>
    </row>
    <row r="82" spans="1:18" ht="15" customHeight="1">
      <c r="A82" s="460" t="s">
        <v>1209</v>
      </c>
      <c r="B82" s="472">
        <f t="shared" ref="B82:Q82" si="27">B32*B78</f>
        <v>1361.638335385263</v>
      </c>
      <c r="C82" s="472">
        <f t="shared" si="27"/>
        <v>3112.3161951663155</v>
      </c>
      <c r="D82" s="472">
        <f t="shared" si="27"/>
        <v>2351.92076112</v>
      </c>
      <c r="E82" s="472">
        <f t="shared" si="27"/>
        <v>2431.4970274736838</v>
      </c>
      <c r="F82" s="472">
        <f t="shared" si="27"/>
        <v>2575.9132145599997</v>
      </c>
      <c r="G82" s="472">
        <f t="shared" si="27"/>
        <v>2911.9018947199997</v>
      </c>
      <c r="H82" s="472">
        <f t="shared" si="27"/>
        <v>3023.8981214400001</v>
      </c>
      <c r="I82" s="472">
        <f t="shared" si="27"/>
        <v>2626.0167896715789</v>
      </c>
      <c r="J82" s="472">
        <f t="shared" si="27"/>
        <v>3501.3557195621052</v>
      </c>
      <c r="K82" s="472">
        <f t="shared" si="27"/>
        <v>3404.0958384631576</v>
      </c>
      <c r="L82" s="472">
        <f t="shared" si="27"/>
        <v>3695.8754817599997</v>
      </c>
      <c r="M82" s="472">
        <f t="shared" si="27"/>
        <v>3209.5760762652631</v>
      </c>
      <c r="N82" s="472">
        <f t="shared" si="27"/>
        <v>3598.6156006610522</v>
      </c>
      <c r="O82" s="472">
        <f t="shared" si="27"/>
        <v>3306.8359573642101</v>
      </c>
      <c r="P82" s="472">
        <f t="shared" si="27"/>
        <v>4473.9545305515785</v>
      </c>
      <c r="Q82" s="472">
        <f t="shared" si="27"/>
        <v>2139.7173841768417</v>
      </c>
      <c r="R82" s="473"/>
    </row>
    <row r="85" spans="1:18" ht="15" customHeight="1">
      <c r="A85" s="458" t="s">
        <v>1248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1212</v>
      </c>
      <c r="B86" s="80" t="s">
        <v>1237</v>
      </c>
      <c r="C86" s="80"/>
      <c r="D86" s="80"/>
      <c r="E86" s="80"/>
      <c r="F86" s="80"/>
      <c r="G86" s="80"/>
      <c r="H86" s="80"/>
      <c r="I86" s="80" t="s">
        <v>1238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1216</v>
      </c>
      <c r="C87" s="80" t="s">
        <v>1236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1213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1214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1215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1213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1214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1215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1217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1449.0000000000002</v>
      </c>
      <c r="C103" s="470">
        <f t="shared" si="33"/>
        <v>2016.0000000000002</v>
      </c>
      <c r="D103" s="470">
        <f t="shared" si="33"/>
        <v>1680.0000000000002</v>
      </c>
      <c r="E103" s="470">
        <f t="shared" si="33"/>
        <v>1869.0000000000002</v>
      </c>
      <c r="F103" s="470">
        <f t="shared" si="33"/>
        <v>1722</v>
      </c>
      <c r="G103" s="470">
        <f t="shared" si="33"/>
        <v>1701.0000000000002</v>
      </c>
      <c r="H103" s="470">
        <f t="shared" si="33"/>
        <v>1722</v>
      </c>
      <c r="I103" s="470">
        <f t="shared" si="33"/>
        <v>1911.0000000000002</v>
      </c>
      <c r="J103" s="470">
        <f t="shared" si="33"/>
        <v>1995.0000000000002</v>
      </c>
      <c r="K103" s="470">
        <f t="shared" si="33"/>
        <v>2079.0000000000005</v>
      </c>
      <c r="L103" s="470">
        <f t="shared" si="33"/>
        <v>2142</v>
      </c>
      <c r="M103" s="470">
        <f t="shared" si="33"/>
        <v>2037.0000000000002</v>
      </c>
      <c r="N103" s="470">
        <f t="shared" si="33"/>
        <v>2121</v>
      </c>
      <c r="O103" s="470">
        <f t="shared" si="33"/>
        <v>2058.0000000000005</v>
      </c>
      <c r="P103" s="470">
        <f t="shared" si="33"/>
        <v>2310.0000000000005</v>
      </c>
      <c r="Q103" s="470">
        <f t="shared" si="33"/>
        <v>1701.0000000000002</v>
      </c>
      <c r="R103" s="471"/>
    </row>
    <row r="104" spans="1:18" ht="15" customHeight="1">
      <c r="A104" s="459" t="s">
        <v>1213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1214</v>
      </c>
      <c r="B105" s="470">
        <f t="shared" ref="B105:Q105" si="34">A_windowSI*(1/0.0929)/2*B97</f>
        <v>5208.0000000000009</v>
      </c>
      <c r="C105" s="470">
        <f t="shared" si="34"/>
        <v>6342.0000000000009</v>
      </c>
      <c r="D105" s="470">
        <f t="shared" si="34"/>
        <v>5670.0000000000009</v>
      </c>
      <c r="E105" s="470">
        <f t="shared" si="34"/>
        <v>6048.0000000000009</v>
      </c>
      <c r="F105" s="470">
        <f t="shared" si="34"/>
        <v>5754.0000000000009</v>
      </c>
      <c r="G105" s="470">
        <f t="shared" si="34"/>
        <v>5712.0000000000009</v>
      </c>
      <c r="H105" s="470">
        <f t="shared" si="34"/>
        <v>5754.0000000000009</v>
      </c>
      <c r="I105" s="470">
        <f t="shared" si="34"/>
        <v>6132.0000000000009</v>
      </c>
      <c r="J105" s="470">
        <f t="shared" si="34"/>
        <v>6300.0000000000009</v>
      </c>
      <c r="K105" s="470">
        <f t="shared" si="34"/>
        <v>6468.0000000000009</v>
      </c>
      <c r="L105" s="470">
        <f t="shared" si="34"/>
        <v>6594.0000000000009</v>
      </c>
      <c r="M105" s="470">
        <f t="shared" si="34"/>
        <v>6384.0000000000009</v>
      </c>
      <c r="N105" s="470">
        <f t="shared" si="34"/>
        <v>6552.0000000000009</v>
      </c>
      <c r="O105" s="470">
        <f t="shared" si="34"/>
        <v>6426.0000000000009</v>
      </c>
      <c r="P105" s="470">
        <f t="shared" si="34"/>
        <v>6930.0000000000009</v>
      </c>
      <c r="Q105" s="470">
        <f t="shared" si="34"/>
        <v>5712.0000000000009</v>
      </c>
      <c r="R105" s="471"/>
    </row>
    <row r="106" spans="1:18" ht="15" customHeight="1">
      <c r="A106" s="459" t="s">
        <v>1215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1764.0000000000002</v>
      </c>
      <c r="C107" s="472">
        <f t="shared" si="35"/>
        <v>2331.0000000000005</v>
      </c>
      <c r="D107" s="472">
        <f t="shared" si="35"/>
        <v>1995.0000000000002</v>
      </c>
      <c r="E107" s="472">
        <f t="shared" si="35"/>
        <v>2184.0000000000005</v>
      </c>
      <c r="F107" s="472">
        <f t="shared" si="35"/>
        <v>2037.0000000000002</v>
      </c>
      <c r="G107" s="472">
        <f t="shared" si="35"/>
        <v>2016.0000000000002</v>
      </c>
      <c r="H107" s="472">
        <f t="shared" si="35"/>
        <v>2037.0000000000002</v>
      </c>
      <c r="I107" s="472">
        <f t="shared" si="35"/>
        <v>2226</v>
      </c>
      <c r="J107" s="472">
        <f t="shared" si="35"/>
        <v>2310.0000000000005</v>
      </c>
      <c r="K107" s="472">
        <f t="shared" si="35"/>
        <v>2394.0000000000005</v>
      </c>
      <c r="L107" s="472">
        <f t="shared" si="35"/>
        <v>2457</v>
      </c>
      <c r="M107" s="472">
        <f t="shared" si="35"/>
        <v>2352</v>
      </c>
      <c r="N107" s="472">
        <f t="shared" si="35"/>
        <v>2436.0000000000005</v>
      </c>
      <c r="O107" s="472">
        <f t="shared" si="35"/>
        <v>2373.0000000000005</v>
      </c>
      <c r="P107" s="472">
        <f t="shared" si="35"/>
        <v>2625.0000000000005</v>
      </c>
      <c r="Q107" s="472">
        <f t="shared" si="35"/>
        <v>2016.0000000000002</v>
      </c>
      <c r="R107" s="473"/>
    </row>
    <row r="108" spans="1:18" ht="15" customHeight="1">
      <c r="B108" s="254"/>
    </row>
    <row r="109" spans="1:18" s="254" customFormat="1" ht="15" customHeight="1">
      <c r="A109" s="458" t="s">
        <v>1235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1240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1241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1218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1266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1249</v>
      </c>
      <c r="B117" s="474">
        <f>SUM(B48,B80,IF(Inputs!$C$110=1,B81, B82),B103:B107,B111:B113)</f>
        <v>12678.535709569458</v>
      </c>
      <c r="C117" s="474">
        <f>SUM(C48,C80,IF(Inputs!$C$110=1,C81, C82),C103:C107,C111:C113)</f>
        <v>20594.354237138446</v>
      </c>
      <c r="D117" s="474">
        <f>SUM(D48,D80,IF(Inputs!$C$110=1,D81, D82),D103:D107,D111:D113)</f>
        <v>16147.027537737036</v>
      </c>
      <c r="E117" s="474">
        <f>SUM(E48,E80,IF(Inputs!$C$110=1,E81, E82),E103:E107,E111:E113)</f>
        <v>18133.575280651603</v>
      </c>
      <c r="F117" s="474">
        <f>SUM(F48,F80,IF(Inputs!$C$110=1,F81, F82),F103:F107,F111:F113)</f>
        <v>16880.77932204563</v>
      </c>
      <c r="G117" s="474">
        <f>SUM(G48,G80,IF(Inputs!$C$110=1,G81, G82),G103:G107,G111:G113)</f>
        <v>17545.513458317932</v>
      </c>
      <c r="H117" s="474">
        <f>SUM(H48,H80,IF(Inputs!$C$110=1,H81, H82),H103:H107,H111:H113)</f>
        <v>17936.846406700737</v>
      </c>
      <c r="I117" s="474">
        <f>SUM(I48,I80,IF(Inputs!$C$110=1,I81, I82),I103:I107,I111:I113)</f>
        <v>18872.942338295277</v>
      </c>
      <c r="J117" s="474">
        <f>SUM(J48,J80,IF(Inputs!$C$110=1,J81, J82),J103:J107,J111:J113)</f>
        <v>21150.181271374626</v>
      </c>
      <c r="K117" s="474">
        <f>SUM(K48,K80,IF(Inputs!$C$110=1,K81, K82),K103:K107,K111:K113)</f>
        <v>21675.899383141834</v>
      </c>
      <c r="L117" s="474">
        <f>SUM(L48,L80,IF(Inputs!$C$110=1,L81, L82),L103:L107,L111:L113)</f>
        <v>22701.320539547425</v>
      </c>
      <c r="M117" s="474">
        <f>SUM(M48,M80,IF(Inputs!$C$110=1,M81, M82),M103:M107,M111:M113)</f>
        <v>20939.523648032813</v>
      </c>
      <c r="N117" s="474">
        <f>SUM(N48,N80,IF(Inputs!$C$110=1,N81, N82),N103:N107,N111:N113)</f>
        <v>22369.574789961029</v>
      </c>
      <c r="O117" s="474">
        <f>SUM(O48,O80,IF(Inputs!$C$110=1,O81, O82),O103:O107,O111:O113)</f>
        <v>21270.506339652471</v>
      </c>
      <c r="P117" s="474">
        <f>SUM(P48,P80,IF(Inputs!$C$110=1,P81, P82),P103:P107,P111:P113)</f>
        <v>25536.300797676919</v>
      </c>
      <c r="Q117" s="474">
        <f>SUM(Q48,Q80,IF(Inputs!$C$110=1,Q81, Q82),Q103:Q107,Q111:Q113)</f>
        <v>16197.800927378588</v>
      </c>
      <c r="R117" s="475"/>
    </row>
    <row r="118" spans="1:18" s="254" customFormat="1" ht="15" customHeight="1">
      <c r="A118" s="459" t="s">
        <v>1250</v>
      </c>
      <c r="B118" s="474">
        <f>SUM(B34,B43)</f>
        <v>20811.418380536619</v>
      </c>
      <c r="C118" s="474">
        <f t="shared" ref="C118:Q118" si="38">SUM(C34,C43)</f>
        <v>23104.354239683802</v>
      </c>
      <c r="D118" s="474">
        <f t="shared" si="38"/>
        <v>19635.125772478772</v>
      </c>
      <c r="E118" s="474">
        <f t="shared" si="38"/>
        <v>18037.554917632406</v>
      </c>
      <c r="F118" s="474">
        <f t="shared" si="38"/>
        <v>20223.106121946781</v>
      </c>
      <c r="G118" s="474">
        <f t="shared" si="38"/>
        <v>14964.19609149106</v>
      </c>
      <c r="H118" s="474">
        <f t="shared" si="38"/>
        <v>15579.257506074446</v>
      </c>
      <c r="I118" s="474">
        <f t="shared" si="38"/>
        <v>18674.180823861439</v>
      </c>
      <c r="J118" s="474">
        <f t="shared" si="38"/>
        <v>16387.299468706431</v>
      </c>
      <c r="K118" s="474">
        <f t="shared" si="38"/>
        <v>19761.159103575181</v>
      </c>
      <c r="L118" s="474">
        <f t="shared" si="38"/>
        <v>21408.013094196147</v>
      </c>
      <c r="M118" s="474">
        <f t="shared" si="38"/>
        <v>21402.26054425367</v>
      </c>
      <c r="N118" s="474">
        <f t="shared" si="38"/>
        <v>21437.167196945418</v>
      </c>
      <c r="O118" s="474">
        <f t="shared" si="38"/>
        <v>25866.881168082087</v>
      </c>
      <c r="P118" s="474">
        <f t="shared" si="38"/>
        <v>19739.340706833493</v>
      </c>
      <c r="Q118" s="474">
        <f t="shared" si="38"/>
        <v>22866.208138229518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1251</v>
      </c>
      <c r="B120" s="466">
        <f t="shared" ref="B120:Q120" si="39">SUM(B49,B112)</f>
        <v>3691.4559182868061</v>
      </c>
      <c r="C120" s="466">
        <f t="shared" si="39"/>
        <v>3322.7972298427107</v>
      </c>
      <c r="D120" s="466">
        <f t="shared" si="39"/>
        <v>920</v>
      </c>
      <c r="E120" s="466">
        <f t="shared" si="39"/>
        <v>2811.0283328223113</v>
      </c>
      <c r="F120" s="466">
        <f t="shared" si="39"/>
        <v>920</v>
      </c>
      <c r="G120" s="466">
        <f t="shared" si="39"/>
        <v>920</v>
      </c>
      <c r="H120" s="466">
        <f t="shared" si="39"/>
        <v>2959.5040028585463</v>
      </c>
      <c r="I120" s="466">
        <f t="shared" si="39"/>
        <v>920</v>
      </c>
      <c r="J120" s="466">
        <f t="shared" si="39"/>
        <v>920</v>
      </c>
      <c r="K120" s="466">
        <f t="shared" si="39"/>
        <v>2251.2259264302634</v>
      </c>
      <c r="L120" s="466">
        <f t="shared" si="39"/>
        <v>920</v>
      </c>
      <c r="M120" s="466">
        <f t="shared" si="39"/>
        <v>1775.3280367270054</v>
      </c>
      <c r="N120" s="466">
        <f t="shared" si="39"/>
        <v>920</v>
      </c>
      <c r="O120" s="466">
        <f t="shared" si="39"/>
        <v>1484.6928931431528</v>
      </c>
      <c r="P120" s="466">
        <f t="shared" si="39"/>
        <v>920</v>
      </c>
      <c r="Q120" s="466">
        <f t="shared" si="39"/>
        <v>3054.3767198255041</v>
      </c>
      <c r="R120" s="172"/>
    </row>
    <row r="121" spans="1:18" s="254" customFormat="1" ht="15" customHeight="1">
      <c r="A121" s="459" t="s">
        <v>1242</v>
      </c>
      <c r="B121" s="466">
        <f>B117/SUM(B117,B120)</f>
        <v>0.774498606828535</v>
      </c>
      <c r="C121" s="466">
        <f t="shared" ref="C121:Q121" si="40">C117/SUM(C117,C120)</f>
        <v>0.86107052779968374</v>
      </c>
      <c r="D121" s="466">
        <f t="shared" si="40"/>
        <v>0.94609488981219614</v>
      </c>
      <c r="E121" s="466">
        <f t="shared" si="40"/>
        <v>0.86578746560694309</v>
      </c>
      <c r="F121" s="466">
        <f t="shared" si="40"/>
        <v>0.9483168695394919</v>
      </c>
      <c r="G121" s="466">
        <f t="shared" si="40"/>
        <v>0.95017739408781077</v>
      </c>
      <c r="H121" s="466">
        <f t="shared" si="40"/>
        <v>0.85837220639711875</v>
      </c>
      <c r="I121" s="466">
        <f t="shared" si="40"/>
        <v>0.95351878541979129</v>
      </c>
      <c r="J121" s="466">
        <f t="shared" si="40"/>
        <v>0.95831479639031081</v>
      </c>
      <c r="K121" s="466">
        <f t="shared" si="40"/>
        <v>0.90591323039004379</v>
      </c>
      <c r="L121" s="466">
        <f t="shared" si="40"/>
        <v>0.9610521351480027</v>
      </c>
      <c r="M121" s="466">
        <f t="shared" si="40"/>
        <v>0.92184285148037592</v>
      </c>
      <c r="N121" s="466">
        <f t="shared" si="40"/>
        <v>0.96049734663268449</v>
      </c>
      <c r="O121" s="466">
        <f t="shared" si="40"/>
        <v>0.9347536851708439</v>
      </c>
      <c r="P121" s="466">
        <f t="shared" si="40"/>
        <v>0.96522567508452339</v>
      </c>
      <c r="Q121" s="466">
        <f t="shared" si="40"/>
        <v>0.84134902680637391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1252</v>
      </c>
      <c r="B123" s="478">
        <f>SUM(B117,B120)</f>
        <v>16369.991627856263</v>
      </c>
      <c r="C123" s="479">
        <f t="shared" ref="C123:Q123" si="41">SUM(C117,C120)</f>
        <v>23917.151466981159</v>
      </c>
      <c r="D123" s="479">
        <f t="shared" si="41"/>
        <v>17067.027537737034</v>
      </c>
      <c r="E123" s="479">
        <f t="shared" si="41"/>
        <v>20944.603613473915</v>
      </c>
      <c r="F123" s="479">
        <f t="shared" si="41"/>
        <v>17800.77932204563</v>
      </c>
      <c r="G123" s="479">
        <f t="shared" si="41"/>
        <v>18465.513458317932</v>
      </c>
      <c r="H123" s="479">
        <f t="shared" si="41"/>
        <v>20896.350409559283</v>
      </c>
      <c r="I123" s="479">
        <f t="shared" si="41"/>
        <v>19792.942338295277</v>
      </c>
      <c r="J123" s="479">
        <f t="shared" si="41"/>
        <v>22070.181271374626</v>
      </c>
      <c r="K123" s="479">
        <f t="shared" si="41"/>
        <v>23927.125309572097</v>
      </c>
      <c r="L123" s="479">
        <f t="shared" si="41"/>
        <v>23621.320539547425</v>
      </c>
      <c r="M123" s="479">
        <f t="shared" si="41"/>
        <v>22714.851684759818</v>
      </c>
      <c r="N123" s="479">
        <f t="shared" si="41"/>
        <v>23289.574789961029</v>
      </c>
      <c r="O123" s="479">
        <f t="shared" si="41"/>
        <v>22755.199232795625</v>
      </c>
      <c r="P123" s="479">
        <f t="shared" si="41"/>
        <v>26456.300797676919</v>
      </c>
      <c r="Q123" s="479">
        <f t="shared" si="41"/>
        <v>19252.177647204091</v>
      </c>
      <c r="R123" s="480"/>
    </row>
    <row r="124" spans="1:18" s="254" customFormat="1" ht="15" customHeight="1">
      <c r="A124" s="460" t="s">
        <v>1253</v>
      </c>
      <c r="B124" s="481">
        <f>B118</f>
        <v>20811.418380536619</v>
      </c>
      <c r="C124" s="476">
        <f t="shared" ref="C124:Q124" si="42">C118</f>
        <v>23104.354239683802</v>
      </c>
      <c r="D124" s="476">
        <f t="shared" si="42"/>
        <v>19635.125772478772</v>
      </c>
      <c r="E124" s="476">
        <f t="shared" si="42"/>
        <v>18037.554917632406</v>
      </c>
      <c r="F124" s="476">
        <f t="shared" si="42"/>
        <v>20223.106121946781</v>
      </c>
      <c r="G124" s="476">
        <f t="shared" si="42"/>
        <v>14964.19609149106</v>
      </c>
      <c r="H124" s="476">
        <f t="shared" si="42"/>
        <v>15579.257506074446</v>
      </c>
      <c r="I124" s="476">
        <f t="shared" si="42"/>
        <v>18674.180823861439</v>
      </c>
      <c r="J124" s="476">
        <f t="shared" si="42"/>
        <v>16387.299468706431</v>
      </c>
      <c r="K124" s="476">
        <f t="shared" si="42"/>
        <v>19761.159103575181</v>
      </c>
      <c r="L124" s="476">
        <f t="shared" si="42"/>
        <v>21408.013094196147</v>
      </c>
      <c r="M124" s="476">
        <f t="shared" si="42"/>
        <v>21402.26054425367</v>
      </c>
      <c r="N124" s="476">
        <f t="shared" si="42"/>
        <v>21437.167196945418</v>
      </c>
      <c r="O124" s="476">
        <f t="shared" si="42"/>
        <v>25866.881168082087</v>
      </c>
      <c r="P124" s="476">
        <f t="shared" si="42"/>
        <v>19739.340706833493</v>
      </c>
      <c r="Q124" s="476">
        <f t="shared" si="42"/>
        <v>22866.208138229518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1265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1267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1.5</v>
      </c>
      <c r="E128" s="466">
        <f t="shared" si="43"/>
        <v>2</v>
      </c>
      <c r="F128" s="466">
        <f t="shared" si="43"/>
        <v>1.5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1268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2</v>
      </c>
      <c r="E129" s="466">
        <f t="shared" si="44"/>
        <v>2</v>
      </c>
      <c r="F129" s="466">
        <f t="shared" si="44"/>
        <v>2</v>
      </c>
      <c r="G129" s="466">
        <f t="shared" si="44"/>
        <v>1.5</v>
      </c>
      <c r="H129" s="466">
        <f t="shared" si="44"/>
        <v>1.5</v>
      </c>
      <c r="I129" s="466">
        <f t="shared" si="44"/>
        <v>2</v>
      </c>
      <c r="J129" s="466">
        <f t="shared" si="44"/>
        <v>1.5</v>
      </c>
      <c r="K129" s="466">
        <f t="shared" si="44"/>
        <v>2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2.5</v>
      </c>
      <c r="P129" s="466">
        <f t="shared" si="44"/>
        <v>2</v>
      </c>
      <c r="Q129" s="466">
        <f t="shared" si="44"/>
        <v>2</v>
      </c>
      <c r="R129" s="172"/>
    </row>
    <row r="130" spans="1:19" s="254" customFormat="1" ht="15" customHeight="1">
      <c r="A130" s="459" t="s">
        <v>1269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600</v>
      </c>
      <c r="E130" s="466">
        <f t="shared" si="45"/>
        <v>800</v>
      </c>
      <c r="F130" s="466">
        <f t="shared" si="45"/>
        <v>600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800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1243</v>
      </c>
    </row>
    <row r="131" spans="1:19" s="254" customFormat="1" ht="15" customHeight="1">
      <c r="A131" s="459" t="s">
        <v>1270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403.20000000000005</v>
      </c>
      <c r="E131" s="466">
        <f t="shared" si="46"/>
        <v>403.20000000000005</v>
      </c>
      <c r="F131" s="466">
        <f t="shared" si="46"/>
        <v>403.20000000000005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403.20000000000005</v>
      </c>
      <c r="J131" s="466">
        <f t="shared" si="46"/>
        <v>302.40000000000003</v>
      </c>
      <c r="K131" s="466">
        <f t="shared" si="46"/>
        <v>403.20000000000005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504</v>
      </c>
      <c r="P131" s="466">
        <f t="shared" si="46"/>
        <v>403.20000000000005</v>
      </c>
      <c r="Q131" s="466">
        <f t="shared" si="46"/>
        <v>403.20000000000005</v>
      </c>
      <c r="R131" s="172"/>
      <c r="S131" s="254" t="s">
        <v>1244</v>
      </c>
    </row>
    <row r="132" spans="1:19" s="254" customFormat="1" ht="15" customHeight="1">
      <c r="A132" s="459" t="s">
        <v>1245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</v>
      </c>
      <c r="E132" s="466">
        <f t="shared" si="47"/>
        <v>1</v>
      </c>
      <c r="F132" s="466">
        <f t="shared" si="47"/>
        <v>1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</v>
      </c>
      <c r="J132" s="466">
        <f t="shared" si="47"/>
        <v>1.3227513227513226</v>
      </c>
      <c r="K132" s="466">
        <f t="shared" si="47"/>
        <v>1</v>
      </c>
      <c r="L132" s="466">
        <f t="shared" si="47"/>
        <v>1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1.2400793650793649</v>
      </c>
      <c r="Q132" s="466">
        <f t="shared" si="47"/>
        <v>1</v>
      </c>
      <c r="R132" s="172"/>
    </row>
    <row r="133" spans="1:19" s="254" customFormat="1" ht="15" customHeight="1">
      <c r="A133" s="459" t="s">
        <v>1271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1.5</v>
      </c>
      <c r="E133" s="466">
        <f t="shared" si="48"/>
        <v>2</v>
      </c>
      <c r="F133" s="466">
        <f t="shared" si="48"/>
        <v>1.5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1261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600</v>
      </c>
      <c r="E134" s="466">
        <f t="shared" si="49"/>
        <v>800</v>
      </c>
      <c r="F134" s="466">
        <f t="shared" si="49"/>
        <v>600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800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1262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0.28320000000000001</v>
      </c>
      <c r="E135" s="466">
        <f t="shared" si="50"/>
        <v>0.37759999999999999</v>
      </c>
      <c r="F135" s="466">
        <f t="shared" si="50"/>
        <v>0.28320000000000001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0.37759999999999999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1259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240</v>
      </c>
      <c r="E136" s="466">
        <f t="shared" si="51"/>
        <v>320</v>
      </c>
      <c r="F136" s="466">
        <f t="shared" si="51"/>
        <v>240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320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1272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</v>
      </c>
      <c r="M137" s="466">
        <f t="shared" si="52"/>
        <v>2</v>
      </c>
      <c r="N137" s="466">
        <f t="shared" si="52"/>
        <v>2</v>
      </c>
      <c r="O137" s="466">
        <f t="shared" si="52"/>
        <v>2.5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1263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403.2</v>
      </c>
      <c r="M138" s="466">
        <f t="shared" si="53"/>
        <v>403.2</v>
      </c>
      <c r="N138" s="466">
        <f t="shared" si="53"/>
        <v>403.2</v>
      </c>
      <c r="O138" s="466">
        <f t="shared" si="53"/>
        <v>504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1264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0.19031039999999999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0.23788799999999999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1260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161.28</v>
      </c>
      <c r="M140" s="466">
        <f t="shared" si="55"/>
        <v>161.28</v>
      </c>
      <c r="N140" s="466">
        <f t="shared" si="55"/>
        <v>161.28</v>
      </c>
      <c r="O140" s="466">
        <f t="shared" si="55"/>
        <v>201.6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1273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1.0262880037676171E-3</v>
      </c>
      <c r="E141" s="484">
        <f>IF(E135&gt;E139,E135,E139)*Ducts!$D$18/(25^Ducts!$D$20)</f>
        <v>1.3683840050234895E-3</v>
      </c>
      <c r="F141" s="484">
        <f>IF(F135&gt;F139,F135,F139)*Ducts!$D$18/(25^Ducts!$D$20)</f>
        <v>1.0262880037676171E-3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1.3683840050234895E-3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1274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1.0262880037676171E-3</v>
      </c>
      <c r="E142" s="488">
        <f>IF(E135&gt;E139,E135,E139)*Ducts!$D$19/(25^Ducts!$D$21)</f>
        <v>1.3683840050234895E-3</v>
      </c>
      <c r="F142" s="488">
        <f>IF(F135&gt;F139,F135,F139)*Ducts!$D$19/(25^Ducts!$D$21)</f>
        <v>1.0262880037676171E-3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1.3683840050234895E-3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1219</v>
      </c>
    </row>
    <row r="145" spans="1:19" ht="15" customHeight="1">
      <c r="A145" s="254" t="s">
        <v>1232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1220</v>
      </c>
      <c r="B146" s="5" t="s">
        <v>1231</v>
      </c>
    </row>
    <row r="147" spans="1:19" ht="15" customHeight="1">
      <c r="A147" s="5" t="s">
        <v>1221</v>
      </c>
      <c r="B147" s="5">
        <v>0.3</v>
      </c>
    </row>
    <row r="148" spans="1:19" ht="15" customHeight="1">
      <c r="A148" s="5" t="s">
        <v>1222</v>
      </c>
      <c r="B148" s="5">
        <v>0.2</v>
      </c>
    </row>
    <row r="149" spans="1:19" ht="15" customHeight="1">
      <c r="A149" s="5" t="s">
        <v>1223</v>
      </c>
      <c r="B149" s="5">
        <v>0.15</v>
      </c>
    </row>
    <row r="150" spans="1:19" ht="15" customHeight="1">
      <c r="A150" s="5" t="s">
        <v>1224</v>
      </c>
      <c r="B150" s="5">
        <v>0.1</v>
      </c>
    </row>
    <row r="151" spans="1:19" ht="15" customHeight="1">
      <c r="A151" s="5" t="s">
        <v>1225</v>
      </c>
    </row>
    <row r="152" spans="1:19" ht="15" customHeight="1">
      <c r="A152" s="254" t="s">
        <v>1221</v>
      </c>
      <c r="B152" s="5">
        <v>0.15</v>
      </c>
    </row>
    <row r="153" spans="1:19" ht="15" customHeight="1">
      <c r="A153" s="254" t="s">
        <v>1222</v>
      </c>
      <c r="B153" s="5">
        <v>0.1</v>
      </c>
    </row>
    <row r="154" spans="1:19" ht="15" customHeight="1">
      <c r="A154" s="254" t="s">
        <v>1223</v>
      </c>
      <c r="B154" s="5">
        <v>0.05</v>
      </c>
    </row>
    <row r="155" spans="1:19" ht="15" customHeight="1">
      <c r="A155" s="254" t="s">
        <v>1224</v>
      </c>
      <c r="B155" s="5">
        <v>0</v>
      </c>
    </row>
    <row r="156" spans="1:19" ht="15" customHeight="1">
      <c r="A156" s="5" t="s">
        <v>1226</v>
      </c>
    </row>
    <row r="157" spans="1:19" ht="15" customHeight="1">
      <c r="A157" s="5" t="s">
        <v>1227</v>
      </c>
      <c r="B157" s="5">
        <v>0.1</v>
      </c>
    </row>
    <row r="158" spans="1:19" ht="15" customHeight="1">
      <c r="A158" s="5" t="s">
        <v>1228</v>
      </c>
      <c r="B158" s="5">
        <v>0.05</v>
      </c>
    </row>
    <row r="159" spans="1:19" ht="15" customHeight="1">
      <c r="A159" s="5" t="s">
        <v>1229</v>
      </c>
      <c r="B159" s="5">
        <v>0</v>
      </c>
    </row>
    <row r="160" spans="1:19" ht="15" customHeight="1">
      <c r="A160" s="5" t="s">
        <v>1230</v>
      </c>
      <c r="B160" s="5">
        <v>0</v>
      </c>
    </row>
    <row r="167" spans="1:19" ht="15" customHeight="1">
      <c r="A167" s="268" t="s">
        <v>673</v>
      </c>
      <c r="B167" s="214" t="s">
        <v>669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675</v>
      </c>
    </row>
    <row r="168" spans="1:19" ht="15" customHeight="1">
      <c r="A168" s="214"/>
      <c r="B168" s="214" t="s">
        <v>670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671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700</v>
      </c>
      <c r="D172" s="430" t="s">
        <v>692</v>
      </c>
      <c r="E172" s="429" t="s">
        <v>370</v>
      </c>
      <c r="F172" s="429" t="s">
        <v>698</v>
      </c>
      <c r="G172" s="429" t="s">
        <v>699</v>
      </c>
      <c r="H172" s="214"/>
      <c r="I172" s="230" t="s">
        <v>708</v>
      </c>
      <c r="J172" s="214"/>
      <c r="K172" s="214"/>
      <c r="S172" s="254" t="s">
        <v>679</v>
      </c>
    </row>
    <row r="173" spans="1:19" ht="15" customHeight="1">
      <c r="C173" s="214"/>
      <c r="D173" s="232" t="s">
        <v>693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694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695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696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697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707</v>
      </c>
      <c r="D179" s="433" t="s">
        <v>701</v>
      </c>
      <c r="E179" s="432" t="s">
        <v>702</v>
      </c>
      <c r="F179" s="432" t="s">
        <v>703</v>
      </c>
      <c r="G179" s="432" t="s">
        <v>704</v>
      </c>
      <c r="H179" s="432" t="s">
        <v>698</v>
      </c>
      <c r="I179" s="432" t="s">
        <v>699</v>
      </c>
      <c r="J179" s="214"/>
      <c r="K179" s="214"/>
    </row>
    <row r="180" spans="3:18" ht="15" customHeight="1">
      <c r="C180" s="214"/>
      <c r="D180" s="232" t="s">
        <v>705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706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5"/>
  <sheetViews>
    <sheetView topLeftCell="A13" workbookViewId="0">
      <selection activeCell="G55" sqref="G55"/>
    </sheetView>
  </sheetViews>
  <sheetFormatPr baseColWidth="10" defaultColWidth="8.83203125" defaultRowHeight="14" x14ac:dyDescent="0"/>
  <cols>
    <col min="1" max="1" width="26.83203125" customWidth="1"/>
  </cols>
  <sheetData>
    <row r="1" spans="1:22">
      <c r="A1" s="122" t="s">
        <v>575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576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566</v>
      </c>
      <c r="B4" s="223" t="s">
        <v>628</v>
      </c>
      <c r="C4" s="258" t="s">
        <v>577</v>
      </c>
      <c r="D4" s="258" t="s">
        <v>578</v>
      </c>
      <c r="E4" s="258" t="s">
        <v>579</v>
      </c>
      <c r="F4" s="258" t="s">
        <v>580</v>
      </c>
      <c r="G4" s="258" t="s">
        <v>581</v>
      </c>
      <c r="H4" s="258" t="s">
        <v>582</v>
      </c>
      <c r="I4" s="258" t="s">
        <v>583</v>
      </c>
      <c r="J4" s="258" t="s">
        <v>584</v>
      </c>
      <c r="K4" s="258" t="s">
        <v>585</v>
      </c>
      <c r="L4" s="258" t="s">
        <v>586</v>
      </c>
      <c r="M4" s="258" t="s">
        <v>587</v>
      </c>
      <c r="N4" s="258" t="s">
        <v>588</v>
      </c>
      <c r="O4" s="258">
        <v>7</v>
      </c>
      <c r="P4" s="223">
        <v>8</v>
      </c>
      <c r="Q4" s="170">
        <v>16</v>
      </c>
    </row>
    <row r="5" spans="1:22">
      <c r="A5" s="181" t="s">
        <v>590</v>
      </c>
      <c r="B5" s="182">
        <f>B11*Inputs!$C$137^Weather!$B$1</f>
        <v>0.43</v>
      </c>
      <c r="C5" s="261">
        <f>C11*Inputs!$C$137^Weather!$B$1</f>
        <v>0.44</v>
      </c>
      <c r="D5" s="261">
        <f>D11*Inputs!$C$137^Weather!$B$1</f>
        <v>0.46</v>
      </c>
      <c r="E5" s="261">
        <f>E11*Inputs!$C$137^Weather!$B$1</f>
        <v>0.48</v>
      </c>
      <c r="F5" s="261">
        <f>F11*Inputs!$C$137^Weather!$B$1</f>
        <v>0.6</v>
      </c>
      <c r="G5" s="261">
        <f>G11*Inputs!$C$137^Weather!$B$1</f>
        <v>0.49</v>
      </c>
      <c r="H5" s="261">
        <f>H11*Inputs!$C$137^Weather!$B$1</f>
        <v>0.55000000000000004</v>
      </c>
      <c r="I5" s="261">
        <f>I11*Inputs!$C$137^Weather!$B$1</f>
        <v>0.55000000000000004</v>
      </c>
      <c r="J5" s="261">
        <f>J11*Inputs!$C$137^Weather!$B$1</f>
        <v>0.6</v>
      </c>
      <c r="K5" s="261">
        <f>K11*Inputs!$C$137^Weather!$B$1</f>
        <v>0.56000000000000005</v>
      </c>
      <c r="L5" s="261">
        <f>L11*Inputs!$C$137^Weather!$B$1</f>
        <v>0.53</v>
      </c>
      <c r="M5" s="261">
        <f>M11*Inputs!$C$137^Weather!$B$1</f>
        <v>0.62</v>
      </c>
      <c r="N5" s="261">
        <f>N11*Inputs!$C$137^Weather!$B$1</f>
        <v>0.71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591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566</v>
      </c>
      <c r="B10" s="170" t="s">
        <v>577</v>
      </c>
      <c r="C10" s="170" t="s">
        <v>578</v>
      </c>
      <c r="D10" s="170" t="s">
        <v>579</v>
      </c>
      <c r="E10" s="170" t="s">
        <v>580</v>
      </c>
      <c r="F10" s="170" t="s">
        <v>581</v>
      </c>
      <c r="G10" s="170" t="s">
        <v>582</v>
      </c>
      <c r="H10" s="170" t="s">
        <v>583</v>
      </c>
      <c r="I10" s="170" t="s">
        <v>584</v>
      </c>
      <c r="J10" s="170" t="s">
        <v>585</v>
      </c>
      <c r="K10" s="170" t="s">
        <v>586</v>
      </c>
      <c r="L10" s="170" t="s">
        <v>587</v>
      </c>
      <c r="M10" s="170" t="s">
        <v>588</v>
      </c>
      <c r="N10" s="170" t="s">
        <v>589</v>
      </c>
      <c r="O10" s="122"/>
      <c r="P10" s="122"/>
      <c r="Q10" s="122"/>
    </row>
    <row r="11" spans="1:22">
      <c r="A11" s="168" t="s">
        <v>167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166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629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592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566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167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166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629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765</v>
      </c>
    </row>
    <row r="22" spans="1:26">
      <c r="A22" s="183" t="s">
        <v>566</v>
      </c>
      <c r="B22" s="245" t="s">
        <v>628</v>
      </c>
      <c r="C22" s="245" t="s">
        <v>577</v>
      </c>
      <c r="D22" s="245" t="s">
        <v>578</v>
      </c>
      <c r="E22" s="245" t="s">
        <v>579</v>
      </c>
      <c r="F22" s="245" t="s">
        <v>580</v>
      </c>
      <c r="G22" s="245" t="s">
        <v>581</v>
      </c>
      <c r="H22" s="245" t="s">
        <v>582</v>
      </c>
      <c r="I22" s="245" t="s">
        <v>583</v>
      </c>
      <c r="J22" s="245" t="s">
        <v>584</v>
      </c>
      <c r="K22" s="245" t="s">
        <v>585</v>
      </c>
      <c r="L22" s="245" t="s">
        <v>586</v>
      </c>
      <c r="M22" s="245" t="s">
        <v>587</v>
      </c>
      <c r="N22" s="245" t="s">
        <v>588</v>
      </c>
      <c r="O22" s="276">
        <v>7</v>
      </c>
      <c r="P22" s="276">
        <v>8</v>
      </c>
      <c r="Q22" s="276" t="s">
        <v>1076</v>
      </c>
      <c r="R22" s="276" t="s">
        <v>1077</v>
      </c>
    </row>
    <row r="23" spans="1:26">
      <c r="A23" s="183" t="s">
        <v>763</v>
      </c>
      <c r="B23" s="245" t="s">
        <v>748</v>
      </c>
      <c r="C23" s="245" t="s">
        <v>749</v>
      </c>
      <c r="D23" s="245" t="s">
        <v>750</v>
      </c>
      <c r="E23" s="245" t="s">
        <v>751</v>
      </c>
      <c r="F23" s="245" t="s">
        <v>752</v>
      </c>
      <c r="G23" s="245" t="s">
        <v>753</v>
      </c>
      <c r="H23" s="245" t="s">
        <v>754</v>
      </c>
      <c r="I23" s="245" t="s">
        <v>755</v>
      </c>
      <c r="J23" s="245" t="s">
        <v>756</v>
      </c>
      <c r="K23" s="245" t="s">
        <v>757</v>
      </c>
      <c r="L23" s="245" t="s">
        <v>758</v>
      </c>
      <c r="M23" s="245" t="s">
        <v>759</v>
      </c>
      <c r="N23" s="245" t="s">
        <v>760</v>
      </c>
      <c r="O23" s="245" t="s">
        <v>761</v>
      </c>
      <c r="P23" s="245" t="s">
        <v>762</v>
      </c>
      <c r="Q23" s="245" t="s">
        <v>805</v>
      </c>
      <c r="R23" s="245" t="s">
        <v>804</v>
      </c>
    </row>
    <row r="24" spans="1:26">
      <c r="A24" s="183" t="s">
        <v>764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590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1190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212</v>
      </c>
      <c r="C33" t="s">
        <v>1194</v>
      </c>
      <c r="D33" t="s">
        <v>1195</v>
      </c>
      <c r="E33" t="s">
        <v>1194</v>
      </c>
      <c r="F33" t="s">
        <v>1195</v>
      </c>
      <c r="G33" t="s">
        <v>1194</v>
      </c>
      <c r="H33" t="s">
        <v>1194</v>
      </c>
      <c r="I33" t="s">
        <v>1195</v>
      </c>
      <c r="J33" t="s">
        <v>1195</v>
      </c>
      <c r="K33" t="s">
        <v>1194</v>
      </c>
      <c r="L33" t="s">
        <v>1195</v>
      </c>
      <c r="M33" t="s">
        <v>1194</v>
      </c>
      <c r="N33" t="s">
        <v>1195</v>
      </c>
      <c r="O33" t="s">
        <v>1194</v>
      </c>
      <c r="P33" t="s">
        <v>1194</v>
      </c>
      <c r="Q33" t="s">
        <v>1194</v>
      </c>
      <c r="R33" t="s">
        <v>212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1185</v>
      </c>
    </row>
    <row r="37" spans="1:18">
      <c r="B37" t="s">
        <v>1186</v>
      </c>
    </row>
    <row r="38" spans="1:18">
      <c r="B38" t="s">
        <v>1187</v>
      </c>
    </row>
    <row r="39" spans="1:18" s="245" customFormat="1"/>
    <row r="40" spans="1:18" s="245" customFormat="1" ht="18">
      <c r="A40" s="519" t="s">
        <v>1370</v>
      </c>
    </row>
    <row r="41" spans="1:18">
      <c r="A41" t="s">
        <v>566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1301</v>
      </c>
      <c r="B42" s="124" t="s">
        <v>1285</v>
      </c>
      <c r="C42" s="124" t="s">
        <v>1286</v>
      </c>
      <c r="D42" s="124" t="s">
        <v>1287</v>
      </c>
      <c r="E42" s="124" t="s">
        <v>1288</v>
      </c>
      <c r="F42" s="124" t="s">
        <v>1289</v>
      </c>
      <c r="G42" s="124" t="s">
        <v>1290</v>
      </c>
      <c r="H42" s="124" t="s">
        <v>1291</v>
      </c>
      <c r="I42" s="124" t="s">
        <v>1292</v>
      </c>
      <c r="J42" s="124" t="s">
        <v>1293</v>
      </c>
      <c r="K42" s="124" t="s">
        <v>1294</v>
      </c>
      <c r="L42" s="124" t="s">
        <v>1295</v>
      </c>
      <c r="M42" s="124" t="s">
        <v>1296</v>
      </c>
      <c r="N42" s="124" t="s">
        <v>1297</v>
      </c>
      <c r="O42" s="124" t="s">
        <v>1298</v>
      </c>
      <c r="P42" s="124" t="s">
        <v>1299</v>
      </c>
      <c r="Q42" s="124" t="s">
        <v>1300</v>
      </c>
    </row>
    <row r="43" spans="1:18">
      <c r="A43" t="s">
        <v>764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1366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1188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1363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1364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1192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1193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1189</v>
      </c>
      <c r="B50" t="s">
        <v>212</v>
      </c>
      <c r="C50" t="s">
        <v>1195</v>
      </c>
      <c r="D50" t="s">
        <v>1194</v>
      </c>
      <c r="E50" t="s">
        <v>1195</v>
      </c>
      <c r="F50" t="s">
        <v>1194</v>
      </c>
      <c r="G50" t="s">
        <v>212</v>
      </c>
      <c r="H50" t="s">
        <v>212</v>
      </c>
      <c r="I50" t="s">
        <v>1195</v>
      </c>
      <c r="J50" t="s">
        <v>1194</v>
      </c>
      <c r="K50" t="s">
        <v>1195</v>
      </c>
      <c r="L50" t="s">
        <v>1195</v>
      </c>
      <c r="M50" t="s">
        <v>1195</v>
      </c>
      <c r="N50" t="s">
        <v>1195</v>
      </c>
      <c r="O50" t="s">
        <v>1195</v>
      </c>
      <c r="P50" t="s">
        <v>1195</v>
      </c>
      <c r="Q50" t="s">
        <v>1194</v>
      </c>
    </row>
    <row r="51" spans="1:17">
      <c r="A51" s="245" t="s">
        <v>1371</v>
      </c>
      <c r="B51" t="s">
        <v>1365</v>
      </c>
    </row>
    <row r="52" spans="1:17">
      <c r="A52" s="245"/>
      <c r="B52" t="str">
        <f>CONCATENATE(B43,"TYA.csv","")</f>
        <v>725945TYA.csv</v>
      </c>
      <c r="C52" s="245" t="str">
        <f>CONCATENATE(C43,"TYA.csv","")</f>
        <v>724957TYA.csv</v>
      </c>
      <c r="D52" s="245" t="str">
        <f>CONCATENATE(D43,"TYA.csv","")</f>
        <v>724930TYA.csv</v>
      </c>
      <c r="E52" s="245" t="str">
        <f>CONCATENATE(E43,"TYA.csv","")</f>
        <v>724945TYA.csv</v>
      </c>
      <c r="F52" s="245" t="str">
        <f>CONCATENATE(F43,"TYA.csv","")</f>
        <v>723940TYA.csv</v>
      </c>
      <c r="G52" s="245" t="str">
        <f>CONCATENATE(G43,"TYA.csv","")</f>
        <v>722950TYA.csv</v>
      </c>
      <c r="H52" s="245" t="str">
        <f>CONCATENATE(H43,"TYA.csv","")</f>
        <v>722900TYA.csv</v>
      </c>
      <c r="I52" s="245" t="str">
        <f>CONCATENATE(I43,"TYA.csv","")</f>
        <v>722976TYA.csv</v>
      </c>
      <c r="J52" s="245" t="str">
        <f>CONCATENATE(J43,"TYA.csv","")</f>
        <v>722880TYA.csv</v>
      </c>
      <c r="K52" s="245" t="str">
        <f>CONCATENATE(K43,"TYA.csv","")</f>
        <v>722869TYA.csv</v>
      </c>
      <c r="L52" s="245" t="str">
        <f>CONCATENATE(L43,"TYA.csv","")</f>
        <v>725910TYA.csv</v>
      </c>
      <c r="M52" s="245" t="str">
        <f>CONCATENATE(M43,"TYA.csv","")</f>
        <v>724830TYA.csv</v>
      </c>
      <c r="N52" s="245" t="str">
        <f>CONCATENATE(N43,"TYA.csv","")</f>
        <v>723890TYA.csv</v>
      </c>
      <c r="O52" s="245" t="str">
        <f>CONCATENATE(O43,"TYA.csv","")</f>
        <v>723820TYA.csv</v>
      </c>
      <c r="P52" s="245" t="str">
        <f>CONCATENATE(P43,"TYA.csv","")</f>
        <v>747187TYA.csv</v>
      </c>
      <c r="Q52" s="245" t="str">
        <f>CONCATENATE(Q43,"TYA.csv","")</f>
        <v>725845TYA.csv</v>
      </c>
    </row>
    <row r="53" spans="1:17">
      <c r="B53" s="245" t="s">
        <v>1185</v>
      </c>
    </row>
    <row r="54" spans="1:17">
      <c r="B54" s="245" t="s">
        <v>1186</v>
      </c>
    </row>
    <row r="55" spans="1:17">
      <c r="B55" s="245" t="s">
        <v>1187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1020</v>
      </c>
    </row>
    <row r="2" spans="1:3">
      <c r="A2" t="s">
        <v>1027</v>
      </c>
      <c r="B2" t="s">
        <v>1028</v>
      </c>
    </row>
    <row r="7" spans="1:3">
      <c r="A7" t="s">
        <v>1019</v>
      </c>
      <c r="B7" s="376" t="str">
        <f>DehumidType</f>
        <v>No</v>
      </c>
    </row>
    <row r="8" spans="1:3">
      <c r="A8" s="245" t="s">
        <v>1022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1023</v>
      </c>
      <c r="B9" s="419">
        <v>1.85</v>
      </c>
      <c r="C9" s="245"/>
    </row>
    <row r="10" spans="1:3">
      <c r="A10" s="245" t="s">
        <v>1024</v>
      </c>
      <c r="B10" s="419">
        <v>55</v>
      </c>
      <c r="C10" s="245"/>
    </row>
    <row r="11" spans="1:3">
      <c r="A11" s="245" t="s">
        <v>1025</v>
      </c>
      <c r="B11" s="419">
        <v>2.5</v>
      </c>
      <c r="C11" s="245" t="s">
        <v>1026</v>
      </c>
    </row>
    <row r="14" spans="1:3">
      <c r="A14" t="s">
        <v>1029</v>
      </c>
    </row>
    <row r="15" spans="1:3">
      <c r="A15" t="s">
        <v>1030</v>
      </c>
      <c r="B15" t="s">
        <v>1031</v>
      </c>
    </row>
    <row r="16" spans="1:3">
      <c r="A16" t="s">
        <v>1032</v>
      </c>
      <c r="B16">
        <v>1.85</v>
      </c>
    </row>
    <row r="17" spans="1:9">
      <c r="A17" t="s">
        <v>1033</v>
      </c>
      <c r="B17">
        <v>2.8</v>
      </c>
    </row>
    <row r="19" spans="1:9" ht="15" thickBot="1">
      <c r="A19" t="s">
        <v>1035</v>
      </c>
      <c r="E19" s="126" t="s">
        <v>1034</v>
      </c>
    </row>
    <row r="20" spans="1:9" ht="28">
      <c r="A20" s="366" t="s">
        <v>1037</v>
      </c>
      <c r="B20" s="367" t="s">
        <v>1024</v>
      </c>
      <c r="C20" s="367" t="s">
        <v>1038</v>
      </c>
      <c r="D20" s="368" t="s">
        <v>1022</v>
      </c>
      <c r="E20" t="s">
        <v>789</v>
      </c>
      <c r="F20" t="s">
        <v>1036</v>
      </c>
      <c r="G20" t="s">
        <v>1041</v>
      </c>
      <c r="H20" t="s">
        <v>172</v>
      </c>
    </row>
    <row r="21" spans="1:9">
      <c r="A21" s="369" t="s">
        <v>1039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1039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1039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1039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1040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1040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1040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1040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789</v>
      </c>
      <c r="C34" s="285" t="s">
        <v>793</v>
      </c>
      <c r="D34" s="285" t="s">
        <v>1102</v>
      </c>
    </row>
    <row r="35" spans="1:5">
      <c r="B35" t="s">
        <v>790</v>
      </c>
      <c r="C35" t="s">
        <v>795</v>
      </c>
      <c r="D35" s="363">
        <v>46</v>
      </c>
      <c r="E35" s="363"/>
    </row>
    <row r="36" spans="1:5">
      <c r="C36" t="s">
        <v>794</v>
      </c>
      <c r="D36" s="363">
        <v>52</v>
      </c>
      <c r="E36" s="364"/>
    </row>
    <row r="37" spans="1:5">
      <c r="A37" s="362"/>
      <c r="C37" t="s">
        <v>796</v>
      </c>
      <c r="D37" s="362">
        <v>62</v>
      </c>
      <c r="E37" s="362"/>
    </row>
    <row r="38" spans="1:5">
      <c r="A38" s="362"/>
      <c r="B38" s="364" t="s">
        <v>794</v>
      </c>
      <c r="C38" s="245" t="s">
        <v>795</v>
      </c>
      <c r="D38" s="363">
        <v>46</v>
      </c>
      <c r="E38" s="362"/>
    </row>
    <row r="39" spans="1:5">
      <c r="C39" s="245" t="s">
        <v>794</v>
      </c>
      <c r="D39" s="363">
        <v>52</v>
      </c>
    </row>
    <row r="40" spans="1:5">
      <c r="C40" s="245" t="s">
        <v>796</v>
      </c>
      <c r="D40" s="362">
        <v>62</v>
      </c>
    </row>
    <row r="41" spans="1:5">
      <c r="B41" s="362" t="s">
        <v>791</v>
      </c>
      <c r="C41" s="245" t="s">
        <v>795</v>
      </c>
      <c r="D41" s="363">
        <v>66</v>
      </c>
    </row>
    <row r="42" spans="1:5">
      <c r="C42" s="245" t="s">
        <v>794</v>
      </c>
      <c r="D42" s="363">
        <v>72</v>
      </c>
    </row>
    <row r="43" spans="1:5">
      <c r="C43" s="245" t="s">
        <v>796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1135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1127</v>
      </c>
      <c r="B2" s="538" t="s">
        <v>1136</v>
      </c>
      <c r="C2" s="538"/>
      <c r="D2" s="538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1128</v>
      </c>
      <c r="B9" t="s">
        <v>1137</v>
      </c>
      <c r="C9" s="445" t="s">
        <v>1129</v>
      </c>
      <c r="D9" s="450"/>
      <c r="E9" s="440"/>
      <c r="F9" s="440"/>
      <c r="G9" s="440"/>
      <c r="H9" s="438"/>
    </row>
    <row r="10" spans="1:8">
      <c r="A10" s="439" t="s">
        <v>1147</v>
      </c>
      <c r="B10" t="s">
        <v>1113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1021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1021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1021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1139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1127</v>
      </c>
      <c r="B17" s="437" t="s">
        <v>1131</v>
      </c>
      <c r="C17" s="442" t="s">
        <v>1133</v>
      </c>
      <c r="D17" s="442" t="s">
        <v>1134</v>
      </c>
      <c r="E17" s="438"/>
      <c r="F17" s="438"/>
      <c r="G17" s="438"/>
      <c r="H17" s="438"/>
    </row>
    <row r="18" spans="1:8">
      <c r="A18" s="447">
        <v>1</v>
      </c>
      <c r="B18" s="437" t="s">
        <v>1130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1130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1130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1132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1132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1132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1140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1127</v>
      </c>
      <c r="B27" s="437" t="s">
        <v>1137</v>
      </c>
      <c r="C27" s="448" t="s">
        <v>1138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1113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1113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1113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1021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1021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1021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2017-04-18T22:05:45Z</dcterms:modified>
</cp:coreProperties>
</file>